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5354C2E6-AD31-4464-8960-FB9A17FB852F}" xr6:coauthVersionLast="47" xr6:coauthVersionMax="47" xr10:uidLastSave="{00000000-0000-0000-0000-000000000000}"/>
  <bookViews>
    <workbookView xWindow="-120" yWindow="-120" windowWidth="29040" windowHeight="15720" activeTab="2" xr2:uid="{397AEACC-8B31-4B8F-9003-29ED9BA72663}"/>
  </bookViews>
  <sheets>
    <sheet name="ES" sheetId="1" r:id="rId1"/>
    <sheet name="JHS" sheetId="2" r:id="rId2"/>
    <sheet name="SHS" sheetId="3" r:id="rId3"/>
  </sheets>
  <externalReferences>
    <externalReference r:id="rId4"/>
  </externalReferences>
  <definedNames>
    <definedName name="_xlnm._FilterDatabase" localSheetId="0" hidden="1">ES!$A$7:$AG$61</definedName>
    <definedName name="_xlnm._FilterDatabase" localSheetId="1" hidden="1">JHS!$A$8:$AG$76</definedName>
    <definedName name="_xlnm._FilterDatabase" localSheetId="2" hidden="1">SHS!$A$7:$AG$23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3" i="3" l="1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</calcChain>
</file>

<file path=xl/sharedStrings.xml><?xml version="1.0" encoding="utf-8"?>
<sst xmlns="http://schemas.openxmlformats.org/spreadsheetml/2006/main" count="1791" uniqueCount="439">
  <si>
    <t>School Level Data on Tabacco Control in Elementary Level</t>
  </si>
  <si>
    <t>SY 2019-2020</t>
  </si>
  <si>
    <t>Based on BIES, generated as of June 5, 2020</t>
  </si>
  <si>
    <t>Does the school display the following IEC materials:</t>
  </si>
  <si>
    <t>Does the school have an active Child Protection Committee (CPC)?</t>
  </si>
  <si>
    <t>How frequent does the CPC meet?</t>
  </si>
  <si>
    <t>Has the school's CPC met to discuss tobacco control?</t>
  </si>
  <si>
    <t>When did the CPC last meet to discuss tobacco control? (mm/dd/yyyy)</t>
  </si>
  <si>
    <t>Does the school's CPC monitor stores within the 100-meter perimeter of the school for reporting to authorities stores that sell cigarettes?
(YES = 1 or NO = 0)</t>
  </si>
  <si>
    <t>How frequent does the CPC monitor the stores within the 100-meter perimeter of the school?</t>
  </si>
  <si>
    <t>When did the CPC last monitor stores within the school's 100-meter perimeter to report violation
to authorities? (mm/dd/yyyy)</t>
  </si>
  <si>
    <t>Measures Against Tobacco Industry Interference:</t>
  </si>
  <si>
    <t>"No Smoking" Signages (EO 26, s.2017, DO 48, s.2016)
(YES = 1 or NO = 0)</t>
  </si>
  <si>
    <t>Poster at the school gate about prohibition of selling of cigarettes within 100 meters from the perimeter of the school (EO 26, s.2017)
(YES = 1 or NO = 0)</t>
  </si>
  <si>
    <t>Monthly</t>
  </si>
  <si>
    <t>Quarterly</t>
  </si>
  <si>
    <t>Annually</t>
  </si>
  <si>
    <t>Others</t>
  </si>
  <si>
    <t>Others Specify</t>
  </si>
  <si>
    <t>How many partnerships did the school have from May 2017 to August 2018?</t>
  </si>
  <si>
    <t xml:space="preserve">How many of these partnerships have the proper partnership instrument needed (e.g., service contract, memorandum of agreement (MOA), deed of donation (DOD)/deed of acceptance, memorandum of understanding, etc.)? </t>
  </si>
  <si>
    <t>How many of the partnerships with memoranda of agreement/deeds of donation include a provision in the MOA/DOD that the partner/donor is not connected to the tobacco industry, does not received funding from tobacco companies, or does not sell cigarettes?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</si>
  <si>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</si>
  <si>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</si>
  <si>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</si>
  <si>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</si>
  <si>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</si>
  <si>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</si>
  <si>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</si>
  <si>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</si>
  <si>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</si>
  <si>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</si>
  <si>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</si>
  <si>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</si>
  <si>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 display No Smoking Signages- Yes</t>
  </si>
  <si>
    <t>Sch display Poster probihit selling of cigars - Yes</t>
  </si>
  <si>
    <t>Sch have active CPC - Yes</t>
  </si>
  <si>
    <t>CPC meet monthly</t>
  </si>
  <si>
    <t>CPC meet quarterly</t>
  </si>
  <si>
    <t>CPC meet annually</t>
  </si>
  <si>
    <t>CPC meet Others</t>
  </si>
  <si>
    <t>CPC meet Others Specify</t>
  </si>
  <si>
    <t>CPC meet to discuss Tobacco Control - Yes</t>
  </si>
  <si>
    <t xml:space="preserve">CPC last meet to discuss Tobacco Control </t>
  </si>
  <si>
    <t>CPC monitor cigar stores 100-mtr perimeter for reporting - Yes</t>
  </si>
  <si>
    <t>CPC monitor cigar stores 100-mtr perimeter - Monthly</t>
  </si>
  <si>
    <t>CPC monitor cigar stores 100-mtr perimeter - Quarterly</t>
  </si>
  <si>
    <t>CPC monitor cigar stores 100-mtr perimeter - Annually</t>
  </si>
  <si>
    <t>CPC monitor cigar stores 100-mtr perimeter - Others</t>
  </si>
  <si>
    <t>CPC monitor cigar stores 100-mtr perimeter - Others Specify</t>
  </si>
  <si>
    <t>CPC last monitor cigar stores to report violation</t>
  </si>
  <si>
    <t>No of Measures Against Tobacco Partnerships MaytoAug</t>
  </si>
  <si>
    <t>No of Measures Against Tobacco Partnerships with MOA</t>
  </si>
  <si>
    <t>No of Measures Against Tobacco Proper Partnerships</t>
  </si>
  <si>
    <t>Remarks</t>
  </si>
  <si>
    <t>Region XI</t>
  </si>
  <si>
    <t>2nd District</t>
  </si>
  <si>
    <t>Kinder &amp; Grade 1-6</t>
  </si>
  <si>
    <t>Purely ES</t>
  </si>
  <si>
    <t>n/a</t>
  </si>
  <si>
    <t>SAN ANTONIO</t>
  </si>
  <si>
    <t>Kinder, Grade 1-6, Grade 7-10</t>
  </si>
  <si>
    <t>ES and JHS</t>
  </si>
  <si>
    <t>NONE</t>
  </si>
  <si>
    <t>2019-06-14</t>
  </si>
  <si>
    <t>06/28/2019</t>
  </si>
  <si>
    <t>N/A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</si>
  <si>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</si>
  <si>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</si>
  <si>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</si>
  <si>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</si>
  <si>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</si>
  <si>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</si>
  <si>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</si>
  <si>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</si>
  <si>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</si>
  <si>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</si>
  <si>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</si>
  <si>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</si>
  <si>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</si>
  <si>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</si>
  <si>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</si>
  <si>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</si>
  <si>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</si>
  <si>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</si>
  <si>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</si>
  <si>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</si>
  <si>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</si>
  <si>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</si>
  <si>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</si>
  <si>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</si>
  <si>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</si>
  <si>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</si>
  <si>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</si>
  <si>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</si>
  <si>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</si>
  <si>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</si>
  <si>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</si>
  <si>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</si>
  <si>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</si>
  <si>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</si>
  <si>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October 21, 2019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</si>
  <si>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</si>
  <si>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</si>
  <si>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</si>
  <si>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</si>
  <si>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</si>
  <si>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</si>
  <si>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</si>
  <si>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09/13/2019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</si>
  <si>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</si>
  <si>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</si>
  <si>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</si>
  <si>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</si>
  <si>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</si>
  <si>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</si>
  <si>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</si>
  <si>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</si>
  <si>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</si>
  <si>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</si>
  <si>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</si>
  <si>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</si>
  <si>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</si>
  <si>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</si>
  <si>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</si>
  <si>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</si>
  <si>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</si>
  <si>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</si>
  <si>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</si>
  <si>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</si>
  <si>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August 23, 2019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</si>
  <si>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</si>
  <si>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</si>
  <si>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</si>
  <si>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</si>
  <si>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</si>
  <si>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</si>
  <si>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</si>
  <si>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</si>
  <si>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</si>
  <si>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</si>
  <si>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</si>
  <si>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</si>
  <si>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</si>
  <si>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</si>
  <si>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</si>
  <si>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</si>
  <si>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</si>
  <si>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2019-06-05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</si>
  <si>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</si>
  <si>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</si>
  <si>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</si>
  <si>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</si>
  <si>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</si>
  <si>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</si>
  <si>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</si>
  <si>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</si>
  <si>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</si>
  <si>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</si>
  <si>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</si>
  <si>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</si>
  <si>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JUNE 7, 2019</t>
  </si>
  <si>
    <t>Tamia ES</t>
  </si>
  <si>
    <t>Sitio Tamia</t>
  </si>
  <si>
    <t>Tamisan Elementary School</t>
  </si>
  <si>
    <t>Capitol Hillside</t>
  </si>
  <si>
    <t>2019-08-05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</si>
  <si>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</si>
  <si>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</si>
  <si>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</si>
  <si>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</si>
  <si>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</si>
  <si>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</si>
  <si>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</si>
  <si>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</si>
  <si>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</si>
  <si>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</si>
  <si>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</si>
  <si>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</si>
  <si>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</si>
  <si>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</si>
  <si>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NOT YET DONE</t>
  </si>
  <si>
    <t>Brigido Rodriguez Sr. ES</t>
  </si>
  <si>
    <t>Bigue</t>
  </si>
  <si>
    <t>DAWAN</t>
  </si>
  <si>
    <t>2019-06-28</t>
  </si>
  <si>
    <t>2019-07-03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</si>
  <si>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</si>
  <si>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</si>
  <si>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</si>
  <si>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</si>
  <si>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</si>
  <si>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</si>
  <si>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</si>
  <si>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</si>
  <si>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none</t>
  </si>
  <si>
    <t>Macambol ES</t>
  </si>
  <si>
    <t>Macambol</t>
  </si>
  <si>
    <t>2019-06-24</t>
  </si>
  <si>
    <t>Magum ES</t>
  </si>
  <si>
    <t>Purok 1</t>
  </si>
  <si>
    <t>Gelacio  G. Ytac ES</t>
  </si>
  <si>
    <t>Purok II</t>
  </si>
  <si>
    <t>MAMALI</t>
  </si>
  <si>
    <t>2019-06-13</t>
  </si>
  <si>
    <t>Sanghay ES</t>
  </si>
  <si>
    <t>SANGHAY</t>
  </si>
  <si>
    <t>Paciano A. Genon EMS</t>
  </si>
  <si>
    <t>Tagamot</t>
  </si>
  <si>
    <t>2019-06-15</t>
  </si>
  <si>
    <t>Wagon ES</t>
  </si>
  <si>
    <t>Wagon</t>
  </si>
  <si>
    <t>2019-05-28</t>
  </si>
  <si>
    <t>2019-06-20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</si>
  <si>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</si>
  <si>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</si>
  <si>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</si>
  <si>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</si>
  <si>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</si>
  <si>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</si>
  <si>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</si>
  <si>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</si>
  <si>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Davao Occidental</t>
  </si>
  <si>
    <t>Don Marcelino</t>
  </si>
  <si>
    <t>DAVAO OCCIDENTAL</t>
  </si>
  <si>
    <t>DON MARCELINO</t>
  </si>
  <si>
    <t>1st District</t>
  </si>
  <si>
    <t>CALIAN</t>
  </si>
  <si>
    <t>DALUPAN</t>
  </si>
  <si>
    <t>TALAGUTONG (POB.)</t>
  </si>
  <si>
    <t>LAPUAN</t>
  </si>
  <si>
    <t>Lone District</t>
  </si>
  <si>
    <t>LAWA (POB.)</t>
  </si>
  <si>
    <t>LINADASAN</t>
  </si>
  <si>
    <t>NUEVA VILLA</t>
  </si>
  <si>
    <t>JUNE</t>
  </si>
  <si>
    <t>Sitio Kibatang</t>
  </si>
  <si>
    <t>NORTH LAMIDAN</t>
  </si>
  <si>
    <t>Jose Abad Santos</t>
  </si>
  <si>
    <t>JOSE ABAD SANTOS (TRINIDAD)</t>
  </si>
  <si>
    <t>Jose Abad Santos I</t>
  </si>
  <si>
    <t>CABURAN BIG</t>
  </si>
  <si>
    <t>MANGILE</t>
  </si>
  <si>
    <t>TABAYON</t>
  </si>
  <si>
    <t>Harden Joyce Integrated School</t>
  </si>
  <si>
    <t>Brgy. Culaman, Jose Abad Santos, Davao Occidental</t>
  </si>
  <si>
    <t>CULAMAN</t>
  </si>
  <si>
    <t>Aldo Pagagao Integrated School</t>
  </si>
  <si>
    <t>Brgy. Meybio, Jose Abad Santos, Davao Occidental</t>
  </si>
  <si>
    <t>MEYBIO</t>
  </si>
  <si>
    <t>Jose Abad Santos II</t>
  </si>
  <si>
    <t>KALBAY</t>
  </si>
  <si>
    <t>SUGAL</t>
  </si>
  <si>
    <t>BALANGONAN</t>
  </si>
  <si>
    <t>NUING</t>
  </si>
  <si>
    <t>SAN ISIDRO</t>
  </si>
  <si>
    <t>Kidaman Integrated School</t>
  </si>
  <si>
    <t>Kidaman, Kalbay, Jose Abad Santos, Davao Occidental</t>
  </si>
  <si>
    <t>Bukid Integrated School</t>
  </si>
  <si>
    <t>Brgy. Bukid, Jose Abad Santos, Davao Occidental</t>
  </si>
  <si>
    <t>BUKID</t>
  </si>
  <si>
    <t>Mariano Anoy Sangay Integrated School</t>
  </si>
  <si>
    <t>Brgy. Molmol, Jose Abad Santos, Davao Occidental</t>
  </si>
  <si>
    <t>MOLMOL</t>
  </si>
  <si>
    <t>Malita</t>
  </si>
  <si>
    <t>MALITA</t>
  </si>
  <si>
    <t>DATU DANWATA</t>
  </si>
  <si>
    <t>Malita East</t>
  </si>
  <si>
    <t>BOLILA</t>
  </si>
  <si>
    <t>MANA</t>
  </si>
  <si>
    <t>Tingolo Integrated School</t>
  </si>
  <si>
    <t>Tingolo, Malita, Davao Occidental</t>
  </si>
  <si>
    <t>TINGOLO</t>
  </si>
  <si>
    <t>Malita North</t>
  </si>
  <si>
    <t>LACARON</t>
  </si>
  <si>
    <t>BUHANGIN</t>
  </si>
  <si>
    <t>TUBALAN</t>
  </si>
  <si>
    <t>FISHING VILLAGE (FISHERMAN'S VILLAGE)</t>
  </si>
  <si>
    <t>POBLACION</t>
  </si>
  <si>
    <t>TALOGOY</t>
  </si>
  <si>
    <t>Malagsom, Buhangin, Malita, Davao Occidental</t>
  </si>
  <si>
    <t>Malita South</t>
  </si>
  <si>
    <t>LITTLE BAGUIO</t>
  </si>
  <si>
    <t>LAGUMIT</t>
  </si>
  <si>
    <t>Centro</t>
  </si>
  <si>
    <t>KINANGAN</t>
  </si>
  <si>
    <t>TICULON</t>
  </si>
  <si>
    <t>Bolo Bolo Integrated School</t>
  </si>
  <si>
    <t>Bolo Bolo, Little Baguio, Malita, Davao Occidental</t>
  </si>
  <si>
    <t>Kinangan Integrated School</t>
  </si>
  <si>
    <t>Kinangan, Malita, Davao Occidental</t>
  </si>
  <si>
    <t>Malita West</t>
  </si>
  <si>
    <t>DEMOLOC</t>
  </si>
  <si>
    <t>PINALPALAN</t>
  </si>
  <si>
    <t>SANGAY</t>
  </si>
  <si>
    <t>TFS of Tambelang Integrated School</t>
  </si>
  <si>
    <t>Sitio Tambelang,Brgy. Datu Danwata, Malita, Davao Occidental</t>
  </si>
  <si>
    <t>Sarangani</t>
  </si>
  <si>
    <t>SARANGANI</t>
  </si>
  <si>
    <t>MABILA (POB.)</t>
  </si>
  <si>
    <t>LAKER (SARANGANI SUR)</t>
  </si>
  <si>
    <t>PATUCO (SARANGANI NORTE)</t>
  </si>
  <si>
    <t>Patuko Integrated School</t>
  </si>
  <si>
    <t>Patuko, Sarangani, Davao Occidental</t>
  </si>
  <si>
    <t>Sta. Maria</t>
  </si>
  <si>
    <t>SANTA MARIA</t>
  </si>
  <si>
    <t>BASIAWAN</t>
  </si>
  <si>
    <t>School Level Data on Tabacco Control in Junior High School Public</t>
  </si>
  <si>
    <t>Based on BEIS, generated as of June 5, 2020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</si>
  <si>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</si>
  <si>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</si>
  <si>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</si>
  <si>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</si>
  <si>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</si>
  <si>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</si>
  <si>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02-20-2019</t>
  </si>
  <si>
    <t>Mati SAT</t>
  </si>
  <si>
    <t>Garcia Avenue</t>
  </si>
  <si>
    <t>City of Mati National High School</t>
  </si>
  <si>
    <t>Brgy. Dahican, Mati City</t>
  </si>
  <si>
    <t>JULY 18, 2019</t>
  </si>
  <si>
    <t>AUGUST 8, 2019</t>
  </si>
  <si>
    <t>Badas NHS</t>
  </si>
  <si>
    <t>Camansi</t>
  </si>
  <si>
    <t>06/29/2019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</si>
  <si>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</si>
  <si>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</si>
  <si>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</si>
  <si>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</si>
  <si>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</si>
  <si>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</si>
  <si>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</si>
  <si>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</si>
  <si>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</si>
  <si>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</si>
  <si>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</si>
  <si>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</si>
  <si>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</si>
  <si>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</si>
  <si>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</si>
  <si>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</si>
  <si>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</si>
  <si>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</si>
  <si>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</si>
  <si>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As needed</t>
  </si>
  <si>
    <t>Libudon NHS</t>
  </si>
  <si>
    <t>Purok 5- San Francisco</t>
  </si>
  <si>
    <t>by semester</t>
  </si>
  <si>
    <t>Macambol NHS</t>
  </si>
  <si>
    <t>Don Marcelino NHS</t>
  </si>
  <si>
    <t>Katigbaw</t>
  </si>
  <si>
    <t>Lawa NHS</t>
  </si>
  <si>
    <t>Biton II. Lawa</t>
  </si>
  <si>
    <t>June 20, 2019</t>
  </si>
  <si>
    <t>John Martin Johnson High School (Lamidan)</t>
  </si>
  <si>
    <t>North Lamidan, Don Marcelino, Davao Occidental</t>
  </si>
  <si>
    <t>02/11/2019</t>
  </si>
  <si>
    <t>Calian National High School</t>
  </si>
  <si>
    <t>Calian, Don Marcelino, Davao Occidental</t>
  </si>
  <si>
    <t>Ernesto Balindan Sumbo National High School</t>
  </si>
  <si>
    <t>Dalupan, Don Marcelino, Davao Occidental</t>
  </si>
  <si>
    <t>Antonio T. Doromal National High School</t>
  </si>
  <si>
    <t>Linadasan, Don Marcelino, Davao Occidental</t>
  </si>
  <si>
    <t>10/23/2019</t>
  </si>
  <si>
    <t>10/24/2019</t>
  </si>
  <si>
    <t>Corona A. Cabanilla National High School</t>
  </si>
  <si>
    <t>Nueva Villa, Don Marcelino, Davao Occidental</t>
  </si>
  <si>
    <t>Luisa Joyce Mallari National High School</t>
  </si>
  <si>
    <t>Lapuan</t>
  </si>
  <si>
    <t>June 1, 2019</t>
  </si>
  <si>
    <t>Balangonan NHS</t>
  </si>
  <si>
    <t>Brgy. Balangonan, Jose Abad Santos, Davao Occidental</t>
  </si>
  <si>
    <t>Edna Guillermo Memorial National High School</t>
  </si>
  <si>
    <t>Nuing, Jose Abad Santos, Davao Occidental</t>
  </si>
  <si>
    <t>9/20/2018</t>
  </si>
  <si>
    <t>9/24/2018</t>
  </si>
  <si>
    <t>Jose Abad Santos NHS</t>
  </si>
  <si>
    <t>Caburan Big</t>
  </si>
  <si>
    <t>10/14/2019</t>
  </si>
  <si>
    <t>Kalbay National High School</t>
  </si>
  <si>
    <t>06/23/2019</t>
  </si>
  <si>
    <t>Mangile National High School</t>
  </si>
  <si>
    <t>Mangile, Jose Abad Santos, Davao Occidental</t>
  </si>
  <si>
    <t>09-19-2019</t>
  </si>
  <si>
    <t>Tabayon National High School</t>
  </si>
  <si>
    <t>Brgy. Tabayon, Jose Abad Santos, Davao Occidental</t>
  </si>
  <si>
    <t>Emeliano S. Fontanares Sr. NHS</t>
  </si>
  <si>
    <t>JUNE 28, 2019</t>
  </si>
  <si>
    <t>SEPTEMBER 27, 2019</t>
  </si>
  <si>
    <t>Tomas Lim Alcordo Sr. National High School</t>
  </si>
  <si>
    <t>Pinalpalan, Malita, Davao Occidental</t>
  </si>
  <si>
    <t>Fishing Village Comprehensive NHS</t>
  </si>
  <si>
    <t>-Brgy. Fishing Village</t>
  </si>
  <si>
    <t>Tubalan Comprehensive NHS</t>
  </si>
  <si>
    <t>Tubalan Malita Davao Occidental</t>
  </si>
  <si>
    <t>B'Laan NHS</t>
  </si>
  <si>
    <t>Sitio Caldoz</t>
  </si>
  <si>
    <t>Demolok Valley National High School</t>
  </si>
  <si>
    <t>Fatima, Demoloc, Malita, Davao Occidental</t>
  </si>
  <si>
    <t>Mariano Peralta National High School</t>
  </si>
  <si>
    <t>National Highway, Poblacion, Malita, Davao del Sur</t>
  </si>
  <si>
    <t>Ticulon NHS</t>
  </si>
  <si>
    <t>-Lower Ticulon, Malita, Davao Occidental</t>
  </si>
  <si>
    <t>Clotildo Reyes Barrios Sr. National High School</t>
  </si>
  <si>
    <t>Lagumit, Malita, Davao Occidental</t>
  </si>
  <si>
    <t>Gaspar Danwata National High School</t>
  </si>
  <si>
    <t>Datu Danwata, Malita, Davao Occidental</t>
  </si>
  <si>
    <t>Ernesto Lopez National High School</t>
  </si>
  <si>
    <t>Sangay, Malita, Davao Occidental</t>
  </si>
  <si>
    <t>Tamaing Tribal National High School</t>
  </si>
  <si>
    <t>Talogoy, Malita, Davao Occidental</t>
  </si>
  <si>
    <t>JULY 1, 2019</t>
  </si>
  <si>
    <t>AUGUST 28, 2019</t>
  </si>
  <si>
    <t>Benjamin Velasco Bautista Sr. National High School</t>
  </si>
  <si>
    <t>Pagatpat, Mana, Malita Davao Occidental</t>
  </si>
  <si>
    <t>Bolila National High School</t>
  </si>
  <si>
    <t>Bolila, Malita, Davao Occidental</t>
  </si>
  <si>
    <t>Lacaron National High School</t>
  </si>
  <si>
    <t>Lacaron, Malita, Davao Occidental</t>
  </si>
  <si>
    <t>Buhangin National High School</t>
  </si>
  <si>
    <t>09/30/2019</t>
  </si>
  <si>
    <t>JUNE 2019</t>
  </si>
  <si>
    <t>Alberto Olarte, Sr. NHS</t>
  </si>
  <si>
    <t>Brgy. Mabila, Sarangani, Davao del Sur</t>
  </si>
  <si>
    <t>Jose De Arce MHS (Sangkokdatal HS)</t>
  </si>
  <si>
    <t>-Sangkokdatal</t>
  </si>
  <si>
    <t>05/15/2019</t>
  </si>
  <si>
    <t>04/15/2019</t>
  </si>
  <si>
    <t>Basiawan NHS</t>
  </si>
  <si>
    <t>Brgy. Basiawan, Sta. Maria Davao Occidental</t>
  </si>
  <si>
    <t>Heracleo Casco Memorial National High School</t>
  </si>
  <si>
    <t>June 25, 2019</t>
  </si>
  <si>
    <t>Sta. Maria NHS</t>
  </si>
  <si>
    <t>Brgy. San Antonio, Sta. Maria Davao del Sur</t>
  </si>
  <si>
    <t>Pedro Mariscal National High School</t>
  </si>
  <si>
    <t>Barangay San Isidro</t>
  </si>
  <si>
    <t>June 14, 2019</t>
  </si>
  <si>
    <t>July 16, 2019</t>
  </si>
  <si>
    <t>School Level Data on Tabacco Control in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</si>
</sst>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2019-2020%20BEIS\SCHOOL%20HEALH%20DATA\_SY%2019-20%20SCHOOL%20HEALTH%20DATA%20-%20Tabacco%20Control_\SHS\SY%2020190-2020%20Tabacco%20Control%20(SHS)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s_tobacco_control"/>
    </sheetNames>
    <sheetDataSet>
      <sheetData sheetId="0">
        <row r="13">
          <cell r="D13">
            <v>300099</v>
          </cell>
          <cell r="E13" t="str">
            <v>Bangbangolan NHS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 t="str">
            <v>06/21/2019</v>
          </cell>
          <cell r="P13" t="str">
            <v>06/21/2019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1</v>
          </cell>
          <cell r="W13">
            <v>1</v>
          </cell>
          <cell r="X13">
            <v>0</v>
          </cell>
          <cell r="Y13">
            <v>0</v>
          </cell>
        </row>
        <row r="14">
          <cell r="D14">
            <v>500602</v>
          </cell>
          <cell r="E14" t="str">
            <v>SAN FERNANDO SOUTH CENTRAL INTEGRATED SCHOOL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D15">
            <v>300126</v>
          </cell>
          <cell r="E15" t="str">
            <v>Pao National High School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43612</v>
          </cell>
          <cell r="Q15">
            <v>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</row>
        <row r="16">
          <cell r="D16">
            <v>300118</v>
          </cell>
          <cell r="E16" t="str">
            <v>La Union NHS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 t="str">
            <v>AUGUST 04,2018</v>
          </cell>
          <cell r="P16" t="str">
            <v>N/A</v>
          </cell>
          <cell r="Q16">
            <v>0</v>
          </cell>
          <cell r="R16">
            <v>0</v>
          </cell>
          <cell r="S16">
            <v>0</v>
          </cell>
          <cell r="T16">
            <v>1</v>
          </cell>
          <cell r="U16" t="str">
            <v>NOT YET DONE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</row>
        <row r="17">
          <cell r="D17">
            <v>321001</v>
          </cell>
          <cell r="E17" t="str">
            <v>La Union NHS - Sacyud Annex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1</v>
          </cell>
          <cell r="X17">
            <v>1</v>
          </cell>
          <cell r="Y17">
            <v>0</v>
          </cell>
        </row>
        <row r="18">
          <cell r="D18">
            <v>500530</v>
          </cell>
          <cell r="E18" t="str">
            <v>Nagyubuyuban IS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D19">
            <v>300116</v>
          </cell>
          <cell r="E19" t="str">
            <v>Dr. Quintin Balcita Sr. NHS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 t="str">
            <v>anytime, as problem arises</v>
          </cell>
          <cell r="N19">
            <v>0</v>
          </cell>
          <cell r="O19" t="str">
            <v>n/a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 t="str">
            <v>sometimes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</row>
        <row r="20">
          <cell r="D20">
            <v>500983</v>
          </cell>
          <cell r="E20" t="str">
            <v>San Fernando City SPED Integrated School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D21">
            <v>300052</v>
          </cell>
          <cell r="E21" t="str">
            <v>Ilocos Sur National High School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 t="str">
            <v>May 28-31, 2019</v>
          </cell>
          <cell r="Q21">
            <v>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</row>
        <row r="22">
          <cell r="D22">
            <v>300089</v>
          </cell>
          <cell r="E22" t="str">
            <v>Vigan West NHS (Vigan NHS West)</v>
          </cell>
          <cell r="F22">
            <v>1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43617</v>
          </cell>
          <cell r="Q22">
            <v>1</v>
          </cell>
          <cell r="R22">
            <v>0</v>
          </cell>
          <cell r="S22">
            <v>0</v>
          </cell>
          <cell r="T22">
            <v>1</v>
          </cell>
          <cell r="U22" t="str">
            <v>as needed</v>
          </cell>
          <cell r="V22">
            <v>1</v>
          </cell>
          <cell r="W22">
            <v>2</v>
          </cell>
          <cell r="X22">
            <v>0</v>
          </cell>
          <cell r="Y22">
            <v>0</v>
          </cell>
        </row>
        <row r="23">
          <cell r="D23">
            <v>300088</v>
          </cell>
          <cell r="E23" t="str">
            <v>Vigan National High School East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0</v>
          </cell>
          <cell r="L23">
            <v>1</v>
          </cell>
          <cell r="M23" t="str">
            <v>AS THE NEED ARISES</v>
          </cell>
          <cell r="N23">
            <v>0</v>
          </cell>
          <cell r="O23">
            <v>0</v>
          </cell>
          <cell r="P23" t="str">
            <v>6/19/19</v>
          </cell>
          <cell r="Q23">
            <v>0</v>
          </cell>
          <cell r="R23">
            <v>1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5</v>
          </cell>
          <cell r="X23">
            <v>2</v>
          </cell>
          <cell r="Y23">
            <v>0</v>
          </cell>
        </row>
        <row r="24">
          <cell r="D24">
            <v>300054</v>
          </cell>
          <cell r="E24" t="str">
            <v>Lidlidda National High School</v>
          </cell>
          <cell r="F24">
            <v>1</v>
          </cell>
          <cell r="G24">
            <v>1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1</v>
          </cell>
          <cell r="O24">
            <v>43651</v>
          </cell>
          <cell r="P24">
            <v>43658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</v>
          </cell>
          <cell r="W24">
            <v>2</v>
          </cell>
          <cell r="X24">
            <v>1</v>
          </cell>
          <cell r="Y24">
            <v>0</v>
          </cell>
        </row>
        <row r="25">
          <cell r="D25">
            <v>500055</v>
          </cell>
          <cell r="E25" t="str">
            <v>Pugaro IS</v>
          </cell>
          <cell r="F25">
            <v>1</v>
          </cell>
          <cell r="G25">
            <v>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43626</v>
          </cell>
          <cell r="Q25">
            <v>0</v>
          </cell>
          <cell r="R25">
            <v>1</v>
          </cell>
          <cell r="S25">
            <v>0</v>
          </cell>
          <cell r="T25">
            <v>0</v>
          </cell>
          <cell r="U25">
            <v>0</v>
          </cell>
          <cell r="V25">
            <v>1</v>
          </cell>
          <cell r="W25">
            <v>0</v>
          </cell>
          <cell r="X25">
            <v>0</v>
          </cell>
          <cell r="Y25">
            <v>0</v>
          </cell>
        </row>
        <row r="26">
          <cell r="D26">
            <v>500595</v>
          </cell>
          <cell r="E26" t="str">
            <v>BINACUD INTEGRATED SCHOOL</v>
          </cell>
          <cell r="F26">
            <v>1</v>
          </cell>
          <cell r="G26">
            <v>0</v>
          </cell>
          <cell r="H26">
            <v>1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43530</v>
          </cell>
          <cell r="Q26">
            <v>0</v>
          </cell>
          <cell r="R26">
            <v>0</v>
          </cell>
          <cell r="S26">
            <v>1</v>
          </cell>
          <cell r="T26">
            <v>0</v>
          </cell>
          <cell r="U26">
            <v>0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</row>
        <row r="27">
          <cell r="D27">
            <v>500054</v>
          </cell>
          <cell r="E27" t="str">
            <v>Federico N. Ceralde IS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43678</v>
          </cell>
          <cell r="Q27">
            <v>0</v>
          </cell>
          <cell r="R27">
            <v>1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3</v>
          </cell>
          <cell r="X27">
            <v>0</v>
          </cell>
          <cell r="Y27">
            <v>0</v>
          </cell>
        </row>
        <row r="28">
          <cell r="D28">
            <v>300371</v>
          </cell>
          <cell r="E28" t="str">
            <v>Judge Jose de Venecia, Sr. Technical-Vocational Secondary School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 t="str">
            <v>06/04/2019</v>
          </cell>
          <cell r="P28" t="str">
            <v>3/30/2019</v>
          </cell>
          <cell r="Q28">
            <v>1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D29">
            <v>300049</v>
          </cell>
          <cell r="E29" t="str">
            <v>Dili NHS</v>
          </cell>
          <cell r="F29">
            <v>1</v>
          </cell>
          <cell r="G29">
            <v>0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1</v>
          </cell>
          <cell r="M29" t="str">
            <v>as needed</v>
          </cell>
          <cell r="N29">
            <v>0</v>
          </cell>
          <cell r="O29">
            <v>0</v>
          </cell>
          <cell r="P29" t="str">
            <v>NONE</v>
          </cell>
          <cell r="Q29">
            <v>0</v>
          </cell>
          <cell r="R29">
            <v>0</v>
          </cell>
          <cell r="S29">
            <v>0</v>
          </cell>
          <cell r="T29">
            <v>1</v>
          </cell>
          <cell r="U29" t="str">
            <v>NO</v>
          </cell>
          <cell r="V29">
            <v>0</v>
          </cell>
          <cell r="W29">
            <v>3</v>
          </cell>
          <cell r="X29">
            <v>1</v>
          </cell>
          <cell r="Y29">
            <v>0</v>
          </cell>
        </row>
        <row r="30">
          <cell r="D30">
            <v>300368</v>
          </cell>
          <cell r="E30" t="str">
            <v>Dagupan City NHS</v>
          </cell>
          <cell r="F30">
            <v>1</v>
          </cell>
          <cell r="G30">
            <v>1</v>
          </cell>
          <cell r="H30">
            <v>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  <cell r="O30">
            <v>43395</v>
          </cell>
          <cell r="P30">
            <v>43728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2</v>
          </cell>
          <cell r="X30">
            <v>2</v>
          </cell>
          <cell r="Y30">
            <v>2</v>
          </cell>
        </row>
        <row r="31">
          <cell r="D31">
            <v>300370</v>
          </cell>
          <cell r="E31" t="str">
            <v>Salapingao National High School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  <cell r="K31">
            <v>1</v>
          </cell>
          <cell r="L31">
            <v>0</v>
          </cell>
          <cell r="M31">
            <v>0</v>
          </cell>
          <cell r="N31">
            <v>0</v>
          </cell>
          <cell r="O31" t="str">
            <v>N / A</v>
          </cell>
          <cell r="P31" t="str">
            <v>June '2018</v>
          </cell>
          <cell r="Q31">
            <v>0</v>
          </cell>
          <cell r="R31">
            <v>0</v>
          </cell>
          <cell r="S31">
            <v>1</v>
          </cell>
          <cell r="T31">
            <v>0</v>
          </cell>
          <cell r="U31">
            <v>0</v>
          </cell>
          <cell r="V31">
            <v>1</v>
          </cell>
          <cell r="W31">
            <v>0</v>
          </cell>
          <cell r="X31">
            <v>0</v>
          </cell>
          <cell r="Y31">
            <v>0</v>
          </cell>
        </row>
        <row r="32">
          <cell r="D32">
            <v>500053</v>
          </cell>
          <cell r="E32" t="str">
            <v>East Central IS</v>
          </cell>
          <cell r="F32">
            <v>1</v>
          </cell>
          <cell r="G32">
            <v>1</v>
          </cell>
          <cell r="H32">
            <v>1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N32">
            <v>1</v>
          </cell>
          <cell r="O32" t="str">
            <v>July 12, 2019</v>
          </cell>
          <cell r="P32" t="str">
            <v>September 25, 2019</v>
          </cell>
          <cell r="Q32">
            <v>1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</v>
          </cell>
          <cell r="W32">
            <v>7</v>
          </cell>
          <cell r="X32">
            <v>0</v>
          </cell>
          <cell r="Y32">
            <v>0</v>
          </cell>
        </row>
        <row r="33">
          <cell r="D33">
            <v>300092</v>
          </cell>
          <cell r="E33" t="str">
            <v>Anduyan NHS</v>
          </cell>
          <cell r="F33">
            <v>1</v>
          </cell>
          <cell r="G33">
            <v>0</v>
          </cell>
          <cell r="H33">
            <v>1</v>
          </cell>
          <cell r="I33">
            <v>0</v>
          </cell>
          <cell r="J33">
            <v>1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D34">
            <v>300085</v>
          </cell>
          <cell r="E34" t="str">
            <v>Suyo NHS</v>
          </cell>
          <cell r="F34">
            <v>1</v>
          </cell>
          <cell r="G34">
            <v>0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1</v>
          </cell>
          <cell r="M34" t="str">
            <v>AS NEEDED</v>
          </cell>
          <cell r="N34">
            <v>1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D35">
            <v>300367</v>
          </cell>
          <cell r="E35" t="str">
            <v>Bonuan Buquig NHS</v>
          </cell>
          <cell r="F35">
            <v>1</v>
          </cell>
          <cell r="G35">
            <v>1</v>
          </cell>
          <cell r="H35">
            <v>1</v>
          </cell>
          <cell r="I35">
            <v>0</v>
          </cell>
          <cell r="J35">
            <v>1</v>
          </cell>
          <cell r="K35">
            <v>0</v>
          </cell>
          <cell r="L35">
            <v>0</v>
          </cell>
          <cell r="M35">
            <v>0</v>
          </cell>
          <cell r="N35">
            <v>1</v>
          </cell>
          <cell r="O35">
            <v>43707</v>
          </cell>
          <cell r="P35">
            <v>43707</v>
          </cell>
          <cell r="Q35">
            <v>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</v>
          </cell>
          <cell r="W35">
            <v>3</v>
          </cell>
          <cell r="X35">
            <v>0</v>
          </cell>
          <cell r="Y35">
            <v>0</v>
          </cell>
        </row>
        <row r="36">
          <cell r="D36">
            <v>300369</v>
          </cell>
          <cell r="E36" t="str">
            <v>Carael National HS</v>
          </cell>
          <cell r="F36">
            <v>1</v>
          </cell>
          <cell r="G36">
            <v>1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D37">
            <v>300017</v>
          </cell>
          <cell r="E37" t="str">
            <v>Dumalneg NHS</v>
          </cell>
          <cell r="F37">
            <v>1</v>
          </cell>
          <cell r="G37">
            <v>1</v>
          </cell>
          <cell r="H37">
            <v>1</v>
          </cell>
          <cell r="I37">
            <v>0</v>
          </cell>
          <cell r="J37">
            <v>0</v>
          </cell>
          <cell r="K37">
            <v>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 t="str">
            <v>06/21/2019</v>
          </cell>
          <cell r="Q37">
            <v>0</v>
          </cell>
          <cell r="R37">
            <v>0</v>
          </cell>
          <cell r="S37">
            <v>1</v>
          </cell>
          <cell r="T37">
            <v>0</v>
          </cell>
          <cell r="U37">
            <v>0</v>
          </cell>
          <cell r="V37">
            <v>1</v>
          </cell>
          <cell r="W37">
            <v>0</v>
          </cell>
          <cell r="X37">
            <v>0</v>
          </cell>
          <cell r="Y37">
            <v>0</v>
          </cell>
        </row>
        <row r="38">
          <cell r="D38">
            <v>300378</v>
          </cell>
          <cell r="E38" t="str">
            <v>Bolingit National High School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D39">
            <v>300354</v>
          </cell>
          <cell r="E39" t="str">
            <v>San Nicolas National High School</v>
          </cell>
          <cell r="F39">
            <v>1</v>
          </cell>
          <cell r="G39">
            <v>1</v>
          </cell>
          <cell r="H39">
            <v>1</v>
          </cell>
          <cell r="I39">
            <v>0</v>
          </cell>
          <cell r="J39">
            <v>0</v>
          </cell>
          <cell r="K39">
            <v>1</v>
          </cell>
          <cell r="L39">
            <v>0</v>
          </cell>
          <cell r="M39">
            <v>0</v>
          </cell>
          <cell r="N39">
            <v>1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</row>
        <row r="40">
          <cell r="D40">
            <v>320816</v>
          </cell>
          <cell r="E40" t="str">
            <v>STA. ROSA NATIONAL HIGH SCHOOL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1</v>
          </cell>
          <cell r="O40">
            <v>43637</v>
          </cell>
          <cell r="P40">
            <v>43644</v>
          </cell>
          <cell r="Q40">
            <v>1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</v>
          </cell>
          <cell r="W40">
            <v>0</v>
          </cell>
          <cell r="X40">
            <v>0</v>
          </cell>
          <cell r="Y40">
            <v>0</v>
          </cell>
        </row>
        <row r="41">
          <cell r="D41">
            <v>300188</v>
          </cell>
          <cell r="E41" t="str">
            <v>Moises B. Rebamontan NHS</v>
          </cell>
          <cell r="F41">
            <v>1</v>
          </cell>
          <cell r="G41">
            <v>1</v>
          </cell>
          <cell r="H41">
            <v>1</v>
          </cell>
          <cell r="I41">
            <v>0</v>
          </cell>
          <cell r="J41">
            <v>1</v>
          </cell>
          <cell r="K41">
            <v>0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0</v>
          </cell>
          <cell r="Q41">
            <v>0</v>
          </cell>
          <cell r="R41">
            <v>1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D42">
            <v>500593</v>
          </cell>
          <cell r="E42" t="str">
            <v>Sacritan IS</v>
          </cell>
          <cell r="F42">
            <v>1</v>
          </cell>
          <cell r="G42">
            <v>1</v>
          </cell>
          <cell r="H42">
            <v>1</v>
          </cell>
          <cell r="I42">
            <v>0</v>
          </cell>
          <cell r="J42">
            <v>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</row>
        <row r="43">
          <cell r="D43">
            <v>300011</v>
          </cell>
          <cell r="E43" t="str">
            <v>Catagtaguen National High School</v>
          </cell>
          <cell r="F43">
            <v>1</v>
          </cell>
          <cell r="G43">
            <v>1</v>
          </cell>
          <cell r="H43">
            <v>1</v>
          </cell>
          <cell r="I43">
            <v>0</v>
          </cell>
          <cell r="J43">
            <v>1</v>
          </cell>
          <cell r="K43">
            <v>0</v>
          </cell>
          <cell r="L43">
            <v>0</v>
          </cell>
          <cell r="M43">
            <v>0</v>
          </cell>
          <cell r="N43">
            <v>1</v>
          </cell>
          <cell r="O43">
            <v>0</v>
          </cell>
          <cell r="P43">
            <v>43617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1</v>
          </cell>
          <cell r="W43">
            <v>2</v>
          </cell>
          <cell r="X43">
            <v>0</v>
          </cell>
          <cell r="Y43">
            <v>0</v>
          </cell>
        </row>
        <row r="44">
          <cell r="D44">
            <v>300384</v>
          </cell>
          <cell r="E44" t="str">
            <v>Mabalbalino NHS</v>
          </cell>
          <cell r="F44">
            <v>1</v>
          </cell>
          <cell r="G44">
            <v>1</v>
          </cell>
          <cell r="H44">
            <v>1</v>
          </cell>
          <cell r="I44">
            <v>0</v>
          </cell>
          <cell r="J44">
            <v>0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D45">
            <v>500605</v>
          </cell>
          <cell r="E45" t="str">
            <v>Aguilar Integrated School</v>
          </cell>
          <cell r="F45">
            <v>1</v>
          </cell>
          <cell r="G45">
            <v>1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1</v>
          </cell>
          <cell r="S45">
            <v>0</v>
          </cell>
          <cell r="T45">
            <v>0</v>
          </cell>
          <cell r="U45">
            <v>0</v>
          </cell>
          <cell r="V45">
            <v>1</v>
          </cell>
          <cell r="W45">
            <v>0</v>
          </cell>
          <cell r="X45">
            <v>0</v>
          </cell>
          <cell r="Y45">
            <v>0</v>
          </cell>
        </row>
        <row r="46">
          <cell r="D46">
            <v>320807</v>
          </cell>
          <cell r="E46" t="str">
            <v>San Marcelino National High School</v>
          </cell>
          <cell r="F46">
            <v>1</v>
          </cell>
          <cell r="G46">
            <v>0</v>
          </cell>
          <cell r="H46">
            <v>1</v>
          </cell>
          <cell r="I46">
            <v>0</v>
          </cell>
          <cell r="J46">
            <v>1</v>
          </cell>
          <cell r="K46">
            <v>0</v>
          </cell>
          <cell r="L46">
            <v>0</v>
          </cell>
          <cell r="M46">
            <v>0</v>
          </cell>
          <cell r="N46">
            <v>1</v>
          </cell>
          <cell r="O46">
            <v>43617</v>
          </cell>
          <cell r="P46">
            <v>43617</v>
          </cell>
          <cell r="Q46">
            <v>0</v>
          </cell>
          <cell r="R46">
            <v>1</v>
          </cell>
          <cell r="S46">
            <v>0</v>
          </cell>
          <cell r="T46">
            <v>0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</row>
        <row r="47">
          <cell r="D47">
            <v>300376</v>
          </cell>
          <cell r="E47" t="str">
            <v>Abanon NHS</v>
          </cell>
          <cell r="F47">
            <v>1</v>
          </cell>
          <cell r="G47">
            <v>1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D48">
            <v>300026</v>
          </cell>
          <cell r="E48" t="str">
            <v>Pasaleng National High School</v>
          </cell>
          <cell r="F48">
            <v>0</v>
          </cell>
          <cell r="G48">
            <v>0</v>
          </cell>
          <cell r="H48">
            <v>1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D49">
            <v>300002</v>
          </cell>
          <cell r="E49" t="str">
            <v>Bacarra NCHS</v>
          </cell>
          <cell r="F49">
            <v>0</v>
          </cell>
          <cell r="G49">
            <v>0</v>
          </cell>
          <cell r="H49">
            <v>1</v>
          </cell>
          <cell r="I49">
            <v>0</v>
          </cell>
          <cell r="J49">
            <v>0</v>
          </cell>
          <cell r="K49">
            <v>0</v>
          </cell>
          <cell r="L49">
            <v>1</v>
          </cell>
          <cell r="M49" t="str">
            <v>As the need arises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</v>
          </cell>
          <cell r="U49" t="str">
            <v>As the need arises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D50">
            <v>300111</v>
          </cell>
          <cell r="E50" t="str">
            <v>Paraoir NHS</v>
          </cell>
          <cell r="F50">
            <v>1</v>
          </cell>
          <cell r="G50">
            <v>0</v>
          </cell>
          <cell r="H50">
            <v>1</v>
          </cell>
          <cell r="I50">
            <v>0</v>
          </cell>
          <cell r="J50">
            <v>0</v>
          </cell>
          <cell r="K50">
            <v>0</v>
          </cell>
          <cell r="L50">
            <v>1</v>
          </cell>
          <cell r="M50" t="str">
            <v>Bi-annually</v>
          </cell>
          <cell r="N50">
            <v>1</v>
          </cell>
          <cell r="O50">
            <v>43647</v>
          </cell>
          <cell r="P50">
            <v>43647</v>
          </cell>
          <cell r="Q50">
            <v>0</v>
          </cell>
          <cell r="R50">
            <v>1</v>
          </cell>
          <cell r="S50">
            <v>0</v>
          </cell>
          <cell r="T50">
            <v>0</v>
          </cell>
          <cell r="U50">
            <v>0</v>
          </cell>
          <cell r="V50">
            <v>1</v>
          </cell>
          <cell r="W50">
            <v>1</v>
          </cell>
          <cell r="X50">
            <v>0</v>
          </cell>
          <cell r="Y50">
            <v>1</v>
          </cell>
        </row>
        <row r="51">
          <cell r="D51">
            <v>300059</v>
          </cell>
          <cell r="E51" t="str">
            <v>Nagbukel NHS</v>
          </cell>
          <cell r="F51">
            <v>1</v>
          </cell>
          <cell r="G51">
            <v>1</v>
          </cell>
          <cell r="H51">
            <v>1</v>
          </cell>
          <cell r="I51">
            <v>0</v>
          </cell>
          <cell r="J51">
            <v>1</v>
          </cell>
          <cell r="K51">
            <v>0</v>
          </cell>
          <cell r="L51">
            <v>0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</v>
          </cell>
          <cell r="W51">
            <v>0</v>
          </cell>
          <cell r="X51">
            <v>0</v>
          </cell>
          <cell r="Y51">
            <v>0</v>
          </cell>
        </row>
        <row r="52">
          <cell r="D52">
            <v>300383</v>
          </cell>
          <cell r="E52" t="str">
            <v>Lilimasan National High School</v>
          </cell>
          <cell r="F52">
            <v>1</v>
          </cell>
          <cell r="G52">
            <v>1</v>
          </cell>
          <cell r="H52">
            <v>1</v>
          </cell>
          <cell r="I52">
            <v>0</v>
          </cell>
          <cell r="J52">
            <v>0</v>
          </cell>
          <cell r="K52">
            <v>1</v>
          </cell>
          <cell r="L52">
            <v>0</v>
          </cell>
          <cell r="M52">
            <v>0</v>
          </cell>
          <cell r="N52">
            <v>1</v>
          </cell>
          <cell r="O52">
            <v>0</v>
          </cell>
          <cell r="P52" t="str">
            <v>n/a</v>
          </cell>
          <cell r="Q52">
            <v>0</v>
          </cell>
          <cell r="R52">
            <v>0</v>
          </cell>
          <cell r="S52">
            <v>1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D53">
            <v>300254</v>
          </cell>
          <cell r="E53" t="str">
            <v>Sanlibo National High School</v>
          </cell>
          <cell r="F53">
            <v>1</v>
          </cell>
          <cell r="G53">
            <v>1</v>
          </cell>
          <cell r="H53">
            <v>1</v>
          </cell>
          <cell r="I53">
            <v>0</v>
          </cell>
          <cell r="J53">
            <v>1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0</v>
          </cell>
          <cell r="P53" t="str">
            <v>OCTOBER 29,2019</v>
          </cell>
          <cell r="Q53">
            <v>0</v>
          </cell>
          <cell r="R53">
            <v>1</v>
          </cell>
          <cell r="S53">
            <v>0</v>
          </cell>
          <cell r="T53">
            <v>0</v>
          </cell>
          <cell r="U53">
            <v>0</v>
          </cell>
          <cell r="V53">
            <v>1</v>
          </cell>
          <cell r="W53">
            <v>0</v>
          </cell>
          <cell r="X53">
            <v>0</v>
          </cell>
          <cell r="Y53">
            <v>0</v>
          </cell>
        </row>
        <row r="54">
          <cell r="D54">
            <v>300389</v>
          </cell>
          <cell r="E54" t="str">
            <v>Tamayo National High School</v>
          </cell>
          <cell r="F54">
            <v>1</v>
          </cell>
          <cell r="G54">
            <v>1</v>
          </cell>
          <cell r="H54">
            <v>0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1</v>
          </cell>
          <cell r="S54">
            <v>0</v>
          </cell>
          <cell r="T54">
            <v>1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D55">
            <v>320808</v>
          </cell>
          <cell r="E55" t="str">
            <v>Dingras NHS/Lt. Edgar Foz Mem. NHS (San Marcos Campus)</v>
          </cell>
          <cell r="F55">
            <v>1</v>
          </cell>
          <cell r="G55">
            <v>1</v>
          </cell>
          <cell r="H55">
            <v>1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1</v>
          </cell>
          <cell r="O55">
            <v>0</v>
          </cell>
          <cell r="P55">
            <v>0</v>
          </cell>
          <cell r="Q55">
            <v>0</v>
          </cell>
          <cell r="R55">
            <v>5</v>
          </cell>
          <cell r="S55">
            <v>0</v>
          </cell>
          <cell r="T55">
            <v>0</v>
          </cell>
          <cell r="U55">
            <v>0</v>
          </cell>
          <cell r="V55">
            <v>1</v>
          </cell>
          <cell r="W55">
            <v>5</v>
          </cell>
          <cell r="X55">
            <v>0</v>
          </cell>
          <cell r="Y55">
            <v>0</v>
          </cell>
        </row>
        <row r="56">
          <cell r="D56">
            <v>300385</v>
          </cell>
          <cell r="E56" t="str">
            <v>Malacañang National High School</v>
          </cell>
          <cell r="F56">
            <v>1</v>
          </cell>
          <cell r="G56">
            <v>1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D57">
            <v>300027</v>
          </cell>
          <cell r="E57" t="str">
            <v>Pinili NHS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43662</v>
          </cell>
          <cell r="P57">
            <v>43661</v>
          </cell>
          <cell r="Q57">
            <v>1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1</v>
          </cell>
          <cell r="W57">
            <v>4</v>
          </cell>
          <cell r="X57">
            <v>0</v>
          </cell>
          <cell r="Y57">
            <v>0</v>
          </cell>
        </row>
        <row r="58">
          <cell r="D58">
            <v>300382</v>
          </cell>
          <cell r="E58" t="str">
            <v>Libas NHS</v>
          </cell>
          <cell r="F58">
            <v>1</v>
          </cell>
          <cell r="G58">
            <v>1</v>
          </cell>
          <cell r="H58">
            <v>1</v>
          </cell>
          <cell r="I58">
            <v>0</v>
          </cell>
          <cell r="J58">
            <v>1</v>
          </cell>
          <cell r="K58">
            <v>0</v>
          </cell>
          <cell r="L58">
            <v>0</v>
          </cell>
          <cell r="M58">
            <v>0</v>
          </cell>
          <cell r="N58">
            <v>1</v>
          </cell>
          <cell r="O58">
            <v>0</v>
          </cell>
          <cell r="P58">
            <v>0</v>
          </cell>
          <cell r="Q58">
            <v>0</v>
          </cell>
          <cell r="R58">
            <v>1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D59">
            <v>300320</v>
          </cell>
          <cell r="E59" t="str">
            <v>Lipit NHS</v>
          </cell>
          <cell r="F59">
            <v>1</v>
          </cell>
          <cell r="G59">
            <v>0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</row>
        <row r="60">
          <cell r="D60">
            <v>300015</v>
          </cell>
          <cell r="E60" t="str">
            <v>Dingras NHS/Lt. Edgar Foz Mem. NHS</v>
          </cell>
          <cell r="F60">
            <v>1</v>
          </cell>
          <cell r="G60">
            <v>1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1</v>
          </cell>
          <cell r="M60" t="str">
            <v>if there are cases to resolve</v>
          </cell>
          <cell r="N60">
            <v>0</v>
          </cell>
          <cell r="O60">
            <v>0</v>
          </cell>
          <cell r="P60" t="str">
            <v>March 30,2019</v>
          </cell>
          <cell r="Q60">
            <v>0</v>
          </cell>
          <cell r="R60">
            <v>0</v>
          </cell>
          <cell r="S60">
            <v>0</v>
          </cell>
          <cell r="T60">
            <v>1</v>
          </cell>
          <cell r="U60" t="str">
            <v>when the  need arises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D61">
            <v>300386</v>
          </cell>
          <cell r="E61" t="str">
            <v>Pangalangan NHS</v>
          </cell>
          <cell r="F61">
            <v>1</v>
          </cell>
          <cell r="G61">
            <v>1</v>
          </cell>
          <cell r="H61">
            <v>1</v>
          </cell>
          <cell r="I61">
            <v>0</v>
          </cell>
          <cell r="J61">
            <v>1</v>
          </cell>
          <cell r="K61">
            <v>0</v>
          </cell>
          <cell r="L61">
            <v>0</v>
          </cell>
          <cell r="M61">
            <v>0</v>
          </cell>
          <cell r="N61">
            <v>1</v>
          </cell>
          <cell r="O61">
            <v>0</v>
          </cell>
          <cell r="P61" t="str">
            <v>3/15/17</v>
          </cell>
          <cell r="Q61">
            <v>0</v>
          </cell>
          <cell r="R61">
            <v>1</v>
          </cell>
          <cell r="S61">
            <v>0</v>
          </cell>
          <cell r="T61">
            <v>0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</row>
        <row r="62">
          <cell r="D62">
            <v>320810</v>
          </cell>
          <cell r="E62" t="str">
            <v>SUYO NATIONAL HIGH SCHOOL</v>
          </cell>
          <cell r="F62">
            <v>1</v>
          </cell>
          <cell r="G62">
            <v>0</v>
          </cell>
          <cell r="H62">
            <v>1</v>
          </cell>
          <cell r="I62">
            <v>0</v>
          </cell>
          <cell r="J62">
            <v>1</v>
          </cell>
          <cell r="K62">
            <v>0</v>
          </cell>
          <cell r="L62">
            <v>0</v>
          </cell>
          <cell r="M62">
            <v>0</v>
          </cell>
          <cell r="N62">
            <v>1</v>
          </cell>
          <cell r="O62">
            <v>43623</v>
          </cell>
          <cell r="P62">
            <v>43644</v>
          </cell>
          <cell r="Q62">
            <v>1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</v>
          </cell>
          <cell r="W62">
            <v>0</v>
          </cell>
          <cell r="X62">
            <v>0</v>
          </cell>
          <cell r="Y62">
            <v>0</v>
          </cell>
        </row>
        <row r="63">
          <cell r="D63">
            <v>300405</v>
          </cell>
          <cell r="E63" t="str">
            <v>Lananpin NHS</v>
          </cell>
          <cell r="F63">
            <v>0</v>
          </cell>
          <cell r="G63">
            <v>0</v>
          </cell>
          <cell r="H63">
            <v>1</v>
          </cell>
          <cell r="I63">
            <v>0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1</v>
          </cell>
          <cell r="O63">
            <v>43591</v>
          </cell>
          <cell r="P63">
            <v>0</v>
          </cell>
          <cell r="Q63">
            <v>0</v>
          </cell>
          <cell r="R63">
            <v>1</v>
          </cell>
          <cell r="S63">
            <v>0</v>
          </cell>
          <cell r="T63">
            <v>0</v>
          </cell>
          <cell r="U63">
            <v>0</v>
          </cell>
          <cell r="V63">
            <v>1</v>
          </cell>
          <cell r="W63">
            <v>0</v>
          </cell>
          <cell r="X63">
            <v>0</v>
          </cell>
          <cell r="Y63">
            <v>0</v>
          </cell>
        </row>
        <row r="64">
          <cell r="D64">
            <v>300038</v>
          </cell>
          <cell r="E64" t="str">
            <v>Bantay National High School</v>
          </cell>
          <cell r="F64">
            <v>1</v>
          </cell>
          <cell r="G64">
            <v>1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1</v>
          </cell>
          <cell r="O64" t="str">
            <v>JUNE, 2019</v>
          </cell>
          <cell r="P64" t="str">
            <v>JUNE, 2019</v>
          </cell>
          <cell r="Q64">
            <v>0</v>
          </cell>
          <cell r="R64">
            <v>1</v>
          </cell>
          <cell r="S64">
            <v>0</v>
          </cell>
          <cell r="T64">
            <v>0</v>
          </cell>
          <cell r="U64">
            <v>0</v>
          </cell>
          <cell r="V64">
            <v>1</v>
          </cell>
          <cell r="W64">
            <v>3</v>
          </cell>
          <cell r="X64">
            <v>3</v>
          </cell>
          <cell r="Y64">
            <v>3</v>
          </cell>
        </row>
        <row r="65">
          <cell r="D65">
            <v>500346</v>
          </cell>
          <cell r="E65" t="str">
            <v>Mabilbila IS</v>
          </cell>
          <cell r="F65">
            <v>1</v>
          </cell>
          <cell r="G65">
            <v>1</v>
          </cell>
          <cell r="H65">
            <v>1</v>
          </cell>
          <cell r="I65">
            <v>0</v>
          </cell>
          <cell r="J65">
            <v>1</v>
          </cell>
          <cell r="K65">
            <v>0</v>
          </cell>
          <cell r="L65">
            <v>0</v>
          </cell>
          <cell r="M65">
            <v>0</v>
          </cell>
          <cell r="N65">
            <v>1</v>
          </cell>
          <cell r="O65">
            <v>0</v>
          </cell>
          <cell r="P65" t="str">
            <v>APRIL 9,2018</v>
          </cell>
          <cell r="Q65">
            <v>0</v>
          </cell>
          <cell r="R65">
            <v>1</v>
          </cell>
          <cell r="S65">
            <v>0</v>
          </cell>
          <cell r="T65">
            <v>0</v>
          </cell>
          <cell r="U65">
            <v>0</v>
          </cell>
          <cell r="V65">
            <v>1</v>
          </cell>
          <cell r="W65">
            <v>1</v>
          </cell>
          <cell r="X65">
            <v>0</v>
          </cell>
          <cell r="Y65">
            <v>0</v>
          </cell>
        </row>
        <row r="66">
          <cell r="D66">
            <v>320820</v>
          </cell>
          <cell r="E66" t="str">
            <v>Adriano P. Arzadon NHS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>03/20/2019</v>
          </cell>
          <cell r="P66" t="str">
            <v>03/29/2019</v>
          </cell>
          <cell r="Q66">
            <v>0</v>
          </cell>
          <cell r="R66">
            <v>0</v>
          </cell>
          <cell r="S66">
            <v>1</v>
          </cell>
          <cell r="T66">
            <v>0</v>
          </cell>
          <cell r="U66">
            <v>0</v>
          </cell>
          <cell r="V66">
            <v>1</v>
          </cell>
          <cell r="W66">
            <v>0</v>
          </cell>
          <cell r="X66">
            <v>0</v>
          </cell>
          <cell r="Y66">
            <v>0</v>
          </cell>
        </row>
        <row r="67">
          <cell r="D67">
            <v>300006</v>
          </cell>
          <cell r="E67" t="str">
            <v>Burgos Agro-Industrial School</v>
          </cell>
          <cell r="F67">
            <v>1</v>
          </cell>
          <cell r="G67">
            <v>1</v>
          </cell>
          <cell r="H67">
            <v>1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  <cell r="M67">
            <v>0</v>
          </cell>
          <cell r="N67">
            <v>1</v>
          </cell>
          <cell r="O67" t="str">
            <v>June 20, 2019</v>
          </cell>
          <cell r="P67" t="str">
            <v>June 20, 2019</v>
          </cell>
          <cell r="Q67">
            <v>0</v>
          </cell>
          <cell r="R67">
            <v>1</v>
          </cell>
          <cell r="S67">
            <v>0</v>
          </cell>
          <cell r="T67">
            <v>0</v>
          </cell>
          <cell r="U67">
            <v>0</v>
          </cell>
          <cell r="V67">
            <v>1</v>
          </cell>
          <cell r="W67">
            <v>2</v>
          </cell>
          <cell r="X67">
            <v>0</v>
          </cell>
          <cell r="Y67">
            <v>0</v>
          </cell>
        </row>
        <row r="68">
          <cell r="D68">
            <v>300037</v>
          </cell>
          <cell r="E68" t="str">
            <v>Banayoyo NHS</v>
          </cell>
          <cell r="F68">
            <v>1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</v>
          </cell>
          <cell r="M68" t="str">
            <v>as needed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1</v>
          </cell>
          <cell r="U68" t="str">
            <v>as needed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D69">
            <v>300039</v>
          </cell>
          <cell r="E69" t="str">
            <v>Basug National High School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D70">
            <v>300074</v>
          </cell>
          <cell r="E70" t="str">
            <v>San Emilio NHS</v>
          </cell>
          <cell r="F70">
            <v>1</v>
          </cell>
          <cell r="G70">
            <v>0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D71">
            <v>300198</v>
          </cell>
          <cell r="E71" t="str">
            <v>Doyong-Malabago NHS</v>
          </cell>
          <cell r="F71">
            <v>1</v>
          </cell>
          <cell r="G71">
            <v>1</v>
          </cell>
          <cell r="H71">
            <v>1</v>
          </cell>
          <cell r="I71">
            <v>0</v>
          </cell>
          <cell r="J71">
            <v>0</v>
          </cell>
          <cell r="K71">
            <v>0</v>
          </cell>
          <cell r="L71">
            <v>1</v>
          </cell>
          <cell r="M71" t="str">
            <v>as needed</v>
          </cell>
          <cell r="N71">
            <v>1</v>
          </cell>
          <cell r="O71">
            <v>43764</v>
          </cell>
          <cell r="P71">
            <v>43764</v>
          </cell>
          <cell r="Q71">
            <v>0</v>
          </cell>
          <cell r="R71">
            <v>0</v>
          </cell>
          <cell r="S71">
            <v>0</v>
          </cell>
          <cell r="T71">
            <v>1</v>
          </cell>
          <cell r="U71" t="str">
            <v>as needed</v>
          </cell>
          <cell r="V71">
            <v>1</v>
          </cell>
          <cell r="W71">
            <v>0</v>
          </cell>
          <cell r="X71">
            <v>0</v>
          </cell>
          <cell r="Y71">
            <v>0</v>
          </cell>
        </row>
        <row r="72">
          <cell r="D72">
            <v>300050</v>
          </cell>
          <cell r="E72" t="str">
            <v>Dinaratan National High School</v>
          </cell>
          <cell r="F72">
            <v>0</v>
          </cell>
          <cell r="G72">
            <v>0</v>
          </cell>
          <cell r="H72">
            <v>1</v>
          </cell>
          <cell r="I72">
            <v>0</v>
          </cell>
          <cell r="J72">
            <v>0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D73">
            <v>300113</v>
          </cell>
          <cell r="E73" t="str">
            <v>Don Rufino Olarte MNHS</v>
          </cell>
          <cell r="F73">
            <v>1</v>
          </cell>
          <cell r="G73">
            <v>1</v>
          </cell>
          <cell r="H73">
            <v>1</v>
          </cell>
          <cell r="I73">
            <v>0</v>
          </cell>
          <cell r="J73">
            <v>0</v>
          </cell>
          <cell r="K73">
            <v>1</v>
          </cell>
          <cell r="L73">
            <v>0</v>
          </cell>
          <cell r="M73">
            <v>0</v>
          </cell>
          <cell r="N73">
            <v>1</v>
          </cell>
          <cell r="O73">
            <v>43642</v>
          </cell>
          <cell r="P73">
            <v>43637</v>
          </cell>
          <cell r="Q73">
            <v>0</v>
          </cell>
          <cell r="R73">
            <v>0</v>
          </cell>
          <cell r="S73">
            <v>1</v>
          </cell>
          <cell r="T73">
            <v>0</v>
          </cell>
          <cell r="U73">
            <v>0</v>
          </cell>
          <cell r="V73">
            <v>1</v>
          </cell>
          <cell r="W73">
            <v>0</v>
          </cell>
          <cell r="X73">
            <v>0</v>
          </cell>
          <cell r="Y73">
            <v>0</v>
          </cell>
        </row>
        <row r="74">
          <cell r="D74">
            <v>300225</v>
          </cell>
          <cell r="E74" t="str">
            <v>Maticmatic NHS</v>
          </cell>
          <cell r="F74">
            <v>1</v>
          </cell>
          <cell r="G74">
            <v>1</v>
          </cell>
          <cell r="H74">
            <v>1</v>
          </cell>
          <cell r="I74">
            <v>0</v>
          </cell>
          <cell r="J74">
            <v>0</v>
          </cell>
          <cell r="K74">
            <v>0</v>
          </cell>
          <cell r="L74">
            <v>1</v>
          </cell>
          <cell r="M74" t="str">
            <v>Twice a year</v>
          </cell>
          <cell r="N74">
            <v>1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1</v>
          </cell>
          <cell r="U74" t="str">
            <v>Twicec a year</v>
          </cell>
          <cell r="V74">
            <v>1</v>
          </cell>
          <cell r="W74">
            <v>3</v>
          </cell>
          <cell r="X74">
            <v>1</v>
          </cell>
          <cell r="Y74">
            <v>1</v>
          </cell>
        </row>
        <row r="75">
          <cell r="D75">
            <v>500349</v>
          </cell>
          <cell r="E75" t="str">
            <v>Ambalayat IS</v>
          </cell>
          <cell r="F75">
            <v>1</v>
          </cell>
          <cell r="G75">
            <v>1</v>
          </cell>
          <cell r="H75">
            <v>1</v>
          </cell>
          <cell r="I75">
            <v>0</v>
          </cell>
          <cell r="J75">
            <v>1</v>
          </cell>
          <cell r="K75">
            <v>0</v>
          </cell>
          <cell r="L75">
            <v>0</v>
          </cell>
          <cell r="M75">
            <v>0</v>
          </cell>
          <cell r="N75">
            <v>1</v>
          </cell>
          <cell r="O75">
            <v>0</v>
          </cell>
          <cell r="P75">
            <v>0</v>
          </cell>
          <cell r="Q75">
            <v>0</v>
          </cell>
          <cell r="R75">
            <v>1</v>
          </cell>
          <cell r="S75">
            <v>0</v>
          </cell>
          <cell r="T75">
            <v>0</v>
          </cell>
          <cell r="U75">
            <v>0</v>
          </cell>
          <cell r="V75">
            <v>1</v>
          </cell>
          <cell r="W75">
            <v>0</v>
          </cell>
          <cell r="X75">
            <v>0</v>
          </cell>
          <cell r="Y75">
            <v>0</v>
          </cell>
        </row>
        <row r="76">
          <cell r="D76">
            <v>300156</v>
          </cell>
          <cell r="E76" t="str">
            <v>Aliaga National High School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D77">
            <v>500365</v>
          </cell>
          <cell r="E77" t="str">
            <v>Mabulitec Integrated School</v>
          </cell>
          <cell r="F77">
            <v>1</v>
          </cell>
          <cell r="G77">
            <v>1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D78">
            <v>300029</v>
          </cell>
          <cell r="E78" t="str">
            <v>Sarrat National High School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1</v>
          </cell>
          <cell r="O78">
            <v>43617</v>
          </cell>
          <cell r="P78">
            <v>43657</v>
          </cell>
          <cell r="Q78">
            <v>1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1</v>
          </cell>
          <cell r="W78">
            <v>0</v>
          </cell>
          <cell r="X78">
            <v>0</v>
          </cell>
          <cell r="Y78">
            <v>0</v>
          </cell>
        </row>
        <row r="79">
          <cell r="D79">
            <v>320908</v>
          </cell>
          <cell r="E79" t="str">
            <v>SISIM NATIONAL HIGH SCHOOL</v>
          </cell>
          <cell r="F79">
            <v>1</v>
          </cell>
          <cell r="G79">
            <v>0</v>
          </cell>
          <cell r="H79">
            <v>1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1</v>
          </cell>
          <cell r="O79">
            <v>43101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</v>
          </cell>
          <cell r="W79">
            <v>0</v>
          </cell>
          <cell r="X79">
            <v>0</v>
          </cell>
          <cell r="Y79">
            <v>0</v>
          </cell>
        </row>
        <row r="80">
          <cell r="D80">
            <v>500591</v>
          </cell>
          <cell r="E80" t="str">
            <v>FLORENTINO CAMAQUIN INTEGRATED SCHOOL</v>
          </cell>
          <cell r="F80">
            <v>1</v>
          </cell>
          <cell r="G80">
            <v>1</v>
          </cell>
          <cell r="H80">
            <v>0</v>
          </cell>
          <cell r="I80">
            <v>0</v>
          </cell>
          <cell r="J80">
            <v>1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D81">
            <v>300013</v>
          </cell>
          <cell r="E81" t="str">
            <v>Wilbur C. Go NHS</v>
          </cell>
          <cell r="F81">
            <v>1</v>
          </cell>
          <cell r="G81">
            <v>1</v>
          </cell>
          <cell r="H81">
            <v>1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D82">
            <v>330511</v>
          </cell>
          <cell r="E82" t="str">
            <v>PHI SCIENCE HIGH SCHOOL - ILOCOS REGION CAMPUS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D83">
            <v>300053</v>
          </cell>
          <cell r="E83" t="str">
            <v>Imelda National High School</v>
          </cell>
          <cell r="F83">
            <v>1</v>
          </cell>
          <cell r="G83">
            <v>0</v>
          </cell>
          <cell r="H83">
            <v>1</v>
          </cell>
          <cell r="I83">
            <v>0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 t="str">
            <v>03/21/2019</v>
          </cell>
          <cell r="Q83">
            <v>0</v>
          </cell>
          <cell r="R83">
            <v>1</v>
          </cell>
          <cell r="S83">
            <v>0</v>
          </cell>
          <cell r="T83">
            <v>0</v>
          </cell>
          <cell r="U83">
            <v>0</v>
          </cell>
          <cell r="V83">
            <v>1</v>
          </cell>
          <cell r="W83">
            <v>0</v>
          </cell>
          <cell r="X83">
            <v>0</v>
          </cell>
          <cell r="Y83">
            <v>0</v>
          </cell>
        </row>
        <row r="84">
          <cell r="D84">
            <v>300178</v>
          </cell>
          <cell r="E84" t="str">
            <v>Buenlag NHS</v>
          </cell>
          <cell r="F84">
            <v>1</v>
          </cell>
          <cell r="G84">
            <v>1</v>
          </cell>
          <cell r="H84">
            <v>1</v>
          </cell>
          <cell r="I84">
            <v>0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1</v>
          </cell>
          <cell r="O84" t="str">
            <v>06/20/2019</v>
          </cell>
          <cell r="P84" t="str">
            <v>08/23/2019</v>
          </cell>
          <cell r="Q84">
            <v>0</v>
          </cell>
          <cell r="R84">
            <v>1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0</v>
          </cell>
        </row>
        <row r="85">
          <cell r="D85">
            <v>300388</v>
          </cell>
          <cell r="E85" t="str">
            <v>Speaker Eugenio Perez Nat;l. Agr'l. Sch.</v>
          </cell>
          <cell r="F85">
            <v>1</v>
          </cell>
          <cell r="G85">
            <v>1</v>
          </cell>
          <cell r="H85">
            <v>1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1</v>
          </cell>
          <cell r="O85">
            <v>43723</v>
          </cell>
          <cell r="P85">
            <v>0</v>
          </cell>
          <cell r="Q85">
            <v>1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D86">
            <v>500057</v>
          </cell>
          <cell r="E86" t="str">
            <v>Tarece Integrated School</v>
          </cell>
          <cell r="F86">
            <v>1</v>
          </cell>
          <cell r="G86">
            <v>1</v>
          </cell>
          <cell r="H86">
            <v>1</v>
          </cell>
          <cell r="I86">
            <v>0</v>
          </cell>
          <cell r="J86">
            <v>1</v>
          </cell>
          <cell r="K86">
            <v>0</v>
          </cell>
          <cell r="L86">
            <v>0</v>
          </cell>
          <cell r="M86">
            <v>0</v>
          </cell>
          <cell r="N86">
            <v>1</v>
          </cell>
          <cell r="O86">
            <v>0</v>
          </cell>
          <cell r="P86">
            <v>0</v>
          </cell>
          <cell r="Q86">
            <v>0</v>
          </cell>
          <cell r="R86">
            <v>1</v>
          </cell>
          <cell r="S86">
            <v>0</v>
          </cell>
          <cell r="T86">
            <v>0</v>
          </cell>
          <cell r="U86">
            <v>0</v>
          </cell>
          <cell r="V86">
            <v>1</v>
          </cell>
          <cell r="W86">
            <v>0</v>
          </cell>
          <cell r="X86">
            <v>0</v>
          </cell>
          <cell r="Y86">
            <v>0</v>
          </cell>
        </row>
        <row r="87">
          <cell r="D87">
            <v>300073</v>
          </cell>
          <cell r="E87" t="str">
            <v>Salcedo NHS</v>
          </cell>
          <cell r="F87">
            <v>1</v>
          </cell>
          <cell r="G87">
            <v>0</v>
          </cell>
          <cell r="H87">
            <v>1</v>
          </cell>
          <cell r="I87">
            <v>0</v>
          </cell>
          <cell r="J87">
            <v>1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 t="str">
            <v>NA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D88">
            <v>300028</v>
          </cell>
          <cell r="E88" t="str">
            <v>San Nicolas NHS</v>
          </cell>
          <cell r="F88">
            <v>1</v>
          </cell>
          <cell r="G88">
            <v>1</v>
          </cell>
          <cell r="H88">
            <v>1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</v>
          </cell>
          <cell r="W88">
            <v>0</v>
          </cell>
          <cell r="X88">
            <v>0</v>
          </cell>
          <cell r="Y88">
            <v>0</v>
          </cell>
        </row>
        <row r="89">
          <cell r="D89">
            <v>300212</v>
          </cell>
          <cell r="E89" t="str">
            <v>Lokeb Norte NHS</v>
          </cell>
          <cell r="F89">
            <v>1</v>
          </cell>
          <cell r="G89">
            <v>1</v>
          </cell>
          <cell r="H89">
            <v>1</v>
          </cell>
          <cell r="I89">
            <v>0</v>
          </cell>
          <cell r="J89">
            <v>1</v>
          </cell>
          <cell r="K89">
            <v>0</v>
          </cell>
          <cell r="L89">
            <v>0</v>
          </cell>
          <cell r="M89">
            <v>0</v>
          </cell>
          <cell r="N89">
            <v>1</v>
          </cell>
          <cell r="O89" t="str">
            <v>08/24/2019</v>
          </cell>
          <cell r="P89">
            <v>43808</v>
          </cell>
          <cell r="Q89">
            <v>0</v>
          </cell>
          <cell r="R89">
            <v>1</v>
          </cell>
          <cell r="S89">
            <v>0</v>
          </cell>
          <cell r="T89">
            <v>0</v>
          </cell>
          <cell r="U89">
            <v>0</v>
          </cell>
          <cell r="V89">
            <v>1</v>
          </cell>
          <cell r="W89">
            <v>3</v>
          </cell>
          <cell r="X89">
            <v>3</v>
          </cell>
          <cell r="Y89">
            <v>3</v>
          </cell>
        </row>
        <row r="90">
          <cell r="D90">
            <v>300086</v>
          </cell>
          <cell r="E90" t="str">
            <v>Tagudin NHS</v>
          </cell>
          <cell r="F90">
            <v>1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  <cell r="M90">
            <v>0</v>
          </cell>
          <cell r="N90">
            <v>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1</v>
          </cell>
          <cell r="U90" t="str">
            <v>AS THE NEED ARISES</v>
          </cell>
          <cell r="V90">
            <v>1</v>
          </cell>
          <cell r="W90">
            <v>0</v>
          </cell>
          <cell r="X90">
            <v>0</v>
          </cell>
          <cell r="Y90">
            <v>0</v>
          </cell>
        </row>
        <row r="91">
          <cell r="D91">
            <v>300080</v>
          </cell>
          <cell r="E91" t="str">
            <v>Sinait NHS</v>
          </cell>
          <cell r="F91">
            <v>1</v>
          </cell>
          <cell r="G91">
            <v>1</v>
          </cell>
          <cell r="H91">
            <v>1</v>
          </cell>
          <cell r="I91">
            <v>0</v>
          </cell>
          <cell r="J91">
            <v>0</v>
          </cell>
          <cell r="K91">
            <v>1</v>
          </cell>
          <cell r="L91">
            <v>0</v>
          </cell>
          <cell r="M91">
            <v>0</v>
          </cell>
          <cell r="N91">
            <v>0</v>
          </cell>
          <cell r="O91" t="str">
            <v>n/a</v>
          </cell>
          <cell r="P91">
            <v>0</v>
          </cell>
          <cell r="Q91">
            <v>0</v>
          </cell>
          <cell r="R91">
            <v>0</v>
          </cell>
          <cell r="S91">
            <v>1</v>
          </cell>
          <cell r="T91">
            <v>0</v>
          </cell>
          <cell r="U91">
            <v>0</v>
          </cell>
          <cell r="V91">
            <v>1</v>
          </cell>
          <cell r="W91">
            <v>3</v>
          </cell>
          <cell r="X91">
            <v>0</v>
          </cell>
          <cell r="Y91">
            <v>0</v>
          </cell>
        </row>
        <row r="92">
          <cell r="D92">
            <v>300387</v>
          </cell>
          <cell r="E92" t="str">
            <v>Salinap NHS</v>
          </cell>
          <cell r="F92">
            <v>1</v>
          </cell>
          <cell r="G92">
            <v>0</v>
          </cell>
          <cell r="H92">
            <v>1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  <cell r="M92">
            <v>0</v>
          </cell>
          <cell r="N92">
            <v>1</v>
          </cell>
          <cell r="O92">
            <v>43255</v>
          </cell>
          <cell r="P92">
            <v>43500</v>
          </cell>
          <cell r="Q92">
            <v>0</v>
          </cell>
          <cell r="R92">
            <v>1</v>
          </cell>
          <cell r="S92">
            <v>0</v>
          </cell>
          <cell r="T92">
            <v>0</v>
          </cell>
          <cell r="U92">
            <v>0</v>
          </cell>
          <cell r="V92">
            <v>1</v>
          </cell>
          <cell r="W92">
            <v>0</v>
          </cell>
          <cell r="X92">
            <v>0</v>
          </cell>
          <cell r="Y92">
            <v>0</v>
          </cell>
        </row>
        <row r="93">
          <cell r="D93">
            <v>300220</v>
          </cell>
          <cell r="E93" t="str">
            <v>Malasiqui NHS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</v>
          </cell>
          <cell r="O93">
            <v>43617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</v>
          </cell>
          <cell r="W93">
            <v>0</v>
          </cell>
          <cell r="X93">
            <v>0</v>
          </cell>
          <cell r="Y93">
            <v>0</v>
          </cell>
        </row>
        <row r="94">
          <cell r="D94">
            <v>300399</v>
          </cell>
          <cell r="E94" t="str">
            <v>Casabula NHS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D95">
            <v>300001</v>
          </cell>
          <cell r="E95" t="str">
            <v>Adams National High School</v>
          </cell>
          <cell r="F95">
            <v>1</v>
          </cell>
          <cell r="G95">
            <v>1</v>
          </cell>
          <cell r="H95">
            <v>1</v>
          </cell>
          <cell r="I95">
            <v>0</v>
          </cell>
          <cell r="J95">
            <v>1</v>
          </cell>
          <cell r="K95">
            <v>0</v>
          </cell>
          <cell r="L95">
            <v>0</v>
          </cell>
          <cell r="M95">
            <v>0</v>
          </cell>
          <cell r="N95">
            <v>1</v>
          </cell>
          <cell r="O95" t="str">
            <v>01/16/2019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</v>
          </cell>
          <cell r="U95" t="str">
            <v>Twice a year</v>
          </cell>
          <cell r="V95">
            <v>1</v>
          </cell>
          <cell r="W95">
            <v>2</v>
          </cell>
          <cell r="X95">
            <v>0</v>
          </cell>
          <cell r="Y95">
            <v>0</v>
          </cell>
        </row>
        <row r="96">
          <cell r="D96">
            <v>300019</v>
          </cell>
          <cell r="E96" t="str">
            <v>Luzong NHS</v>
          </cell>
          <cell r="F96">
            <v>1</v>
          </cell>
          <cell r="G96">
            <v>0</v>
          </cell>
          <cell r="H96">
            <v>1</v>
          </cell>
          <cell r="I96">
            <v>0</v>
          </cell>
          <cell r="J96">
            <v>1</v>
          </cell>
          <cell r="K96">
            <v>0</v>
          </cell>
          <cell r="L96">
            <v>0</v>
          </cell>
          <cell r="M96">
            <v>0</v>
          </cell>
          <cell r="N96">
            <v>1</v>
          </cell>
          <cell r="O96">
            <v>43473</v>
          </cell>
          <cell r="P96">
            <v>43473</v>
          </cell>
          <cell r="Q96">
            <v>1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D97">
            <v>300210</v>
          </cell>
          <cell r="E97" t="str">
            <v>Lareglareg NHS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</v>
          </cell>
          <cell r="O97">
            <v>43617</v>
          </cell>
          <cell r="P97">
            <v>43647</v>
          </cell>
          <cell r="Q97">
            <v>0</v>
          </cell>
          <cell r="R97">
            <v>1</v>
          </cell>
          <cell r="S97">
            <v>0</v>
          </cell>
          <cell r="T97">
            <v>0</v>
          </cell>
          <cell r="U97">
            <v>0</v>
          </cell>
          <cell r="V97">
            <v>1</v>
          </cell>
          <cell r="W97">
            <v>3</v>
          </cell>
          <cell r="X97">
            <v>3</v>
          </cell>
          <cell r="Y97">
            <v>3</v>
          </cell>
        </row>
        <row r="98">
          <cell r="D98">
            <v>300131</v>
          </cell>
          <cell r="E98" t="str">
            <v>Pugo Central NHS</v>
          </cell>
          <cell r="F98">
            <v>1</v>
          </cell>
          <cell r="G98">
            <v>1</v>
          </cell>
          <cell r="H98">
            <v>1</v>
          </cell>
          <cell r="I98">
            <v>0</v>
          </cell>
          <cell r="J98">
            <v>1</v>
          </cell>
          <cell r="K98">
            <v>0</v>
          </cell>
          <cell r="L98">
            <v>0</v>
          </cell>
          <cell r="M98">
            <v>0</v>
          </cell>
          <cell r="N98">
            <v>1</v>
          </cell>
          <cell r="O98">
            <v>0</v>
          </cell>
          <cell r="P98">
            <v>0</v>
          </cell>
          <cell r="Q98">
            <v>0</v>
          </cell>
          <cell r="R98">
            <v>1</v>
          </cell>
          <cell r="S98">
            <v>0</v>
          </cell>
          <cell r="T98">
            <v>0</v>
          </cell>
          <cell r="U98">
            <v>0</v>
          </cell>
          <cell r="V98">
            <v>1</v>
          </cell>
          <cell r="W98">
            <v>0</v>
          </cell>
          <cell r="X98">
            <v>0</v>
          </cell>
          <cell r="Y98">
            <v>0</v>
          </cell>
        </row>
        <row r="99">
          <cell r="D99">
            <v>300172</v>
          </cell>
          <cell r="E99" t="str">
            <v>Binabalian NHS</v>
          </cell>
          <cell r="F99">
            <v>1</v>
          </cell>
          <cell r="G99">
            <v>1</v>
          </cell>
          <cell r="H99">
            <v>1</v>
          </cell>
          <cell r="I99">
            <v>0</v>
          </cell>
          <cell r="J99">
            <v>0</v>
          </cell>
          <cell r="K99">
            <v>1</v>
          </cell>
          <cell r="L99">
            <v>0</v>
          </cell>
          <cell r="M99">
            <v>0</v>
          </cell>
          <cell r="N99">
            <v>1</v>
          </cell>
          <cell r="O99">
            <v>43633</v>
          </cell>
          <cell r="P99">
            <v>43633</v>
          </cell>
          <cell r="Q99">
            <v>0</v>
          </cell>
          <cell r="R99">
            <v>0</v>
          </cell>
          <cell r="S99">
            <v>1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D100">
            <v>300187</v>
          </cell>
          <cell r="E100" t="str">
            <v>Carot National High School</v>
          </cell>
          <cell r="F100">
            <v>1</v>
          </cell>
          <cell r="G100">
            <v>1</v>
          </cell>
          <cell r="H100">
            <v>1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  <cell r="O100" t="str">
            <v>n/a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</v>
          </cell>
          <cell r="W100">
            <v>0</v>
          </cell>
          <cell r="X100">
            <v>0</v>
          </cell>
          <cell r="Y100">
            <v>0</v>
          </cell>
        </row>
        <row r="101">
          <cell r="D101">
            <v>500613</v>
          </cell>
          <cell r="E101" t="str">
            <v>Gayusan Integrated School</v>
          </cell>
          <cell r="F101">
            <v>1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N101">
            <v>1</v>
          </cell>
          <cell r="O101" t="str">
            <v>08/28/2019</v>
          </cell>
          <cell r="P101" t="str">
            <v>08/28/2019</v>
          </cell>
          <cell r="Q101">
            <v>0</v>
          </cell>
          <cell r="R101">
            <v>1</v>
          </cell>
          <cell r="S101">
            <v>0</v>
          </cell>
          <cell r="T101">
            <v>0</v>
          </cell>
          <cell r="U101">
            <v>0</v>
          </cell>
          <cell r="V101">
            <v>1</v>
          </cell>
          <cell r="W101">
            <v>0</v>
          </cell>
          <cell r="X101">
            <v>0</v>
          </cell>
          <cell r="Y101">
            <v>0</v>
          </cell>
        </row>
        <row r="102">
          <cell r="D102">
            <v>300391</v>
          </cell>
          <cell r="E102" t="str">
            <v>Turac NHS</v>
          </cell>
          <cell r="F102">
            <v>1</v>
          </cell>
          <cell r="G102">
            <v>1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D103">
            <v>500608</v>
          </cell>
          <cell r="E103" t="str">
            <v>BANI EAST INTEGRATED SCHOOL</v>
          </cell>
          <cell r="F103">
            <v>1</v>
          </cell>
          <cell r="G103">
            <v>1</v>
          </cell>
          <cell r="H103">
            <v>1</v>
          </cell>
          <cell r="I103">
            <v>1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</v>
          </cell>
          <cell r="O103">
            <v>43780</v>
          </cell>
          <cell r="P103">
            <v>43620</v>
          </cell>
          <cell r="Q103">
            <v>1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1</v>
          </cell>
          <cell r="W103">
            <v>4</v>
          </cell>
          <cell r="X103">
            <v>2</v>
          </cell>
          <cell r="Y103">
            <v>2</v>
          </cell>
        </row>
        <row r="104">
          <cell r="D104">
            <v>300394</v>
          </cell>
          <cell r="E104" t="str">
            <v>Badipa NHS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</row>
        <row r="105">
          <cell r="D105">
            <v>300373</v>
          </cell>
          <cell r="E105" t="str">
            <v>Ilocos Norte College of Arts &amp; Trades</v>
          </cell>
          <cell r="F105">
            <v>1</v>
          </cell>
          <cell r="G105">
            <v>1</v>
          </cell>
          <cell r="H105">
            <v>1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0</v>
          </cell>
          <cell r="N105">
            <v>1</v>
          </cell>
          <cell r="O105">
            <v>43529</v>
          </cell>
          <cell r="P105">
            <v>43661</v>
          </cell>
          <cell r="Q105">
            <v>0</v>
          </cell>
          <cell r="R105">
            <v>1</v>
          </cell>
          <cell r="S105">
            <v>0</v>
          </cell>
          <cell r="T105">
            <v>0</v>
          </cell>
          <cell r="U105">
            <v>0</v>
          </cell>
          <cell r="V105">
            <v>1</v>
          </cell>
          <cell r="W105">
            <v>2</v>
          </cell>
          <cell r="X105">
            <v>0</v>
          </cell>
          <cell r="Y105">
            <v>0</v>
          </cell>
        </row>
        <row r="106">
          <cell r="D106">
            <v>300062</v>
          </cell>
          <cell r="E106" t="str">
            <v>Nagtablaan NHS</v>
          </cell>
          <cell r="F106">
            <v>1</v>
          </cell>
          <cell r="G106">
            <v>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 t="str">
            <v>N/A</v>
          </cell>
          <cell r="Q106">
            <v>0</v>
          </cell>
          <cell r="R106">
            <v>0</v>
          </cell>
          <cell r="S106">
            <v>0</v>
          </cell>
          <cell r="T106">
            <v>1</v>
          </cell>
          <cell r="U106" t="str">
            <v>N/A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</row>
        <row r="107">
          <cell r="D107">
            <v>300072</v>
          </cell>
          <cell r="E107" t="str">
            <v>Teodoro Hernaez NHS</v>
          </cell>
          <cell r="F107">
            <v>1</v>
          </cell>
          <cell r="G107">
            <v>1</v>
          </cell>
          <cell r="H107">
            <v>1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</v>
          </cell>
          <cell r="O107" t="str">
            <v>05/25/2019</v>
          </cell>
          <cell r="P107" t="str">
            <v>07/05/2019</v>
          </cell>
          <cell r="Q107">
            <v>1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1</v>
          </cell>
          <cell r="W107">
            <v>10</v>
          </cell>
          <cell r="X107">
            <v>0</v>
          </cell>
          <cell r="Y107">
            <v>10</v>
          </cell>
        </row>
        <row r="108">
          <cell r="D108">
            <v>300372</v>
          </cell>
          <cell r="E108" t="str">
            <v>Gabu NHS</v>
          </cell>
          <cell r="F108">
            <v>0</v>
          </cell>
          <cell r="G108">
            <v>0</v>
          </cell>
          <cell r="H108">
            <v>1</v>
          </cell>
          <cell r="I108">
            <v>0</v>
          </cell>
          <cell r="J108">
            <v>1</v>
          </cell>
          <cell r="K108">
            <v>0</v>
          </cell>
          <cell r="L108">
            <v>0</v>
          </cell>
          <cell r="M108">
            <v>0</v>
          </cell>
          <cell r="N108">
            <v>1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</row>
        <row r="109">
          <cell r="D109">
            <v>305601</v>
          </cell>
          <cell r="E109" t="str">
            <v>Caaoacan High School</v>
          </cell>
          <cell r="F109">
            <v>1</v>
          </cell>
          <cell r="G109">
            <v>1</v>
          </cell>
          <cell r="H109">
            <v>1</v>
          </cell>
          <cell r="I109">
            <v>0</v>
          </cell>
          <cell r="J109">
            <v>0</v>
          </cell>
          <cell r="K109">
            <v>1</v>
          </cell>
          <cell r="L109">
            <v>0</v>
          </cell>
          <cell r="M109">
            <v>0</v>
          </cell>
          <cell r="N109">
            <v>1</v>
          </cell>
          <cell r="O109">
            <v>0</v>
          </cell>
          <cell r="P109">
            <v>43621</v>
          </cell>
          <cell r="Q109">
            <v>0</v>
          </cell>
          <cell r="R109">
            <v>0</v>
          </cell>
          <cell r="S109">
            <v>1</v>
          </cell>
          <cell r="T109">
            <v>0</v>
          </cell>
          <cell r="U109">
            <v>0</v>
          </cell>
          <cell r="V109">
            <v>1</v>
          </cell>
          <cell r="W109">
            <v>1</v>
          </cell>
          <cell r="X109">
            <v>1</v>
          </cell>
          <cell r="Y109">
            <v>1</v>
          </cell>
        </row>
        <row r="110">
          <cell r="D110">
            <v>500059</v>
          </cell>
          <cell r="E110" t="str">
            <v>Agdao Integrated School</v>
          </cell>
          <cell r="F110">
            <v>1</v>
          </cell>
          <cell r="G110">
            <v>1</v>
          </cell>
          <cell r="H110">
            <v>1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1</v>
          </cell>
          <cell r="O110">
            <v>0</v>
          </cell>
          <cell r="P110">
            <v>0</v>
          </cell>
          <cell r="Q110">
            <v>0</v>
          </cell>
          <cell r="R110">
            <v>1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</row>
        <row r="111">
          <cell r="D111">
            <v>500056</v>
          </cell>
          <cell r="E111" t="str">
            <v>Balatong Integrated School</v>
          </cell>
          <cell r="F111">
            <v>1</v>
          </cell>
          <cell r="G111">
            <v>1</v>
          </cell>
          <cell r="H111">
            <v>1</v>
          </cell>
          <cell r="I111">
            <v>0</v>
          </cell>
          <cell r="J111">
            <v>0</v>
          </cell>
          <cell r="K111">
            <v>1</v>
          </cell>
          <cell r="L111">
            <v>0</v>
          </cell>
          <cell r="M111">
            <v>0</v>
          </cell>
          <cell r="N111">
            <v>1</v>
          </cell>
          <cell r="O111">
            <v>0</v>
          </cell>
          <cell r="P111">
            <v>0</v>
          </cell>
          <cell r="Q111">
            <v>1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1</v>
          </cell>
          <cell r="W111">
            <v>3</v>
          </cell>
          <cell r="X111">
            <v>3</v>
          </cell>
          <cell r="Y111">
            <v>3</v>
          </cell>
        </row>
        <row r="112">
          <cell r="D112">
            <v>300379</v>
          </cell>
          <cell r="E112" t="str">
            <v>Cobol National High School</v>
          </cell>
          <cell r="F112">
            <v>1</v>
          </cell>
          <cell r="G112">
            <v>1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</v>
          </cell>
          <cell r="O112">
            <v>0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</row>
        <row r="113">
          <cell r="D113">
            <v>300374</v>
          </cell>
          <cell r="E113" t="str">
            <v>Ilocos Norte National High School</v>
          </cell>
          <cell r="F113">
            <v>1</v>
          </cell>
          <cell r="G113">
            <v>0</v>
          </cell>
          <cell r="H113">
            <v>1</v>
          </cell>
          <cell r="I113">
            <v>1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</v>
          </cell>
          <cell r="O113">
            <v>0</v>
          </cell>
          <cell r="P113">
            <v>0</v>
          </cell>
          <cell r="Q113">
            <v>1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</row>
        <row r="114">
          <cell r="D114">
            <v>300213</v>
          </cell>
          <cell r="E114" t="str">
            <v>Lokeb Sur National High School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</row>
        <row r="115">
          <cell r="D115">
            <v>300067</v>
          </cell>
          <cell r="E115" t="str">
            <v>Pug-os National High School</v>
          </cell>
          <cell r="F115">
            <v>1</v>
          </cell>
          <cell r="G115">
            <v>1</v>
          </cell>
          <cell r="H115">
            <v>1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43435</v>
          </cell>
          <cell r="P115">
            <v>43661</v>
          </cell>
          <cell r="Q115">
            <v>1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</row>
        <row r="116">
          <cell r="D116">
            <v>300375</v>
          </cell>
          <cell r="E116" t="str">
            <v>Ilocos Norte Regional School of Fisheries</v>
          </cell>
          <cell r="F116">
            <v>1</v>
          </cell>
          <cell r="G116">
            <v>0</v>
          </cell>
          <cell r="H116">
            <v>1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  <cell r="M116">
            <v>0</v>
          </cell>
          <cell r="N116">
            <v>1</v>
          </cell>
          <cell r="O116">
            <v>0</v>
          </cell>
          <cell r="P116">
            <v>43472</v>
          </cell>
          <cell r="Q116">
            <v>0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1</v>
          </cell>
          <cell r="W116">
            <v>4</v>
          </cell>
          <cell r="X116">
            <v>0</v>
          </cell>
          <cell r="Y116">
            <v>0</v>
          </cell>
        </row>
        <row r="117">
          <cell r="D117">
            <v>300003</v>
          </cell>
          <cell r="E117" t="str">
            <v>Bangui NHS</v>
          </cell>
          <cell r="F117">
            <v>1</v>
          </cell>
          <cell r="G117">
            <v>1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  <cell r="L117">
            <v>1</v>
          </cell>
          <cell r="M117" t="str">
            <v>as needed</v>
          </cell>
          <cell r="N117">
            <v>0</v>
          </cell>
          <cell r="O117">
            <v>43622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1</v>
          </cell>
          <cell r="U117" t="str">
            <v>as needed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</row>
        <row r="118">
          <cell r="D118">
            <v>300380</v>
          </cell>
          <cell r="E118" t="str">
            <v>Coliling National High School</v>
          </cell>
          <cell r="F118">
            <v>1</v>
          </cell>
          <cell r="G118">
            <v>1</v>
          </cell>
          <cell r="H118">
            <v>1</v>
          </cell>
          <cell r="I118">
            <v>0</v>
          </cell>
          <cell r="J118">
            <v>0</v>
          </cell>
          <cell r="K118">
            <v>1</v>
          </cell>
          <cell r="L118">
            <v>0</v>
          </cell>
          <cell r="M118">
            <v>0</v>
          </cell>
          <cell r="N118">
            <v>1</v>
          </cell>
          <cell r="O118">
            <v>43306</v>
          </cell>
          <cell r="P118">
            <v>43649</v>
          </cell>
          <cell r="Q118">
            <v>0</v>
          </cell>
          <cell r="R118">
            <v>1</v>
          </cell>
          <cell r="S118">
            <v>0</v>
          </cell>
          <cell r="T118">
            <v>0</v>
          </cell>
          <cell r="U118">
            <v>0</v>
          </cell>
          <cell r="V118">
            <v>1</v>
          </cell>
          <cell r="W118">
            <v>2</v>
          </cell>
          <cell r="X118">
            <v>0</v>
          </cell>
          <cell r="Y118">
            <v>0</v>
          </cell>
        </row>
        <row r="119">
          <cell r="D119">
            <v>500618</v>
          </cell>
          <cell r="E119" t="str">
            <v>Pangascasan IS</v>
          </cell>
          <cell r="F119">
            <v>1</v>
          </cell>
          <cell r="G119">
            <v>0</v>
          </cell>
          <cell r="H119">
            <v>1</v>
          </cell>
          <cell r="I119">
            <v>0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</row>
        <row r="120">
          <cell r="D120">
            <v>320909</v>
          </cell>
          <cell r="E120" t="str">
            <v>San Sebastian NHS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</v>
          </cell>
          <cell r="O120">
            <v>0</v>
          </cell>
          <cell r="P120">
            <v>0</v>
          </cell>
          <cell r="Q120">
            <v>1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1</v>
          </cell>
          <cell r="W120">
            <v>2</v>
          </cell>
          <cell r="X120">
            <v>0</v>
          </cell>
          <cell r="Y120">
            <v>1</v>
          </cell>
        </row>
        <row r="121">
          <cell r="D121">
            <v>500612</v>
          </cell>
          <cell r="E121" t="str">
            <v>Dalanguiring IS</v>
          </cell>
          <cell r="F121">
            <v>1</v>
          </cell>
          <cell r="G121">
            <v>1</v>
          </cell>
          <cell r="H121">
            <v>1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1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0</v>
          </cell>
          <cell r="T121">
            <v>0</v>
          </cell>
          <cell r="U121">
            <v>0</v>
          </cell>
          <cell r="V121">
            <v>1</v>
          </cell>
          <cell r="W121">
            <v>4</v>
          </cell>
          <cell r="X121">
            <v>1</v>
          </cell>
          <cell r="Y121">
            <v>4</v>
          </cell>
        </row>
        <row r="122">
          <cell r="D122">
            <v>300048</v>
          </cell>
          <cell r="E122" t="str">
            <v>G. DEL PILAR NHS</v>
          </cell>
          <cell r="F122">
            <v>1</v>
          </cell>
          <cell r="G122">
            <v>0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1</v>
          </cell>
          <cell r="M122">
            <v>0</v>
          </cell>
          <cell r="N122">
            <v>1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1</v>
          </cell>
          <cell r="U122">
            <v>0</v>
          </cell>
          <cell r="V122">
            <v>1</v>
          </cell>
          <cell r="W122">
            <v>0</v>
          </cell>
          <cell r="X122">
            <v>0</v>
          </cell>
          <cell r="Y122">
            <v>0</v>
          </cell>
        </row>
        <row r="123">
          <cell r="D123">
            <v>300397</v>
          </cell>
          <cell r="E123" t="str">
            <v>Camabu NHS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</row>
        <row r="124">
          <cell r="D124">
            <v>300024</v>
          </cell>
          <cell r="E124" t="str">
            <v>PAGUDPUD NHS</v>
          </cell>
          <cell r="F124">
            <v>1</v>
          </cell>
          <cell r="G124">
            <v>1</v>
          </cell>
          <cell r="H124">
            <v>1</v>
          </cell>
          <cell r="I124">
            <v>0</v>
          </cell>
          <cell r="J124">
            <v>1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</row>
        <row r="125">
          <cell r="D125">
            <v>300020</v>
          </cell>
          <cell r="E125" t="str">
            <v>Marcos NHS</v>
          </cell>
          <cell r="F125">
            <v>1</v>
          </cell>
          <cell r="G125">
            <v>1</v>
          </cell>
          <cell r="H125">
            <v>1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  <cell r="M125">
            <v>0</v>
          </cell>
          <cell r="N125">
            <v>1</v>
          </cell>
          <cell r="O125" t="str">
            <v>07/23/2019</v>
          </cell>
          <cell r="P125" t="str">
            <v>07/13/2019</v>
          </cell>
          <cell r="Q125">
            <v>0</v>
          </cell>
          <cell r="R125">
            <v>1</v>
          </cell>
          <cell r="S125">
            <v>0</v>
          </cell>
          <cell r="T125">
            <v>0</v>
          </cell>
          <cell r="U125">
            <v>0</v>
          </cell>
          <cell r="V125">
            <v>1</v>
          </cell>
          <cell r="W125">
            <v>3</v>
          </cell>
          <cell r="X125">
            <v>3</v>
          </cell>
          <cell r="Y125">
            <v>3</v>
          </cell>
        </row>
        <row r="126">
          <cell r="D126">
            <v>300063</v>
          </cell>
          <cell r="E126" t="str">
            <v>Narvacan Nat'l. Central HS</v>
          </cell>
          <cell r="F126">
            <v>1</v>
          </cell>
          <cell r="G126">
            <v>1</v>
          </cell>
          <cell r="H126">
            <v>1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  <cell r="M126">
            <v>0</v>
          </cell>
          <cell r="N126">
            <v>1</v>
          </cell>
          <cell r="O126" t="str">
            <v>AUGUST 19, 2019</v>
          </cell>
          <cell r="P126" t="str">
            <v>JULY 31, 2019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1</v>
          </cell>
          <cell r="W126">
            <v>0</v>
          </cell>
          <cell r="X126">
            <v>0</v>
          </cell>
          <cell r="Y126">
            <v>0</v>
          </cell>
        </row>
        <row r="127">
          <cell r="D127">
            <v>300401</v>
          </cell>
          <cell r="E127" t="str">
            <v>Cayambanan NHS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</row>
        <row r="128">
          <cell r="D128">
            <v>500607</v>
          </cell>
          <cell r="E128" t="str">
            <v>Bacnit Integrated School</v>
          </cell>
          <cell r="F128">
            <v>1</v>
          </cell>
          <cell r="G128">
            <v>1</v>
          </cell>
          <cell r="H128">
            <v>1</v>
          </cell>
          <cell r="I128">
            <v>0</v>
          </cell>
          <cell r="J128">
            <v>0</v>
          </cell>
          <cell r="K128">
            <v>1</v>
          </cell>
          <cell r="L128">
            <v>0</v>
          </cell>
          <cell r="M128">
            <v>0</v>
          </cell>
          <cell r="N128">
            <v>1</v>
          </cell>
          <cell r="O128">
            <v>0</v>
          </cell>
          <cell r="P128">
            <v>43646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</v>
          </cell>
          <cell r="W128">
            <v>2</v>
          </cell>
          <cell r="X128">
            <v>0</v>
          </cell>
          <cell r="Y128">
            <v>0</v>
          </cell>
        </row>
        <row r="129">
          <cell r="D129">
            <v>300409</v>
          </cell>
          <cell r="E129" t="str">
            <v>Pedro T. Orata NHS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D130">
            <v>320815</v>
          </cell>
          <cell r="E130" t="str">
            <v>Bingao National High School</v>
          </cell>
          <cell r="F130">
            <v>1</v>
          </cell>
          <cell r="G130">
            <v>0</v>
          </cell>
          <cell r="H130">
            <v>1</v>
          </cell>
          <cell r="I130">
            <v>1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</v>
          </cell>
          <cell r="O130">
            <v>0</v>
          </cell>
          <cell r="P130">
            <v>43620</v>
          </cell>
          <cell r="Q130">
            <v>0</v>
          </cell>
          <cell r="R130">
            <v>1</v>
          </cell>
          <cell r="S130">
            <v>0</v>
          </cell>
          <cell r="T130">
            <v>0</v>
          </cell>
          <cell r="U130">
            <v>0</v>
          </cell>
          <cell r="V130">
            <v>1</v>
          </cell>
          <cell r="W130">
            <v>2</v>
          </cell>
          <cell r="X130">
            <v>0</v>
          </cell>
          <cell r="Y130">
            <v>0</v>
          </cell>
        </row>
        <row r="131">
          <cell r="D131">
            <v>300068</v>
          </cell>
          <cell r="E131" t="str">
            <v>Puro NHS, Caoayan</v>
          </cell>
          <cell r="F131">
            <v>0</v>
          </cell>
          <cell r="G131">
            <v>1</v>
          </cell>
          <cell r="H131">
            <v>1</v>
          </cell>
          <cell r="I131">
            <v>0</v>
          </cell>
          <cell r="J131">
            <v>1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</row>
        <row r="132">
          <cell r="D132">
            <v>300381</v>
          </cell>
          <cell r="E132" t="str">
            <v>Doyong National High School</v>
          </cell>
          <cell r="F132">
            <v>1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D133">
            <v>500347</v>
          </cell>
          <cell r="E133" t="str">
            <v>Pudoc West Integrated School</v>
          </cell>
          <cell r="F133">
            <v>0</v>
          </cell>
          <cell r="G133">
            <v>0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1</v>
          </cell>
          <cell r="M133" t="str">
            <v>when needs arises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</v>
          </cell>
          <cell r="U133" t="str">
            <v>when needs arises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D134">
            <v>300392</v>
          </cell>
          <cell r="E134" t="str">
            <v>Anonas NHS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D135">
            <v>320821</v>
          </cell>
          <cell r="E135" t="str">
            <v>ISIC-ISIC NATIONAL HIGH SCHOOL</v>
          </cell>
          <cell r="F135">
            <v>1</v>
          </cell>
          <cell r="G135">
            <v>1</v>
          </cell>
          <cell r="H135">
            <v>1</v>
          </cell>
          <cell r="I135">
            <v>0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43617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0</v>
          </cell>
          <cell r="U135">
            <v>0</v>
          </cell>
          <cell r="V135">
            <v>1</v>
          </cell>
          <cell r="W135">
            <v>2</v>
          </cell>
          <cell r="X135">
            <v>0</v>
          </cell>
          <cell r="Y135">
            <v>0</v>
          </cell>
        </row>
        <row r="136">
          <cell r="D136">
            <v>500343</v>
          </cell>
          <cell r="E136" t="str">
            <v>Pallas Integrated School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D137">
            <v>300264</v>
          </cell>
          <cell r="E137" t="str">
            <v>Tondol NHS</v>
          </cell>
          <cell r="F137">
            <v>1</v>
          </cell>
          <cell r="G137">
            <v>1</v>
          </cell>
          <cell r="H137">
            <v>1</v>
          </cell>
          <cell r="I137">
            <v>0</v>
          </cell>
          <cell r="J137">
            <v>0</v>
          </cell>
          <cell r="K137">
            <v>1</v>
          </cell>
          <cell r="L137">
            <v>0</v>
          </cell>
          <cell r="M137">
            <v>0</v>
          </cell>
          <cell r="N137">
            <v>0</v>
          </cell>
          <cell r="O137">
            <v>43641</v>
          </cell>
          <cell r="P137">
            <v>43756</v>
          </cell>
          <cell r="Q137">
            <v>0</v>
          </cell>
          <cell r="R137">
            <v>1</v>
          </cell>
          <cell r="S137">
            <v>0</v>
          </cell>
          <cell r="T137">
            <v>0</v>
          </cell>
          <cell r="U137">
            <v>0</v>
          </cell>
          <cell r="V137">
            <v>1</v>
          </cell>
          <cell r="W137">
            <v>0</v>
          </cell>
          <cell r="X137">
            <v>0</v>
          </cell>
          <cell r="Y137">
            <v>0</v>
          </cell>
        </row>
        <row r="138">
          <cell r="D138">
            <v>300268</v>
          </cell>
          <cell r="E138" t="str">
            <v>Zaragosa NHS</v>
          </cell>
          <cell r="F138">
            <v>1</v>
          </cell>
          <cell r="G138">
            <v>1</v>
          </cell>
          <cell r="H138">
            <v>1</v>
          </cell>
          <cell r="I138">
            <v>0</v>
          </cell>
          <cell r="J138">
            <v>1</v>
          </cell>
          <cell r="K138">
            <v>0</v>
          </cell>
          <cell r="L138">
            <v>0</v>
          </cell>
          <cell r="M138">
            <v>0</v>
          </cell>
          <cell r="N138">
            <v>1</v>
          </cell>
          <cell r="O138">
            <v>0</v>
          </cell>
          <cell r="P138" t="str">
            <v>JUNE 3, 2019</v>
          </cell>
          <cell r="Q138">
            <v>0</v>
          </cell>
          <cell r="R138">
            <v>1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39">
          <cell r="D139">
            <v>300211</v>
          </cell>
          <cell r="E139" t="str">
            <v>Lasip NHS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</v>
          </cell>
          <cell r="O139">
            <v>43766</v>
          </cell>
          <cell r="P139">
            <v>43766</v>
          </cell>
          <cell r="Q139">
            <v>1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1</v>
          </cell>
          <cell r="W139">
            <v>5</v>
          </cell>
          <cell r="X139">
            <v>0</v>
          </cell>
          <cell r="Y139">
            <v>0</v>
          </cell>
        </row>
        <row r="140">
          <cell r="D140">
            <v>500597</v>
          </cell>
          <cell r="E140" t="str">
            <v>Garitan Integrated  School</v>
          </cell>
          <cell r="F140">
            <v>0</v>
          </cell>
          <cell r="G140">
            <v>1</v>
          </cell>
          <cell r="H140">
            <v>1</v>
          </cell>
          <cell r="I140">
            <v>0</v>
          </cell>
          <cell r="J140">
            <v>1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 t="str">
            <v>June,2019</v>
          </cell>
          <cell r="P140" t="str">
            <v>June,2019</v>
          </cell>
          <cell r="Q140">
            <v>1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1</v>
          </cell>
          <cell r="W140">
            <v>0</v>
          </cell>
          <cell r="X140">
            <v>0</v>
          </cell>
          <cell r="Y140">
            <v>0</v>
          </cell>
        </row>
        <row r="141">
          <cell r="D141">
            <v>300402</v>
          </cell>
          <cell r="E141" t="str">
            <v>Don Antonio Bongolan MHS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43276</v>
          </cell>
          <cell r="P141">
            <v>43245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</row>
        <row r="142">
          <cell r="D142">
            <v>300396</v>
          </cell>
          <cell r="E142" t="str">
            <v>Cabuloan NHS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</row>
        <row r="143">
          <cell r="D143">
            <v>500345</v>
          </cell>
          <cell r="E143" t="str">
            <v>Malaguip Integrated School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</v>
          </cell>
          <cell r="L143">
            <v>0</v>
          </cell>
          <cell r="M143">
            <v>0</v>
          </cell>
          <cell r="N143">
            <v>1</v>
          </cell>
          <cell r="O143" t="str">
            <v>8/20/2018</v>
          </cell>
          <cell r="P143" t="str">
            <v>6/18/2019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</v>
          </cell>
          <cell r="W143">
            <v>0</v>
          </cell>
          <cell r="X143">
            <v>0</v>
          </cell>
          <cell r="Y143">
            <v>0</v>
          </cell>
        </row>
        <row r="144">
          <cell r="D144">
            <v>320805</v>
          </cell>
          <cell r="E144" t="str">
            <v>Currimao NHS</v>
          </cell>
          <cell r="F144">
            <v>1</v>
          </cell>
          <cell r="G144">
            <v>0</v>
          </cell>
          <cell r="H144">
            <v>1</v>
          </cell>
          <cell r="I144">
            <v>0</v>
          </cell>
          <cell r="J144">
            <v>0</v>
          </cell>
          <cell r="K144">
            <v>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</row>
        <row r="145">
          <cell r="D145">
            <v>300217</v>
          </cell>
          <cell r="E145" t="str">
            <v>Macaleeng National High School</v>
          </cell>
          <cell r="F145">
            <v>1</v>
          </cell>
          <cell r="G145">
            <v>1</v>
          </cell>
          <cell r="H145">
            <v>1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1</v>
          </cell>
          <cell r="O145">
            <v>43648</v>
          </cell>
          <cell r="P145">
            <v>43710</v>
          </cell>
          <cell r="Q145">
            <v>0</v>
          </cell>
          <cell r="R145">
            <v>1</v>
          </cell>
          <cell r="S145">
            <v>0</v>
          </cell>
          <cell r="T145">
            <v>0</v>
          </cell>
          <cell r="U145">
            <v>0</v>
          </cell>
          <cell r="V145">
            <v>1</v>
          </cell>
          <cell r="W145">
            <v>0</v>
          </cell>
          <cell r="X145">
            <v>0</v>
          </cell>
          <cell r="Y145">
            <v>0</v>
          </cell>
        </row>
        <row r="146">
          <cell r="D146">
            <v>500344</v>
          </cell>
          <cell r="E146" t="str">
            <v>Salpad Integrated School</v>
          </cell>
          <cell r="F146">
            <v>1</v>
          </cell>
          <cell r="G146">
            <v>1</v>
          </cell>
          <cell r="H146">
            <v>0</v>
          </cell>
          <cell r="I146">
            <v>0</v>
          </cell>
          <cell r="J146">
            <v>0</v>
          </cell>
          <cell r="K146">
            <v>1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1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</row>
        <row r="147">
          <cell r="D147">
            <v>320809</v>
          </cell>
          <cell r="E147" t="str">
            <v>Dingras NHS/Lt. Edgar Foz Mem. NHS- (Sulquiano Campus)</v>
          </cell>
          <cell r="F147">
            <v>1</v>
          </cell>
          <cell r="G147">
            <v>0</v>
          </cell>
          <cell r="H147">
            <v>1</v>
          </cell>
          <cell r="I147">
            <v>0</v>
          </cell>
          <cell r="J147">
            <v>1</v>
          </cell>
          <cell r="K147">
            <v>0</v>
          </cell>
          <cell r="L147">
            <v>0</v>
          </cell>
          <cell r="M147">
            <v>0</v>
          </cell>
          <cell r="N147">
            <v>1</v>
          </cell>
          <cell r="O147" t="str">
            <v>1-14-2019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</row>
        <row r="148">
          <cell r="D148">
            <v>320817</v>
          </cell>
          <cell r="E148" t="str">
            <v>Bagbag Solsona National High School</v>
          </cell>
          <cell r="F148">
            <v>1</v>
          </cell>
          <cell r="G148">
            <v>1</v>
          </cell>
          <cell r="H148">
            <v>1</v>
          </cell>
          <cell r="I148">
            <v>0</v>
          </cell>
          <cell r="J148">
            <v>0</v>
          </cell>
          <cell r="K148">
            <v>1</v>
          </cell>
          <cell r="L148">
            <v>0</v>
          </cell>
          <cell r="M148">
            <v>0</v>
          </cell>
          <cell r="N148">
            <v>1</v>
          </cell>
          <cell r="O148" t="str">
            <v>5/25/2019</v>
          </cell>
          <cell r="P148" t="str">
            <v>2/25/2019</v>
          </cell>
          <cell r="Q148">
            <v>0</v>
          </cell>
          <cell r="R148">
            <v>0</v>
          </cell>
          <cell r="S148">
            <v>1</v>
          </cell>
          <cell r="T148">
            <v>0</v>
          </cell>
          <cell r="U148">
            <v>0</v>
          </cell>
          <cell r="V148">
            <v>1</v>
          </cell>
          <cell r="W148">
            <v>0</v>
          </cell>
          <cell r="X148">
            <v>0</v>
          </cell>
          <cell r="Y148">
            <v>0</v>
          </cell>
        </row>
        <row r="149">
          <cell r="D149">
            <v>300007</v>
          </cell>
          <cell r="E149" t="str">
            <v>Cadaratan National High School</v>
          </cell>
          <cell r="F149">
            <v>1</v>
          </cell>
          <cell r="G149">
            <v>1</v>
          </cell>
          <cell r="H149">
            <v>1</v>
          </cell>
          <cell r="I149">
            <v>0</v>
          </cell>
          <cell r="J149">
            <v>1</v>
          </cell>
          <cell r="K149">
            <v>0</v>
          </cell>
          <cell r="L149">
            <v>0</v>
          </cell>
          <cell r="M149">
            <v>0</v>
          </cell>
          <cell r="N149">
            <v>1</v>
          </cell>
          <cell r="O149">
            <v>0</v>
          </cell>
          <cell r="P149">
            <v>0</v>
          </cell>
          <cell r="Q149">
            <v>0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1</v>
          </cell>
          <cell r="W149">
            <v>0</v>
          </cell>
          <cell r="X149">
            <v>0</v>
          </cell>
          <cell r="Y149">
            <v>0</v>
          </cell>
        </row>
        <row r="150">
          <cell r="D150">
            <v>300237</v>
          </cell>
          <cell r="E150" t="str">
            <v>Payas NHS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1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</row>
        <row r="151">
          <cell r="D151">
            <v>500353</v>
          </cell>
          <cell r="E151" t="str">
            <v>Mindoro Integrated School</v>
          </cell>
          <cell r="F151">
            <v>1</v>
          </cell>
          <cell r="G151">
            <v>1</v>
          </cell>
          <cell r="H151">
            <v>1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1</v>
          </cell>
          <cell r="O151">
            <v>0</v>
          </cell>
          <cell r="P151">
            <v>0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0</v>
          </cell>
          <cell r="V151">
            <v>1</v>
          </cell>
          <cell r="W151">
            <v>0</v>
          </cell>
          <cell r="X151">
            <v>0</v>
          </cell>
          <cell r="Y151">
            <v>0</v>
          </cell>
        </row>
        <row r="152">
          <cell r="D152">
            <v>300395</v>
          </cell>
          <cell r="E152" t="str">
            <v>Cabaruan NHS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</row>
        <row r="153">
          <cell r="D153">
            <v>300403</v>
          </cell>
          <cell r="E153" t="str">
            <v>Mariano Q. Umipig NHS</v>
          </cell>
          <cell r="F153">
            <v>1</v>
          </cell>
          <cell r="G153">
            <v>1</v>
          </cell>
          <cell r="H153">
            <v>1</v>
          </cell>
          <cell r="I153">
            <v>0</v>
          </cell>
          <cell r="J153">
            <v>1</v>
          </cell>
          <cell r="K153">
            <v>0</v>
          </cell>
          <cell r="L153">
            <v>0</v>
          </cell>
          <cell r="M153">
            <v>0</v>
          </cell>
          <cell r="N153">
            <v>1</v>
          </cell>
          <cell r="O153">
            <v>43647</v>
          </cell>
          <cell r="P153">
            <v>43680</v>
          </cell>
          <cell r="Q153">
            <v>0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1</v>
          </cell>
          <cell r="W153">
            <v>0</v>
          </cell>
          <cell r="X153">
            <v>0</v>
          </cell>
          <cell r="Y153">
            <v>0</v>
          </cell>
        </row>
        <row r="154">
          <cell r="D154">
            <v>300031</v>
          </cell>
          <cell r="E154" t="str">
            <v>VINTAR NHS</v>
          </cell>
          <cell r="F154">
            <v>1</v>
          </cell>
          <cell r="G154">
            <v>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 t="str">
            <v>JUNE 01,2019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</row>
        <row r="155">
          <cell r="D155">
            <v>300022</v>
          </cell>
          <cell r="E155" t="str">
            <v>NUEVA ERA NATIONAL HIGH SCHOOL</v>
          </cell>
          <cell r="F155">
            <v>1</v>
          </cell>
          <cell r="G155">
            <v>1</v>
          </cell>
          <cell r="H155">
            <v>1</v>
          </cell>
          <cell r="I155">
            <v>0</v>
          </cell>
          <cell r="J155">
            <v>0</v>
          </cell>
          <cell r="K155">
            <v>1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</row>
        <row r="156">
          <cell r="D156">
            <v>320818</v>
          </cell>
          <cell r="E156" t="str">
            <v>Talugtog Solsona National High School</v>
          </cell>
          <cell r="F156">
            <v>1</v>
          </cell>
          <cell r="G156">
            <v>1</v>
          </cell>
          <cell r="H156">
            <v>1</v>
          </cell>
          <cell r="I156">
            <v>0</v>
          </cell>
          <cell r="J156">
            <v>1</v>
          </cell>
          <cell r="K156">
            <v>0</v>
          </cell>
          <cell r="L156">
            <v>0</v>
          </cell>
          <cell r="M156">
            <v>0</v>
          </cell>
          <cell r="N156">
            <v>1</v>
          </cell>
          <cell r="O156">
            <v>43610</v>
          </cell>
          <cell r="P156">
            <v>43610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</v>
          </cell>
          <cell r="W156">
            <v>0</v>
          </cell>
          <cell r="X156">
            <v>0</v>
          </cell>
          <cell r="Y156">
            <v>0</v>
          </cell>
        </row>
        <row r="157">
          <cell r="D157">
            <v>300230</v>
          </cell>
          <cell r="E157" t="str">
            <v>Olea NHS</v>
          </cell>
          <cell r="F157">
            <v>1</v>
          </cell>
          <cell r="G157">
            <v>1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 t="str">
            <v>N/A</v>
          </cell>
          <cell r="Q157">
            <v>0</v>
          </cell>
          <cell r="R157">
            <v>0</v>
          </cell>
          <cell r="S157">
            <v>0</v>
          </cell>
          <cell r="T157">
            <v>1</v>
          </cell>
          <cell r="U157" t="str">
            <v>N/A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</row>
        <row r="158">
          <cell r="D158">
            <v>320802</v>
          </cell>
          <cell r="E158" t="str">
            <v>LANAO NATIONAL HIGH SCHOOL</v>
          </cell>
          <cell r="F158">
            <v>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</row>
        <row r="159">
          <cell r="D159">
            <v>300023</v>
          </cell>
          <cell r="E159" t="str">
            <v>Pagsanahan NHS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</row>
        <row r="160">
          <cell r="D160">
            <v>300232</v>
          </cell>
          <cell r="E160" t="str">
            <v>BINMALEY SCHOOL OF FISHERIES</v>
          </cell>
          <cell r="F160">
            <v>1</v>
          </cell>
          <cell r="G160">
            <v>1</v>
          </cell>
          <cell r="H160">
            <v>1</v>
          </cell>
          <cell r="I160">
            <v>0</v>
          </cell>
          <cell r="J160">
            <v>1</v>
          </cell>
          <cell r="K160">
            <v>0</v>
          </cell>
          <cell r="L160">
            <v>0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1</v>
          </cell>
          <cell r="W160">
            <v>0</v>
          </cell>
          <cell r="X160">
            <v>0</v>
          </cell>
          <cell r="Y160">
            <v>0</v>
          </cell>
        </row>
        <row r="161">
          <cell r="D161">
            <v>300184</v>
          </cell>
          <cell r="E161" t="str">
            <v>Calbeg NHS</v>
          </cell>
          <cell r="F161">
            <v>1</v>
          </cell>
          <cell r="G161">
            <v>1</v>
          </cell>
          <cell r="H161">
            <v>1</v>
          </cell>
          <cell r="I161">
            <v>0</v>
          </cell>
          <cell r="J161">
            <v>0</v>
          </cell>
          <cell r="K161">
            <v>1</v>
          </cell>
          <cell r="L161">
            <v>0</v>
          </cell>
          <cell r="M161">
            <v>0</v>
          </cell>
          <cell r="N161">
            <v>1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1</v>
          </cell>
          <cell r="T161">
            <v>0</v>
          </cell>
          <cell r="U161">
            <v>0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</row>
        <row r="162">
          <cell r="D162">
            <v>300030</v>
          </cell>
          <cell r="E162" t="str">
            <v>Solsona National High School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</v>
          </cell>
          <cell r="O162" t="str">
            <v>06/28/2019</v>
          </cell>
          <cell r="P162">
            <v>43619</v>
          </cell>
          <cell r="Q162">
            <v>1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5</v>
          </cell>
          <cell r="X162">
            <v>0</v>
          </cell>
          <cell r="Y162">
            <v>0</v>
          </cell>
        </row>
        <row r="163">
          <cell r="D163">
            <v>300076</v>
          </cell>
          <cell r="E163" t="str">
            <v>San Pedro NHS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1</v>
          </cell>
          <cell r="M163" t="str">
            <v>AS NEED ARISES</v>
          </cell>
          <cell r="N163">
            <v>1</v>
          </cell>
          <cell r="O163" t="str">
            <v>JULY 15, 2019</v>
          </cell>
          <cell r="P163" t="str">
            <v>JULY 15, 2019</v>
          </cell>
          <cell r="Q163">
            <v>1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1</v>
          </cell>
          <cell r="W163">
            <v>0</v>
          </cell>
          <cell r="X163">
            <v>0</v>
          </cell>
          <cell r="Y163">
            <v>0</v>
          </cell>
        </row>
        <row r="164">
          <cell r="D164">
            <v>300377</v>
          </cell>
          <cell r="E164" t="str">
            <v>Bacnar National High School</v>
          </cell>
          <cell r="F164">
            <v>1</v>
          </cell>
          <cell r="G164">
            <v>1</v>
          </cell>
          <cell r="H164">
            <v>1</v>
          </cell>
          <cell r="I164">
            <v>0</v>
          </cell>
          <cell r="J164">
            <v>1</v>
          </cell>
          <cell r="K164">
            <v>0</v>
          </cell>
          <cell r="L164">
            <v>0</v>
          </cell>
          <cell r="M164">
            <v>0</v>
          </cell>
          <cell r="N164">
            <v>1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1</v>
          </cell>
          <cell r="W164">
            <v>0</v>
          </cell>
          <cell r="X164">
            <v>0</v>
          </cell>
          <cell r="Y164">
            <v>0</v>
          </cell>
        </row>
        <row r="165">
          <cell r="D165">
            <v>500060</v>
          </cell>
          <cell r="E165" t="str">
            <v>San Jose Leet IS</v>
          </cell>
          <cell r="F165">
            <v>1</v>
          </cell>
          <cell r="G165">
            <v>1</v>
          </cell>
          <cell r="H165">
            <v>1</v>
          </cell>
          <cell r="I165">
            <v>0</v>
          </cell>
          <cell r="J165">
            <v>1</v>
          </cell>
          <cell r="K165">
            <v>0</v>
          </cell>
          <cell r="L165">
            <v>0</v>
          </cell>
          <cell r="M165">
            <v>0</v>
          </cell>
          <cell r="N165">
            <v>1</v>
          </cell>
          <cell r="O165">
            <v>0</v>
          </cell>
          <cell r="P165" t="str">
            <v>N/A</v>
          </cell>
          <cell r="Q165">
            <v>0</v>
          </cell>
          <cell r="R165">
            <v>1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D166">
            <v>300208</v>
          </cell>
          <cell r="E166" t="str">
            <v>Inerangan NHS</v>
          </cell>
          <cell r="F166">
            <v>1</v>
          </cell>
          <cell r="G166">
            <v>1</v>
          </cell>
          <cell r="H166">
            <v>1</v>
          </cell>
          <cell r="I166">
            <v>0</v>
          </cell>
          <cell r="J166">
            <v>0</v>
          </cell>
          <cell r="K166">
            <v>1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1</v>
          </cell>
          <cell r="W166">
            <v>0</v>
          </cell>
          <cell r="X166">
            <v>0</v>
          </cell>
          <cell r="Y166">
            <v>0</v>
          </cell>
        </row>
        <row r="167">
          <cell r="D167">
            <v>500061</v>
          </cell>
          <cell r="E167" t="str">
            <v>Don Alipio Fernandez, Sr. IS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D168">
            <v>300025</v>
          </cell>
          <cell r="E168" t="str">
            <v>Paoay Lake NHS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43504</v>
          </cell>
          <cell r="P168">
            <v>43504</v>
          </cell>
          <cell r="Q168">
            <v>1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</row>
        <row r="169">
          <cell r="D169">
            <v>300087</v>
          </cell>
          <cell r="E169" t="str">
            <v>Tay-ac National High School</v>
          </cell>
          <cell r="F169">
            <v>1</v>
          </cell>
          <cell r="G169">
            <v>0</v>
          </cell>
          <cell r="H169">
            <v>1</v>
          </cell>
          <cell r="I169">
            <v>0</v>
          </cell>
          <cell r="J169">
            <v>0</v>
          </cell>
          <cell r="K169">
            <v>1</v>
          </cell>
          <cell r="L169">
            <v>0</v>
          </cell>
          <cell r="M169">
            <v>0</v>
          </cell>
          <cell r="N169">
            <v>1</v>
          </cell>
          <cell r="O169">
            <v>43653</v>
          </cell>
          <cell r="P169" t="str">
            <v>n/a</v>
          </cell>
          <cell r="Q169">
            <v>0</v>
          </cell>
          <cell r="R169">
            <v>1</v>
          </cell>
          <cell r="S169">
            <v>0</v>
          </cell>
          <cell r="T169">
            <v>0</v>
          </cell>
          <cell r="U169">
            <v>0</v>
          </cell>
          <cell r="V169">
            <v>1</v>
          </cell>
          <cell r="W169">
            <v>0</v>
          </cell>
          <cell r="X169">
            <v>0</v>
          </cell>
          <cell r="Y169">
            <v>0</v>
          </cell>
        </row>
        <row r="170">
          <cell r="D170">
            <v>320812</v>
          </cell>
          <cell r="E170" t="str">
            <v>Marcos NHS (Santiago Campus)</v>
          </cell>
          <cell r="F170">
            <v>1</v>
          </cell>
          <cell r="G170">
            <v>1</v>
          </cell>
          <cell r="H170">
            <v>1</v>
          </cell>
          <cell r="I170">
            <v>0</v>
          </cell>
          <cell r="J170">
            <v>0</v>
          </cell>
          <cell r="K170">
            <v>1</v>
          </cell>
          <cell r="L170">
            <v>0</v>
          </cell>
          <cell r="M170">
            <v>0</v>
          </cell>
          <cell r="N170">
            <v>1</v>
          </cell>
          <cell r="O170">
            <v>43660</v>
          </cell>
          <cell r="P170" t="str">
            <v>NONE</v>
          </cell>
          <cell r="Q170">
            <v>0</v>
          </cell>
          <cell r="R170">
            <v>0</v>
          </cell>
          <cell r="S170">
            <v>1</v>
          </cell>
          <cell r="T170">
            <v>0</v>
          </cell>
          <cell r="U170">
            <v>0</v>
          </cell>
          <cell r="V170">
            <v>1</v>
          </cell>
          <cell r="W170">
            <v>0</v>
          </cell>
          <cell r="X170">
            <v>0</v>
          </cell>
          <cell r="Y170">
            <v>0</v>
          </cell>
        </row>
        <row r="171">
          <cell r="D171">
            <v>300404</v>
          </cell>
          <cell r="E171" t="str">
            <v>Labit NHS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D172">
            <v>300406</v>
          </cell>
          <cell r="E172" t="str">
            <v>Nancalobasaan NHS</v>
          </cell>
          <cell r="F172">
            <v>0</v>
          </cell>
          <cell r="G172">
            <v>0</v>
          </cell>
          <cell r="H172">
            <v>1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0</v>
          </cell>
          <cell r="P172" t="str">
            <v>June 3, 2019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1</v>
          </cell>
          <cell r="W172">
            <v>0</v>
          </cell>
          <cell r="X172">
            <v>0</v>
          </cell>
          <cell r="Y172">
            <v>0</v>
          </cell>
        </row>
        <row r="173">
          <cell r="D173">
            <v>300410</v>
          </cell>
          <cell r="E173" t="str">
            <v>Urdaneta City NHS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4">
          <cell r="D174">
            <v>300009</v>
          </cell>
          <cell r="E174" t="str">
            <v>Carasi NHS</v>
          </cell>
          <cell r="F174">
            <v>1</v>
          </cell>
          <cell r="G174">
            <v>1</v>
          </cell>
          <cell r="H174">
            <v>1</v>
          </cell>
          <cell r="I174">
            <v>0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</row>
        <row r="175">
          <cell r="D175">
            <v>340824</v>
          </cell>
          <cell r="E175" t="str">
            <v>SHS  within San Juan Central Elementary School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</row>
        <row r="176">
          <cell r="D176">
            <v>300302</v>
          </cell>
          <cell r="E176" t="str">
            <v>Coloscaoayan NHS</v>
          </cell>
          <cell r="F176">
            <v>1</v>
          </cell>
          <cell r="G176">
            <v>1</v>
          </cell>
          <cell r="H176">
            <v>1</v>
          </cell>
          <cell r="I176">
            <v>0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1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1</v>
          </cell>
          <cell r="T176">
            <v>0</v>
          </cell>
          <cell r="U176">
            <v>0</v>
          </cell>
          <cell r="V176">
            <v>1</v>
          </cell>
          <cell r="W176">
            <v>0</v>
          </cell>
          <cell r="X176">
            <v>0</v>
          </cell>
          <cell r="Y176">
            <v>0</v>
          </cell>
        </row>
        <row r="177">
          <cell r="D177">
            <v>300407</v>
          </cell>
          <cell r="E177" t="str">
            <v>Palina East NHS</v>
          </cell>
          <cell r="F177">
            <v>1</v>
          </cell>
          <cell r="G177">
            <v>0</v>
          </cell>
          <cell r="H177">
            <v>1</v>
          </cell>
          <cell r="I177">
            <v>0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1</v>
          </cell>
          <cell r="O177">
            <v>0</v>
          </cell>
          <cell r="P177">
            <v>0</v>
          </cell>
          <cell r="Q177">
            <v>1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</row>
        <row r="178">
          <cell r="D178">
            <v>320806</v>
          </cell>
          <cell r="E178" t="str">
            <v>Dingras NHS/Lt. Edgar Foz Mem. NHS (Barong Campus)</v>
          </cell>
          <cell r="F178">
            <v>1</v>
          </cell>
          <cell r="G178">
            <v>0</v>
          </cell>
          <cell r="H178">
            <v>1</v>
          </cell>
          <cell r="I178">
            <v>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1</v>
          </cell>
          <cell r="O178" t="str">
            <v>JANUARY 8, 2019</v>
          </cell>
          <cell r="P178" t="str">
            <v>JANUARY 8, 2019</v>
          </cell>
          <cell r="Q178">
            <v>0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1</v>
          </cell>
          <cell r="W178">
            <v>1</v>
          </cell>
          <cell r="X178">
            <v>0</v>
          </cell>
          <cell r="Y178">
            <v>0</v>
          </cell>
        </row>
        <row r="179">
          <cell r="D179">
            <v>300157</v>
          </cell>
          <cell r="E179" t="str">
            <v>Alos NHS</v>
          </cell>
          <cell r="F179">
            <v>1</v>
          </cell>
          <cell r="G179">
            <v>1</v>
          </cell>
          <cell r="H179">
            <v>1</v>
          </cell>
          <cell r="I179">
            <v>0</v>
          </cell>
          <cell r="J179">
            <v>1</v>
          </cell>
          <cell r="K179">
            <v>0</v>
          </cell>
          <cell r="L179">
            <v>0</v>
          </cell>
          <cell r="M179">
            <v>0</v>
          </cell>
          <cell r="N179">
            <v>1</v>
          </cell>
          <cell r="O179">
            <v>43641</v>
          </cell>
          <cell r="P179">
            <v>43623</v>
          </cell>
          <cell r="Q179">
            <v>0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1</v>
          </cell>
          <cell r="W179">
            <v>1</v>
          </cell>
          <cell r="X179">
            <v>0</v>
          </cell>
          <cell r="Y179">
            <v>0</v>
          </cell>
        </row>
        <row r="180">
          <cell r="D180">
            <v>300201</v>
          </cell>
          <cell r="E180" t="str">
            <v>Eguia National High School</v>
          </cell>
          <cell r="F180">
            <v>1</v>
          </cell>
          <cell r="G180">
            <v>0</v>
          </cell>
          <cell r="H180">
            <v>1</v>
          </cell>
          <cell r="I180">
            <v>0</v>
          </cell>
          <cell r="J180">
            <v>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43410</v>
          </cell>
          <cell r="P180">
            <v>0</v>
          </cell>
          <cell r="Q180">
            <v>0</v>
          </cell>
          <cell r="R180">
            <v>0</v>
          </cell>
          <cell r="S180">
            <v>1</v>
          </cell>
          <cell r="T180">
            <v>0</v>
          </cell>
          <cell r="U180">
            <v>0</v>
          </cell>
          <cell r="V180">
            <v>1</v>
          </cell>
          <cell r="W180">
            <v>6</v>
          </cell>
          <cell r="X180">
            <v>4</v>
          </cell>
          <cell r="Y180">
            <v>6</v>
          </cell>
        </row>
        <row r="181">
          <cell r="D181">
            <v>300021</v>
          </cell>
          <cell r="E181" t="str">
            <v>Nagrebcan NHS</v>
          </cell>
          <cell r="F181">
            <v>1</v>
          </cell>
          <cell r="G181">
            <v>0</v>
          </cell>
          <cell r="H181">
            <v>1</v>
          </cell>
          <cell r="I181">
            <v>0</v>
          </cell>
          <cell r="J181">
            <v>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 t="str">
            <v>1/31/2019</v>
          </cell>
          <cell r="P181" t="str">
            <v>6/28/2019</v>
          </cell>
          <cell r="Q181">
            <v>0</v>
          </cell>
          <cell r="R181">
            <v>1</v>
          </cell>
          <cell r="S181">
            <v>0</v>
          </cell>
          <cell r="T181">
            <v>0</v>
          </cell>
          <cell r="U181">
            <v>0</v>
          </cell>
          <cell r="V181">
            <v>1</v>
          </cell>
          <cell r="W181">
            <v>0</v>
          </cell>
          <cell r="X181">
            <v>0</v>
          </cell>
          <cell r="Y181">
            <v>0</v>
          </cell>
        </row>
        <row r="182">
          <cell r="D182">
            <v>500564</v>
          </cell>
          <cell r="E182" t="str">
            <v>Pangapisan IS</v>
          </cell>
          <cell r="F182">
            <v>1</v>
          </cell>
          <cell r="G182">
            <v>1</v>
          </cell>
          <cell r="H182">
            <v>1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1</v>
          </cell>
          <cell r="O182" t="str">
            <v>07/16/2019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1</v>
          </cell>
          <cell r="W182">
            <v>0</v>
          </cell>
          <cell r="X182">
            <v>0</v>
          </cell>
          <cell r="Y182">
            <v>0</v>
          </cell>
        </row>
        <row r="183">
          <cell r="D183">
            <v>300155</v>
          </cell>
          <cell r="E183" t="str">
            <v>Alaminos City NHS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1</v>
          </cell>
          <cell r="O183">
            <v>43654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1</v>
          </cell>
          <cell r="U183" t="str">
            <v>WEEKLY</v>
          </cell>
          <cell r="V183">
            <v>1</v>
          </cell>
          <cell r="W183">
            <v>1</v>
          </cell>
          <cell r="X183">
            <v>0</v>
          </cell>
          <cell r="Y183">
            <v>0</v>
          </cell>
        </row>
        <row r="184">
          <cell r="D184">
            <v>300260</v>
          </cell>
          <cell r="E184" t="str">
            <v>Telbang NHS</v>
          </cell>
          <cell r="F184">
            <v>1</v>
          </cell>
          <cell r="G184">
            <v>0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1</v>
          </cell>
          <cell r="M184" t="str">
            <v>When incident happens and requires the CPC to convene.</v>
          </cell>
          <cell r="N184">
            <v>0</v>
          </cell>
          <cell r="O184" t="str">
            <v>Tobacco control is discuss generally in faculty meetings.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1</v>
          </cell>
          <cell r="W184">
            <v>0</v>
          </cell>
          <cell r="X184">
            <v>0</v>
          </cell>
          <cell r="Y184">
            <v>0</v>
          </cell>
        </row>
        <row r="185">
          <cell r="D185">
            <v>300240</v>
          </cell>
          <cell r="E185" t="str">
            <v>Polo NHS, Alaminos</v>
          </cell>
          <cell r="F185">
            <v>1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 t="str">
            <v>06-24-2019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2</v>
          </cell>
          <cell r="X185">
            <v>1</v>
          </cell>
          <cell r="Y185">
            <v>0</v>
          </cell>
        </row>
        <row r="186">
          <cell r="D186">
            <v>322701</v>
          </cell>
          <cell r="E186" t="str">
            <v>Ildefonso Quimson Community HS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</v>
          </cell>
          <cell r="O186" t="str">
            <v>7/19/2019</v>
          </cell>
          <cell r="P186">
            <v>0</v>
          </cell>
          <cell r="Q186">
            <v>1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1</v>
          </cell>
          <cell r="W186">
            <v>0</v>
          </cell>
          <cell r="X186">
            <v>0</v>
          </cell>
          <cell r="Y186">
            <v>0</v>
          </cell>
        </row>
        <row r="187">
          <cell r="D187">
            <v>300253</v>
          </cell>
          <cell r="E187" t="str">
            <v>San Vicente NHS</v>
          </cell>
          <cell r="F187">
            <v>1</v>
          </cell>
          <cell r="G187">
            <v>1</v>
          </cell>
          <cell r="H187">
            <v>1</v>
          </cell>
          <cell r="I187">
            <v>0</v>
          </cell>
          <cell r="J187">
            <v>0</v>
          </cell>
          <cell r="K187">
            <v>1</v>
          </cell>
          <cell r="L187">
            <v>0</v>
          </cell>
          <cell r="M187">
            <v>0</v>
          </cell>
          <cell r="N187">
            <v>0</v>
          </cell>
          <cell r="O187">
            <v>43655</v>
          </cell>
          <cell r="P187">
            <v>43655</v>
          </cell>
          <cell r="Q187">
            <v>0</v>
          </cell>
          <cell r="R187">
            <v>1</v>
          </cell>
          <cell r="S187">
            <v>0</v>
          </cell>
          <cell r="T187">
            <v>0</v>
          </cell>
          <cell r="U187">
            <v>0</v>
          </cell>
          <cell r="V187">
            <v>1</v>
          </cell>
          <cell r="W187">
            <v>3</v>
          </cell>
          <cell r="X187">
            <v>0</v>
          </cell>
          <cell r="Y187">
            <v>0</v>
          </cell>
        </row>
        <row r="188">
          <cell r="D188">
            <v>300190</v>
          </cell>
          <cell r="E188" t="str">
            <v>Cayucay NHS</v>
          </cell>
          <cell r="F188">
            <v>1</v>
          </cell>
          <cell r="G188">
            <v>1</v>
          </cell>
          <cell r="H188">
            <v>1</v>
          </cell>
          <cell r="I188">
            <v>0</v>
          </cell>
          <cell r="J188">
            <v>0</v>
          </cell>
          <cell r="K188">
            <v>0</v>
          </cell>
          <cell r="L188">
            <v>1</v>
          </cell>
          <cell r="M188" t="str">
            <v>AS NEED ARISES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</row>
        <row r="189">
          <cell r="D189">
            <v>300408</v>
          </cell>
          <cell r="E189" t="str">
            <v>Palina West NHS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</row>
        <row r="190">
          <cell r="D190">
            <v>500596</v>
          </cell>
          <cell r="E190" t="str">
            <v>Lungog Integrated School</v>
          </cell>
          <cell r="F190">
            <v>1</v>
          </cell>
          <cell r="G190">
            <v>0</v>
          </cell>
          <cell r="H190">
            <v>1</v>
          </cell>
          <cell r="I190">
            <v>0</v>
          </cell>
          <cell r="J190">
            <v>1</v>
          </cell>
          <cell r="K190">
            <v>0</v>
          </cell>
          <cell r="L190">
            <v>0</v>
          </cell>
          <cell r="M190">
            <v>0</v>
          </cell>
          <cell r="N190">
            <v>1</v>
          </cell>
          <cell r="O190">
            <v>43613</v>
          </cell>
          <cell r="P190">
            <v>43614</v>
          </cell>
          <cell r="Q190">
            <v>0</v>
          </cell>
          <cell r="R190">
            <v>1</v>
          </cell>
          <cell r="S190">
            <v>0</v>
          </cell>
          <cell r="T190">
            <v>0</v>
          </cell>
          <cell r="U190">
            <v>0</v>
          </cell>
          <cell r="V190">
            <v>1</v>
          </cell>
          <cell r="W190">
            <v>1</v>
          </cell>
          <cell r="X190">
            <v>1</v>
          </cell>
          <cell r="Y190">
            <v>1</v>
          </cell>
        </row>
        <row r="191">
          <cell r="D191">
            <v>300008</v>
          </cell>
          <cell r="E191" t="str">
            <v>Caestebanan NHS</v>
          </cell>
          <cell r="F191">
            <v>1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</row>
        <row r="192">
          <cell r="D192">
            <v>320814</v>
          </cell>
          <cell r="E192" t="str">
            <v>Paoay National High School</v>
          </cell>
          <cell r="F192">
            <v>0</v>
          </cell>
          <cell r="G192">
            <v>0</v>
          </cell>
          <cell r="H192">
            <v>1</v>
          </cell>
          <cell r="I192">
            <v>0</v>
          </cell>
          <cell r="J192">
            <v>1</v>
          </cell>
          <cell r="K192">
            <v>0</v>
          </cell>
          <cell r="L192">
            <v>0</v>
          </cell>
          <cell r="M192">
            <v>0</v>
          </cell>
          <cell r="N192">
            <v>1</v>
          </cell>
          <cell r="O192">
            <v>43617</v>
          </cell>
          <cell r="P192">
            <v>43617</v>
          </cell>
          <cell r="Q192">
            <v>0</v>
          </cell>
          <cell r="R192">
            <v>0</v>
          </cell>
          <cell r="S192">
            <v>1</v>
          </cell>
          <cell r="T192">
            <v>0</v>
          </cell>
          <cell r="U192">
            <v>0</v>
          </cell>
          <cell r="V192">
            <v>1</v>
          </cell>
          <cell r="W192">
            <v>0</v>
          </cell>
          <cell r="X192">
            <v>0</v>
          </cell>
          <cell r="Y192">
            <v>0</v>
          </cell>
        </row>
        <row r="193">
          <cell r="D193">
            <v>500592</v>
          </cell>
          <cell r="E193" t="str">
            <v>Pandan IS</v>
          </cell>
          <cell r="F193">
            <v>1</v>
          </cell>
          <cell r="G193">
            <v>1</v>
          </cell>
          <cell r="H193">
            <v>1</v>
          </cell>
          <cell r="I193">
            <v>0</v>
          </cell>
          <cell r="J193">
            <v>1</v>
          </cell>
          <cell r="K193">
            <v>0</v>
          </cell>
          <cell r="L193">
            <v>0</v>
          </cell>
          <cell r="M193">
            <v>0</v>
          </cell>
          <cell r="N193">
            <v>1</v>
          </cell>
          <cell r="O193">
            <v>0</v>
          </cell>
          <cell r="P193">
            <v>43640</v>
          </cell>
          <cell r="Q193">
            <v>1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0</v>
          </cell>
          <cell r="X193">
            <v>0</v>
          </cell>
          <cell r="Y193">
            <v>0</v>
          </cell>
        </row>
        <row r="194">
          <cell r="D194">
            <v>300203</v>
          </cell>
          <cell r="E194" t="str">
            <v>Estanza NHS</v>
          </cell>
          <cell r="F194">
            <v>1</v>
          </cell>
          <cell r="G194">
            <v>1</v>
          </cell>
          <cell r="H194">
            <v>1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1</v>
          </cell>
          <cell r="O194">
            <v>43711</v>
          </cell>
          <cell r="P194">
            <v>43761</v>
          </cell>
          <cell r="Q194">
            <v>1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1</v>
          </cell>
          <cell r="W194">
            <v>0</v>
          </cell>
          <cell r="X194">
            <v>0</v>
          </cell>
          <cell r="Y194">
            <v>0</v>
          </cell>
        </row>
        <row r="195">
          <cell r="D195">
            <v>300010</v>
          </cell>
          <cell r="E195" t="str">
            <v>Caribquib NHS</v>
          </cell>
          <cell r="F195">
            <v>1</v>
          </cell>
          <cell r="G195">
            <v>1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1</v>
          </cell>
          <cell r="M195" t="str">
            <v>if needed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</row>
        <row r="196">
          <cell r="D196">
            <v>300334</v>
          </cell>
          <cell r="E196" t="str">
            <v>Piaz National High School</v>
          </cell>
          <cell r="F196">
            <v>1</v>
          </cell>
          <cell r="G196">
            <v>0</v>
          </cell>
          <cell r="H196">
            <v>1</v>
          </cell>
          <cell r="I196">
            <v>0</v>
          </cell>
          <cell r="J196">
            <v>0</v>
          </cell>
          <cell r="K196">
            <v>1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</row>
        <row r="197">
          <cell r="D197">
            <v>321007</v>
          </cell>
          <cell r="E197" t="str">
            <v>Manga National High School</v>
          </cell>
          <cell r="F197">
            <v>1</v>
          </cell>
          <cell r="G197">
            <v>0</v>
          </cell>
          <cell r="H197">
            <v>1</v>
          </cell>
          <cell r="I197">
            <v>0</v>
          </cell>
          <cell r="J197">
            <v>0</v>
          </cell>
          <cell r="K197">
            <v>1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1</v>
          </cell>
          <cell r="U197" t="str">
            <v>Not Applicable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</row>
        <row r="198">
          <cell r="D198">
            <v>300165</v>
          </cell>
          <cell r="E198" t="str">
            <v>Bani NHS</v>
          </cell>
          <cell r="F198">
            <v>1</v>
          </cell>
          <cell r="G198">
            <v>1</v>
          </cell>
          <cell r="H198">
            <v>1</v>
          </cell>
          <cell r="I198">
            <v>0</v>
          </cell>
          <cell r="J198">
            <v>0</v>
          </cell>
          <cell r="K198">
            <v>1</v>
          </cell>
          <cell r="L198">
            <v>0</v>
          </cell>
          <cell r="M198">
            <v>0</v>
          </cell>
          <cell r="N198">
            <v>1</v>
          </cell>
          <cell r="O198" t="str">
            <v>September 9, 2019</v>
          </cell>
          <cell r="P198">
            <v>0</v>
          </cell>
          <cell r="Q198">
            <v>1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</row>
        <row r="199">
          <cell r="D199">
            <v>300216</v>
          </cell>
          <cell r="E199" t="str">
            <v>Lunec National High School</v>
          </cell>
          <cell r="F199">
            <v>1</v>
          </cell>
          <cell r="G199">
            <v>1</v>
          </cell>
          <cell r="H199">
            <v>1</v>
          </cell>
          <cell r="I199">
            <v>0</v>
          </cell>
          <cell r="J199">
            <v>0</v>
          </cell>
          <cell r="K199">
            <v>1</v>
          </cell>
          <cell r="L199">
            <v>0</v>
          </cell>
          <cell r="M199">
            <v>0</v>
          </cell>
          <cell r="N199">
            <v>1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1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</row>
        <row r="200">
          <cell r="D200">
            <v>500007</v>
          </cell>
          <cell r="E200" t="str">
            <v>Catablan IS</v>
          </cell>
          <cell r="F200">
            <v>1</v>
          </cell>
          <cell r="G200">
            <v>1</v>
          </cell>
          <cell r="H200">
            <v>1</v>
          </cell>
          <cell r="I200">
            <v>0</v>
          </cell>
          <cell r="J200">
            <v>1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D201">
            <v>300035</v>
          </cell>
          <cell r="E201" t="str">
            <v>SAN JUAN NHS</v>
          </cell>
          <cell r="F201">
            <v>1</v>
          </cell>
          <cell r="G201">
            <v>0</v>
          </cell>
          <cell r="H201">
            <v>1</v>
          </cell>
          <cell r="I201">
            <v>0</v>
          </cell>
          <cell r="J201">
            <v>1</v>
          </cell>
          <cell r="K201">
            <v>0</v>
          </cell>
          <cell r="L201">
            <v>0</v>
          </cell>
          <cell r="M201">
            <v>0</v>
          </cell>
          <cell r="N201">
            <v>1</v>
          </cell>
          <cell r="O201" t="str">
            <v>AUGUST 3, 2018</v>
          </cell>
          <cell r="P201">
            <v>0</v>
          </cell>
          <cell r="Q201">
            <v>0</v>
          </cell>
          <cell r="R201">
            <v>1</v>
          </cell>
          <cell r="S201">
            <v>0</v>
          </cell>
          <cell r="T201">
            <v>0</v>
          </cell>
          <cell r="U201" t="str">
            <v>MAY 26, 2019</v>
          </cell>
          <cell r="V201">
            <v>1</v>
          </cell>
          <cell r="W201">
            <v>0</v>
          </cell>
          <cell r="X201">
            <v>2</v>
          </cell>
          <cell r="Y201">
            <v>0</v>
          </cell>
        </row>
        <row r="202">
          <cell r="D202">
            <v>300292</v>
          </cell>
          <cell r="E202" t="str">
            <v>Bulaoen East NHS</v>
          </cell>
          <cell r="F202">
            <v>0</v>
          </cell>
          <cell r="G202">
            <v>0</v>
          </cell>
          <cell r="H202">
            <v>1</v>
          </cell>
          <cell r="I202">
            <v>0</v>
          </cell>
          <cell r="J202">
            <v>0</v>
          </cell>
          <cell r="K202">
            <v>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1</v>
          </cell>
          <cell r="T202">
            <v>0</v>
          </cell>
          <cell r="U202">
            <v>0</v>
          </cell>
          <cell r="V202">
            <v>1</v>
          </cell>
          <cell r="W202">
            <v>0</v>
          </cell>
          <cell r="X202">
            <v>0</v>
          </cell>
          <cell r="Y202">
            <v>0</v>
          </cell>
        </row>
        <row r="203">
          <cell r="D203">
            <v>300393</v>
          </cell>
          <cell r="E203" t="str">
            <v>Bactad East NHS</v>
          </cell>
          <cell r="F203">
            <v>1</v>
          </cell>
          <cell r="G203">
            <v>1</v>
          </cell>
          <cell r="H203">
            <v>1</v>
          </cell>
          <cell r="I203">
            <v>0</v>
          </cell>
          <cell r="J203">
            <v>1</v>
          </cell>
          <cell r="K203">
            <v>0</v>
          </cell>
          <cell r="L203">
            <v>0</v>
          </cell>
          <cell r="M203">
            <v>0</v>
          </cell>
          <cell r="N203">
            <v>1</v>
          </cell>
          <cell r="O203">
            <v>43644</v>
          </cell>
          <cell r="P203">
            <v>43441</v>
          </cell>
          <cell r="Q203">
            <v>0</v>
          </cell>
          <cell r="R203">
            <v>0</v>
          </cell>
          <cell r="S203">
            <v>1</v>
          </cell>
          <cell r="T203">
            <v>0</v>
          </cell>
          <cell r="U203">
            <v>0</v>
          </cell>
          <cell r="V203">
            <v>1</v>
          </cell>
          <cell r="W203">
            <v>0</v>
          </cell>
          <cell r="X203">
            <v>0</v>
          </cell>
          <cell r="Y203">
            <v>0</v>
          </cell>
        </row>
        <row r="204">
          <cell r="D204">
            <v>300159</v>
          </cell>
          <cell r="E204" t="str">
            <v>Arnedo NHS</v>
          </cell>
          <cell r="F204">
            <v>1</v>
          </cell>
          <cell r="G204">
            <v>1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1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1</v>
          </cell>
          <cell r="U204" t="str">
            <v>NEVER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D205">
            <v>300339</v>
          </cell>
          <cell r="E205" t="str">
            <v>Rajal Angayan NHS</v>
          </cell>
          <cell r="F205">
            <v>1</v>
          </cell>
          <cell r="G205">
            <v>1</v>
          </cell>
          <cell r="H205">
            <v>1</v>
          </cell>
          <cell r="I205">
            <v>0</v>
          </cell>
          <cell r="J205">
            <v>0</v>
          </cell>
          <cell r="K205">
            <v>1</v>
          </cell>
          <cell r="L205">
            <v>0</v>
          </cell>
          <cell r="M205">
            <v>0</v>
          </cell>
          <cell r="N205">
            <v>1</v>
          </cell>
          <cell r="O205" t="str">
            <v>10/14/2019</v>
          </cell>
          <cell r="P205">
            <v>0</v>
          </cell>
          <cell r="Q205">
            <v>0</v>
          </cell>
          <cell r="R205">
            <v>0</v>
          </cell>
          <cell r="S205">
            <v>1</v>
          </cell>
          <cell r="T205">
            <v>0</v>
          </cell>
          <cell r="U205">
            <v>0</v>
          </cell>
          <cell r="V205">
            <v>1</v>
          </cell>
          <cell r="W205">
            <v>0</v>
          </cell>
          <cell r="X205">
            <v>0</v>
          </cell>
          <cell r="Y205">
            <v>0</v>
          </cell>
        </row>
        <row r="206">
          <cell r="D206">
            <v>300195</v>
          </cell>
          <cell r="E206" t="str">
            <v>Domingo P. Boquiren NHS</v>
          </cell>
          <cell r="F206">
            <v>1</v>
          </cell>
          <cell r="G206">
            <v>1</v>
          </cell>
          <cell r="H206">
            <v>1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D207">
            <v>320801</v>
          </cell>
          <cell r="E207" t="str">
            <v>BANBAN NHS</v>
          </cell>
          <cell r="F207">
            <v>1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D208">
            <v>300238</v>
          </cell>
          <cell r="E208" t="str">
            <v>Pilar NHS</v>
          </cell>
          <cell r="F208">
            <v>1</v>
          </cell>
          <cell r="G208">
            <v>1</v>
          </cell>
          <cell r="H208">
            <v>1</v>
          </cell>
          <cell r="I208">
            <v>0</v>
          </cell>
          <cell r="J208">
            <v>1</v>
          </cell>
          <cell r="K208">
            <v>0</v>
          </cell>
          <cell r="L208">
            <v>0</v>
          </cell>
          <cell r="M208">
            <v>0</v>
          </cell>
          <cell r="N208">
            <v>1</v>
          </cell>
          <cell r="O208">
            <v>43745</v>
          </cell>
          <cell r="P208">
            <v>43745</v>
          </cell>
          <cell r="Q208">
            <v>1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</row>
        <row r="209">
          <cell r="D209">
            <v>500348</v>
          </cell>
          <cell r="E209" t="str">
            <v>San Vicente IS</v>
          </cell>
          <cell r="F209">
            <v>1</v>
          </cell>
          <cell r="G209">
            <v>0</v>
          </cell>
          <cell r="H209">
            <v>1</v>
          </cell>
          <cell r="I209">
            <v>0</v>
          </cell>
          <cell r="J209">
            <v>0</v>
          </cell>
          <cell r="K209">
            <v>1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1</v>
          </cell>
          <cell r="U209" t="str">
            <v>as the need arises</v>
          </cell>
          <cell r="V209">
            <v>0</v>
          </cell>
          <cell r="W209">
            <v>2</v>
          </cell>
          <cell r="X209">
            <v>0</v>
          </cell>
          <cell r="Y209">
            <v>1</v>
          </cell>
        </row>
        <row r="210">
          <cell r="D210">
            <v>500599</v>
          </cell>
          <cell r="E210" t="str">
            <v>Libtong Integrated Sch.</v>
          </cell>
          <cell r="F210">
            <v>1</v>
          </cell>
          <cell r="G210">
            <v>1</v>
          </cell>
          <cell r="H210">
            <v>1</v>
          </cell>
          <cell r="I210">
            <v>0</v>
          </cell>
          <cell r="J210">
            <v>1</v>
          </cell>
          <cell r="K210">
            <v>0</v>
          </cell>
          <cell r="L210">
            <v>0</v>
          </cell>
          <cell r="M210">
            <v>0</v>
          </cell>
          <cell r="N210">
            <v>1</v>
          </cell>
          <cell r="O210" t="str">
            <v>7/16/2019</v>
          </cell>
          <cell r="P210" t="str">
            <v>7/16/2019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</row>
        <row r="211">
          <cell r="D211">
            <v>500609</v>
          </cell>
          <cell r="E211" t="str">
            <v>Barlo Integrated School</v>
          </cell>
          <cell r="F211">
            <v>1</v>
          </cell>
          <cell r="G211">
            <v>1</v>
          </cell>
          <cell r="H211">
            <v>0</v>
          </cell>
          <cell r="I211">
            <v>0</v>
          </cell>
          <cell r="J211">
            <v>1</v>
          </cell>
          <cell r="K211">
            <v>0</v>
          </cell>
          <cell r="L211">
            <v>0</v>
          </cell>
          <cell r="M211">
            <v>0</v>
          </cell>
          <cell r="N211">
            <v>1</v>
          </cell>
          <cell r="O211">
            <v>0</v>
          </cell>
          <cell r="P211">
            <v>0</v>
          </cell>
          <cell r="Q211">
            <v>0</v>
          </cell>
          <cell r="R211">
            <v>1</v>
          </cell>
          <cell r="S211">
            <v>0</v>
          </cell>
          <cell r="T211">
            <v>0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</row>
        <row r="212">
          <cell r="D212">
            <v>300077</v>
          </cell>
          <cell r="E212" t="str">
            <v>Santa Maria National High School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</row>
        <row r="213">
          <cell r="D213">
            <v>300016</v>
          </cell>
          <cell r="E213" t="str">
            <v>Piddig National High School</v>
          </cell>
          <cell r="F213">
            <v>1</v>
          </cell>
          <cell r="G213">
            <v>1</v>
          </cell>
          <cell r="H213">
            <v>1</v>
          </cell>
          <cell r="I213">
            <v>0</v>
          </cell>
          <cell r="J213">
            <v>1</v>
          </cell>
          <cell r="K213">
            <v>0</v>
          </cell>
          <cell r="L213">
            <v>0</v>
          </cell>
          <cell r="M213">
            <v>0</v>
          </cell>
          <cell r="N213">
            <v>1</v>
          </cell>
          <cell r="O213" t="str">
            <v>07/19/2018</v>
          </cell>
          <cell r="P213" t="str">
            <v>07/19/2018</v>
          </cell>
          <cell r="Q213">
            <v>0</v>
          </cell>
          <cell r="R213">
            <v>1</v>
          </cell>
          <cell r="S213">
            <v>0</v>
          </cell>
          <cell r="T213">
            <v>1</v>
          </cell>
          <cell r="U213" t="str">
            <v>Everyday</v>
          </cell>
          <cell r="V213">
            <v>1</v>
          </cell>
          <cell r="W213">
            <v>4</v>
          </cell>
          <cell r="X213">
            <v>0</v>
          </cell>
          <cell r="Y213">
            <v>0</v>
          </cell>
        </row>
        <row r="214">
          <cell r="D214">
            <v>300181</v>
          </cell>
          <cell r="E214" t="str">
            <v>Cabayaoasan NHS</v>
          </cell>
          <cell r="F214">
            <v>1</v>
          </cell>
          <cell r="G214">
            <v>0</v>
          </cell>
          <cell r="H214">
            <v>1</v>
          </cell>
          <cell r="I214">
            <v>0</v>
          </cell>
          <cell r="J214">
            <v>1</v>
          </cell>
          <cell r="K214">
            <v>0</v>
          </cell>
          <cell r="L214">
            <v>0</v>
          </cell>
          <cell r="M214">
            <v>0</v>
          </cell>
          <cell r="N214">
            <v>1</v>
          </cell>
          <cell r="O214" t="str">
            <v>06/19/2019</v>
          </cell>
          <cell r="P214">
            <v>0</v>
          </cell>
          <cell r="Q214">
            <v>1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</row>
        <row r="215">
          <cell r="D215">
            <v>500386</v>
          </cell>
          <cell r="E215" t="str">
            <v>Lumayao Integrated School</v>
          </cell>
          <cell r="F215">
            <v>1</v>
          </cell>
          <cell r="G215">
            <v>0</v>
          </cell>
          <cell r="H215">
            <v>1</v>
          </cell>
          <cell r="I215">
            <v>0</v>
          </cell>
          <cell r="J215">
            <v>1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1</v>
          </cell>
          <cell r="W215">
            <v>0</v>
          </cell>
          <cell r="X215">
            <v>0</v>
          </cell>
          <cell r="Y215">
            <v>0</v>
          </cell>
        </row>
        <row r="216">
          <cell r="D216">
            <v>300064</v>
          </cell>
          <cell r="E216" t="str">
            <v>Pagangpang NHS</v>
          </cell>
          <cell r="F216">
            <v>1</v>
          </cell>
          <cell r="G216">
            <v>0</v>
          </cell>
          <cell r="H216">
            <v>1</v>
          </cell>
          <cell r="I216">
            <v>0</v>
          </cell>
          <cell r="J216">
            <v>0</v>
          </cell>
          <cell r="K216">
            <v>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</row>
        <row r="217">
          <cell r="D217">
            <v>300060</v>
          </cell>
          <cell r="E217" t="str">
            <v>Naglaoa-an NHS</v>
          </cell>
          <cell r="F217">
            <v>1</v>
          </cell>
          <cell r="G217">
            <v>1</v>
          </cell>
          <cell r="H217">
            <v>1</v>
          </cell>
          <cell r="I217">
            <v>0</v>
          </cell>
          <cell r="J217">
            <v>0</v>
          </cell>
          <cell r="K217">
            <v>1</v>
          </cell>
          <cell r="L217">
            <v>0</v>
          </cell>
          <cell r="M217">
            <v>0</v>
          </cell>
          <cell r="N217">
            <v>1</v>
          </cell>
          <cell r="O217">
            <v>43624</v>
          </cell>
          <cell r="P217">
            <v>43624</v>
          </cell>
          <cell r="Q217">
            <v>0</v>
          </cell>
          <cell r="R217">
            <v>0</v>
          </cell>
          <cell r="S217">
            <v>0</v>
          </cell>
          <cell r="T217">
            <v>1</v>
          </cell>
          <cell r="U217" t="str">
            <v>AS NEED ARISES</v>
          </cell>
          <cell r="V217">
            <v>1</v>
          </cell>
          <cell r="W217">
            <v>0</v>
          </cell>
          <cell r="X217">
            <v>0</v>
          </cell>
          <cell r="Y217">
            <v>0</v>
          </cell>
        </row>
        <row r="218">
          <cell r="D218">
            <v>300167</v>
          </cell>
          <cell r="E218" t="str">
            <v>Basista NHS</v>
          </cell>
          <cell r="F218">
            <v>1</v>
          </cell>
          <cell r="G218">
            <v>1</v>
          </cell>
          <cell r="H218">
            <v>1</v>
          </cell>
          <cell r="I218">
            <v>0</v>
          </cell>
          <cell r="J218">
            <v>1</v>
          </cell>
          <cell r="K218">
            <v>0</v>
          </cell>
          <cell r="L218">
            <v>0</v>
          </cell>
          <cell r="M218">
            <v>0</v>
          </cell>
          <cell r="N218">
            <v>1</v>
          </cell>
          <cell r="O218" t="str">
            <v>0CTOBER 26, 2019</v>
          </cell>
          <cell r="P218">
            <v>43728</v>
          </cell>
          <cell r="Q218">
            <v>1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1</v>
          </cell>
          <cell r="W218">
            <v>5</v>
          </cell>
          <cell r="X218">
            <v>3</v>
          </cell>
          <cell r="Y218">
            <v>2</v>
          </cell>
        </row>
        <row r="219">
          <cell r="D219">
            <v>300288</v>
          </cell>
          <cell r="E219" t="str">
            <v>Bersamin Agro-Industrial HS</v>
          </cell>
          <cell r="F219">
            <v>1</v>
          </cell>
          <cell r="G219">
            <v>1</v>
          </cell>
          <cell r="H219">
            <v>1</v>
          </cell>
          <cell r="I219">
            <v>0</v>
          </cell>
          <cell r="J219">
            <v>1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1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4</v>
          </cell>
          <cell r="X219">
            <v>0</v>
          </cell>
          <cell r="Y219">
            <v>0</v>
          </cell>
        </row>
        <row r="220">
          <cell r="D220">
            <v>300057</v>
          </cell>
          <cell r="E220" t="str">
            <v>Magsingal NHS</v>
          </cell>
          <cell r="F220">
            <v>1</v>
          </cell>
          <cell r="G220">
            <v>1</v>
          </cell>
          <cell r="H220">
            <v>1</v>
          </cell>
          <cell r="I220">
            <v>0</v>
          </cell>
          <cell r="J220">
            <v>0</v>
          </cell>
          <cell r="K220">
            <v>0</v>
          </cell>
          <cell r="L220">
            <v>1</v>
          </cell>
          <cell r="M220" t="str">
            <v>as the need arises</v>
          </cell>
          <cell r="N220">
            <v>1</v>
          </cell>
          <cell r="O220" t="str">
            <v>June 7,2019</v>
          </cell>
          <cell r="P220">
            <v>0</v>
          </cell>
          <cell r="Q220">
            <v>1</v>
          </cell>
          <cell r="R220">
            <v>0</v>
          </cell>
          <cell r="S220">
            <v>0</v>
          </cell>
          <cell r="T220">
            <v>1</v>
          </cell>
          <cell r="U220">
            <v>0</v>
          </cell>
          <cell r="V220">
            <v>1</v>
          </cell>
          <cell r="W220">
            <v>0</v>
          </cell>
          <cell r="X220">
            <v>0</v>
          </cell>
          <cell r="Y220">
            <v>0</v>
          </cell>
        </row>
        <row r="221">
          <cell r="D221">
            <v>300078</v>
          </cell>
          <cell r="E221" t="str">
            <v>Santiago NHS</v>
          </cell>
          <cell r="F221">
            <v>1</v>
          </cell>
          <cell r="G221">
            <v>1</v>
          </cell>
          <cell r="H221">
            <v>0</v>
          </cell>
          <cell r="I221">
            <v>0</v>
          </cell>
          <cell r="J221">
            <v>1</v>
          </cell>
          <cell r="K221">
            <v>0</v>
          </cell>
          <cell r="L221">
            <v>0</v>
          </cell>
          <cell r="M221">
            <v>0</v>
          </cell>
          <cell r="N221">
            <v>1</v>
          </cell>
          <cell r="O221" t="str">
            <v>July 5,2019</v>
          </cell>
          <cell r="P221" t="str">
            <v>July 19, 2019</v>
          </cell>
          <cell r="Q221">
            <v>0</v>
          </cell>
          <cell r="R221">
            <v>1</v>
          </cell>
          <cell r="S221">
            <v>0</v>
          </cell>
          <cell r="T221">
            <v>0</v>
          </cell>
          <cell r="U221">
            <v>0</v>
          </cell>
          <cell r="V221">
            <v>1</v>
          </cell>
          <cell r="W221">
            <v>3</v>
          </cell>
          <cell r="X221">
            <v>3</v>
          </cell>
          <cell r="Y221">
            <v>3</v>
          </cell>
        </row>
        <row r="222">
          <cell r="D222">
            <v>300289</v>
          </cell>
          <cell r="E222" t="str">
            <v>Binday NHS</v>
          </cell>
          <cell r="F222">
            <v>1</v>
          </cell>
          <cell r="G222">
            <v>1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1</v>
          </cell>
          <cell r="O222">
            <v>43719</v>
          </cell>
          <cell r="P222">
            <v>43719</v>
          </cell>
          <cell r="Q222">
            <v>0</v>
          </cell>
          <cell r="R222">
            <v>1</v>
          </cell>
          <cell r="S222">
            <v>0</v>
          </cell>
          <cell r="T222">
            <v>0</v>
          </cell>
          <cell r="U222">
            <v>0</v>
          </cell>
          <cell r="V222">
            <v>1</v>
          </cell>
          <cell r="W222">
            <v>0</v>
          </cell>
          <cell r="X222">
            <v>0</v>
          </cell>
          <cell r="Y222">
            <v>0</v>
          </cell>
        </row>
        <row r="223">
          <cell r="D223">
            <v>300069</v>
          </cell>
          <cell r="E223" t="str">
            <v>Puro NHS, Magsingal</v>
          </cell>
          <cell r="F223">
            <v>1</v>
          </cell>
          <cell r="G223">
            <v>1</v>
          </cell>
          <cell r="H223">
            <v>1</v>
          </cell>
          <cell r="I223">
            <v>0</v>
          </cell>
          <cell r="J223">
            <v>1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 t="str">
            <v>N/A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</row>
        <row r="224">
          <cell r="D224">
            <v>300336</v>
          </cell>
          <cell r="E224" t="str">
            <v>Pindangan NHS (Sison)</v>
          </cell>
          <cell r="F224">
            <v>0</v>
          </cell>
          <cell r="G224">
            <v>0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1</v>
          </cell>
          <cell r="S224">
            <v>0</v>
          </cell>
          <cell r="T224">
            <v>0</v>
          </cell>
          <cell r="U224">
            <v>0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</row>
        <row r="225">
          <cell r="D225">
            <v>300120</v>
          </cell>
          <cell r="E225" t="str">
            <v>Luna National High School</v>
          </cell>
          <cell r="F225">
            <v>1</v>
          </cell>
          <cell r="G225">
            <v>1</v>
          </cell>
          <cell r="H225">
            <v>1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1</v>
          </cell>
          <cell r="O225">
            <v>43630</v>
          </cell>
          <cell r="P225">
            <v>0</v>
          </cell>
          <cell r="Q225">
            <v>0</v>
          </cell>
          <cell r="R225">
            <v>1</v>
          </cell>
          <cell r="S225">
            <v>0</v>
          </cell>
          <cell r="T225">
            <v>0</v>
          </cell>
          <cell r="U225">
            <v>0</v>
          </cell>
          <cell r="V225">
            <v>1</v>
          </cell>
          <cell r="W225">
            <v>0</v>
          </cell>
          <cell r="X225">
            <v>0</v>
          </cell>
          <cell r="Y225">
            <v>0</v>
          </cell>
        </row>
        <row r="226">
          <cell r="D226">
            <v>300185</v>
          </cell>
          <cell r="E226" t="str">
            <v>Camaley NHS</v>
          </cell>
          <cell r="F226">
            <v>1</v>
          </cell>
          <cell r="G226">
            <v>1</v>
          </cell>
          <cell r="H226">
            <v>1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1</v>
          </cell>
          <cell r="O226" t="str">
            <v>july and August</v>
          </cell>
          <cell r="P226">
            <v>0</v>
          </cell>
          <cell r="Q226">
            <v>0</v>
          </cell>
          <cell r="R226">
            <v>1</v>
          </cell>
          <cell r="S226">
            <v>0</v>
          </cell>
          <cell r="T226">
            <v>0</v>
          </cell>
          <cell r="U226">
            <v>0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</row>
        <row r="227">
          <cell r="D227">
            <v>300018</v>
          </cell>
          <cell r="E227" t="str">
            <v>Ilocos Norte Agricultural College</v>
          </cell>
          <cell r="F227">
            <v>1</v>
          </cell>
          <cell r="G227">
            <v>1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</row>
        <row r="228">
          <cell r="D228">
            <v>300014</v>
          </cell>
          <cell r="E228" t="str">
            <v>Davila National High School</v>
          </cell>
          <cell r="F228">
            <v>0</v>
          </cell>
          <cell r="G228">
            <v>0</v>
          </cell>
          <cell r="H228">
            <v>1</v>
          </cell>
          <cell r="I228">
            <v>0</v>
          </cell>
          <cell r="J228">
            <v>1</v>
          </cell>
          <cell r="K228">
            <v>0</v>
          </cell>
          <cell r="L228">
            <v>0</v>
          </cell>
          <cell r="M228">
            <v>0</v>
          </cell>
          <cell r="N228">
            <v>1</v>
          </cell>
          <cell r="O228">
            <v>43257</v>
          </cell>
          <cell r="P228">
            <v>0</v>
          </cell>
          <cell r="Q228">
            <v>1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</row>
        <row r="229">
          <cell r="D229">
            <v>500354</v>
          </cell>
          <cell r="E229" t="str">
            <v>Bungro-Sucoc Integrated School</v>
          </cell>
          <cell r="F229">
            <v>1</v>
          </cell>
          <cell r="G229">
            <v>1</v>
          </cell>
          <cell r="H229">
            <v>1</v>
          </cell>
          <cell r="I229">
            <v>0</v>
          </cell>
          <cell r="J229">
            <v>0</v>
          </cell>
          <cell r="K229">
            <v>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</row>
        <row r="230">
          <cell r="D230">
            <v>300095</v>
          </cell>
          <cell r="E230" t="str">
            <v>Bacnotan NHS</v>
          </cell>
          <cell r="F230">
            <v>1</v>
          </cell>
          <cell r="G230">
            <v>1</v>
          </cell>
          <cell r="H230">
            <v>0</v>
          </cell>
          <cell r="I230">
            <v>1</v>
          </cell>
          <cell r="J230">
            <v>1</v>
          </cell>
          <cell r="K230">
            <v>0</v>
          </cell>
          <cell r="L230">
            <v>0</v>
          </cell>
          <cell r="M230">
            <v>0</v>
          </cell>
          <cell r="N230">
            <v>1</v>
          </cell>
          <cell r="O230">
            <v>43726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</v>
          </cell>
          <cell r="U230">
            <v>0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</row>
        <row r="231">
          <cell r="D231">
            <v>300141</v>
          </cell>
          <cell r="E231" t="str">
            <v>Santol Voc'l. HS - Liguay Annex</v>
          </cell>
          <cell r="F231">
            <v>1</v>
          </cell>
          <cell r="G231">
            <v>1</v>
          </cell>
          <cell r="H231">
            <v>1</v>
          </cell>
          <cell r="I231">
            <v>0</v>
          </cell>
          <cell r="J231">
            <v>1</v>
          </cell>
          <cell r="K231">
            <v>0</v>
          </cell>
          <cell r="L231">
            <v>0</v>
          </cell>
          <cell r="M231">
            <v>0</v>
          </cell>
          <cell r="N231">
            <v>1</v>
          </cell>
          <cell r="O231">
            <v>0</v>
          </cell>
          <cell r="P231">
            <v>0</v>
          </cell>
          <cell r="Q231">
            <v>0</v>
          </cell>
          <cell r="R231">
            <v>1</v>
          </cell>
          <cell r="S231">
            <v>0</v>
          </cell>
          <cell r="T231">
            <v>0</v>
          </cell>
          <cell r="U231">
            <v>0</v>
          </cell>
          <cell r="V231">
            <v>1</v>
          </cell>
          <cell r="W231">
            <v>1</v>
          </cell>
          <cell r="X231">
            <v>0</v>
          </cell>
          <cell r="Y231">
            <v>0</v>
          </cell>
        </row>
        <row r="232">
          <cell r="D232">
            <v>300101</v>
          </cell>
          <cell r="E232" t="str">
            <v>Bungol National High School</v>
          </cell>
          <cell r="F232">
            <v>1</v>
          </cell>
          <cell r="G232">
            <v>1</v>
          </cell>
          <cell r="H232">
            <v>1</v>
          </cell>
          <cell r="I232">
            <v>0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 t="str">
            <v>when need arises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</row>
        <row r="233">
          <cell r="D233">
            <v>300174</v>
          </cell>
          <cell r="E233" t="str">
            <v>Bogtong NHS</v>
          </cell>
          <cell r="F233">
            <v>1</v>
          </cell>
          <cell r="G233">
            <v>1</v>
          </cell>
          <cell r="H233">
            <v>1</v>
          </cell>
          <cell r="I233">
            <v>1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1</v>
          </cell>
          <cell r="O233">
            <v>0</v>
          </cell>
          <cell r="P233">
            <v>0</v>
          </cell>
          <cell r="Q233">
            <v>0</v>
          </cell>
          <cell r="R233">
            <v>1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</row>
        <row r="234">
          <cell r="D234">
            <v>300114</v>
          </cell>
          <cell r="E234" t="str">
            <v>DOÑA FRANCISCA LACSAMANA DE ORTEGA MEMORIAL NATIONAL HIGH SCHOOL</v>
          </cell>
          <cell r="F234">
            <v>1</v>
          </cell>
          <cell r="G234">
            <v>1</v>
          </cell>
          <cell r="H234">
            <v>1</v>
          </cell>
          <cell r="I234">
            <v>0</v>
          </cell>
          <cell r="J234">
            <v>0</v>
          </cell>
          <cell r="K234">
            <v>1</v>
          </cell>
          <cell r="L234">
            <v>0</v>
          </cell>
          <cell r="M234">
            <v>0</v>
          </cell>
          <cell r="N234">
            <v>1</v>
          </cell>
          <cell r="O234">
            <v>0</v>
          </cell>
          <cell r="P234">
            <v>0</v>
          </cell>
          <cell r="Q234">
            <v>1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</row>
        <row r="235">
          <cell r="D235">
            <v>500351</v>
          </cell>
          <cell r="E235" t="str">
            <v>Bitalag Integrated School</v>
          </cell>
          <cell r="F235">
            <v>1</v>
          </cell>
          <cell r="G235">
            <v>0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 t="str">
            <v>03/28/2019</v>
          </cell>
          <cell r="Q235">
            <v>0</v>
          </cell>
          <cell r="R235">
            <v>0</v>
          </cell>
          <cell r="S235">
            <v>1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D236">
            <v>300134</v>
          </cell>
          <cell r="E236" t="str">
            <v>San Francisco NHS</v>
          </cell>
          <cell r="F236">
            <v>0</v>
          </cell>
          <cell r="G236">
            <v>0</v>
          </cell>
          <cell r="H236">
            <v>1</v>
          </cell>
          <cell r="I236">
            <v>0</v>
          </cell>
          <cell r="J236">
            <v>0</v>
          </cell>
          <cell r="K236">
            <v>0</v>
          </cell>
          <cell r="L236">
            <v>1</v>
          </cell>
          <cell r="M236" t="str">
            <v>AS NEEDED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</row>
        <row r="237">
          <cell r="D237">
            <v>300032</v>
          </cell>
          <cell r="E237" t="str">
            <v>Ag-agrao NHS</v>
          </cell>
          <cell r="F237">
            <v>1</v>
          </cell>
          <cell r="G237">
            <v>1</v>
          </cell>
          <cell r="H237">
            <v>1</v>
          </cell>
          <cell r="I237">
            <v>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1</v>
          </cell>
          <cell r="O237">
            <v>43626</v>
          </cell>
          <cell r="P237">
            <v>0</v>
          </cell>
          <cell r="Q237">
            <v>1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1</v>
          </cell>
          <cell r="W237">
            <v>0</v>
          </cell>
          <cell r="X237">
            <v>0</v>
          </cell>
          <cell r="Y237">
            <v>0</v>
          </cell>
        </row>
        <row r="238">
          <cell r="D238">
            <v>300117</v>
          </cell>
          <cell r="E238" t="str">
            <v>Duplas NHS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</row>
        <row r="239">
          <cell r="D239">
            <v>300143</v>
          </cell>
          <cell r="E239" t="str">
            <v>SINAPANGAN NATIONAL HIGH SCHOOL</v>
          </cell>
          <cell r="F239">
            <v>0</v>
          </cell>
          <cell r="G239">
            <v>0</v>
          </cell>
          <cell r="H239">
            <v>1</v>
          </cell>
          <cell r="I239">
            <v>0</v>
          </cell>
          <cell r="J239">
            <v>1</v>
          </cell>
          <cell r="K239">
            <v>0</v>
          </cell>
          <cell r="L239">
            <v>0</v>
          </cell>
          <cell r="M239">
            <v>0</v>
          </cell>
          <cell r="N239">
            <v>1</v>
          </cell>
          <cell r="O239">
            <v>43617</v>
          </cell>
          <cell r="P239">
            <v>43617</v>
          </cell>
          <cell r="Q239">
            <v>1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D240">
            <v>300115</v>
          </cell>
          <cell r="E240" t="str">
            <v>CASACRISTO NATIONAL HIGH SCHOOL</v>
          </cell>
          <cell r="F240">
            <v>1</v>
          </cell>
          <cell r="G240">
            <v>1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1</v>
          </cell>
          <cell r="W240">
            <v>0</v>
          </cell>
          <cell r="X240">
            <v>0</v>
          </cell>
          <cell r="Y240">
            <v>0</v>
          </cell>
        </row>
        <row r="241">
          <cell r="D241">
            <v>300125</v>
          </cell>
          <cell r="E241" t="str">
            <v>Old Sudipen NHS</v>
          </cell>
          <cell r="F241">
            <v>1</v>
          </cell>
          <cell r="G241">
            <v>1</v>
          </cell>
          <cell r="H241">
            <v>0</v>
          </cell>
          <cell r="I241">
            <v>0</v>
          </cell>
          <cell r="J241">
            <v>0</v>
          </cell>
          <cell r="K241">
            <v>1</v>
          </cell>
          <cell r="L241">
            <v>0</v>
          </cell>
          <cell r="M241">
            <v>0</v>
          </cell>
          <cell r="N241">
            <v>1</v>
          </cell>
          <cell r="O241">
            <v>0</v>
          </cell>
          <cell r="P241">
            <v>0</v>
          </cell>
          <cell r="Q241">
            <v>0</v>
          </cell>
          <cell r="R241">
            <v>1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D242">
            <v>300103</v>
          </cell>
          <cell r="E242" t="str">
            <v>Butubut National High School</v>
          </cell>
          <cell r="F242">
            <v>1</v>
          </cell>
          <cell r="G242">
            <v>1</v>
          </cell>
          <cell r="H242">
            <v>1</v>
          </cell>
          <cell r="I242">
            <v>0</v>
          </cell>
          <cell r="J242">
            <v>1</v>
          </cell>
          <cell r="K242">
            <v>0</v>
          </cell>
          <cell r="L242">
            <v>0</v>
          </cell>
          <cell r="M242">
            <v>0</v>
          </cell>
          <cell r="N242">
            <v>1</v>
          </cell>
          <cell r="O242">
            <v>43609</v>
          </cell>
          <cell r="P242">
            <v>0</v>
          </cell>
          <cell r="Q242">
            <v>0</v>
          </cell>
          <cell r="R242">
            <v>1</v>
          </cell>
          <cell r="S242">
            <v>0</v>
          </cell>
          <cell r="T242">
            <v>0</v>
          </cell>
          <cell r="U242">
            <v>0</v>
          </cell>
          <cell r="V242">
            <v>1</v>
          </cell>
          <cell r="W242">
            <v>0</v>
          </cell>
          <cell r="X242">
            <v>0</v>
          </cell>
          <cell r="Y242">
            <v>0</v>
          </cell>
        </row>
        <row r="243">
          <cell r="D243">
            <v>300132</v>
          </cell>
          <cell r="E243" t="str">
            <v>Regional Science HS, La Union</v>
          </cell>
          <cell r="F243">
            <v>1</v>
          </cell>
          <cell r="G243">
            <v>1</v>
          </cell>
          <cell r="H243">
            <v>1</v>
          </cell>
          <cell r="I243">
            <v>0</v>
          </cell>
          <cell r="J243">
            <v>1</v>
          </cell>
          <cell r="K243">
            <v>0</v>
          </cell>
          <cell r="L243">
            <v>0</v>
          </cell>
          <cell r="M243">
            <v>0</v>
          </cell>
          <cell r="N243">
            <v>1</v>
          </cell>
          <cell r="O243">
            <v>43627</v>
          </cell>
          <cell r="P243">
            <v>43629</v>
          </cell>
          <cell r="Q243">
            <v>0</v>
          </cell>
          <cell r="R243">
            <v>1</v>
          </cell>
          <cell r="S243">
            <v>0</v>
          </cell>
          <cell r="T243">
            <v>0</v>
          </cell>
          <cell r="U243">
            <v>0</v>
          </cell>
          <cell r="V243">
            <v>1</v>
          </cell>
          <cell r="W243">
            <v>0</v>
          </cell>
          <cell r="X243">
            <v>0</v>
          </cell>
          <cell r="Y243">
            <v>0</v>
          </cell>
        </row>
        <row r="244">
          <cell r="D244">
            <v>300056</v>
          </cell>
          <cell r="E244" t="str">
            <v>Lussoc National High School</v>
          </cell>
          <cell r="F244">
            <v>1</v>
          </cell>
          <cell r="G244">
            <v>0</v>
          </cell>
          <cell r="H244">
            <v>1</v>
          </cell>
          <cell r="I244">
            <v>0</v>
          </cell>
          <cell r="J244">
            <v>1</v>
          </cell>
          <cell r="K244">
            <v>0</v>
          </cell>
          <cell r="L244">
            <v>0</v>
          </cell>
          <cell r="M244">
            <v>0</v>
          </cell>
          <cell r="N244">
            <v>1</v>
          </cell>
          <cell r="O244">
            <v>43637</v>
          </cell>
          <cell r="P244">
            <v>0</v>
          </cell>
          <cell r="Q244">
            <v>0</v>
          </cell>
          <cell r="R244">
            <v>1</v>
          </cell>
          <cell r="S244">
            <v>0</v>
          </cell>
          <cell r="T244">
            <v>0</v>
          </cell>
          <cell r="U244">
            <v>0</v>
          </cell>
          <cell r="V244">
            <v>1</v>
          </cell>
          <cell r="W244">
            <v>0</v>
          </cell>
          <cell r="X244">
            <v>0</v>
          </cell>
          <cell r="Y244">
            <v>0</v>
          </cell>
        </row>
        <row r="245">
          <cell r="D245">
            <v>300042</v>
          </cell>
          <cell r="E245" t="str">
            <v>Cabittaogan National High School</v>
          </cell>
          <cell r="F245">
            <v>1</v>
          </cell>
          <cell r="G245">
            <v>1</v>
          </cell>
          <cell r="H245">
            <v>1</v>
          </cell>
          <cell r="I245">
            <v>0</v>
          </cell>
          <cell r="J245">
            <v>1</v>
          </cell>
          <cell r="K245">
            <v>0</v>
          </cell>
          <cell r="L245">
            <v>0</v>
          </cell>
          <cell r="M245">
            <v>0</v>
          </cell>
          <cell r="N245">
            <v>1</v>
          </cell>
          <cell r="O245">
            <v>43665</v>
          </cell>
          <cell r="P245">
            <v>43740</v>
          </cell>
          <cell r="Q245">
            <v>1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1</v>
          </cell>
          <cell r="W245">
            <v>0</v>
          </cell>
          <cell r="X245">
            <v>0</v>
          </cell>
          <cell r="Y245">
            <v>0</v>
          </cell>
        </row>
        <row r="246">
          <cell r="D246">
            <v>300036</v>
          </cell>
          <cell r="E246" t="str">
            <v>Sugpon NHS</v>
          </cell>
          <cell r="F246">
            <v>0</v>
          </cell>
          <cell r="G246">
            <v>0</v>
          </cell>
          <cell r="H246">
            <v>1</v>
          </cell>
          <cell r="I246">
            <v>0</v>
          </cell>
          <cell r="J246">
            <v>0</v>
          </cell>
          <cell r="K246">
            <v>1</v>
          </cell>
          <cell r="L246">
            <v>0</v>
          </cell>
          <cell r="M246">
            <v>0</v>
          </cell>
          <cell r="N246">
            <v>0</v>
          </cell>
          <cell r="O246" t="str">
            <v>00/00/0000</v>
          </cell>
          <cell r="P246" t="str">
            <v>00/00/0000</v>
          </cell>
          <cell r="Q246">
            <v>0</v>
          </cell>
          <cell r="R246">
            <v>0</v>
          </cell>
          <cell r="S246">
            <v>1</v>
          </cell>
          <cell r="T246">
            <v>1</v>
          </cell>
          <cell r="U246">
            <v>0</v>
          </cell>
          <cell r="V246">
            <v>0</v>
          </cell>
          <cell r="W246">
            <v>0</v>
          </cell>
          <cell r="X246">
            <v>2</v>
          </cell>
          <cell r="Y246">
            <v>0</v>
          </cell>
        </row>
        <row r="247">
          <cell r="D247">
            <v>300033</v>
          </cell>
          <cell r="E247" t="str">
            <v>Alilem NHS (Alilem Daya HS)</v>
          </cell>
          <cell r="F247">
            <v>0</v>
          </cell>
          <cell r="G247">
            <v>0</v>
          </cell>
          <cell r="H247">
            <v>1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</row>
        <row r="248">
          <cell r="D248">
            <v>300034</v>
          </cell>
          <cell r="E248" t="str">
            <v>Amarao NHS</v>
          </cell>
          <cell r="F248">
            <v>1</v>
          </cell>
          <cell r="G248">
            <v>1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</row>
        <row r="249">
          <cell r="D249">
            <v>300361</v>
          </cell>
          <cell r="E249" t="str">
            <v>Sto. Tomas NHS</v>
          </cell>
          <cell r="F249">
            <v>0</v>
          </cell>
          <cell r="G249">
            <v>0</v>
          </cell>
          <cell r="H249">
            <v>1</v>
          </cell>
          <cell r="I249">
            <v>0</v>
          </cell>
          <cell r="J249">
            <v>0</v>
          </cell>
          <cell r="K249">
            <v>1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1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</row>
        <row r="250">
          <cell r="D250">
            <v>300276</v>
          </cell>
          <cell r="E250" t="str">
            <v>Arboleda NHS</v>
          </cell>
          <cell r="F250">
            <v>1</v>
          </cell>
          <cell r="G250">
            <v>1</v>
          </cell>
          <cell r="H250">
            <v>1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1</v>
          </cell>
          <cell r="O250">
            <v>43759</v>
          </cell>
          <cell r="P250">
            <v>43773</v>
          </cell>
          <cell r="Q250">
            <v>1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1</v>
          </cell>
          <cell r="W250">
            <v>0</v>
          </cell>
          <cell r="X250">
            <v>0</v>
          </cell>
          <cell r="Y250">
            <v>0</v>
          </cell>
        </row>
        <row r="251">
          <cell r="D251">
            <v>300164</v>
          </cell>
          <cell r="E251" t="str">
            <v>Bangan-Oda NHS</v>
          </cell>
          <cell r="F251">
            <v>1</v>
          </cell>
          <cell r="G251">
            <v>1</v>
          </cell>
          <cell r="H251">
            <v>1</v>
          </cell>
          <cell r="I251">
            <v>0</v>
          </cell>
          <cell r="J251">
            <v>0</v>
          </cell>
          <cell r="K251">
            <v>1</v>
          </cell>
          <cell r="L251">
            <v>0</v>
          </cell>
          <cell r="M251">
            <v>0</v>
          </cell>
          <cell r="N251">
            <v>1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1</v>
          </cell>
          <cell r="T251">
            <v>0</v>
          </cell>
          <cell r="U251">
            <v>0</v>
          </cell>
          <cell r="V251">
            <v>1</v>
          </cell>
          <cell r="W251">
            <v>0</v>
          </cell>
          <cell r="X251">
            <v>0</v>
          </cell>
          <cell r="Y251">
            <v>0</v>
          </cell>
        </row>
        <row r="252">
          <cell r="D252">
            <v>300071</v>
          </cell>
          <cell r="E252" t="str">
            <v>Rancho National High School</v>
          </cell>
          <cell r="F252">
            <v>0</v>
          </cell>
          <cell r="G252">
            <v>0</v>
          </cell>
          <cell r="H252">
            <v>1</v>
          </cell>
          <cell r="I252">
            <v>0</v>
          </cell>
          <cell r="J252">
            <v>0</v>
          </cell>
          <cell r="K252">
            <v>0</v>
          </cell>
          <cell r="L252">
            <v>1</v>
          </cell>
          <cell r="M252" t="str">
            <v>SELDOM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1</v>
          </cell>
          <cell r="U252" t="str">
            <v>SELDOM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</row>
        <row r="253">
          <cell r="D253">
            <v>500598</v>
          </cell>
          <cell r="E253" t="str">
            <v>KALUMSING INTEGRATED SCHOOL</v>
          </cell>
          <cell r="F253">
            <v>1</v>
          </cell>
          <cell r="G253">
            <v>1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1</v>
          </cell>
          <cell r="O253">
            <v>0</v>
          </cell>
          <cell r="P253" t="str">
            <v>06/29/2019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1</v>
          </cell>
          <cell r="W253">
            <v>3</v>
          </cell>
          <cell r="X253">
            <v>1</v>
          </cell>
          <cell r="Y253">
            <v>3</v>
          </cell>
        </row>
        <row r="254">
          <cell r="D254">
            <v>500624</v>
          </cell>
          <cell r="E254" t="str">
            <v>Tombod Integrated School</v>
          </cell>
          <cell r="F254">
            <v>1</v>
          </cell>
          <cell r="G254">
            <v>0</v>
          </cell>
          <cell r="H254">
            <v>1</v>
          </cell>
          <cell r="I254">
            <v>0</v>
          </cell>
          <cell r="J254">
            <v>1</v>
          </cell>
          <cell r="K254">
            <v>0</v>
          </cell>
          <cell r="L254">
            <v>0</v>
          </cell>
          <cell r="M254">
            <v>0</v>
          </cell>
          <cell r="N254">
            <v>1</v>
          </cell>
          <cell r="O254">
            <v>43777</v>
          </cell>
          <cell r="P254">
            <v>43777</v>
          </cell>
          <cell r="Q254">
            <v>0</v>
          </cell>
          <cell r="R254">
            <v>1</v>
          </cell>
          <cell r="S254">
            <v>0</v>
          </cell>
          <cell r="T254">
            <v>0</v>
          </cell>
          <cell r="U254">
            <v>0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</row>
        <row r="255">
          <cell r="D255">
            <v>300043</v>
          </cell>
          <cell r="E255" t="str">
            <v>Cabugao NHS</v>
          </cell>
          <cell r="F255">
            <v>1</v>
          </cell>
          <cell r="G255">
            <v>1</v>
          </cell>
          <cell r="H255">
            <v>1</v>
          </cell>
          <cell r="I255">
            <v>0</v>
          </cell>
          <cell r="J255">
            <v>0</v>
          </cell>
          <cell r="K255">
            <v>1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1</v>
          </cell>
          <cell r="S255">
            <v>0</v>
          </cell>
          <cell r="T255">
            <v>0</v>
          </cell>
          <cell r="U255">
            <v>0</v>
          </cell>
          <cell r="V255">
            <v>1</v>
          </cell>
          <cell r="W255">
            <v>0</v>
          </cell>
          <cell r="X255">
            <v>0</v>
          </cell>
          <cell r="Y255">
            <v>0</v>
          </cell>
        </row>
        <row r="256">
          <cell r="D256">
            <v>300279</v>
          </cell>
          <cell r="E256" t="str">
            <v>Alejandro F. Oligan HS (Asan Sur NHS)</v>
          </cell>
          <cell r="F256">
            <v>1</v>
          </cell>
          <cell r="G256">
            <v>1</v>
          </cell>
          <cell r="H256">
            <v>1</v>
          </cell>
          <cell r="I256">
            <v>0</v>
          </cell>
          <cell r="J256">
            <v>0</v>
          </cell>
          <cell r="K256">
            <v>1</v>
          </cell>
          <cell r="L256">
            <v>0</v>
          </cell>
          <cell r="M256">
            <v>0</v>
          </cell>
          <cell r="N256">
            <v>1</v>
          </cell>
          <cell r="O256">
            <v>43710</v>
          </cell>
          <cell r="P256">
            <v>43710</v>
          </cell>
          <cell r="Q256">
            <v>0</v>
          </cell>
          <cell r="R256">
            <v>0</v>
          </cell>
          <cell r="S256">
            <v>1</v>
          </cell>
          <cell r="T256">
            <v>0</v>
          </cell>
          <cell r="U256">
            <v>0</v>
          </cell>
          <cell r="V256">
            <v>1</v>
          </cell>
          <cell r="W256">
            <v>3</v>
          </cell>
          <cell r="X256">
            <v>3</v>
          </cell>
          <cell r="Y256">
            <v>3</v>
          </cell>
        </row>
        <row r="257">
          <cell r="D257">
            <v>300359</v>
          </cell>
          <cell r="E257" t="str">
            <v>Sta. Maria NHS</v>
          </cell>
          <cell r="F257">
            <v>1</v>
          </cell>
          <cell r="G257">
            <v>0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1</v>
          </cell>
          <cell r="M257" t="str">
            <v>as needed</v>
          </cell>
          <cell r="N257">
            <v>0</v>
          </cell>
          <cell r="O257">
            <v>0</v>
          </cell>
          <cell r="P257">
            <v>43622</v>
          </cell>
          <cell r="Q257">
            <v>0</v>
          </cell>
          <cell r="R257">
            <v>0</v>
          </cell>
          <cell r="S257">
            <v>0</v>
          </cell>
          <cell r="T257">
            <v>1</v>
          </cell>
          <cell r="U257" t="str">
            <v>as needed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</row>
        <row r="258">
          <cell r="D258">
            <v>300250</v>
          </cell>
          <cell r="E258" t="str">
            <v>San Jose NHS (Anda)</v>
          </cell>
          <cell r="F258">
            <v>1</v>
          </cell>
          <cell r="G258">
            <v>0</v>
          </cell>
          <cell r="H258">
            <v>1</v>
          </cell>
          <cell r="I258">
            <v>0</v>
          </cell>
          <cell r="J258">
            <v>1</v>
          </cell>
          <cell r="K258">
            <v>0</v>
          </cell>
          <cell r="L258">
            <v>0</v>
          </cell>
          <cell r="M258">
            <v>0</v>
          </cell>
          <cell r="N258">
            <v>1</v>
          </cell>
          <cell r="O258" t="str">
            <v>August 15, 2019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1</v>
          </cell>
          <cell r="U258" t="str">
            <v>no</v>
          </cell>
          <cell r="V258">
            <v>1</v>
          </cell>
          <cell r="W258">
            <v>0</v>
          </cell>
          <cell r="X258">
            <v>0</v>
          </cell>
          <cell r="Y258">
            <v>0</v>
          </cell>
        </row>
        <row r="259">
          <cell r="D259">
            <v>300293</v>
          </cell>
          <cell r="E259" t="str">
            <v>Cabalitian NHS</v>
          </cell>
          <cell r="F259">
            <v>0</v>
          </cell>
          <cell r="G259">
            <v>0</v>
          </cell>
          <cell r="H259">
            <v>1</v>
          </cell>
          <cell r="I259">
            <v>0</v>
          </cell>
          <cell r="J259">
            <v>0</v>
          </cell>
          <cell r="K259">
            <v>1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1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</row>
        <row r="260">
          <cell r="D260">
            <v>300281</v>
          </cell>
          <cell r="E260" t="str">
            <v>Balungao NHS</v>
          </cell>
          <cell r="F260">
            <v>1</v>
          </cell>
          <cell r="G260">
            <v>1</v>
          </cell>
          <cell r="H260">
            <v>1</v>
          </cell>
          <cell r="I260">
            <v>0</v>
          </cell>
          <cell r="J260">
            <v>0</v>
          </cell>
          <cell r="K260">
            <v>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</row>
        <row r="261">
          <cell r="D261">
            <v>321103</v>
          </cell>
          <cell r="E261" t="str">
            <v>Catuday NHS</v>
          </cell>
          <cell r="F261">
            <v>1</v>
          </cell>
          <cell r="G261">
            <v>0</v>
          </cell>
          <cell r="H261">
            <v>1</v>
          </cell>
          <cell r="I261">
            <v>1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</v>
          </cell>
          <cell r="O261" t="str">
            <v>8/14/2019</v>
          </cell>
          <cell r="P261">
            <v>0</v>
          </cell>
          <cell r="Q261">
            <v>0</v>
          </cell>
          <cell r="R261">
            <v>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2</v>
          </cell>
          <cell r="X261">
            <v>0</v>
          </cell>
          <cell r="Y261">
            <v>0</v>
          </cell>
        </row>
        <row r="262">
          <cell r="D262">
            <v>300041</v>
          </cell>
          <cell r="E262" t="str">
            <v>Burgos National High School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</row>
        <row r="263">
          <cell r="D263">
            <v>300055</v>
          </cell>
          <cell r="E263" t="str">
            <v>Lipit NHS</v>
          </cell>
          <cell r="F263">
            <v>1</v>
          </cell>
          <cell r="G263">
            <v>1</v>
          </cell>
          <cell r="H263">
            <v>1</v>
          </cell>
          <cell r="I263">
            <v>1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1</v>
          </cell>
          <cell r="O263">
            <v>43617</v>
          </cell>
          <cell r="P263">
            <v>43617</v>
          </cell>
          <cell r="Q263">
            <v>1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1</v>
          </cell>
          <cell r="W263">
            <v>0</v>
          </cell>
          <cell r="X263">
            <v>0</v>
          </cell>
          <cell r="Y263">
            <v>0</v>
          </cell>
        </row>
        <row r="264">
          <cell r="D264">
            <v>300124</v>
          </cell>
          <cell r="E264" t="str">
            <v>Oanari NHS</v>
          </cell>
          <cell r="F264">
            <v>1</v>
          </cell>
          <cell r="G264">
            <v>0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</row>
        <row r="265">
          <cell r="D265">
            <v>320811</v>
          </cell>
          <cell r="E265" t="str">
            <v>Marcos NHS (Agunit Campus)</v>
          </cell>
          <cell r="F265">
            <v>1</v>
          </cell>
          <cell r="G265">
            <v>1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</row>
        <row r="266">
          <cell r="D266">
            <v>300106</v>
          </cell>
          <cell r="E266" t="str">
            <v>Castor Concepcion MNHS</v>
          </cell>
          <cell r="F266">
            <v>1</v>
          </cell>
          <cell r="G266">
            <v>1</v>
          </cell>
          <cell r="H266">
            <v>1</v>
          </cell>
          <cell r="I266">
            <v>0</v>
          </cell>
          <cell r="J266">
            <v>1</v>
          </cell>
          <cell r="K266">
            <v>0</v>
          </cell>
          <cell r="L266">
            <v>0</v>
          </cell>
          <cell r="M266">
            <v>0</v>
          </cell>
          <cell r="N266">
            <v>1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</row>
        <row r="267">
          <cell r="D267">
            <v>300350</v>
          </cell>
          <cell r="E267" t="str">
            <v>San Leon NHS</v>
          </cell>
          <cell r="F267">
            <v>1</v>
          </cell>
          <cell r="G267">
            <v>0</v>
          </cell>
          <cell r="H267">
            <v>1</v>
          </cell>
          <cell r="I267">
            <v>0</v>
          </cell>
          <cell r="J267">
            <v>1</v>
          </cell>
          <cell r="K267">
            <v>0</v>
          </cell>
          <cell r="L267">
            <v>0</v>
          </cell>
          <cell r="M267">
            <v>0</v>
          </cell>
          <cell r="N267">
            <v>1</v>
          </cell>
          <cell r="O267">
            <v>43748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</row>
        <row r="268">
          <cell r="D268">
            <v>300154</v>
          </cell>
          <cell r="E268" t="str">
            <v>Agno NHS</v>
          </cell>
          <cell r="F268">
            <v>1</v>
          </cell>
          <cell r="G268">
            <v>0</v>
          </cell>
          <cell r="H268">
            <v>1</v>
          </cell>
          <cell r="I268">
            <v>0</v>
          </cell>
          <cell r="J268">
            <v>1</v>
          </cell>
          <cell r="K268">
            <v>0</v>
          </cell>
          <cell r="L268">
            <v>0</v>
          </cell>
          <cell r="M268">
            <v>0</v>
          </cell>
          <cell r="N268">
            <v>1</v>
          </cell>
          <cell r="O268">
            <v>0</v>
          </cell>
          <cell r="P268">
            <v>0</v>
          </cell>
          <cell r="Q268">
            <v>0</v>
          </cell>
          <cell r="R268">
            <v>1</v>
          </cell>
          <cell r="S268">
            <v>0</v>
          </cell>
          <cell r="T268">
            <v>0</v>
          </cell>
          <cell r="U268">
            <v>0</v>
          </cell>
          <cell r="V268">
            <v>1</v>
          </cell>
          <cell r="W268">
            <v>0</v>
          </cell>
          <cell r="X268">
            <v>0</v>
          </cell>
          <cell r="Y268">
            <v>0</v>
          </cell>
        </row>
        <row r="269">
          <cell r="D269">
            <v>300271</v>
          </cell>
          <cell r="E269" t="str">
            <v>Amamperez Agro-Industrial HS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1</v>
          </cell>
          <cell r="O269" t="str">
            <v xml:space="preserve">September 27, 2019 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D270">
            <v>500357</v>
          </cell>
          <cell r="E270" t="str">
            <v>Liquicia Integrated School</v>
          </cell>
          <cell r="F270">
            <v>1</v>
          </cell>
          <cell r="G270">
            <v>1</v>
          </cell>
          <cell r="H270">
            <v>1</v>
          </cell>
          <cell r="I270">
            <v>0</v>
          </cell>
          <cell r="J270">
            <v>0</v>
          </cell>
          <cell r="K270">
            <v>1</v>
          </cell>
          <cell r="L270">
            <v>0</v>
          </cell>
          <cell r="M270">
            <v>0</v>
          </cell>
          <cell r="N270">
            <v>1</v>
          </cell>
          <cell r="O270">
            <v>0</v>
          </cell>
          <cell r="P270">
            <v>0</v>
          </cell>
          <cell r="Q270">
            <v>1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1</v>
          </cell>
          <cell r="W270">
            <v>0</v>
          </cell>
          <cell r="X270">
            <v>0</v>
          </cell>
          <cell r="Y270">
            <v>0</v>
          </cell>
        </row>
        <row r="271">
          <cell r="D271">
            <v>300107</v>
          </cell>
          <cell r="E271" t="str">
            <v>Corrooy NHS</v>
          </cell>
          <cell r="F271">
            <v>1</v>
          </cell>
          <cell r="G271">
            <v>1</v>
          </cell>
          <cell r="H271">
            <v>1</v>
          </cell>
          <cell r="I271">
            <v>0</v>
          </cell>
          <cell r="J271">
            <v>0</v>
          </cell>
          <cell r="K271">
            <v>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43654</v>
          </cell>
          <cell r="Q271">
            <v>0</v>
          </cell>
          <cell r="R271">
            <v>0</v>
          </cell>
          <cell r="S271">
            <v>1</v>
          </cell>
          <cell r="T271">
            <v>0</v>
          </cell>
          <cell r="U271">
            <v>0</v>
          </cell>
          <cell r="V271">
            <v>1</v>
          </cell>
          <cell r="W271">
            <v>0</v>
          </cell>
          <cell r="X271">
            <v>0</v>
          </cell>
          <cell r="Y271">
            <v>0</v>
          </cell>
        </row>
        <row r="272">
          <cell r="D272">
            <v>321002</v>
          </cell>
          <cell r="E272" t="str">
            <v>Canbarbusuy National High School</v>
          </cell>
          <cell r="F272">
            <v>1</v>
          </cell>
          <cell r="G272">
            <v>0</v>
          </cell>
          <cell r="H272">
            <v>1</v>
          </cell>
          <cell r="I272">
            <v>0</v>
          </cell>
          <cell r="J272">
            <v>0</v>
          </cell>
          <cell r="K272">
            <v>1</v>
          </cell>
          <cell r="L272">
            <v>0</v>
          </cell>
          <cell r="M272">
            <v>0</v>
          </cell>
          <cell r="N272">
            <v>1</v>
          </cell>
          <cell r="O272">
            <v>43623</v>
          </cell>
          <cell r="P272">
            <v>43695</v>
          </cell>
          <cell r="Q272">
            <v>0</v>
          </cell>
          <cell r="R272">
            <v>1</v>
          </cell>
          <cell r="S272">
            <v>0</v>
          </cell>
          <cell r="T272">
            <v>0</v>
          </cell>
          <cell r="U272">
            <v>0</v>
          </cell>
          <cell r="V272">
            <v>1</v>
          </cell>
          <cell r="W272">
            <v>1</v>
          </cell>
          <cell r="X272">
            <v>0</v>
          </cell>
          <cell r="Y272">
            <v>0</v>
          </cell>
        </row>
        <row r="273">
          <cell r="D273">
            <v>500377</v>
          </cell>
          <cell r="E273" t="str">
            <v>Bantay Insik Integrated School</v>
          </cell>
          <cell r="F273">
            <v>0</v>
          </cell>
          <cell r="G273">
            <v>0</v>
          </cell>
          <cell r="H273">
            <v>1</v>
          </cell>
          <cell r="I273">
            <v>0</v>
          </cell>
          <cell r="J273">
            <v>1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1</v>
          </cell>
          <cell r="S273">
            <v>0</v>
          </cell>
          <cell r="T273">
            <v>0</v>
          </cell>
          <cell r="U273">
            <v>0</v>
          </cell>
          <cell r="V273">
            <v>1</v>
          </cell>
          <cell r="W273">
            <v>0</v>
          </cell>
          <cell r="X273">
            <v>0</v>
          </cell>
          <cell r="Y273">
            <v>0</v>
          </cell>
        </row>
        <row r="274">
          <cell r="D274">
            <v>500350</v>
          </cell>
          <cell r="E274" t="str">
            <v>Baay Integrated School</v>
          </cell>
          <cell r="F274">
            <v>1</v>
          </cell>
          <cell r="G274">
            <v>1</v>
          </cell>
          <cell r="H274">
            <v>1</v>
          </cell>
          <cell r="I274">
            <v>0</v>
          </cell>
          <cell r="J274">
            <v>1</v>
          </cell>
          <cell r="K274">
            <v>0</v>
          </cell>
          <cell r="L274">
            <v>0</v>
          </cell>
          <cell r="M274">
            <v>0</v>
          </cell>
          <cell r="N274">
            <v>1</v>
          </cell>
          <cell r="O274">
            <v>43525</v>
          </cell>
          <cell r="P274">
            <v>43617</v>
          </cell>
          <cell r="Q274">
            <v>0</v>
          </cell>
          <cell r="R274">
            <v>1</v>
          </cell>
          <cell r="S274">
            <v>0</v>
          </cell>
          <cell r="T274">
            <v>0</v>
          </cell>
          <cell r="U274">
            <v>0</v>
          </cell>
          <cell r="V274">
            <v>1</v>
          </cell>
          <cell r="W274">
            <v>0</v>
          </cell>
          <cell r="X274">
            <v>0</v>
          </cell>
          <cell r="Y274">
            <v>0</v>
          </cell>
        </row>
        <row r="275">
          <cell r="D275">
            <v>300316</v>
          </cell>
          <cell r="E275" t="str">
            <v>La Paz NHS</v>
          </cell>
          <cell r="F275">
            <v>1</v>
          </cell>
          <cell r="G275">
            <v>1</v>
          </cell>
          <cell r="H275">
            <v>1</v>
          </cell>
          <cell r="I275">
            <v>0</v>
          </cell>
          <cell r="J275">
            <v>1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</v>
          </cell>
          <cell r="W275">
            <v>0</v>
          </cell>
          <cell r="X275">
            <v>0</v>
          </cell>
          <cell r="Y275">
            <v>0</v>
          </cell>
        </row>
        <row r="276">
          <cell r="D276">
            <v>500003</v>
          </cell>
          <cell r="E276" t="str">
            <v>Bugayong IS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D277">
            <v>300352</v>
          </cell>
          <cell r="E277" t="str">
            <v>San Macario NHS</v>
          </cell>
          <cell r="F277">
            <v>1</v>
          </cell>
          <cell r="G277">
            <v>1</v>
          </cell>
          <cell r="H277">
            <v>1</v>
          </cell>
          <cell r="I277">
            <v>0</v>
          </cell>
          <cell r="J277">
            <v>0</v>
          </cell>
          <cell r="K277">
            <v>1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 t="str">
            <v>NONE</v>
          </cell>
          <cell r="Q277">
            <v>0</v>
          </cell>
          <cell r="R277">
            <v>0</v>
          </cell>
          <cell r="S277">
            <v>0</v>
          </cell>
          <cell r="T277">
            <v>1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D278">
            <v>300176</v>
          </cell>
          <cell r="E278" t="str">
            <v>Botao NHS</v>
          </cell>
          <cell r="F278">
            <v>1</v>
          </cell>
          <cell r="G278">
            <v>1</v>
          </cell>
          <cell r="H278">
            <v>1</v>
          </cell>
          <cell r="I278">
            <v>0</v>
          </cell>
          <cell r="J278">
            <v>1</v>
          </cell>
          <cell r="K278">
            <v>0</v>
          </cell>
          <cell r="L278">
            <v>0</v>
          </cell>
          <cell r="M278">
            <v>0</v>
          </cell>
          <cell r="N278">
            <v>1</v>
          </cell>
          <cell r="O278">
            <v>0</v>
          </cell>
          <cell r="P278">
            <v>0</v>
          </cell>
          <cell r="Q278">
            <v>0</v>
          </cell>
          <cell r="R278">
            <v>1</v>
          </cell>
          <cell r="S278">
            <v>0</v>
          </cell>
          <cell r="T278">
            <v>0</v>
          </cell>
          <cell r="U278">
            <v>0</v>
          </cell>
          <cell r="V278">
            <v>1</v>
          </cell>
          <cell r="W278">
            <v>0</v>
          </cell>
          <cell r="X278">
            <v>0</v>
          </cell>
          <cell r="Y278">
            <v>0</v>
          </cell>
        </row>
        <row r="279">
          <cell r="D279">
            <v>300122</v>
          </cell>
          <cell r="E279" t="str">
            <v>Naguilian National HS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</row>
        <row r="280">
          <cell r="D280">
            <v>500352</v>
          </cell>
          <cell r="E280" t="str">
            <v>Dagup Integrated School</v>
          </cell>
          <cell r="F280">
            <v>1</v>
          </cell>
          <cell r="G280">
            <v>1</v>
          </cell>
          <cell r="H280">
            <v>1</v>
          </cell>
          <cell r="I280">
            <v>0</v>
          </cell>
          <cell r="J280">
            <v>0</v>
          </cell>
          <cell r="K280">
            <v>1</v>
          </cell>
          <cell r="L280">
            <v>0</v>
          </cell>
          <cell r="M280">
            <v>0</v>
          </cell>
          <cell r="N280">
            <v>1</v>
          </cell>
          <cell r="O280">
            <v>0</v>
          </cell>
          <cell r="P280">
            <v>43221</v>
          </cell>
          <cell r="Q280">
            <v>0</v>
          </cell>
          <cell r="R280">
            <v>1</v>
          </cell>
          <cell r="S280">
            <v>0</v>
          </cell>
          <cell r="T280">
            <v>0</v>
          </cell>
          <cell r="U280">
            <v>0</v>
          </cell>
          <cell r="V280">
            <v>1</v>
          </cell>
          <cell r="W280">
            <v>0</v>
          </cell>
          <cell r="X280">
            <v>0</v>
          </cell>
          <cell r="Y280">
            <v>0</v>
          </cell>
        </row>
        <row r="281">
          <cell r="D281">
            <v>500358</v>
          </cell>
          <cell r="E281" t="str">
            <v>Casilagan Integrated School</v>
          </cell>
          <cell r="F281">
            <v>1</v>
          </cell>
          <cell r="G281">
            <v>1</v>
          </cell>
          <cell r="H281">
            <v>0</v>
          </cell>
          <cell r="I281">
            <v>0</v>
          </cell>
          <cell r="J281">
            <v>1</v>
          </cell>
          <cell r="K281">
            <v>0</v>
          </cell>
          <cell r="L281">
            <v>0</v>
          </cell>
          <cell r="M281">
            <v>0</v>
          </cell>
          <cell r="N281">
            <v>1</v>
          </cell>
          <cell r="O281">
            <v>43617</v>
          </cell>
          <cell r="P281">
            <v>0</v>
          </cell>
          <cell r="Q281">
            <v>0</v>
          </cell>
          <cell r="R281">
            <v>0</v>
          </cell>
          <cell r="S281">
            <v>1</v>
          </cell>
          <cell r="T281">
            <v>0</v>
          </cell>
          <cell r="U281">
            <v>0</v>
          </cell>
          <cell r="V281">
            <v>1</v>
          </cell>
          <cell r="W281">
            <v>2</v>
          </cell>
          <cell r="X281">
            <v>0</v>
          </cell>
          <cell r="Y281">
            <v>0</v>
          </cell>
        </row>
        <row r="282">
          <cell r="D282">
            <v>500362</v>
          </cell>
          <cell r="E282" t="str">
            <v>Santiago Sur Integrated School</v>
          </cell>
          <cell r="F282">
            <v>1</v>
          </cell>
          <cell r="G282">
            <v>1</v>
          </cell>
          <cell r="H282">
            <v>1</v>
          </cell>
          <cell r="I282">
            <v>0</v>
          </cell>
          <cell r="J282">
            <v>1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</row>
        <row r="283">
          <cell r="D283">
            <v>300104</v>
          </cell>
          <cell r="E283" t="str">
            <v>Caba NHS</v>
          </cell>
          <cell r="F283">
            <v>1</v>
          </cell>
          <cell r="G283">
            <v>1</v>
          </cell>
          <cell r="H283">
            <v>1</v>
          </cell>
          <cell r="I283">
            <v>0</v>
          </cell>
          <cell r="J283">
            <v>0</v>
          </cell>
          <cell r="K283">
            <v>1</v>
          </cell>
          <cell r="L283">
            <v>0</v>
          </cell>
          <cell r="M283">
            <v>0</v>
          </cell>
          <cell r="N283">
            <v>1</v>
          </cell>
          <cell r="O283">
            <v>43587</v>
          </cell>
          <cell r="P283">
            <v>43587</v>
          </cell>
          <cell r="Q283">
            <v>1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1</v>
          </cell>
          <cell r="W283">
            <v>0</v>
          </cell>
          <cell r="X283">
            <v>0</v>
          </cell>
          <cell r="Y283">
            <v>0</v>
          </cell>
        </row>
        <row r="284">
          <cell r="D284">
            <v>300335</v>
          </cell>
          <cell r="E284" t="str">
            <v>Pindangan National High School -Alcala</v>
          </cell>
          <cell r="F284">
            <v>1</v>
          </cell>
          <cell r="G284">
            <v>0</v>
          </cell>
          <cell r="H284">
            <v>1</v>
          </cell>
          <cell r="I284">
            <v>0</v>
          </cell>
          <cell r="J284">
            <v>1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 t="str">
            <v>N/A</v>
          </cell>
          <cell r="P284" t="str">
            <v>N/A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 t="str">
            <v>N/A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</row>
        <row r="285">
          <cell r="D285">
            <v>300236</v>
          </cell>
          <cell r="E285" t="str">
            <v>Urbiztondo National High School</v>
          </cell>
          <cell r="F285">
            <v>1</v>
          </cell>
          <cell r="G285">
            <v>1</v>
          </cell>
          <cell r="H285">
            <v>1</v>
          </cell>
          <cell r="I285">
            <v>0</v>
          </cell>
          <cell r="J285">
            <v>1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1</v>
          </cell>
          <cell r="T285">
            <v>0</v>
          </cell>
          <cell r="U285">
            <v>0</v>
          </cell>
          <cell r="V285">
            <v>0</v>
          </cell>
          <cell r="W285">
            <v>20</v>
          </cell>
          <cell r="X285">
            <v>1</v>
          </cell>
          <cell r="Y285">
            <v>0</v>
          </cell>
        </row>
        <row r="286">
          <cell r="D286">
            <v>300105</v>
          </cell>
          <cell r="E286" t="str">
            <v>Cambaly National High School</v>
          </cell>
          <cell r="F286">
            <v>1</v>
          </cell>
          <cell r="G286">
            <v>1</v>
          </cell>
          <cell r="H286">
            <v>1</v>
          </cell>
          <cell r="I286">
            <v>0</v>
          </cell>
          <cell r="J286">
            <v>1</v>
          </cell>
          <cell r="K286">
            <v>0</v>
          </cell>
          <cell r="L286">
            <v>0</v>
          </cell>
          <cell r="M286">
            <v>0</v>
          </cell>
          <cell r="N286">
            <v>1</v>
          </cell>
          <cell r="O286" t="str">
            <v>JUNE 1 2019</v>
          </cell>
          <cell r="P286" t="str">
            <v>JUNE 1 2019</v>
          </cell>
          <cell r="Q286">
            <v>0</v>
          </cell>
          <cell r="R286">
            <v>1</v>
          </cell>
          <cell r="S286">
            <v>0</v>
          </cell>
          <cell r="T286">
            <v>0</v>
          </cell>
          <cell r="U286">
            <v>0</v>
          </cell>
          <cell r="V286">
            <v>1</v>
          </cell>
          <cell r="W286">
            <v>0</v>
          </cell>
          <cell r="X286">
            <v>0</v>
          </cell>
          <cell r="Y286">
            <v>0</v>
          </cell>
        </row>
        <row r="287">
          <cell r="D287">
            <v>300135</v>
          </cell>
          <cell r="E287" t="str">
            <v>San Gabriel Vocational High School</v>
          </cell>
          <cell r="F287">
            <v>1</v>
          </cell>
          <cell r="G287">
            <v>1</v>
          </cell>
          <cell r="H287">
            <v>1</v>
          </cell>
          <cell r="I287">
            <v>1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1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</v>
          </cell>
          <cell r="W287">
            <v>0</v>
          </cell>
          <cell r="X287">
            <v>0</v>
          </cell>
          <cell r="Y287">
            <v>0</v>
          </cell>
        </row>
        <row r="288">
          <cell r="D288">
            <v>300090</v>
          </cell>
          <cell r="E288" t="str">
            <v>Eulogio Clarence De Guzman Junior Memorial National Vocational High School</v>
          </cell>
          <cell r="F288">
            <v>1</v>
          </cell>
          <cell r="G288">
            <v>1</v>
          </cell>
          <cell r="H288">
            <v>1</v>
          </cell>
          <cell r="I288">
            <v>0</v>
          </cell>
          <cell r="J288">
            <v>1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43664</v>
          </cell>
          <cell r="Q288">
            <v>0</v>
          </cell>
          <cell r="R288">
            <v>1</v>
          </cell>
          <cell r="S288">
            <v>0</v>
          </cell>
          <cell r="T288">
            <v>0</v>
          </cell>
          <cell r="U288">
            <v>0</v>
          </cell>
          <cell r="V288">
            <v>1</v>
          </cell>
          <cell r="W288">
            <v>0</v>
          </cell>
          <cell r="X288">
            <v>0</v>
          </cell>
          <cell r="Y288">
            <v>0</v>
          </cell>
        </row>
        <row r="289">
          <cell r="D289">
            <v>300102</v>
          </cell>
          <cell r="E289" t="str">
            <v>Burgos National High School</v>
          </cell>
          <cell r="F289">
            <v>1</v>
          </cell>
          <cell r="G289">
            <v>0</v>
          </cell>
          <cell r="H289">
            <v>1</v>
          </cell>
          <cell r="I289">
            <v>1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D290">
            <v>300348</v>
          </cell>
          <cell r="E290" t="str">
            <v>San Jacinto National High School</v>
          </cell>
          <cell r="F290">
            <v>1</v>
          </cell>
          <cell r="G290">
            <v>1</v>
          </cell>
          <cell r="H290">
            <v>0</v>
          </cell>
          <cell r="I290">
            <v>0</v>
          </cell>
          <cell r="J290">
            <v>1</v>
          </cell>
          <cell r="K290">
            <v>0</v>
          </cell>
          <cell r="L290">
            <v>0</v>
          </cell>
          <cell r="M290">
            <v>0</v>
          </cell>
          <cell r="N290">
            <v>1</v>
          </cell>
          <cell r="O290">
            <v>0</v>
          </cell>
          <cell r="P290">
            <v>0</v>
          </cell>
          <cell r="Q290">
            <v>0</v>
          </cell>
          <cell r="R290">
            <v>1</v>
          </cell>
          <cell r="S290">
            <v>0</v>
          </cell>
          <cell r="T290">
            <v>0</v>
          </cell>
          <cell r="U290">
            <v>0</v>
          </cell>
          <cell r="V290">
            <v>1</v>
          </cell>
          <cell r="W290">
            <v>0</v>
          </cell>
          <cell r="X290">
            <v>0</v>
          </cell>
          <cell r="Y290">
            <v>0</v>
          </cell>
        </row>
        <row r="291">
          <cell r="D291">
            <v>300149</v>
          </cell>
          <cell r="E291" t="str">
            <v>Suyo National High School</v>
          </cell>
          <cell r="F291">
            <v>1</v>
          </cell>
          <cell r="G291">
            <v>1</v>
          </cell>
          <cell r="H291">
            <v>1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 t="str">
            <v>8/24/2018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1</v>
          </cell>
          <cell r="W291">
            <v>0</v>
          </cell>
          <cell r="X291">
            <v>0</v>
          </cell>
          <cell r="Y291">
            <v>0</v>
          </cell>
        </row>
        <row r="292">
          <cell r="D292">
            <v>500600</v>
          </cell>
          <cell r="E292" t="str">
            <v>Libtong Integrated School</v>
          </cell>
          <cell r="F292">
            <v>0</v>
          </cell>
          <cell r="G292">
            <v>0</v>
          </cell>
          <cell r="H292">
            <v>1</v>
          </cell>
          <cell r="I292">
            <v>0</v>
          </cell>
          <cell r="J292">
            <v>0</v>
          </cell>
          <cell r="K292">
            <v>1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</v>
          </cell>
          <cell r="W292">
            <v>0</v>
          </cell>
          <cell r="X292">
            <v>0</v>
          </cell>
          <cell r="Y292">
            <v>0</v>
          </cell>
        </row>
        <row r="293">
          <cell r="D293">
            <v>300307</v>
          </cell>
          <cell r="E293" t="str">
            <v>Juan G. Macaraeg NHS</v>
          </cell>
          <cell r="F293">
            <v>1</v>
          </cell>
          <cell r="G293">
            <v>0</v>
          </cell>
          <cell r="H293">
            <v>1</v>
          </cell>
          <cell r="I293">
            <v>0</v>
          </cell>
          <cell r="J293">
            <v>1</v>
          </cell>
          <cell r="K293">
            <v>0</v>
          </cell>
          <cell r="L293">
            <v>0</v>
          </cell>
          <cell r="M293">
            <v>0</v>
          </cell>
          <cell r="N293">
            <v>1</v>
          </cell>
          <cell r="O293">
            <v>43761</v>
          </cell>
          <cell r="P293">
            <v>43761</v>
          </cell>
          <cell r="Q293">
            <v>0</v>
          </cell>
          <cell r="R293">
            <v>1</v>
          </cell>
          <cell r="S293">
            <v>0</v>
          </cell>
          <cell r="T293">
            <v>0</v>
          </cell>
          <cell r="U293">
            <v>0</v>
          </cell>
          <cell r="V293">
            <v>1</v>
          </cell>
          <cell r="W293">
            <v>0</v>
          </cell>
          <cell r="X293">
            <v>0</v>
          </cell>
          <cell r="Y293">
            <v>0</v>
          </cell>
        </row>
        <row r="294">
          <cell r="D294">
            <v>300136</v>
          </cell>
          <cell r="E294" t="str">
            <v>San Gregorio National High School</v>
          </cell>
          <cell r="F294">
            <v>1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</row>
        <row r="295">
          <cell r="D295">
            <v>300263</v>
          </cell>
          <cell r="E295" t="str">
            <v>Tococ National High School</v>
          </cell>
          <cell r="F295">
            <v>1</v>
          </cell>
          <cell r="G295">
            <v>1</v>
          </cell>
          <cell r="H295">
            <v>1</v>
          </cell>
          <cell r="I295">
            <v>0</v>
          </cell>
          <cell r="J295">
            <v>1</v>
          </cell>
          <cell r="K295">
            <v>0</v>
          </cell>
          <cell r="L295">
            <v>0</v>
          </cell>
          <cell r="M295">
            <v>0</v>
          </cell>
          <cell r="N295">
            <v>1</v>
          </cell>
          <cell r="O295">
            <v>43649</v>
          </cell>
          <cell r="P295">
            <v>43649</v>
          </cell>
          <cell r="Q295">
            <v>0</v>
          </cell>
          <cell r="R295">
            <v>1</v>
          </cell>
          <cell r="S295">
            <v>0</v>
          </cell>
          <cell r="T295">
            <v>0</v>
          </cell>
          <cell r="U295">
            <v>0</v>
          </cell>
          <cell r="V295">
            <v>1</v>
          </cell>
          <cell r="W295">
            <v>0</v>
          </cell>
          <cell r="X295">
            <v>0</v>
          </cell>
          <cell r="Y295">
            <v>0</v>
          </cell>
        </row>
        <row r="296">
          <cell r="D296">
            <v>340825</v>
          </cell>
          <cell r="E296" t="str">
            <v>SHS within San Gabriel CS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1</v>
          </cell>
          <cell r="M296" t="str">
            <v>when necessary</v>
          </cell>
          <cell r="N296">
            <v>0</v>
          </cell>
          <cell r="O296" t="str">
            <v>July 11, 2019</v>
          </cell>
          <cell r="P296" t="str">
            <v>July 5, 2019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</row>
        <row r="297">
          <cell r="D297">
            <v>300140</v>
          </cell>
          <cell r="E297" t="str">
            <v>Santol Voc'l. HS</v>
          </cell>
          <cell r="F297">
            <v>1</v>
          </cell>
          <cell r="G297">
            <v>1</v>
          </cell>
          <cell r="H297">
            <v>1</v>
          </cell>
          <cell r="I297">
            <v>0</v>
          </cell>
          <cell r="J297">
            <v>1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1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1</v>
          </cell>
          <cell r="W297">
            <v>3</v>
          </cell>
          <cell r="X297">
            <v>3</v>
          </cell>
          <cell r="Y297">
            <v>3</v>
          </cell>
        </row>
        <row r="298">
          <cell r="D298">
            <v>300137</v>
          </cell>
          <cell r="E298" t="str">
            <v>San Jose National High School</v>
          </cell>
          <cell r="F298">
            <v>1</v>
          </cell>
          <cell r="G298">
            <v>1</v>
          </cell>
          <cell r="H298">
            <v>1</v>
          </cell>
          <cell r="I298">
            <v>0</v>
          </cell>
          <cell r="J298">
            <v>1</v>
          </cell>
          <cell r="K298">
            <v>0</v>
          </cell>
          <cell r="L298">
            <v>0</v>
          </cell>
          <cell r="M298">
            <v>0</v>
          </cell>
          <cell r="N298">
            <v>1</v>
          </cell>
          <cell r="O298" t="str">
            <v>07/25/2019</v>
          </cell>
          <cell r="P298" t="str">
            <v>06/23/2019</v>
          </cell>
          <cell r="Q298">
            <v>0</v>
          </cell>
          <cell r="R298">
            <v>0</v>
          </cell>
          <cell r="S298">
            <v>1</v>
          </cell>
          <cell r="T298">
            <v>0</v>
          </cell>
          <cell r="U298">
            <v>0</v>
          </cell>
          <cell r="V298">
            <v>1</v>
          </cell>
          <cell r="W298">
            <v>3</v>
          </cell>
          <cell r="X298">
            <v>3</v>
          </cell>
          <cell r="Y298">
            <v>0</v>
          </cell>
        </row>
        <row r="299">
          <cell r="D299">
            <v>340823</v>
          </cell>
          <cell r="E299" t="str">
            <v>Naguilian Senior High School</v>
          </cell>
          <cell r="F299">
            <v>1</v>
          </cell>
          <cell r="G299">
            <v>1</v>
          </cell>
          <cell r="H299">
            <v>1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1</v>
          </cell>
          <cell r="O299" t="str">
            <v>08/16/2019</v>
          </cell>
          <cell r="P299" t="str">
            <v>06/28/2019</v>
          </cell>
          <cell r="Q299">
            <v>0</v>
          </cell>
          <cell r="R299">
            <v>1</v>
          </cell>
          <cell r="S299">
            <v>0</v>
          </cell>
          <cell r="T299">
            <v>0</v>
          </cell>
          <cell r="U299">
            <v>0</v>
          </cell>
          <cell r="V299">
            <v>1</v>
          </cell>
          <cell r="W299">
            <v>0</v>
          </cell>
          <cell r="X299">
            <v>0</v>
          </cell>
          <cell r="Y299">
            <v>0</v>
          </cell>
        </row>
        <row r="300">
          <cell r="D300">
            <v>300128</v>
          </cell>
          <cell r="E300" t="str">
            <v>Paringao National High School</v>
          </cell>
          <cell r="F300">
            <v>1</v>
          </cell>
          <cell r="G300">
            <v>1</v>
          </cell>
          <cell r="H300">
            <v>1</v>
          </cell>
          <cell r="I300">
            <v>0</v>
          </cell>
          <cell r="J300">
            <v>1</v>
          </cell>
          <cell r="K300">
            <v>0</v>
          </cell>
          <cell r="L300">
            <v>0</v>
          </cell>
          <cell r="M300">
            <v>0</v>
          </cell>
          <cell r="N300">
            <v>1</v>
          </cell>
          <cell r="O300">
            <v>0</v>
          </cell>
          <cell r="P300">
            <v>43644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</row>
        <row r="301">
          <cell r="D301">
            <v>300046</v>
          </cell>
          <cell r="E301" t="str">
            <v>Cervantes NHS</v>
          </cell>
          <cell r="F301">
            <v>1</v>
          </cell>
          <cell r="G301">
            <v>1</v>
          </cell>
          <cell r="H301">
            <v>1</v>
          </cell>
          <cell r="I301">
            <v>0</v>
          </cell>
          <cell r="J301">
            <v>0</v>
          </cell>
          <cell r="K301">
            <v>1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</row>
        <row r="302">
          <cell r="D302">
            <v>500360</v>
          </cell>
          <cell r="E302" t="str">
            <v>Daramuangan Integrated School</v>
          </cell>
          <cell r="F302">
            <v>1</v>
          </cell>
          <cell r="G302">
            <v>1</v>
          </cell>
          <cell r="H302">
            <v>1</v>
          </cell>
          <cell r="I302">
            <v>0</v>
          </cell>
          <cell r="J302">
            <v>1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43617</v>
          </cell>
          <cell r="Q302">
            <v>1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1</v>
          </cell>
          <cell r="W302">
            <v>0</v>
          </cell>
          <cell r="X302">
            <v>0</v>
          </cell>
          <cell r="Y302">
            <v>0</v>
          </cell>
        </row>
        <row r="303">
          <cell r="D303">
            <v>300045</v>
          </cell>
          <cell r="E303" t="str">
            <v>Caoayan NHS</v>
          </cell>
          <cell r="F303">
            <v>1</v>
          </cell>
          <cell r="G303">
            <v>1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1</v>
          </cell>
          <cell r="M303" t="str">
            <v>as the need arises</v>
          </cell>
          <cell r="N303">
            <v>1</v>
          </cell>
          <cell r="O303">
            <v>43617</v>
          </cell>
          <cell r="P303">
            <v>43617</v>
          </cell>
          <cell r="Q303">
            <v>0</v>
          </cell>
          <cell r="R303">
            <v>0</v>
          </cell>
          <cell r="S303">
            <v>0</v>
          </cell>
          <cell r="T303">
            <v>1</v>
          </cell>
          <cell r="U303" t="str">
            <v>as the need arises</v>
          </cell>
          <cell r="V303">
            <v>1</v>
          </cell>
          <cell r="W303">
            <v>3</v>
          </cell>
          <cell r="X303">
            <v>1</v>
          </cell>
          <cell r="Y303">
            <v>3</v>
          </cell>
        </row>
        <row r="304">
          <cell r="D304">
            <v>300144</v>
          </cell>
          <cell r="E304" t="str">
            <v>Magungunay NHS - Southern Naguilian NHS</v>
          </cell>
          <cell r="F304">
            <v>1</v>
          </cell>
          <cell r="G304">
            <v>1</v>
          </cell>
          <cell r="H304">
            <v>1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1</v>
          </cell>
          <cell r="O304">
            <v>0</v>
          </cell>
          <cell r="P304" t="str">
            <v>Aug. 2, 2019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1</v>
          </cell>
          <cell r="W304">
            <v>0</v>
          </cell>
          <cell r="X304">
            <v>0</v>
          </cell>
          <cell r="Y304">
            <v>0</v>
          </cell>
        </row>
        <row r="305">
          <cell r="D305">
            <v>300313</v>
          </cell>
          <cell r="E305" t="str">
            <v>Flores NHS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6">
          <cell r="D306">
            <v>300317</v>
          </cell>
          <cell r="E306" t="str">
            <v>Labayug National High School</v>
          </cell>
          <cell r="F306">
            <v>1</v>
          </cell>
          <cell r="G306">
            <v>1</v>
          </cell>
          <cell r="H306">
            <v>1</v>
          </cell>
          <cell r="I306">
            <v>0</v>
          </cell>
          <cell r="J306">
            <v>1</v>
          </cell>
          <cell r="K306">
            <v>0</v>
          </cell>
          <cell r="L306">
            <v>0</v>
          </cell>
          <cell r="M306">
            <v>0</v>
          </cell>
          <cell r="N306">
            <v>1</v>
          </cell>
          <cell r="O306">
            <v>43625</v>
          </cell>
          <cell r="P306">
            <v>0</v>
          </cell>
          <cell r="Q306">
            <v>0</v>
          </cell>
          <cell r="R306">
            <v>0</v>
          </cell>
          <cell r="S306">
            <v>1</v>
          </cell>
          <cell r="T306">
            <v>0</v>
          </cell>
          <cell r="U306">
            <v>0</v>
          </cell>
          <cell r="V306">
            <v>1</v>
          </cell>
          <cell r="W306">
            <v>2</v>
          </cell>
          <cell r="X306">
            <v>2</v>
          </cell>
          <cell r="Y306">
            <v>2</v>
          </cell>
        </row>
        <row r="307">
          <cell r="D307">
            <v>500379</v>
          </cell>
          <cell r="E307" t="str">
            <v>San Felipe Integrated School</v>
          </cell>
          <cell r="F307">
            <v>0</v>
          </cell>
          <cell r="G307">
            <v>0</v>
          </cell>
          <cell r="H307">
            <v>1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D308">
            <v>300148</v>
          </cell>
          <cell r="E308" t="str">
            <v>Sudipen Voc'l Sch.</v>
          </cell>
          <cell r="F308">
            <v>1</v>
          </cell>
          <cell r="G308">
            <v>1</v>
          </cell>
          <cell r="H308">
            <v>1</v>
          </cell>
          <cell r="I308">
            <v>0</v>
          </cell>
          <cell r="J308">
            <v>1</v>
          </cell>
          <cell r="K308">
            <v>0</v>
          </cell>
          <cell r="L308">
            <v>0</v>
          </cell>
          <cell r="M308">
            <v>0</v>
          </cell>
          <cell r="N308">
            <v>1</v>
          </cell>
          <cell r="O308">
            <v>43617</v>
          </cell>
          <cell r="P308">
            <v>43647</v>
          </cell>
          <cell r="Q308">
            <v>1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1</v>
          </cell>
          <cell r="W308">
            <v>2</v>
          </cell>
          <cell r="X308">
            <v>1</v>
          </cell>
          <cell r="Y308">
            <v>2</v>
          </cell>
        </row>
        <row r="309">
          <cell r="D309">
            <v>300070</v>
          </cell>
          <cell r="E309" t="str">
            <v>Quirino NHS</v>
          </cell>
          <cell r="F309">
            <v>1</v>
          </cell>
          <cell r="G309">
            <v>0</v>
          </cell>
          <cell r="H309">
            <v>1</v>
          </cell>
          <cell r="I309">
            <v>0</v>
          </cell>
          <cell r="J309">
            <v>0</v>
          </cell>
          <cell r="K309">
            <v>0</v>
          </cell>
          <cell r="L309">
            <v>1</v>
          </cell>
          <cell r="M309" t="str">
            <v>SEMI-ANNUAL</v>
          </cell>
          <cell r="N309">
            <v>1</v>
          </cell>
          <cell r="O309">
            <v>43391</v>
          </cell>
          <cell r="P309">
            <v>43393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1</v>
          </cell>
          <cell r="W309">
            <v>1</v>
          </cell>
          <cell r="X309">
            <v>0</v>
          </cell>
          <cell r="Y309">
            <v>0</v>
          </cell>
        </row>
        <row r="310">
          <cell r="D310">
            <v>300075</v>
          </cell>
          <cell r="E310" t="str">
            <v>San Esteban NHS</v>
          </cell>
          <cell r="F310">
            <v>1</v>
          </cell>
          <cell r="G310">
            <v>1</v>
          </cell>
          <cell r="H310">
            <v>1</v>
          </cell>
          <cell r="I310">
            <v>1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1</v>
          </cell>
          <cell r="O310">
            <v>0</v>
          </cell>
          <cell r="P310">
            <v>0</v>
          </cell>
          <cell r="Q310">
            <v>1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1</v>
          </cell>
          <cell r="W310">
            <v>0</v>
          </cell>
          <cell r="X310">
            <v>0</v>
          </cell>
          <cell r="Y310">
            <v>0</v>
          </cell>
        </row>
        <row r="311">
          <cell r="D311">
            <v>500623</v>
          </cell>
          <cell r="E311" t="str">
            <v>Sta. Maria East Integrated School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D312">
            <v>300331</v>
          </cell>
          <cell r="E312" t="str">
            <v>Natividad NHS</v>
          </cell>
          <cell r="F312">
            <v>1</v>
          </cell>
          <cell r="G312">
            <v>1</v>
          </cell>
          <cell r="H312">
            <v>1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D313">
            <v>300300</v>
          </cell>
          <cell r="E313" t="str">
            <v>Carosucan Sur NHS</v>
          </cell>
          <cell r="F313">
            <v>1</v>
          </cell>
          <cell r="G313">
            <v>0</v>
          </cell>
          <cell r="H313">
            <v>0</v>
          </cell>
          <cell r="I313">
            <v>0</v>
          </cell>
          <cell r="J313">
            <v>1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1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D314">
            <v>300398</v>
          </cell>
          <cell r="E314" t="str">
            <v>Camantiles NHS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D315">
            <v>300351</v>
          </cell>
          <cell r="E315" t="str">
            <v>San Luis NHS</v>
          </cell>
          <cell r="F315">
            <v>1</v>
          </cell>
          <cell r="G315">
            <v>0</v>
          </cell>
          <cell r="H315">
            <v>1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1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D316">
            <v>300170</v>
          </cell>
          <cell r="E316" t="str">
            <v>BAYOYONG NHS</v>
          </cell>
          <cell r="F316">
            <v>1</v>
          </cell>
          <cell r="G316">
            <v>0</v>
          </cell>
          <cell r="H316">
            <v>1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17">
          <cell r="D317">
            <v>300200</v>
          </cell>
          <cell r="E317" t="str">
            <v>Dumpay National High School</v>
          </cell>
          <cell r="F317">
            <v>1</v>
          </cell>
          <cell r="G317">
            <v>1</v>
          </cell>
          <cell r="H317">
            <v>1</v>
          </cell>
          <cell r="I317">
            <v>0</v>
          </cell>
          <cell r="J317">
            <v>1</v>
          </cell>
          <cell r="K317">
            <v>0</v>
          </cell>
          <cell r="L317">
            <v>0</v>
          </cell>
          <cell r="M317">
            <v>0</v>
          </cell>
          <cell r="N317">
            <v>1</v>
          </cell>
          <cell r="O317">
            <v>0</v>
          </cell>
          <cell r="P317">
            <v>0</v>
          </cell>
          <cell r="Q317">
            <v>0</v>
          </cell>
          <cell r="R317">
            <v>1</v>
          </cell>
          <cell r="S317">
            <v>0</v>
          </cell>
          <cell r="T317">
            <v>0</v>
          </cell>
          <cell r="U317">
            <v>0</v>
          </cell>
          <cell r="V317">
            <v>1</v>
          </cell>
          <cell r="W317">
            <v>4</v>
          </cell>
          <cell r="X317">
            <v>4</v>
          </cell>
          <cell r="Y317">
            <v>4</v>
          </cell>
        </row>
        <row r="318">
          <cell r="D318">
            <v>300338</v>
          </cell>
          <cell r="E318" t="str">
            <v>Prado National High School</v>
          </cell>
          <cell r="F318">
            <v>0</v>
          </cell>
          <cell r="G318">
            <v>0</v>
          </cell>
          <cell r="H318">
            <v>1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</row>
        <row r="319">
          <cell r="D319">
            <v>300284</v>
          </cell>
          <cell r="E319" t="str">
            <v>Barangobong NHS</v>
          </cell>
          <cell r="F319">
            <v>1</v>
          </cell>
          <cell r="G319">
            <v>1</v>
          </cell>
          <cell r="H319">
            <v>1</v>
          </cell>
          <cell r="I319">
            <v>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1</v>
          </cell>
          <cell r="O319">
            <v>0</v>
          </cell>
          <cell r="P319">
            <v>0</v>
          </cell>
          <cell r="Q319">
            <v>1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1</v>
          </cell>
          <cell r="W319">
            <v>0</v>
          </cell>
          <cell r="X319">
            <v>0</v>
          </cell>
          <cell r="Y319">
            <v>0</v>
          </cell>
        </row>
        <row r="320">
          <cell r="D320">
            <v>321018</v>
          </cell>
          <cell r="E320" t="str">
            <v>LUNA NATIONAL VOCATIONAL HIGH SCHOOL</v>
          </cell>
          <cell r="F320">
            <v>1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</row>
        <row r="321">
          <cell r="D321">
            <v>300341</v>
          </cell>
          <cell r="E321" t="str">
            <v>Rosales NHS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</row>
        <row r="322">
          <cell r="D322">
            <v>300094</v>
          </cell>
          <cell r="E322" t="str">
            <v>Baccuit NHS</v>
          </cell>
          <cell r="F322">
            <v>1</v>
          </cell>
          <cell r="G322">
            <v>1</v>
          </cell>
          <cell r="H322">
            <v>1</v>
          </cell>
          <cell r="I322">
            <v>0</v>
          </cell>
          <cell r="J322">
            <v>1</v>
          </cell>
          <cell r="K322">
            <v>0</v>
          </cell>
          <cell r="L322">
            <v>0</v>
          </cell>
          <cell r="M322">
            <v>0</v>
          </cell>
          <cell r="N322">
            <v>1</v>
          </cell>
          <cell r="O322" t="str">
            <v>6/18/2019</v>
          </cell>
          <cell r="P322" t="str">
            <v>6/19/2019</v>
          </cell>
          <cell r="Q322">
            <v>0</v>
          </cell>
          <cell r="R322">
            <v>1</v>
          </cell>
          <cell r="S322">
            <v>0</v>
          </cell>
          <cell r="T322">
            <v>0</v>
          </cell>
          <cell r="U322">
            <v>0</v>
          </cell>
          <cell r="V322">
            <v>1</v>
          </cell>
          <cell r="W322">
            <v>0</v>
          </cell>
          <cell r="X322">
            <v>0</v>
          </cell>
          <cell r="Y322">
            <v>0</v>
          </cell>
        </row>
        <row r="323">
          <cell r="D323">
            <v>300332</v>
          </cell>
          <cell r="E323" t="str">
            <v>Palguyod NHS</v>
          </cell>
          <cell r="F323">
            <v>1</v>
          </cell>
          <cell r="G323">
            <v>1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1</v>
          </cell>
          <cell r="O323">
            <v>0</v>
          </cell>
          <cell r="P323">
            <v>2017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</row>
        <row r="324">
          <cell r="D324">
            <v>300215</v>
          </cell>
          <cell r="E324" t="str">
            <v>Luna National High School</v>
          </cell>
          <cell r="F324">
            <v>1</v>
          </cell>
          <cell r="G324">
            <v>1</v>
          </cell>
          <cell r="H324">
            <v>1</v>
          </cell>
          <cell r="I324">
            <v>0</v>
          </cell>
          <cell r="J324">
            <v>1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1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2</v>
          </cell>
          <cell r="X324">
            <v>0</v>
          </cell>
          <cell r="Y324">
            <v>0</v>
          </cell>
        </row>
        <row r="325">
          <cell r="D325">
            <v>500384</v>
          </cell>
          <cell r="E325" t="str">
            <v>Sta. Cruz IS</v>
          </cell>
          <cell r="F325">
            <v>1</v>
          </cell>
          <cell r="G325">
            <v>0</v>
          </cell>
          <cell r="H325">
            <v>1</v>
          </cell>
          <cell r="I325">
            <v>0</v>
          </cell>
          <cell r="J325">
            <v>0</v>
          </cell>
          <cell r="K325">
            <v>1</v>
          </cell>
          <cell r="L325">
            <v>0</v>
          </cell>
          <cell r="M325">
            <v>0</v>
          </cell>
          <cell r="N325">
            <v>1</v>
          </cell>
          <cell r="O325">
            <v>43678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</row>
        <row r="326">
          <cell r="D326">
            <v>300287</v>
          </cell>
          <cell r="E326" t="str">
            <v>Benigno V. Aldana NHS</v>
          </cell>
          <cell r="F326">
            <v>1</v>
          </cell>
          <cell r="G326">
            <v>1</v>
          </cell>
          <cell r="H326">
            <v>1</v>
          </cell>
          <cell r="I326">
            <v>0</v>
          </cell>
          <cell r="J326">
            <v>1</v>
          </cell>
          <cell r="K326">
            <v>0</v>
          </cell>
          <cell r="L326">
            <v>0</v>
          </cell>
          <cell r="M326">
            <v>0</v>
          </cell>
          <cell r="N326">
            <v>1</v>
          </cell>
          <cell r="O326">
            <v>0</v>
          </cell>
          <cell r="P326">
            <v>0</v>
          </cell>
          <cell r="Q326">
            <v>1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1</v>
          </cell>
          <cell r="W326">
            <v>0</v>
          </cell>
          <cell r="X326">
            <v>0</v>
          </cell>
          <cell r="Y326">
            <v>0</v>
          </cell>
        </row>
        <row r="327">
          <cell r="D327">
            <v>300066</v>
          </cell>
          <cell r="E327" t="str">
            <v>Pantay Tamurong National High School</v>
          </cell>
          <cell r="F327">
            <v>1</v>
          </cell>
          <cell r="G327">
            <v>1</v>
          </cell>
          <cell r="H327">
            <v>1</v>
          </cell>
          <cell r="I327">
            <v>0</v>
          </cell>
          <cell r="J327">
            <v>0</v>
          </cell>
          <cell r="K327">
            <v>1</v>
          </cell>
          <cell r="L327">
            <v>0</v>
          </cell>
          <cell r="M327">
            <v>0</v>
          </cell>
          <cell r="N327">
            <v>1</v>
          </cell>
          <cell r="O327">
            <v>0</v>
          </cell>
          <cell r="P327">
            <v>43744</v>
          </cell>
          <cell r="Q327">
            <v>0</v>
          </cell>
          <cell r="R327">
            <v>1</v>
          </cell>
          <cell r="S327">
            <v>0</v>
          </cell>
          <cell r="T327">
            <v>0</v>
          </cell>
          <cell r="U327">
            <v>0</v>
          </cell>
          <cell r="V327">
            <v>1</v>
          </cell>
          <cell r="W327">
            <v>2</v>
          </cell>
          <cell r="X327">
            <v>1</v>
          </cell>
          <cell r="Y327">
            <v>0</v>
          </cell>
        </row>
        <row r="328">
          <cell r="D328">
            <v>500004</v>
          </cell>
          <cell r="E328" t="str">
            <v>Esperanza Integrated School</v>
          </cell>
          <cell r="F328">
            <v>1</v>
          </cell>
          <cell r="G328">
            <v>1</v>
          </cell>
          <cell r="H328">
            <v>1</v>
          </cell>
          <cell r="I328">
            <v>0</v>
          </cell>
          <cell r="J328">
            <v>0</v>
          </cell>
          <cell r="K328">
            <v>1</v>
          </cell>
          <cell r="L328">
            <v>0</v>
          </cell>
          <cell r="M328">
            <v>0</v>
          </cell>
          <cell r="N328">
            <v>1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1</v>
          </cell>
          <cell r="T328">
            <v>0</v>
          </cell>
          <cell r="U328">
            <v>0</v>
          </cell>
          <cell r="V328">
            <v>1</v>
          </cell>
          <cell r="W328">
            <v>3</v>
          </cell>
          <cell r="X328">
            <v>0</v>
          </cell>
          <cell r="Y328">
            <v>0</v>
          </cell>
        </row>
        <row r="329">
          <cell r="D329">
            <v>321203</v>
          </cell>
          <cell r="E329" t="str">
            <v>San Antonio NHS</v>
          </cell>
          <cell r="F329">
            <v>1</v>
          </cell>
          <cell r="G329">
            <v>0</v>
          </cell>
          <cell r="H329">
            <v>1</v>
          </cell>
          <cell r="I329">
            <v>0</v>
          </cell>
          <cell r="J329">
            <v>1</v>
          </cell>
          <cell r="K329">
            <v>0</v>
          </cell>
          <cell r="L329">
            <v>0</v>
          </cell>
          <cell r="M329">
            <v>0</v>
          </cell>
          <cell r="N329">
            <v>1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</row>
        <row r="330">
          <cell r="D330">
            <v>320904</v>
          </cell>
          <cell r="E330" t="str">
            <v>Baringcucurong National High School</v>
          </cell>
          <cell r="F330">
            <v>1</v>
          </cell>
          <cell r="G330">
            <v>1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1</v>
          </cell>
          <cell r="M330" t="str">
            <v>when needed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1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</row>
        <row r="331">
          <cell r="D331">
            <v>300323</v>
          </cell>
          <cell r="E331" t="str">
            <v>Mabilao NHS</v>
          </cell>
          <cell r="F331">
            <v>1</v>
          </cell>
          <cell r="G331">
            <v>0</v>
          </cell>
          <cell r="H331">
            <v>1</v>
          </cell>
          <cell r="I331">
            <v>0</v>
          </cell>
          <cell r="J331">
            <v>0</v>
          </cell>
          <cell r="K331">
            <v>1</v>
          </cell>
          <cell r="L331">
            <v>0</v>
          </cell>
          <cell r="M331">
            <v>0</v>
          </cell>
          <cell r="N331">
            <v>0</v>
          </cell>
          <cell r="O331" t="str">
            <v>none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1</v>
          </cell>
          <cell r="U331" t="str">
            <v>as the need arises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</row>
        <row r="332">
          <cell r="D332">
            <v>300308</v>
          </cell>
          <cell r="E332" t="str">
            <v>Don Ramon E. Costales MNHS</v>
          </cell>
          <cell r="F332">
            <v>1</v>
          </cell>
          <cell r="G332">
            <v>1</v>
          </cell>
          <cell r="H332">
            <v>1</v>
          </cell>
          <cell r="I332">
            <v>1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1</v>
          </cell>
          <cell r="O332">
            <v>43651</v>
          </cell>
          <cell r="P332">
            <v>43621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3</v>
          </cell>
          <cell r="X332">
            <v>3</v>
          </cell>
          <cell r="Y332">
            <v>3</v>
          </cell>
        </row>
        <row r="333">
          <cell r="D333">
            <v>300319</v>
          </cell>
          <cell r="E333" t="str">
            <v>Laoac NHS</v>
          </cell>
          <cell r="F333">
            <v>1</v>
          </cell>
          <cell r="G333">
            <v>1</v>
          </cell>
          <cell r="H333">
            <v>1</v>
          </cell>
          <cell r="I333">
            <v>0</v>
          </cell>
          <cell r="J333">
            <v>0</v>
          </cell>
          <cell r="K333">
            <v>1</v>
          </cell>
          <cell r="L333">
            <v>0</v>
          </cell>
          <cell r="M333">
            <v>0</v>
          </cell>
          <cell r="N333">
            <v>1</v>
          </cell>
          <cell r="O333">
            <v>0</v>
          </cell>
          <cell r="P333">
            <v>0</v>
          </cell>
          <cell r="Q333">
            <v>1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1</v>
          </cell>
          <cell r="W333">
            <v>0</v>
          </cell>
          <cell r="X333">
            <v>0</v>
          </cell>
          <cell r="Y333">
            <v>0</v>
          </cell>
        </row>
        <row r="334">
          <cell r="D334">
            <v>500366</v>
          </cell>
          <cell r="E334" t="str">
            <v>Tampac IS</v>
          </cell>
          <cell r="F334">
            <v>1</v>
          </cell>
          <cell r="G334">
            <v>1</v>
          </cell>
          <cell r="H334">
            <v>0</v>
          </cell>
          <cell r="I334">
            <v>0</v>
          </cell>
          <cell r="J334">
            <v>1</v>
          </cell>
          <cell r="K334">
            <v>0</v>
          </cell>
          <cell r="L334">
            <v>0</v>
          </cell>
          <cell r="M334">
            <v>0</v>
          </cell>
          <cell r="N334">
            <v>1</v>
          </cell>
          <cell r="O334">
            <v>0</v>
          </cell>
          <cell r="P334" t="str">
            <v>N/A</v>
          </cell>
          <cell r="Q334">
            <v>0</v>
          </cell>
          <cell r="R334">
            <v>0</v>
          </cell>
          <cell r="S334">
            <v>0</v>
          </cell>
          <cell r="T334">
            <v>1</v>
          </cell>
          <cell r="U334" t="str">
            <v>N/A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</row>
        <row r="335">
          <cell r="D335">
            <v>500375</v>
          </cell>
          <cell r="E335" t="str">
            <v>Sison Central IS</v>
          </cell>
          <cell r="F335">
            <v>1</v>
          </cell>
          <cell r="G335">
            <v>0</v>
          </cell>
          <cell r="H335">
            <v>1</v>
          </cell>
          <cell r="I335">
            <v>0</v>
          </cell>
          <cell r="J335">
            <v>1</v>
          </cell>
          <cell r="K335">
            <v>0</v>
          </cell>
          <cell r="L335">
            <v>0</v>
          </cell>
          <cell r="M335">
            <v>0</v>
          </cell>
          <cell r="N335">
            <v>1</v>
          </cell>
          <cell r="O335" t="str">
            <v>November 6, 2019</v>
          </cell>
          <cell r="P335">
            <v>0</v>
          </cell>
          <cell r="Q335">
            <v>0</v>
          </cell>
          <cell r="R335">
            <v>1</v>
          </cell>
          <cell r="S335">
            <v>0</v>
          </cell>
          <cell r="T335">
            <v>0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</row>
        <row r="336">
          <cell r="D336">
            <v>300356</v>
          </cell>
          <cell r="E336" t="str">
            <v>San Quintin NHS</v>
          </cell>
          <cell r="F336">
            <v>1</v>
          </cell>
          <cell r="G336">
            <v>1</v>
          </cell>
          <cell r="H336">
            <v>1</v>
          </cell>
          <cell r="I336">
            <v>0</v>
          </cell>
          <cell r="J336">
            <v>1</v>
          </cell>
          <cell r="K336">
            <v>0</v>
          </cell>
          <cell r="L336">
            <v>0</v>
          </cell>
          <cell r="M336">
            <v>0</v>
          </cell>
          <cell r="N336">
            <v>1</v>
          </cell>
          <cell r="O336">
            <v>0</v>
          </cell>
          <cell r="P336">
            <v>0</v>
          </cell>
          <cell r="Q336">
            <v>0</v>
          </cell>
          <cell r="R336">
            <v>1</v>
          </cell>
          <cell r="S336">
            <v>0</v>
          </cell>
          <cell r="T336">
            <v>0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</row>
        <row r="337">
          <cell r="D337">
            <v>300266</v>
          </cell>
          <cell r="E337" t="str">
            <v>Tuliao NHS</v>
          </cell>
          <cell r="F337">
            <v>1</v>
          </cell>
          <cell r="G337">
            <v>1</v>
          </cell>
          <cell r="H337">
            <v>1</v>
          </cell>
          <cell r="I337">
            <v>0</v>
          </cell>
          <cell r="J337">
            <v>1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</row>
        <row r="338">
          <cell r="D338">
            <v>300340</v>
          </cell>
          <cell r="E338" t="str">
            <v>Robert B. Estrella Memorial NHS</v>
          </cell>
          <cell r="F338">
            <v>1</v>
          </cell>
          <cell r="G338">
            <v>1</v>
          </cell>
          <cell r="H338">
            <v>1</v>
          </cell>
          <cell r="I338">
            <v>0</v>
          </cell>
          <cell r="J338">
            <v>1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1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</row>
        <row r="339">
          <cell r="D339">
            <v>300349</v>
          </cell>
          <cell r="E339" t="str">
            <v>San Juan NHS</v>
          </cell>
          <cell r="F339">
            <v>1</v>
          </cell>
          <cell r="G339">
            <v>1</v>
          </cell>
          <cell r="H339">
            <v>1</v>
          </cell>
          <cell r="I339">
            <v>0</v>
          </cell>
          <cell r="J339">
            <v>1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1</v>
          </cell>
          <cell r="S339">
            <v>0</v>
          </cell>
          <cell r="T339">
            <v>0</v>
          </cell>
          <cell r="U339">
            <v>0</v>
          </cell>
          <cell r="V339">
            <v>1</v>
          </cell>
          <cell r="W339">
            <v>0</v>
          </cell>
          <cell r="X339">
            <v>0</v>
          </cell>
          <cell r="Y339">
            <v>0</v>
          </cell>
        </row>
        <row r="340">
          <cell r="D340">
            <v>300272</v>
          </cell>
          <cell r="E340" t="str">
            <v>Ambalangan Dalin NHS</v>
          </cell>
          <cell r="F340">
            <v>1</v>
          </cell>
          <cell r="G340">
            <v>1</v>
          </cell>
          <cell r="H340">
            <v>1</v>
          </cell>
          <cell r="I340">
            <v>0</v>
          </cell>
          <cell r="J340">
            <v>1</v>
          </cell>
          <cell r="K340">
            <v>0</v>
          </cell>
          <cell r="L340">
            <v>0</v>
          </cell>
          <cell r="M340">
            <v>0</v>
          </cell>
          <cell r="N340">
            <v>1</v>
          </cell>
          <cell r="O340">
            <v>0</v>
          </cell>
          <cell r="P340">
            <v>0</v>
          </cell>
          <cell r="Q340">
            <v>0</v>
          </cell>
          <cell r="R340">
            <v>1</v>
          </cell>
          <cell r="S340">
            <v>0</v>
          </cell>
          <cell r="T340">
            <v>0</v>
          </cell>
          <cell r="U340">
            <v>0</v>
          </cell>
          <cell r="V340">
            <v>1</v>
          </cell>
          <cell r="W340">
            <v>0</v>
          </cell>
          <cell r="X340">
            <v>0</v>
          </cell>
          <cell r="Y340">
            <v>0</v>
          </cell>
        </row>
        <row r="341">
          <cell r="D341">
            <v>300295</v>
          </cell>
          <cell r="E341" t="str">
            <v>Cabilaoan Agro-Industrial HS</v>
          </cell>
          <cell r="F341">
            <v>1</v>
          </cell>
          <cell r="G341">
            <v>0</v>
          </cell>
          <cell r="H341">
            <v>1</v>
          </cell>
          <cell r="I341">
            <v>0</v>
          </cell>
          <cell r="J341">
            <v>1</v>
          </cell>
          <cell r="K341">
            <v>0</v>
          </cell>
          <cell r="L341">
            <v>0</v>
          </cell>
          <cell r="M341">
            <v>0</v>
          </cell>
          <cell r="N341">
            <v>1</v>
          </cell>
          <cell r="O341">
            <v>43625</v>
          </cell>
          <cell r="P341">
            <v>43739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0</v>
          </cell>
          <cell r="V341">
            <v>1</v>
          </cell>
          <cell r="W341">
            <v>0</v>
          </cell>
          <cell r="X341">
            <v>0</v>
          </cell>
          <cell r="Y341">
            <v>0</v>
          </cell>
        </row>
        <row r="342">
          <cell r="D342">
            <v>300294</v>
          </cell>
          <cell r="E342" t="str">
            <v>Cabanbanan NHS</v>
          </cell>
          <cell r="F342">
            <v>0</v>
          </cell>
          <cell r="G342">
            <v>0</v>
          </cell>
          <cell r="H342">
            <v>1</v>
          </cell>
          <cell r="I342">
            <v>0</v>
          </cell>
          <cell r="J342">
            <v>0</v>
          </cell>
          <cell r="K342">
            <v>0</v>
          </cell>
          <cell r="L342">
            <v>1</v>
          </cell>
          <cell r="M342" t="str">
            <v>AS THE NEED ARISES</v>
          </cell>
          <cell r="N342">
            <v>0</v>
          </cell>
          <cell r="O342" t="str">
            <v>11/18/2019</v>
          </cell>
          <cell r="P342" t="str">
            <v>NEVER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1</v>
          </cell>
          <cell r="W342">
            <v>0</v>
          </cell>
          <cell r="X342">
            <v>0</v>
          </cell>
          <cell r="Y342">
            <v>0</v>
          </cell>
        </row>
        <row r="343">
          <cell r="D343">
            <v>300324</v>
          </cell>
          <cell r="E343" t="str">
            <v>Malico NHS</v>
          </cell>
          <cell r="F343">
            <v>1</v>
          </cell>
          <cell r="G343">
            <v>0</v>
          </cell>
          <cell r="H343">
            <v>1</v>
          </cell>
          <cell r="I343">
            <v>0</v>
          </cell>
          <cell r="J343">
            <v>0</v>
          </cell>
          <cell r="K343">
            <v>1</v>
          </cell>
          <cell r="L343">
            <v>0</v>
          </cell>
          <cell r="M343">
            <v>0</v>
          </cell>
          <cell r="N343">
            <v>1</v>
          </cell>
          <cell r="O343">
            <v>43472</v>
          </cell>
          <cell r="P343">
            <v>0</v>
          </cell>
          <cell r="Q343">
            <v>0</v>
          </cell>
          <cell r="R343">
            <v>0</v>
          </cell>
          <cell r="S343">
            <v>1</v>
          </cell>
          <cell r="T343">
            <v>0</v>
          </cell>
          <cell r="U343">
            <v>0</v>
          </cell>
          <cell r="V343">
            <v>1</v>
          </cell>
          <cell r="W343">
            <v>0</v>
          </cell>
          <cell r="X343">
            <v>0</v>
          </cell>
          <cell r="Y343">
            <v>0</v>
          </cell>
        </row>
        <row r="344">
          <cell r="D344">
            <v>300275</v>
          </cell>
          <cell r="E344" t="str">
            <v>Antonio P. Villar National High School</v>
          </cell>
          <cell r="F344">
            <v>1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</v>
          </cell>
          <cell r="M344" t="str">
            <v>n/a</v>
          </cell>
          <cell r="N344">
            <v>0</v>
          </cell>
          <cell r="O344" t="str">
            <v>n/a</v>
          </cell>
          <cell r="P344" t="str">
            <v>n/a</v>
          </cell>
          <cell r="Q344">
            <v>0</v>
          </cell>
          <cell r="R344">
            <v>0</v>
          </cell>
          <cell r="S344">
            <v>0</v>
          </cell>
          <cell r="T344">
            <v>1</v>
          </cell>
          <cell r="U344" t="str">
            <v>n/a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</row>
        <row r="345">
          <cell r="D345">
            <v>300365</v>
          </cell>
          <cell r="E345" t="str">
            <v>Umingan Central National High School</v>
          </cell>
          <cell r="F345">
            <v>1</v>
          </cell>
          <cell r="G345">
            <v>1</v>
          </cell>
          <cell r="H345">
            <v>1</v>
          </cell>
          <cell r="I345">
            <v>1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1</v>
          </cell>
          <cell r="O345">
            <v>43619</v>
          </cell>
          <cell r="P345">
            <v>0</v>
          </cell>
          <cell r="Q345">
            <v>1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1</v>
          </cell>
          <cell r="W345">
            <v>3</v>
          </cell>
          <cell r="X345">
            <v>2</v>
          </cell>
          <cell r="Y345">
            <v>0</v>
          </cell>
        </row>
        <row r="346">
          <cell r="D346">
            <v>500378</v>
          </cell>
          <cell r="E346" t="str">
            <v>Don Valentin Torres Integrated School</v>
          </cell>
          <cell r="F346">
            <v>0</v>
          </cell>
          <cell r="G346">
            <v>0</v>
          </cell>
          <cell r="H346">
            <v>1</v>
          </cell>
          <cell r="I346">
            <v>0</v>
          </cell>
          <cell r="J346">
            <v>0</v>
          </cell>
          <cell r="K346">
            <v>1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1</v>
          </cell>
          <cell r="T346">
            <v>0</v>
          </cell>
          <cell r="U346">
            <v>0</v>
          </cell>
          <cell r="V346">
            <v>1</v>
          </cell>
          <cell r="W346">
            <v>0</v>
          </cell>
          <cell r="X346">
            <v>0</v>
          </cell>
          <cell r="Y346">
            <v>0</v>
          </cell>
        </row>
        <row r="347">
          <cell r="D347">
            <v>321208</v>
          </cell>
          <cell r="E347" t="str">
            <v>Don Robert B. Estrella, Sr. NHS</v>
          </cell>
          <cell r="F347">
            <v>1</v>
          </cell>
          <cell r="G347">
            <v>0</v>
          </cell>
          <cell r="H347">
            <v>1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1</v>
          </cell>
          <cell r="O347" t="str">
            <v>8/16/2019</v>
          </cell>
          <cell r="P347" t="str">
            <v>10/15/2019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1</v>
          </cell>
          <cell r="W347">
            <v>0</v>
          </cell>
          <cell r="X347">
            <v>0</v>
          </cell>
          <cell r="Y347">
            <v>0</v>
          </cell>
        </row>
        <row r="348">
          <cell r="D348">
            <v>300274</v>
          </cell>
          <cell r="E348" t="str">
            <v>ANONANG NATIONAL HIGH SCHOOL</v>
          </cell>
          <cell r="F348">
            <v>1</v>
          </cell>
          <cell r="G348">
            <v>1</v>
          </cell>
          <cell r="H348">
            <v>1</v>
          </cell>
          <cell r="I348">
            <v>0</v>
          </cell>
          <cell r="J348">
            <v>1</v>
          </cell>
          <cell r="K348">
            <v>0</v>
          </cell>
          <cell r="L348">
            <v>0</v>
          </cell>
          <cell r="M348">
            <v>0</v>
          </cell>
          <cell r="N348">
            <v>1</v>
          </cell>
          <cell r="O348">
            <v>43807</v>
          </cell>
          <cell r="P348">
            <v>0</v>
          </cell>
          <cell r="Q348">
            <v>0</v>
          </cell>
          <cell r="R348">
            <v>1</v>
          </cell>
          <cell r="S348">
            <v>0</v>
          </cell>
          <cell r="T348">
            <v>1</v>
          </cell>
          <cell r="U348" t="str">
            <v>07/26/2019</v>
          </cell>
          <cell r="V348">
            <v>1</v>
          </cell>
          <cell r="W348">
            <v>0</v>
          </cell>
          <cell r="X348">
            <v>0</v>
          </cell>
          <cell r="Y348">
            <v>0</v>
          </cell>
        </row>
        <row r="349">
          <cell r="D349">
            <v>300273</v>
          </cell>
          <cell r="E349" t="str">
            <v>Angela Valdez Ramos NHS</v>
          </cell>
          <cell r="F349">
            <v>1</v>
          </cell>
          <cell r="G349">
            <v>0</v>
          </cell>
          <cell r="H349">
            <v>1</v>
          </cell>
          <cell r="I349">
            <v>0</v>
          </cell>
          <cell r="J349">
            <v>1</v>
          </cell>
          <cell r="K349">
            <v>0</v>
          </cell>
          <cell r="L349">
            <v>0</v>
          </cell>
          <cell r="M349">
            <v>0</v>
          </cell>
          <cell r="N349">
            <v>1</v>
          </cell>
          <cell r="O349" t="str">
            <v>N/A</v>
          </cell>
          <cell r="P349" t="str">
            <v>N/A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3</v>
          </cell>
          <cell r="X349">
            <v>1</v>
          </cell>
          <cell r="Y349">
            <v>0</v>
          </cell>
        </row>
        <row r="350">
          <cell r="D350">
            <v>300040</v>
          </cell>
          <cell r="E350" t="str">
            <v>Belen NHS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D351">
            <v>300322</v>
          </cell>
          <cell r="E351" t="str">
            <v>Luciano Millan National HS</v>
          </cell>
          <cell r="F351">
            <v>1</v>
          </cell>
          <cell r="G351">
            <v>1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1</v>
          </cell>
          <cell r="M351" t="str">
            <v>As need arises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D352">
            <v>300327</v>
          </cell>
          <cell r="E352" t="str">
            <v>Maseil-seil Alo-o NHS</v>
          </cell>
          <cell r="F352">
            <v>1</v>
          </cell>
          <cell r="G352">
            <v>0</v>
          </cell>
          <cell r="H352">
            <v>1</v>
          </cell>
          <cell r="I352">
            <v>0</v>
          </cell>
          <cell r="J352">
            <v>0</v>
          </cell>
          <cell r="K352">
            <v>1</v>
          </cell>
          <cell r="L352">
            <v>0</v>
          </cell>
          <cell r="M352">
            <v>0</v>
          </cell>
          <cell r="N352">
            <v>1</v>
          </cell>
          <cell r="O352">
            <v>0</v>
          </cell>
          <cell r="P352" t="str">
            <v>Nov. 4, 2019</v>
          </cell>
          <cell r="Q352">
            <v>1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D353">
            <v>300362</v>
          </cell>
          <cell r="E353" t="str">
            <v>Sumabnit National High School</v>
          </cell>
          <cell r="F353">
            <v>1</v>
          </cell>
          <cell r="G353">
            <v>0</v>
          </cell>
          <cell r="H353">
            <v>1</v>
          </cell>
          <cell r="I353">
            <v>0</v>
          </cell>
          <cell r="J353">
            <v>1</v>
          </cell>
          <cell r="K353">
            <v>0</v>
          </cell>
          <cell r="L353">
            <v>0</v>
          </cell>
          <cell r="M353">
            <v>0</v>
          </cell>
          <cell r="N353">
            <v>1</v>
          </cell>
          <cell r="O353">
            <v>43759</v>
          </cell>
          <cell r="P353">
            <v>43773</v>
          </cell>
          <cell r="Q353">
            <v>1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1</v>
          </cell>
          <cell r="W353">
            <v>0</v>
          </cell>
          <cell r="X353">
            <v>0</v>
          </cell>
          <cell r="Y353">
            <v>0</v>
          </cell>
        </row>
        <row r="354">
          <cell r="D354">
            <v>300298</v>
          </cell>
          <cell r="E354" t="str">
            <v>Capulaan NHS</v>
          </cell>
          <cell r="F354">
            <v>1</v>
          </cell>
          <cell r="G354">
            <v>1</v>
          </cell>
          <cell r="H354">
            <v>1</v>
          </cell>
          <cell r="I354">
            <v>0</v>
          </cell>
          <cell r="J354">
            <v>1</v>
          </cell>
          <cell r="K354">
            <v>0</v>
          </cell>
          <cell r="L354">
            <v>0</v>
          </cell>
          <cell r="M354">
            <v>0</v>
          </cell>
          <cell r="N354">
            <v>1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1</v>
          </cell>
          <cell r="T354">
            <v>0</v>
          </cell>
          <cell r="U354">
            <v>0</v>
          </cell>
          <cell r="V354">
            <v>1</v>
          </cell>
          <cell r="W354">
            <v>6</v>
          </cell>
          <cell r="X354">
            <v>6</v>
          </cell>
          <cell r="Y354">
            <v>6</v>
          </cell>
        </row>
        <row r="355">
          <cell r="D355">
            <v>300269</v>
          </cell>
          <cell r="E355" t="str">
            <v>Alibeng NHS</v>
          </cell>
          <cell r="F355">
            <v>1</v>
          </cell>
          <cell r="G355">
            <v>1</v>
          </cell>
          <cell r="H355">
            <v>1</v>
          </cell>
          <cell r="I355">
            <v>0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 t="str">
            <v>n/a</v>
          </cell>
          <cell r="P355" t="str">
            <v>n/a</v>
          </cell>
          <cell r="Q355">
            <v>0</v>
          </cell>
          <cell r="R355">
            <v>0</v>
          </cell>
          <cell r="S355">
            <v>0</v>
          </cell>
          <cell r="T355">
            <v>1</v>
          </cell>
          <cell r="U355" t="str">
            <v>n/a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</row>
        <row r="356">
          <cell r="D356">
            <v>300277</v>
          </cell>
          <cell r="E356" t="str">
            <v>Ariston-Bantog NHS</v>
          </cell>
          <cell r="F356">
            <v>1</v>
          </cell>
          <cell r="G356">
            <v>0</v>
          </cell>
          <cell r="H356">
            <v>1</v>
          </cell>
          <cell r="I356">
            <v>0</v>
          </cell>
          <cell r="J356">
            <v>1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 t="str">
            <v>N/A</v>
          </cell>
          <cell r="P356" t="str">
            <v>N/A</v>
          </cell>
          <cell r="Q356">
            <v>0</v>
          </cell>
          <cell r="R356">
            <v>0</v>
          </cell>
          <cell r="S356">
            <v>0</v>
          </cell>
          <cell r="T356">
            <v>1</v>
          </cell>
          <cell r="U356" t="str">
            <v>N/A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</row>
        <row r="357">
          <cell r="D357">
            <v>300278</v>
          </cell>
          <cell r="E357" t="str">
            <v>Artacho NHS</v>
          </cell>
          <cell r="F357">
            <v>1</v>
          </cell>
          <cell r="G357">
            <v>0</v>
          </cell>
          <cell r="H357">
            <v>1</v>
          </cell>
          <cell r="I357">
            <v>0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1</v>
          </cell>
          <cell r="O357">
            <v>0</v>
          </cell>
          <cell r="P357">
            <v>0</v>
          </cell>
          <cell r="Q357">
            <v>0</v>
          </cell>
          <cell r="R357">
            <v>1</v>
          </cell>
          <cell r="S357">
            <v>0</v>
          </cell>
          <cell r="T357">
            <v>0</v>
          </cell>
          <cell r="U357">
            <v>0</v>
          </cell>
          <cell r="V357">
            <v>1</v>
          </cell>
          <cell r="W357">
            <v>0</v>
          </cell>
          <cell r="X357">
            <v>0</v>
          </cell>
          <cell r="Y357">
            <v>0</v>
          </cell>
        </row>
        <row r="358">
          <cell r="D358">
            <v>300285</v>
          </cell>
          <cell r="E358" t="str">
            <v>Batasan NHS</v>
          </cell>
          <cell r="F358">
            <v>1</v>
          </cell>
          <cell r="G358">
            <v>0</v>
          </cell>
          <cell r="H358">
            <v>1</v>
          </cell>
          <cell r="I358">
            <v>0</v>
          </cell>
          <cell r="J358">
            <v>0</v>
          </cell>
          <cell r="K358">
            <v>1</v>
          </cell>
          <cell r="L358">
            <v>0</v>
          </cell>
          <cell r="M358">
            <v>0</v>
          </cell>
          <cell r="N358">
            <v>1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1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</row>
        <row r="359">
          <cell r="D359">
            <v>300337</v>
          </cell>
          <cell r="E359" t="str">
            <v>Pinmilapil National High School</v>
          </cell>
          <cell r="F359">
            <v>1</v>
          </cell>
          <cell r="G359">
            <v>0</v>
          </cell>
          <cell r="H359">
            <v>1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1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1</v>
          </cell>
          <cell r="W359">
            <v>3</v>
          </cell>
          <cell r="X359">
            <v>1</v>
          </cell>
          <cell r="Y359">
            <v>0</v>
          </cell>
        </row>
        <row r="360">
          <cell r="D360">
            <v>300342</v>
          </cell>
          <cell r="E360" t="str">
            <v>Rosario NHS</v>
          </cell>
          <cell r="F360">
            <v>1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</row>
        <row r="361">
          <cell r="D361">
            <v>300065</v>
          </cell>
          <cell r="E361" t="str">
            <v>Palali National High School</v>
          </cell>
          <cell r="F361">
            <v>1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 t="str">
            <v>n/a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</row>
        <row r="362">
          <cell r="D362">
            <v>300309</v>
          </cell>
          <cell r="E362" t="str">
            <v>Eastern Pangasinan Agricultural College</v>
          </cell>
          <cell r="F362">
            <v>1</v>
          </cell>
          <cell r="G362">
            <v>0</v>
          </cell>
          <cell r="H362">
            <v>1</v>
          </cell>
          <cell r="I362">
            <v>0</v>
          </cell>
          <cell r="J362">
            <v>1</v>
          </cell>
          <cell r="K362">
            <v>0</v>
          </cell>
          <cell r="L362">
            <v>0</v>
          </cell>
          <cell r="M362">
            <v>0</v>
          </cell>
          <cell r="N362">
            <v>1</v>
          </cell>
          <cell r="O362">
            <v>43313</v>
          </cell>
          <cell r="P362">
            <v>43314</v>
          </cell>
          <cell r="Q362">
            <v>0</v>
          </cell>
          <cell r="R362">
            <v>1</v>
          </cell>
          <cell r="S362">
            <v>0</v>
          </cell>
          <cell r="T362">
            <v>0</v>
          </cell>
          <cell r="U362">
            <v>0</v>
          </cell>
          <cell r="V362">
            <v>1</v>
          </cell>
          <cell r="W362">
            <v>0</v>
          </cell>
          <cell r="X362">
            <v>0</v>
          </cell>
          <cell r="Y362">
            <v>0</v>
          </cell>
        </row>
        <row r="363">
          <cell r="D363">
            <v>300169</v>
          </cell>
          <cell r="E363" t="str">
            <v>Bayambang NHS (Infanta)</v>
          </cell>
          <cell r="F363">
            <v>1</v>
          </cell>
          <cell r="G363">
            <v>0</v>
          </cell>
          <cell r="H363">
            <v>1</v>
          </cell>
          <cell r="I363">
            <v>0</v>
          </cell>
          <cell r="J363">
            <v>1</v>
          </cell>
          <cell r="K363">
            <v>0</v>
          </cell>
          <cell r="L363">
            <v>0</v>
          </cell>
          <cell r="M363">
            <v>0</v>
          </cell>
          <cell r="N363">
            <v>1</v>
          </cell>
          <cell r="O363">
            <v>43623</v>
          </cell>
          <cell r="P363">
            <v>43623</v>
          </cell>
          <cell r="Q363">
            <v>0</v>
          </cell>
          <cell r="R363">
            <v>1</v>
          </cell>
          <cell r="S363">
            <v>0</v>
          </cell>
          <cell r="T363">
            <v>0</v>
          </cell>
          <cell r="U363">
            <v>0</v>
          </cell>
          <cell r="V363">
            <v>1</v>
          </cell>
          <cell r="W363">
            <v>1</v>
          </cell>
          <cell r="X363">
            <v>0</v>
          </cell>
          <cell r="Y363">
            <v>0</v>
          </cell>
        </row>
        <row r="364">
          <cell r="D364">
            <v>300280</v>
          </cell>
          <cell r="E364" t="str">
            <v>Baguinay NHS</v>
          </cell>
          <cell r="F364">
            <v>1</v>
          </cell>
          <cell r="G364">
            <v>0</v>
          </cell>
          <cell r="H364">
            <v>1</v>
          </cell>
          <cell r="I364">
            <v>0</v>
          </cell>
          <cell r="J364">
            <v>0</v>
          </cell>
          <cell r="K364">
            <v>1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</row>
        <row r="365">
          <cell r="D365">
            <v>300333</v>
          </cell>
          <cell r="E365" t="str">
            <v>Panganiban NHS</v>
          </cell>
          <cell r="F365">
            <v>1</v>
          </cell>
          <cell r="G365">
            <v>1</v>
          </cell>
          <cell r="H365">
            <v>1</v>
          </cell>
          <cell r="I365">
            <v>0</v>
          </cell>
          <cell r="J365">
            <v>0</v>
          </cell>
          <cell r="K365">
            <v>1</v>
          </cell>
          <cell r="L365">
            <v>0</v>
          </cell>
          <cell r="M365">
            <v>0</v>
          </cell>
          <cell r="N365">
            <v>1</v>
          </cell>
          <cell r="O365" t="str">
            <v>JUNE 21, 2019</v>
          </cell>
          <cell r="P365" t="str">
            <v>OCTOBER 29, 2019</v>
          </cell>
          <cell r="Q365">
            <v>0</v>
          </cell>
          <cell r="R365">
            <v>1</v>
          </cell>
          <cell r="S365">
            <v>1</v>
          </cell>
          <cell r="T365">
            <v>0</v>
          </cell>
          <cell r="U365">
            <v>0</v>
          </cell>
          <cell r="V365">
            <v>1</v>
          </cell>
          <cell r="W365">
            <v>1</v>
          </cell>
          <cell r="X365">
            <v>0</v>
          </cell>
          <cell r="Y365">
            <v>0</v>
          </cell>
        </row>
        <row r="366">
          <cell r="D366">
            <v>300355</v>
          </cell>
          <cell r="E366" t="str">
            <v>San Pedro Apartado NHS</v>
          </cell>
          <cell r="F366">
            <v>1</v>
          </cell>
          <cell r="G366">
            <v>1</v>
          </cell>
          <cell r="H366">
            <v>1</v>
          </cell>
          <cell r="I366">
            <v>0</v>
          </cell>
          <cell r="J366">
            <v>0</v>
          </cell>
          <cell r="K366">
            <v>1</v>
          </cell>
          <cell r="L366">
            <v>0</v>
          </cell>
          <cell r="M366">
            <v>0</v>
          </cell>
          <cell r="N366">
            <v>1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1</v>
          </cell>
          <cell r="W366">
            <v>0</v>
          </cell>
          <cell r="X366">
            <v>0</v>
          </cell>
          <cell r="Y366">
            <v>0</v>
          </cell>
        </row>
        <row r="367">
          <cell r="D367">
            <v>500388</v>
          </cell>
          <cell r="E367" t="str">
            <v>Gueguesangen IS</v>
          </cell>
          <cell r="F367">
            <v>1</v>
          </cell>
          <cell r="G367">
            <v>0</v>
          </cell>
          <cell r="H367">
            <v>1</v>
          </cell>
          <cell r="I367">
            <v>0</v>
          </cell>
          <cell r="J367">
            <v>1</v>
          </cell>
          <cell r="K367">
            <v>0</v>
          </cell>
          <cell r="L367">
            <v>0</v>
          </cell>
          <cell r="M367">
            <v>0</v>
          </cell>
          <cell r="N367">
            <v>1</v>
          </cell>
          <cell r="O367">
            <v>43617</v>
          </cell>
          <cell r="P367" t="str">
            <v>June 03, 2019</v>
          </cell>
          <cell r="Q367">
            <v>0</v>
          </cell>
          <cell r="R367">
            <v>0</v>
          </cell>
          <cell r="S367">
            <v>0</v>
          </cell>
          <cell r="T367">
            <v>1</v>
          </cell>
          <cell r="U367" t="str">
            <v>as needed</v>
          </cell>
          <cell r="V367">
            <v>1</v>
          </cell>
          <cell r="W367">
            <v>0</v>
          </cell>
          <cell r="X367">
            <v>0</v>
          </cell>
          <cell r="Y367">
            <v>0</v>
          </cell>
        </row>
        <row r="368">
          <cell r="D368">
            <v>300358</v>
          </cell>
          <cell r="E368" t="str">
            <v>Sta. Maria NHS, Binalonan</v>
          </cell>
          <cell r="F368">
            <v>1</v>
          </cell>
          <cell r="G368">
            <v>1</v>
          </cell>
          <cell r="H368">
            <v>1</v>
          </cell>
          <cell r="I368">
            <v>0</v>
          </cell>
          <cell r="J368">
            <v>0</v>
          </cell>
          <cell r="K368">
            <v>1</v>
          </cell>
          <cell r="L368">
            <v>0</v>
          </cell>
          <cell r="M368">
            <v>0</v>
          </cell>
          <cell r="N368">
            <v>1</v>
          </cell>
          <cell r="O368">
            <v>43630</v>
          </cell>
          <cell r="P368">
            <v>43759</v>
          </cell>
          <cell r="Q368">
            <v>0</v>
          </cell>
          <cell r="R368">
            <v>1</v>
          </cell>
          <cell r="S368">
            <v>0</v>
          </cell>
          <cell r="T368">
            <v>0</v>
          </cell>
          <cell r="U368">
            <v>0</v>
          </cell>
          <cell r="V368">
            <v>1</v>
          </cell>
          <cell r="W368">
            <v>0</v>
          </cell>
          <cell r="X368">
            <v>0</v>
          </cell>
          <cell r="Y368">
            <v>0</v>
          </cell>
        </row>
        <row r="369">
          <cell r="D369">
            <v>300286</v>
          </cell>
          <cell r="E369" t="str">
            <v>Bautista National High School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</row>
        <row r="370">
          <cell r="D370">
            <v>300304</v>
          </cell>
          <cell r="E370" t="str">
            <v>David National High School</v>
          </cell>
          <cell r="F370">
            <v>1</v>
          </cell>
          <cell r="G370">
            <v>1</v>
          </cell>
          <cell r="H370">
            <v>1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1</v>
          </cell>
          <cell r="O370">
            <v>43613</v>
          </cell>
          <cell r="P370">
            <v>43613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1</v>
          </cell>
          <cell r="W370">
            <v>0</v>
          </cell>
          <cell r="X370">
            <v>0</v>
          </cell>
          <cell r="Y370">
            <v>0</v>
          </cell>
        </row>
        <row r="371">
          <cell r="D371">
            <v>300325</v>
          </cell>
          <cell r="E371" t="str">
            <v>Manaoag NHS</v>
          </cell>
          <cell r="F371">
            <v>1</v>
          </cell>
          <cell r="G371">
            <v>1</v>
          </cell>
          <cell r="H371">
            <v>1</v>
          </cell>
          <cell r="I371">
            <v>1</v>
          </cell>
          <cell r="J371">
            <v>0</v>
          </cell>
          <cell r="K371">
            <v>1</v>
          </cell>
          <cell r="L371">
            <v>0</v>
          </cell>
          <cell r="M371">
            <v>0</v>
          </cell>
          <cell r="N371">
            <v>1</v>
          </cell>
          <cell r="O371">
            <v>0</v>
          </cell>
          <cell r="P371">
            <v>0</v>
          </cell>
          <cell r="Q371">
            <v>1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1</v>
          </cell>
          <cell r="W371">
            <v>0</v>
          </cell>
          <cell r="X371">
            <v>0</v>
          </cell>
          <cell r="Y371">
            <v>0</v>
          </cell>
        </row>
        <row r="372">
          <cell r="D372">
            <v>300058</v>
          </cell>
          <cell r="E372" t="str">
            <v>Manzante NHS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</row>
        <row r="373">
          <cell r="D373">
            <v>300081</v>
          </cell>
          <cell r="E373" t="str">
            <v>Solotsolot NHS</v>
          </cell>
          <cell r="F373">
            <v>1</v>
          </cell>
          <cell r="G373">
            <v>1</v>
          </cell>
          <cell r="H373">
            <v>1</v>
          </cell>
          <cell r="I373">
            <v>0</v>
          </cell>
          <cell r="J373">
            <v>1</v>
          </cell>
          <cell r="K373">
            <v>0</v>
          </cell>
          <cell r="L373">
            <v>0</v>
          </cell>
          <cell r="M373">
            <v>0</v>
          </cell>
          <cell r="N373">
            <v>1</v>
          </cell>
          <cell r="O373">
            <v>43622</v>
          </cell>
          <cell r="P373">
            <v>43652</v>
          </cell>
          <cell r="Q373">
            <v>1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1</v>
          </cell>
          <cell r="W373">
            <v>2</v>
          </cell>
          <cell r="X373">
            <v>2</v>
          </cell>
          <cell r="Y373">
            <v>2</v>
          </cell>
        </row>
        <row r="374">
          <cell r="D374">
            <v>300366</v>
          </cell>
          <cell r="E374" t="str">
            <v>Unzad NHS</v>
          </cell>
          <cell r="F374">
            <v>1</v>
          </cell>
          <cell r="G374">
            <v>0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</row>
        <row r="375">
          <cell r="D375">
            <v>300283</v>
          </cell>
          <cell r="E375" t="str">
            <v>Baracbac NHS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</row>
        <row r="376">
          <cell r="D376">
            <v>300360</v>
          </cell>
          <cell r="E376" t="str">
            <v>Sto. Domingo National High School</v>
          </cell>
          <cell r="F376">
            <v>1</v>
          </cell>
          <cell r="G376">
            <v>1</v>
          </cell>
          <cell r="H376">
            <v>1</v>
          </cell>
          <cell r="I376">
            <v>0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1</v>
          </cell>
          <cell r="O376">
            <v>43506</v>
          </cell>
          <cell r="P376">
            <v>43421</v>
          </cell>
          <cell r="Q376">
            <v>0</v>
          </cell>
          <cell r="R376">
            <v>1</v>
          </cell>
          <cell r="S376">
            <v>0</v>
          </cell>
          <cell r="T376">
            <v>0</v>
          </cell>
          <cell r="U376">
            <v>0</v>
          </cell>
          <cell r="V376">
            <v>1</v>
          </cell>
          <cell r="W376">
            <v>0</v>
          </cell>
          <cell r="X376">
            <v>0</v>
          </cell>
          <cell r="Y376">
            <v>0</v>
          </cell>
        </row>
        <row r="377">
          <cell r="D377">
            <v>500376</v>
          </cell>
          <cell r="E377" t="str">
            <v>Macayo IS</v>
          </cell>
          <cell r="F377">
            <v>1</v>
          </cell>
          <cell r="G377">
            <v>1</v>
          </cell>
          <cell r="H377">
            <v>1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</row>
        <row r="378">
          <cell r="D378">
            <v>300303</v>
          </cell>
          <cell r="E378" t="str">
            <v>Dalumpinas NHS</v>
          </cell>
          <cell r="F378">
            <v>1</v>
          </cell>
          <cell r="G378">
            <v>1</v>
          </cell>
          <cell r="H378">
            <v>1</v>
          </cell>
          <cell r="I378">
            <v>1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1</v>
          </cell>
          <cell r="O378">
            <v>0</v>
          </cell>
          <cell r="P378">
            <v>0</v>
          </cell>
          <cell r="Q378">
            <v>0</v>
          </cell>
          <cell r="R378">
            <v>1</v>
          </cell>
          <cell r="S378">
            <v>0</v>
          </cell>
          <cell r="T378">
            <v>0</v>
          </cell>
          <cell r="U378">
            <v>0</v>
          </cell>
          <cell r="V378">
            <v>1</v>
          </cell>
          <cell r="W378">
            <v>3</v>
          </cell>
          <cell r="X378">
            <v>3</v>
          </cell>
          <cell r="Y378">
            <v>1</v>
          </cell>
        </row>
        <row r="379">
          <cell r="D379">
            <v>500006</v>
          </cell>
          <cell r="E379" t="str">
            <v>San Fabian IS SPED CENTER</v>
          </cell>
          <cell r="F379">
            <v>1</v>
          </cell>
          <cell r="G379">
            <v>1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1</v>
          </cell>
          <cell r="O379">
            <v>0</v>
          </cell>
          <cell r="P379" t="str">
            <v>None</v>
          </cell>
          <cell r="Q379">
            <v>1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1</v>
          </cell>
          <cell r="W379">
            <v>0</v>
          </cell>
          <cell r="X379">
            <v>0</v>
          </cell>
          <cell r="Y379">
            <v>0</v>
          </cell>
        </row>
        <row r="380">
          <cell r="D380">
            <v>300357</v>
          </cell>
          <cell r="E380" t="str">
            <v>San Rafael NHS</v>
          </cell>
          <cell r="F380">
            <v>1</v>
          </cell>
          <cell r="G380">
            <v>0</v>
          </cell>
          <cell r="H380">
            <v>1</v>
          </cell>
          <cell r="I380">
            <v>0</v>
          </cell>
          <cell r="J380">
            <v>1</v>
          </cell>
          <cell r="K380">
            <v>0</v>
          </cell>
          <cell r="L380">
            <v>0</v>
          </cell>
          <cell r="M380">
            <v>0</v>
          </cell>
          <cell r="N380">
            <v>1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</row>
        <row r="381">
          <cell r="D381">
            <v>300346</v>
          </cell>
          <cell r="E381" t="str">
            <v>San Felipe National HighSchool</v>
          </cell>
          <cell r="F381">
            <v>1</v>
          </cell>
          <cell r="G381">
            <v>1</v>
          </cell>
          <cell r="H381">
            <v>1</v>
          </cell>
          <cell r="I381">
            <v>1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1</v>
          </cell>
          <cell r="O381">
            <v>0</v>
          </cell>
          <cell r="P381">
            <v>0</v>
          </cell>
          <cell r="Q381">
            <v>1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3</v>
          </cell>
          <cell r="X381">
            <v>3</v>
          </cell>
          <cell r="Y381">
            <v>3</v>
          </cell>
        </row>
        <row r="382">
          <cell r="D382">
            <v>500001</v>
          </cell>
          <cell r="E382" t="str">
            <v>Sulvec IS</v>
          </cell>
          <cell r="F382">
            <v>1</v>
          </cell>
          <cell r="G382">
            <v>1</v>
          </cell>
          <cell r="H382">
            <v>1</v>
          </cell>
          <cell r="I382">
            <v>0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43619</v>
          </cell>
          <cell r="Q382">
            <v>0</v>
          </cell>
          <cell r="R382">
            <v>0</v>
          </cell>
          <cell r="S382">
            <v>1</v>
          </cell>
          <cell r="T382">
            <v>0</v>
          </cell>
          <cell r="U382">
            <v>0</v>
          </cell>
          <cell r="V382">
            <v>1</v>
          </cell>
          <cell r="W382">
            <v>0</v>
          </cell>
          <cell r="X382">
            <v>0</v>
          </cell>
          <cell r="Y382">
            <v>0</v>
          </cell>
        </row>
        <row r="383">
          <cell r="D383">
            <v>500604</v>
          </cell>
          <cell r="E383" t="str">
            <v>Abagatanen Integrated School</v>
          </cell>
          <cell r="F383">
            <v>1</v>
          </cell>
          <cell r="G383">
            <v>1</v>
          </cell>
          <cell r="H383">
            <v>0</v>
          </cell>
          <cell r="I383">
            <v>0</v>
          </cell>
          <cell r="J383">
            <v>1</v>
          </cell>
          <cell r="K383">
            <v>0</v>
          </cell>
          <cell r="L383">
            <v>0</v>
          </cell>
          <cell r="M383">
            <v>0</v>
          </cell>
          <cell r="N383">
            <v>1</v>
          </cell>
          <cell r="O383">
            <v>43678</v>
          </cell>
          <cell r="P383">
            <v>43678</v>
          </cell>
          <cell r="Q383">
            <v>0</v>
          </cell>
          <cell r="R383">
            <v>1</v>
          </cell>
          <cell r="S383">
            <v>0</v>
          </cell>
          <cell r="T383">
            <v>0</v>
          </cell>
          <cell r="U383">
            <v>0</v>
          </cell>
          <cell r="V383">
            <v>1</v>
          </cell>
          <cell r="W383">
            <v>0</v>
          </cell>
          <cell r="X383">
            <v>0</v>
          </cell>
          <cell r="Y383">
            <v>0</v>
          </cell>
        </row>
        <row r="384">
          <cell r="D384">
            <v>300301</v>
          </cell>
          <cell r="E384" t="str">
            <v>Cipriano P. Primicias NHS</v>
          </cell>
          <cell r="F384">
            <v>1</v>
          </cell>
          <cell r="G384">
            <v>0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 t="str">
            <v>7/21/2019</v>
          </cell>
          <cell r="P384">
            <v>0</v>
          </cell>
          <cell r="Q384">
            <v>0</v>
          </cell>
          <cell r="R384">
            <v>1</v>
          </cell>
          <cell r="S384">
            <v>0</v>
          </cell>
          <cell r="T384">
            <v>0</v>
          </cell>
          <cell r="U384">
            <v>0</v>
          </cell>
          <cell r="V384">
            <v>1</v>
          </cell>
          <cell r="W384">
            <v>1</v>
          </cell>
          <cell r="X384">
            <v>1</v>
          </cell>
          <cell r="Y384">
            <v>1</v>
          </cell>
        </row>
        <row r="385">
          <cell r="D385">
            <v>300079</v>
          </cell>
          <cell r="E385" t="str">
            <v>Sigay NHS</v>
          </cell>
          <cell r="F385">
            <v>1</v>
          </cell>
          <cell r="G385">
            <v>0</v>
          </cell>
          <cell r="H385">
            <v>1</v>
          </cell>
          <cell r="I385">
            <v>0</v>
          </cell>
          <cell r="J385">
            <v>1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43561</v>
          </cell>
          <cell r="Q385">
            <v>0</v>
          </cell>
          <cell r="R385">
            <v>1</v>
          </cell>
          <cell r="S385">
            <v>0</v>
          </cell>
          <cell r="T385">
            <v>0</v>
          </cell>
          <cell r="U385">
            <v>0</v>
          </cell>
          <cell r="V385">
            <v>1</v>
          </cell>
          <cell r="W385">
            <v>0</v>
          </cell>
          <cell r="X385">
            <v>0</v>
          </cell>
          <cell r="Y385">
            <v>0</v>
          </cell>
        </row>
        <row r="386">
          <cell r="D386">
            <v>300364</v>
          </cell>
          <cell r="E386" t="str">
            <v>Toboy NHS</v>
          </cell>
          <cell r="F386">
            <v>1</v>
          </cell>
          <cell r="G386">
            <v>0</v>
          </cell>
          <cell r="H386">
            <v>1</v>
          </cell>
          <cell r="I386">
            <v>0</v>
          </cell>
          <cell r="J386">
            <v>1</v>
          </cell>
          <cell r="K386">
            <v>0</v>
          </cell>
          <cell r="L386">
            <v>0</v>
          </cell>
          <cell r="M386">
            <v>0</v>
          </cell>
          <cell r="N386">
            <v>1</v>
          </cell>
          <cell r="O386">
            <v>43678</v>
          </cell>
          <cell r="P386">
            <v>43739</v>
          </cell>
          <cell r="Q386">
            <v>1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1</v>
          </cell>
          <cell r="W386">
            <v>0</v>
          </cell>
          <cell r="X386">
            <v>0</v>
          </cell>
          <cell r="Y386">
            <v>0</v>
          </cell>
        </row>
        <row r="387">
          <cell r="D387">
            <v>300239</v>
          </cell>
          <cell r="E387" t="str">
            <v>Jose Rivera Bonsay NHS (Pogoruac NHS)</v>
          </cell>
          <cell r="F387">
            <v>1</v>
          </cell>
          <cell r="G387">
            <v>1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</row>
        <row r="388">
          <cell r="D388">
            <v>300179</v>
          </cell>
          <cell r="E388" t="str">
            <v>Burgos NHS</v>
          </cell>
          <cell r="F388">
            <v>1</v>
          </cell>
          <cell r="G388">
            <v>1</v>
          </cell>
          <cell r="H388">
            <v>1</v>
          </cell>
          <cell r="I388">
            <v>0</v>
          </cell>
          <cell r="J388">
            <v>1</v>
          </cell>
          <cell r="K388">
            <v>0</v>
          </cell>
          <cell r="L388">
            <v>0</v>
          </cell>
          <cell r="M388">
            <v>0</v>
          </cell>
          <cell r="N388">
            <v>1</v>
          </cell>
          <cell r="O388">
            <v>0</v>
          </cell>
          <cell r="P388">
            <v>0</v>
          </cell>
          <cell r="Q388">
            <v>0</v>
          </cell>
          <cell r="R388">
            <v>1</v>
          </cell>
          <cell r="S388">
            <v>0</v>
          </cell>
          <cell r="T388">
            <v>0</v>
          </cell>
          <cell r="U388">
            <v>0</v>
          </cell>
          <cell r="V388">
            <v>1</v>
          </cell>
          <cell r="W388">
            <v>4</v>
          </cell>
          <cell r="X388">
            <v>0</v>
          </cell>
          <cell r="Y388">
            <v>0</v>
          </cell>
        </row>
        <row r="389">
          <cell r="D389">
            <v>300227</v>
          </cell>
          <cell r="E389" t="str">
            <v>Naguilayan NHS</v>
          </cell>
          <cell r="F389">
            <v>1</v>
          </cell>
          <cell r="G389">
            <v>1</v>
          </cell>
          <cell r="H389">
            <v>1</v>
          </cell>
          <cell r="I389">
            <v>0</v>
          </cell>
          <cell r="J389">
            <v>0</v>
          </cell>
          <cell r="K389">
            <v>1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</row>
        <row r="390">
          <cell r="D390">
            <v>500385</v>
          </cell>
          <cell r="E390" t="str">
            <v>Dungon IS</v>
          </cell>
          <cell r="F390">
            <v>1</v>
          </cell>
          <cell r="G390">
            <v>0</v>
          </cell>
          <cell r="H390">
            <v>1</v>
          </cell>
          <cell r="I390">
            <v>0</v>
          </cell>
          <cell r="J390">
            <v>0</v>
          </cell>
          <cell r="K390">
            <v>1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 t="str">
            <v>June 9 2018, October 31, 2019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</row>
        <row r="391">
          <cell r="D391">
            <v>300192</v>
          </cell>
          <cell r="E391" t="str">
            <v>Dacap Norte National High School</v>
          </cell>
          <cell r="F391">
            <v>1</v>
          </cell>
          <cell r="G391">
            <v>1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1</v>
          </cell>
          <cell r="O391">
            <v>43619</v>
          </cell>
          <cell r="P391">
            <v>43619</v>
          </cell>
          <cell r="Q391">
            <v>1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1</v>
          </cell>
          <cell r="W391">
            <v>0</v>
          </cell>
          <cell r="X391">
            <v>0</v>
          </cell>
          <cell r="Y391">
            <v>0</v>
          </cell>
        </row>
        <row r="392">
          <cell r="D392">
            <v>500380</v>
          </cell>
          <cell r="E392" t="str">
            <v>Dilan Integrated School</v>
          </cell>
          <cell r="F392">
            <v>1</v>
          </cell>
          <cell r="G392">
            <v>0</v>
          </cell>
          <cell r="H392">
            <v>1</v>
          </cell>
          <cell r="I392">
            <v>0</v>
          </cell>
          <cell r="J392">
            <v>1</v>
          </cell>
          <cell r="K392">
            <v>0</v>
          </cell>
          <cell r="L392">
            <v>0</v>
          </cell>
          <cell r="M392">
            <v>0</v>
          </cell>
          <cell r="N392">
            <v>1</v>
          </cell>
          <cell r="O392" t="str">
            <v>Quarterly</v>
          </cell>
          <cell r="P392" t="str">
            <v>NONE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</row>
        <row r="393">
          <cell r="D393">
            <v>300321</v>
          </cell>
          <cell r="E393" t="str">
            <v>Lobong NHS</v>
          </cell>
          <cell r="F393">
            <v>1</v>
          </cell>
          <cell r="G393">
            <v>0</v>
          </cell>
          <cell r="H393">
            <v>1</v>
          </cell>
          <cell r="I393">
            <v>1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1</v>
          </cell>
          <cell r="O393" t="str">
            <v>July 10, 2019</v>
          </cell>
          <cell r="P393">
            <v>0</v>
          </cell>
          <cell r="Q393">
            <v>1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1</v>
          </cell>
          <cell r="W393">
            <v>2</v>
          </cell>
          <cell r="X393">
            <v>1</v>
          </cell>
          <cell r="Y393">
            <v>0</v>
          </cell>
        </row>
        <row r="394">
          <cell r="D394">
            <v>300297</v>
          </cell>
          <cell r="E394" t="str">
            <v>Canarvacanan NHS</v>
          </cell>
          <cell r="F394">
            <v>1</v>
          </cell>
          <cell r="G394">
            <v>1</v>
          </cell>
          <cell r="H394">
            <v>1</v>
          </cell>
          <cell r="I394">
            <v>0</v>
          </cell>
          <cell r="J394">
            <v>1</v>
          </cell>
          <cell r="K394">
            <v>0</v>
          </cell>
          <cell r="L394">
            <v>0</v>
          </cell>
          <cell r="M394">
            <v>0</v>
          </cell>
          <cell r="N394">
            <v>1</v>
          </cell>
          <cell r="O394">
            <v>43756</v>
          </cell>
          <cell r="P394">
            <v>43777</v>
          </cell>
          <cell r="Q394">
            <v>0</v>
          </cell>
          <cell r="R394">
            <v>1</v>
          </cell>
          <cell r="S394">
            <v>0</v>
          </cell>
          <cell r="T394">
            <v>1</v>
          </cell>
          <cell r="U394">
            <v>0</v>
          </cell>
          <cell r="V394">
            <v>1</v>
          </cell>
          <cell r="W394">
            <v>2</v>
          </cell>
          <cell r="X394">
            <v>0</v>
          </cell>
          <cell r="Y394">
            <v>0</v>
          </cell>
        </row>
        <row r="395">
          <cell r="D395">
            <v>300150</v>
          </cell>
          <cell r="E395" t="str">
            <v>Tagudtud NHS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 t="str">
            <v>n/a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</row>
        <row r="396">
          <cell r="D396">
            <v>300345</v>
          </cell>
          <cell r="E396" t="str">
            <v>San Fabian National High School</v>
          </cell>
          <cell r="F396">
            <v>1</v>
          </cell>
          <cell r="G396">
            <v>1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1</v>
          </cell>
          <cell r="O396">
            <v>0</v>
          </cell>
          <cell r="P396">
            <v>0</v>
          </cell>
          <cell r="Q396">
            <v>1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1</v>
          </cell>
          <cell r="W396">
            <v>0</v>
          </cell>
          <cell r="X396">
            <v>0</v>
          </cell>
          <cell r="Y396">
            <v>0</v>
          </cell>
        </row>
        <row r="397">
          <cell r="D397">
            <v>300265</v>
          </cell>
          <cell r="E397" t="str">
            <v>Torres NHS</v>
          </cell>
          <cell r="F397">
            <v>1</v>
          </cell>
          <cell r="G397">
            <v>0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1</v>
          </cell>
          <cell r="M397" t="str">
            <v>as needed</v>
          </cell>
          <cell r="N397">
            <v>1</v>
          </cell>
          <cell r="O397">
            <v>0</v>
          </cell>
          <cell r="P397" t="str">
            <v>No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</row>
        <row r="398">
          <cell r="D398">
            <v>300177</v>
          </cell>
          <cell r="E398" t="str">
            <v>Bued National High School</v>
          </cell>
          <cell r="F398">
            <v>1</v>
          </cell>
          <cell r="G398">
            <v>0</v>
          </cell>
          <cell r="H398">
            <v>1</v>
          </cell>
          <cell r="I398">
            <v>0</v>
          </cell>
          <cell r="J398">
            <v>0</v>
          </cell>
          <cell r="K398">
            <v>0</v>
          </cell>
          <cell r="L398">
            <v>1</v>
          </cell>
          <cell r="M398" t="str">
            <v>as needed</v>
          </cell>
          <cell r="N398">
            <v>1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1</v>
          </cell>
          <cell r="T398">
            <v>1</v>
          </cell>
          <cell r="U398">
            <v>43663</v>
          </cell>
          <cell r="V398">
            <v>1</v>
          </cell>
          <cell r="W398">
            <v>0</v>
          </cell>
          <cell r="X398">
            <v>0</v>
          </cell>
          <cell r="Y398">
            <v>0</v>
          </cell>
        </row>
        <row r="399">
          <cell r="D399">
            <v>500005</v>
          </cell>
          <cell r="E399" t="str">
            <v>Flores Integ. Sch.</v>
          </cell>
          <cell r="F399">
            <v>1</v>
          </cell>
          <cell r="G399">
            <v>1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1</v>
          </cell>
          <cell r="O399" t="str">
            <v>10/31/2019</v>
          </cell>
          <cell r="P399" t="str">
            <v>10/31/2019</v>
          </cell>
          <cell r="Q399">
            <v>1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1</v>
          </cell>
          <cell r="W399">
            <v>2</v>
          </cell>
          <cell r="X399">
            <v>1</v>
          </cell>
          <cell r="Y399">
            <v>1</v>
          </cell>
        </row>
        <row r="400">
          <cell r="D400">
            <v>300207</v>
          </cell>
          <cell r="E400" t="str">
            <v>ILOG-MALINO NATIONAL HIGH SCHOOL</v>
          </cell>
          <cell r="F400">
            <v>1</v>
          </cell>
          <cell r="G400">
            <v>1</v>
          </cell>
          <cell r="H400">
            <v>1</v>
          </cell>
          <cell r="I400">
            <v>0</v>
          </cell>
          <cell r="J400">
            <v>1</v>
          </cell>
          <cell r="K400">
            <v>0</v>
          </cell>
          <cell r="L400">
            <v>0</v>
          </cell>
          <cell r="M400">
            <v>0</v>
          </cell>
          <cell r="N400">
            <v>1</v>
          </cell>
          <cell r="O400">
            <v>43734</v>
          </cell>
          <cell r="P400">
            <v>0</v>
          </cell>
          <cell r="Q400">
            <v>0</v>
          </cell>
          <cell r="R400">
            <v>1</v>
          </cell>
          <cell r="S400">
            <v>0</v>
          </cell>
          <cell r="T400">
            <v>0</v>
          </cell>
          <cell r="U400">
            <v>0</v>
          </cell>
          <cell r="V400">
            <v>1</v>
          </cell>
          <cell r="W400">
            <v>3</v>
          </cell>
          <cell r="X400">
            <v>2</v>
          </cell>
          <cell r="Y400">
            <v>2</v>
          </cell>
        </row>
        <row r="401">
          <cell r="D401">
            <v>321003</v>
          </cell>
          <cell r="E401" t="str">
            <v>Rimos National High School</v>
          </cell>
          <cell r="F401">
            <v>1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</row>
        <row r="402">
          <cell r="D402">
            <v>300344</v>
          </cell>
          <cell r="E402" t="str">
            <v>San Aurelio NHS</v>
          </cell>
          <cell r="F402">
            <v>1</v>
          </cell>
          <cell r="G402">
            <v>0</v>
          </cell>
          <cell r="H402">
            <v>1</v>
          </cell>
          <cell r="I402">
            <v>0</v>
          </cell>
          <cell r="J402">
            <v>1</v>
          </cell>
          <cell r="K402">
            <v>0</v>
          </cell>
          <cell r="L402">
            <v>0</v>
          </cell>
          <cell r="M402">
            <v>0</v>
          </cell>
          <cell r="N402">
            <v>1</v>
          </cell>
          <cell r="O402">
            <v>43810</v>
          </cell>
          <cell r="P402" t="str">
            <v>NONE</v>
          </cell>
          <cell r="Q402">
            <v>0</v>
          </cell>
          <cell r="R402">
            <v>0</v>
          </cell>
          <cell r="S402">
            <v>0</v>
          </cell>
          <cell r="T402">
            <v>1</v>
          </cell>
          <cell r="U402" t="str">
            <v>NONE</v>
          </cell>
          <cell r="V402">
            <v>0</v>
          </cell>
          <cell r="W402">
            <v>2</v>
          </cell>
          <cell r="X402">
            <v>0</v>
          </cell>
          <cell r="Y402">
            <v>0</v>
          </cell>
        </row>
        <row r="403">
          <cell r="D403">
            <v>300100</v>
          </cell>
          <cell r="E403" t="str">
            <v>BAWANTA NATONAL HIGH SCHOOL</v>
          </cell>
          <cell r="F403">
            <v>1</v>
          </cell>
          <cell r="G403">
            <v>1</v>
          </cell>
          <cell r="H403">
            <v>1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1</v>
          </cell>
          <cell r="T403">
            <v>0</v>
          </cell>
          <cell r="U403">
            <v>0</v>
          </cell>
          <cell r="V403">
            <v>1</v>
          </cell>
          <cell r="W403">
            <v>5</v>
          </cell>
          <cell r="X403">
            <v>5</v>
          </cell>
          <cell r="Y403">
            <v>0</v>
          </cell>
        </row>
        <row r="404">
          <cell r="D404">
            <v>300145</v>
          </cell>
          <cell r="E404" t="str">
            <v>Sta. Teresa National High School</v>
          </cell>
          <cell r="F404">
            <v>1</v>
          </cell>
          <cell r="G404">
            <v>1</v>
          </cell>
          <cell r="H404">
            <v>1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</row>
        <row r="405">
          <cell r="D405">
            <v>300353</v>
          </cell>
          <cell r="E405" t="str">
            <v>San Miguel NHS</v>
          </cell>
          <cell r="F405">
            <v>0</v>
          </cell>
          <cell r="G405">
            <v>0</v>
          </cell>
          <cell r="H405">
            <v>1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1</v>
          </cell>
          <cell r="W405">
            <v>1</v>
          </cell>
          <cell r="X405">
            <v>1</v>
          </cell>
          <cell r="Y405">
            <v>1</v>
          </cell>
        </row>
        <row r="406">
          <cell r="D406">
            <v>500616</v>
          </cell>
          <cell r="E406" t="str">
            <v>Malawa IS</v>
          </cell>
          <cell r="F406">
            <v>1</v>
          </cell>
          <cell r="G406">
            <v>1</v>
          </cell>
          <cell r="H406">
            <v>1</v>
          </cell>
          <cell r="I406">
            <v>0</v>
          </cell>
          <cell r="J406">
            <v>0</v>
          </cell>
          <cell r="K406">
            <v>1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 t="str">
            <v>MAY 30, 2019</v>
          </cell>
          <cell r="Q406">
            <v>0</v>
          </cell>
          <cell r="R406">
            <v>0</v>
          </cell>
          <cell r="S406">
            <v>1</v>
          </cell>
          <cell r="T406">
            <v>0</v>
          </cell>
          <cell r="U406">
            <v>0</v>
          </cell>
          <cell r="V406">
            <v>1</v>
          </cell>
          <cell r="W406">
            <v>0</v>
          </cell>
          <cell r="X406">
            <v>0</v>
          </cell>
          <cell r="Y406">
            <v>0</v>
          </cell>
        </row>
        <row r="407">
          <cell r="D407">
            <v>300328</v>
          </cell>
          <cell r="E407" t="str">
            <v>Mataas Na Paaralang Juan C. Laya</v>
          </cell>
          <cell r="F407">
            <v>1</v>
          </cell>
          <cell r="G407">
            <v>1</v>
          </cell>
          <cell r="H407">
            <v>1</v>
          </cell>
          <cell r="I407">
            <v>0</v>
          </cell>
          <cell r="J407">
            <v>0</v>
          </cell>
          <cell r="K407">
            <v>1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1</v>
          </cell>
          <cell r="X407">
            <v>1</v>
          </cell>
          <cell r="Y407">
            <v>1</v>
          </cell>
        </row>
        <row r="408">
          <cell r="D408">
            <v>321004</v>
          </cell>
          <cell r="E408" t="str">
            <v>Aringay National High School-Basca Annex</v>
          </cell>
          <cell r="F408">
            <v>1</v>
          </cell>
          <cell r="G408">
            <v>1</v>
          </cell>
          <cell r="H408">
            <v>1</v>
          </cell>
          <cell r="I408">
            <v>0</v>
          </cell>
          <cell r="J408">
            <v>1</v>
          </cell>
          <cell r="K408">
            <v>0</v>
          </cell>
          <cell r="L408">
            <v>0</v>
          </cell>
          <cell r="M408">
            <v>0</v>
          </cell>
          <cell r="N408">
            <v>1</v>
          </cell>
          <cell r="O408">
            <v>43678</v>
          </cell>
          <cell r="P408" t="str">
            <v>October 31, 2019</v>
          </cell>
          <cell r="Q408">
            <v>1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1</v>
          </cell>
          <cell r="W408">
            <v>1</v>
          </cell>
          <cell r="X408">
            <v>0</v>
          </cell>
          <cell r="Y408">
            <v>0</v>
          </cell>
        </row>
        <row r="409">
          <cell r="D409">
            <v>300096</v>
          </cell>
          <cell r="E409" t="str">
            <v>Bail NHS</v>
          </cell>
          <cell r="F409">
            <v>1</v>
          </cell>
          <cell r="G409">
            <v>0</v>
          </cell>
          <cell r="H409">
            <v>1</v>
          </cell>
          <cell r="I409">
            <v>0</v>
          </cell>
          <cell r="J409">
            <v>0</v>
          </cell>
          <cell r="K409">
            <v>0</v>
          </cell>
          <cell r="L409">
            <v>1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1</v>
          </cell>
          <cell r="U409" t="str">
            <v>as needed</v>
          </cell>
          <cell r="V409">
            <v>1</v>
          </cell>
          <cell r="W409">
            <v>0</v>
          </cell>
          <cell r="X409">
            <v>0</v>
          </cell>
          <cell r="Y409">
            <v>0</v>
          </cell>
        </row>
        <row r="410">
          <cell r="D410">
            <v>300109</v>
          </cell>
          <cell r="E410" t="str">
            <v>Damortis NHS</v>
          </cell>
          <cell r="F410">
            <v>1</v>
          </cell>
          <cell r="G410">
            <v>0</v>
          </cell>
          <cell r="H410">
            <v>1</v>
          </cell>
          <cell r="I410">
            <v>0</v>
          </cell>
          <cell r="J410">
            <v>1</v>
          </cell>
          <cell r="K410">
            <v>0</v>
          </cell>
          <cell r="L410">
            <v>0</v>
          </cell>
          <cell r="M410">
            <v>0</v>
          </cell>
          <cell r="N410">
            <v>1</v>
          </cell>
          <cell r="O410" t="str">
            <v>JUNE 15, 2019</v>
          </cell>
          <cell r="P410" t="str">
            <v>JANUARY 10, 2019</v>
          </cell>
          <cell r="Q410">
            <v>0</v>
          </cell>
          <cell r="R410">
            <v>0</v>
          </cell>
          <cell r="S410">
            <v>0</v>
          </cell>
          <cell r="T410">
            <v>1</v>
          </cell>
          <cell r="U410" t="str">
            <v>WHEN PROBLEM OCCURS</v>
          </cell>
          <cell r="V410">
            <v>1</v>
          </cell>
          <cell r="W410">
            <v>0</v>
          </cell>
          <cell r="X410">
            <v>0</v>
          </cell>
          <cell r="Y410">
            <v>0</v>
          </cell>
        </row>
        <row r="411">
          <cell r="D411">
            <v>300093</v>
          </cell>
          <cell r="E411" t="str">
            <v>Aringay NHS</v>
          </cell>
          <cell r="F411">
            <v>1</v>
          </cell>
          <cell r="G411">
            <v>1</v>
          </cell>
          <cell r="H411">
            <v>1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1</v>
          </cell>
          <cell r="O411">
            <v>0</v>
          </cell>
          <cell r="P411">
            <v>0</v>
          </cell>
          <cell r="Q411">
            <v>0</v>
          </cell>
          <cell r="R411">
            <v>1</v>
          </cell>
          <cell r="S411">
            <v>0</v>
          </cell>
          <cell r="T411">
            <v>0</v>
          </cell>
          <cell r="U411">
            <v>0</v>
          </cell>
          <cell r="V411">
            <v>1</v>
          </cell>
          <cell r="W411">
            <v>2</v>
          </cell>
          <cell r="X411">
            <v>2</v>
          </cell>
          <cell r="Y411">
            <v>2</v>
          </cell>
        </row>
        <row r="412">
          <cell r="D412">
            <v>300152</v>
          </cell>
          <cell r="E412" t="str">
            <v>Tubao National High School</v>
          </cell>
          <cell r="F412">
            <v>1</v>
          </cell>
          <cell r="G412">
            <v>1</v>
          </cell>
          <cell r="H412">
            <v>1</v>
          </cell>
          <cell r="I412">
            <v>0</v>
          </cell>
          <cell r="J412">
            <v>1</v>
          </cell>
          <cell r="K412">
            <v>0</v>
          </cell>
          <cell r="L412">
            <v>0</v>
          </cell>
          <cell r="M412">
            <v>0</v>
          </cell>
          <cell r="N412">
            <v>1</v>
          </cell>
          <cell r="O412">
            <v>0</v>
          </cell>
          <cell r="P412" t="str">
            <v>6/17/2019</v>
          </cell>
          <cell r="Q412">
            <v>1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2</v>
          </cell>
          <cell r="X412">
            <v>2</v>
          </cell>
          <cell r="Y412">
            <v>2</v>
          </cell>
        </row>
        <row r="413">
          <cell r="D413">
            <v>500361</v>
          </cell>
          <cell r="E413" t="str">
            <v>Cabaruan Integrated School</v>
          </cell>
          <cell r="F413">
            <v>1</v>
          </cell>
          <cell r="G413">
            <v>0</v>
          </cell>
          <cell r="H413">
            <v>1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43666</v>
          </cell>
          <cell r="P413" t="str">
            <v>N/A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</row>
        <row r="414">
          <cell r="D414">
            <v>321121</v>
          </cell>
          <cell r="E414" t="str">
            <v>Catalino D. Cerezo NHS</v>
          </cell>
          <cell r="F414">
            <v>1</v>
          </cell>
          <cell r="G414">
            <v>1</v>
          </cell>
          <cell r="H414">
            <v>1</v>
          </cell>
          <cell r="I414">
            <v>0</v>
          </cell>
          <cell r="J414">
            <v>1</v>
          </cell>
          <cell r="K414">
            <v>0</v>
          </cell>
          <cell r="L414">
            <v>0</v>
          </cell>
          <cell r="M414">
            <v>0</v>
          </cell>
          <cell r="N414">
            <v>1</v>
          </cell>
          <cell r="O414" t="str">
            <v>10/30/2019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1</v>
          </cell>
          <cell r="U414" t="str">
            <v>as the need arise</v>
          </cell>
          <cell r="V414">
            <v>1</v>
          </cell>
          <cell r="W414">
            <v>0</v>
          </cell>
          <cell r="X414">
            <v>0</v>
          </cell>
          <cell r="Y414">
            <v>0</v>
          </cell>
        </row>
        <row r="415">
          <cell r="D415">
            <v>300129</v>
          </cell>
          <cell r="E415" t="str">
            <v>Pres. Elpidio. Quirino NHS</v>
          </cell>
          <cell r="F415">
            <v>1</v>
          </cell>
          <cell r="G415">
            <v>1</v>
          </cell>
          <cell r="H415">
            <v>1</v>
          </cell>
          <cell r="I415">
            <v>1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1</v>
          </cell>
          <cell r="O415">
            <v>0</v>
          </cell>
          <cell r="P415" t="str">
            <v>06/14/2019</v>
          </cell>
          <cell r="Q415">
            <v>0</v>
          </cell>
          <cell r="R415">
            <v>0</v>
          </cell>
          <cell r="S415">
            <v>1</v>
          </cell>
          <cell r="T415">
            <v>0</v>
          </cell>
          <cell r="U415">
            <v>0</v>
          </cell>
          <cell r="V415">
            <v>1</v>
          </cell>
          <cell r="W415">
            <v>2</v>
          </cell>
          <cell r="X415">
            <v>2</v>
          </cell>
          <cell r="Y415">
            <v>3</v>
          </cell>
        </row>
        <row r="416">
          <cell r="D416">
            <v>300119</v>
          </cell>
          <cell r="E416" t="str">
            <v>Leones National High School</v>
          </cell>
          <cell r="F416">
            <v>1</v>
          </cell>
          <cell r="G416">
            <v>1</v>
          </cell>
          <cell r="H416">
            <v>1</v>
          </cell>
          <cell r="I416">
            <v>0</v>
          </cell>
          <cell r="J416">
            <v>0</v>
          </cell>
          <cell r="K416">
            <v>1</v>
          </cell>
          <cell r="L416">
            <v>0</v>
          </cell>
          <cell r="M416">
            <v>0</v>
          </cell>
          <cell r="N416">
            <v>1</v>
          </cell>
          <cell r="O416">
            <v>0</v>
          </cell>
          <cell r="P416">
            <v>0</v>
          </cell>
          <cell r="Q416">
            <v>0</v>
          </cell>
          <cell r="R416">
            <v>1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</row>
        <row r="417">
          <cell r="D417">
            <v>300127</v>
          </cell>
          <cell r="E417" t="str">
            <v>Parasapas NHS</v>
          </cell>
          <cell r="F417">
            <v>1</v>
          </cell>
          <cell r="G417">
            <v>1</v>
          </cell>
          <cell r="H417">
            <v>0</v>
          </cell>
          <cell r="I417">
            <v>0</v>
          </cell>
          <cell r="J417">
            <v>1</v>
          </cell>
          <cell r="K417">
            <v>0</v>
          </cell>
          <cell r="L417">
            <v>0</v>
          </cell>
          <cell r="M417">
            <v>0</v>
          </cell>
          <cell r="N417">
            <v>1</v>
          </cell>
          <cell r="O417">
            <v>43318</v>
          </cell>
          <cell r="P417" t="str">
            <v>n/a</v>
          </cell>
          <cell r="Q417">
            <v>1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1</v>
          </cell>
          <cell r="W417">
            <v>0</v>
          </cell>
          <cell r="X417">
            <v>0</v>
          </cell>
          <cell r="Y417">
            <v>0</v>
          </cell>
        </row>
        <row r="418">
          <cell r="D418">
            <v>500359</v>
          </cell>
          <cell r="E418" t="str">
            <v>Capas Integrated School</v>
          </cell>
          <cell r="F418">
            <v>1</v>
          </cell>
          <cell r="G418">
            <v>1</v>
          </cell>
          <cell r="H418">
            <v>1</v>
          </cell>
          <cell r="I418">
            <v>0</v>
          </cell>
          <cell r="J418">
            <v>1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1</v>
          </cell>
          <cell r="R418">
            <v>0</v>
          </cell>
          <cell r="S418">
            <v>0</v>
          </cell>
          <cell r="T418">
            <v>1</v>
          </cell>
          <cell r="U418" t="str">
            <v>No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</row>
        <row r="419">
          <cell r="D419">
            <v>300110</v>
          </cell>
          <cell r="E419" t="str">
            <v>Alipang NHS</v>
          </cell>
          <cell r="F419">
            <v>1</v>
          </cell>
          <cell r="G419">
            <v>0</v>
          </cell>
          <cell r="H419">
            <v>1</v>
          </cell>
          <cell r="I419">
            <v>0</v>
          </cell>
          <cell r="J419">
            <v>0</v>
          </cell>
          <cell r="K419">
            <v>1</v>
          </cell>
          <cell r="L419">
            <v>0</v>
          </cell>
          <cell r="M419">
            <v>0</v>
          </cell>
          <cell r="N419">
            <v>1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1</v>
          </cell>
          <cell r="T419">
            <v>0</v>
          </cell>
          <cell r="U419">
            <v>0</v>
          </cell>
          <cell r="V419">
            <v>1</v>
          </cell>
          <cell r="W419">
            <v>0</v>
          </cell>
          <cell r="X419">
            <v>0</v>
          </cell>
          <cell r="Y419">
            <v>0</v>
          </cell>
        </row>
        <row r="420">
          <cell r="D420">
            <v>300091</v>
          </cell>
          <cell r="E420" t="str">
            <v>Amlang-Nagtagaan National High School</v>
          </cell>
          <cell r="F420">
            <v>1</v>
          </cell>
          <cell r="G420">
            <v>1</v>
          </cell>
          <cell r="H420">
            <v>1</v>
          </cell>
          <cell r="I420">
            <v>0</v>
          </cell>
          <cell r="J420">
            <v>0</v>
          </cell>
          <cell r="K420">
            <v>1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43710</v>
          </cell>
          <cell r="Q420">
            <v>0</v>
          </cell>
          <cell r="R420">
            <v>1</v>
          </cell>
          <cell r="S420">
            <v>0</v>
          </cell>
          <cell r="T420">
            <v>0</v>
          </cell>
          <cell r="U420">
            <v>0</v>
          </cell>
          <cell r="V420">
            <v>1</v>
          </cell>
          <cell r="W420">
            <v>0</v>
          </cell>
          <cell r="X420">
            <v>0</v>
          </cell>
          <cell r="Y420">
            <v>0</v>
          </cell>
        </row>
        <row r="421">
          <cell r="D421">
            <v>500002</v>
          </cell>
          <cell r="E421" t="str">
            <v>Rosario Integrated School</v>
          </cell>
          <cell r="F421">
            <v>1</v>
          </cell>
          <cell r="G421">
            <v>1</v>
          </cell>
          <cell r="H421">
            <v>1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1</v>
          </cell>
          <cell r="O421">
            <v>0</v>
          </cell>
          <cell r="P421">
            <v>0</v>
          </cell>
          <cell r="Q421">
            <v>0</v>
          </cell>
          <cell r="R421">
            <v>1</v>
          </cell>
          <cell r="S421">
            <v>0</v>
          </cell>
          <cell r="T421">
            <v>0</v>
          </cell>
          <cell r="U421">
            <v>0</v>
          </cell>
          <cell r="V421">
            <v>1</v>
          </cell>
          <cell r="W421">
            <v>0</v>
          </cell>
          <cell r="X421">
            <v>0</v>
          </cell>
          <cell r="Y421">
            <v>0</v>
          </cell>
        </row>
        <row r="422">
          <cell r="D422">
            <v>300138</v>
          </cell>
          <cell r="E422" t="str">
            <v>San Luis NHS</v>
          </cell>
          <cell r="F422">
            <v>1</v>
          </cell>
          <cell r="G422">
            <v>1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1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1</v>
          </cell>
          <cell r="W422">
            <v>0</v>
          </cell>
          <cell r="X422">
            <v>0</v>
          </cell>
          <cell r="Y422">
            <v>0</v>
          </cell>
        </row>
        <row r="423">
          <cell r="D423">
            <v>300222</v>
          </cell>
          <cell r="E423" t="str">
            <v>MANGATAREM NATIONAL HIGH SCHOOL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 t="str">
            <v>Sept. 27, 2019</v>
          </cell>
          <cell r="P423" t="str">
            <v>Oct. 18, 2019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</row>
        <row r="424">
          <cell r="D424">
            <v>300306</v>
          </cell>
          <cell r="E424" t="str">
            <v>Don Benito Agro-Industrial High School</v>
          </cell>
          <cell r="F424">
            <v>1</v>
          </cell>
          <cell r="G424">
            <v>1</v>
          </cell>
          <cell r="H424">
            <v>1</v>
          </cell>
          <cell r="I424">
            <v>1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1</v>
          </cell>
          <cell r="O424" t="str">
            <v>11/21/2019</v>
          </cell>
          <cell r="P424">
            <v>43566</v>
          </cell>
          <cell r="Q424">
            <v>1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1</v>
          </cell>
          <cell r="W424">
            <v>0</v>
          </cell>
          <cell r="X424">
            <v>0</v>
          </cell>
          <cell r="Y424">
            <v>0</v>
          </cell>
        </row>
        <row r="425">
          <cell r="D425">
            <v>340822</v>
          </cell>
          <cell r="E425" t="str">
            <v>Aringay Stand-Alone Senior High School</v>
          </cell>
          <cell r="F425">
            <v>1</v>
          </cell>
          <cell r="G425">
            <v>1</v>
          </cell>
          <cell r="H425">
            <v>1</v>
          </cell>
          <cell r="I425">
            <v>1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1</v>
          </cell>
          <cell r="O425" t="str">
            <v>June</v>
          </cell>
          <cell r="P425">
            <v>0</v>
          </cell>
          <cell r="Q425">
            <v>1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1</v>
          </cell>
          <cell r="W425">
            <v>3</v>
          </cell>
          <cell r="X425">
            <v>1</v>
          </cell>
          <cell r="Y425">
            <v>3</v>
          </cell>
        </row>
        <row r="426">
          <cell r="D426">
            <v>300229</v>
          </cell>
          <cell r="E426" t="str">
            <v>Nancapian National High School</v>
          </cell>
          <cell r="F426">
            <v>1</v>
          </cell>
          <cell r="G426">
            <v>0</v>
          </cell>
          <cell r="H426">
            <v>1</v>
          </cell>
          <cell r="I426">
            <v>0</v>
          </cell>
          <cell r="J426">
            <v>0</v>
          </cell>
          <cell r="K426">
            <v>1</v>
          </cell>
          <cell r="L426">
            <v>0</v>
          </cell>
          <cell r="M426">
            <v>0</v>
          </cell>
          <cell r="N426">
            <v>1</v>
          </cell>
          <cell r="O426">
            <v>43638</v>
          </cell>
          <cell r="P426">
            <v>0</v>
          </cell>
          <cell r="Q426">
            <v>0</v>
          </cell>
          <cell r="R426">
            <v>1</v>
          </cell>
          <cell r="S426">
            <v>0</v>
          </cell>
          <cell r="T426">
            <v>0</v>
          </cell>
          <cell r="U426">
            <v>0</v>
          </cell>
          <cell r="V426">
            <v>1</v>
          </cell>
          <cell r="W426">
            <v>0</v>
          </cell>
          <cell r="X426">
            <v>0</v>
          </cell>
          <cell r="Y426">
            <v>0</v>
          </cell>
        </row>
        <row r="427">
          <cell r="D427">
            <v>300061</v>
          </cell>
          <cell r="E427" t="str">
            <v>Nagsuputan NHS</v>
          </cell>
          <cell r="F427">
            <v>1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 t="str">
            <v>N/A</v>
          </cell>
          <cell r="P427" t="str">
            <v>N/A</v>
          </cell>
          <cell r="Q427">
            <v>0</v>
          </cell>
          <cell r="R427">
            <v>0</v>
          </cell>
          <cell r="S427">
            <v>0</v>
          </cell>
          <cell r="T427">
            <v>1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</row>
        <row r="428">
          <cell r="D428">
            <v>300235</v>
          </cell>
          <cell r="E428" t="str">
            <v>Parayao National High School</v>
          </cell>
          <cell r="F428">
            <v>0</v>
          </cell>
          <cell r="G428">
            <v>0</v>
          </cell>
          <cell r="H428">
            <v>1</v>
          </cell>
          <cell r="I428">
            <v>0</v>
          </cell>
          <cell r="J428">
            <v>1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1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</row>
        <row r="429">
          <cell r="D429">
            <v>300004</v>
          </cell>
          <cell r="E429" t="str">
            <v>Banna National High School</v>
          </cell>
          <cell r="F429">
            <v>1</v>
          </cell>
          <cell r="G429">
            <v>0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1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</row>
        <row r="430">
          <cell r="D430">
            <v>500370</v>
          </cell>
          <cell r="E430" t="str">
            <v>Bolinao Integrated School</v>
          </cell>
          <cell r="F430">
            <v>1</v>
          </cell>
          <cell r="G430">
            <v>1</v>
          </cell>
          <cell r="H430">
            <v>1</v>
          </cell>
          <cell r="I430">
            <v>0</v>
          </cell>
          <cell r="J430">
            <v>0</v>
          </cell>
          <cell r="K430">
            <v>0</v>
          </cell>
          <cell r="L430">
            <v>1</v>
          </cell>
          <cell r="M430" t="str">
            <v>as the necessity aries</v>
          </cell>
          <cell r="N430">
            <v>1</v>
          </cell>
          <cell r="O430">
            <v>43490</v>
          </cell>
          <cell r="P430">
            <v>43630</v>
          </cell>
          <cell r="Q430">
            <v>1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1</v>
          </cell>
          <cell r="W430">
            <v>2</v>
          </cell>
          <cell r="X430">
            <v>0</v>
          </cell>
          <cell r="Y430">
            <v>0</v>
          </cell>
        </row>
        <row r="431">
          <cell r="D431">
            <v>500000</v>
          </cell>
          <cell r="E431" t="str">
            <v>Caraitan Integrated School</v>
          </cell>
          <cell r="F431">
            <v>1</v>
          </cell>
          <cell r="G431">
            <v>0</v>
          </cell>
          <cell r="H431">
            <v>1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43627</v>
          </cell>
          <cell r="Q431">
            <v>0</v>
          </cell>
          <cell r="R431">
            <v>1</v>
          </cell>
          <cell r="S431">
            <v>0</v>
          </cell>
          <cell r="T431">
            <v>0</v>
          </cell>
          <cell r="U431">
            <v>0</v>
          </cell>
          <cell r="V431">
            <v>1</v>
          </cell>
          <cell r="W431">
            <v>0</v>
          </cell>
          <cell r="X431">
            <v>0</v>
          </cell>
          <cell r="Y431">
            <v>0</v>
          </cell>
        </row>
        <row r="432">
          <cell r="D432">
            <v>321101</v>
          </cell>
          <cell r="E432" t="str">
            <v>Palapar NHS</v>
          </cell>
          <cell r="F432">
            <v>1</v>
          </cell>
          <cell r="G432">
            <v>1</v>
          </cell>
          <cell r="H432">
            <v>1</v>
          </cell>
          <cell r="I432">
            <v>0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1</v>
          </cell>
          <cell r="O432" t="str">
            <v>11/28/2019</v>
          </cell>
          <cell r="P432" t="str">
            <v>11/25/2019</v>
          </cell>
          <cell r="Q432">
            <v>0</v>
          </cell>
          <cell r="R432">
            <v>1</v>
          </cell>
          <cell r="S432">
            <v>0</v>
          </cell>
          <cell r="T432">
            <v>0</v>
          </cell>
          <cell r="U432">
            <v>0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</row>
        <row r="433">
          <cell r="D433">
            <v>300153</v>
          </cell>
          <cell r="E433" t="str">
            <v>Wenceslao National HS</v>
          </cell>
          <cell r="F433">
            <v>1</v>
          </cell>
          <cell r="G433">
            <v>1</v>
          </cell>
          <cell r="H433">
            <v>1</v>
          </cell>
          <cell r="I433">
            <v>0</v>
          </cell>
          <cell r="J433">
            <v>1</v>
          </cell>
          <cell r="K433">
            <v>0</v>
          </cell>
          <cell r="L433">
            <v>0</v>
          </cell>
          <cell r="M433">
            <v>0</v>
          </cell>
          <cell r="N433">
            <v>1</v>
          </cell>
          <cell r="O433">
            <v>0</v>
          </cell>
          <cell r="P433" t="str">
            <v>JULY</v>
          </cell>
          <cell r="Q433">
            <v>0</v>
          </cell>
          <cell r="R433">
            <v>1</v>
          </cell>
          <cell r="S433">
            <v>0</v>
          </cell>
          <cell r="T433">
            <v>0</v>
          </cell>
          <cell r="U433">
            <v>0</v>
          </cell>
          <cell r="V433">
            <v>1</v>
          </cell>
          <cell r="W433">
            <v>0</v>
          </cell>
          <cell r="X433">
            <v>0</v>
          </cell>
          <cell r="Y433">
            <v>0</v>
          </cell>
        </row>
        <row r="434">
          <cell r="D434">
            <v>500594</v>
          </cell>
          <cell r="E434" t="str">
            <v>Uguis Integrated School</v>
          </cell>
          <cell r="F434">
            <v>1</v>
          </cell>
          <cell r="G434">
            <v>0</v>
          </cell>
          <cell r="H434">
            <v>1</v>
          </cell>
          <cell r="I434">
            <v>0</v>
          </cell>
          <cell r="J434">
            <v>1</v>
          </cell>
          <cell r="K434">
            <v>0</v>
          </cell>
          <cell r="L434">
            <v>0</v>
          </cell>
          <cell r="M434">
            <v>0</v>
          </cell>
          <cell r="N434">
            <v>1</v>
          </cell>
          <cell r="O434">
            <v>0</v>
          </cell>
          <cell r="P434">
            <v>0</v>
          </cell>
          <cell r="Q434">
            <v>1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1</v>
          </cell>
          <cell r="W434">
            <v>2</v>
          </cell>
          <cell r="X434">
            <v>0</v>
          </cell>
          <cell r="Y434">
            <v>0</v>
          </cell>
        </row>
        <row r="435">
          <cell r="D435">
            <v>300259</v>
          </cell>
          <cell r="E435" t="str">
            <v>Tanolong National High School</v>
          </cell>
          <cell r="F435">
            <v>1</v>
          </cell>
          <cell r="G435">
            <v>1</v>
          </cell>
          <cell r="H435">
            <v>1</v>
          </cell>
          <cell r="I435">
            <v>0</v>
          </cell>
          <cell r="J435">
            <v>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43565</v>
          </cell>
          <cell r="Q435">
            <v>1</v>
          </cell>
          <cell r="R435">
            <v>0</v>
          </cell>
          <cell r="S435">
            <v>0</v>
          </cell>
          <cell r="T435">
            <v>1</v>
          </cell>
          <cell r="U435">
            <v>0</v>
          </cell>
          <cell r="V435">
            <v>1</v>
          </cell>
          <cell r="W435">
            <v>0</v>
          </cell>
          <cell r="X435">
            <v>0</v>
          </cell>
          <cell r="Y435">
            <v>0</v>
          </cell>
        </row>
        <row r="436">
          <cell r="D436">
            <v>300189</v>
          </cell>
          <cell r="E436" t="str">
            <v>Cato NHS</v>
          </cell>
          <cell r="F436">
            <v>1</v>
          </cell>
          <cell r="G436">
            <v>1</v>
          </cell>
          <cell r="H436">
            <v>1</v>
          </cell>
          <cell r="I436">
            <v>0</v>
          </cell>
          <cell r="J436">
            <v>1</v>
          </cell>
          <cell r="K436">
            <v>0</v>
          </cell>
          <cell r="L436">
            <v>0</v>
          </cell>
          <cell r="M436">
            <v>0</v>
          </cell>
          <cell r="N436">
            <v>1</v>
          </cell>
          <cell r="O436">
            <v>43753</v>
          </cell>
          <cell r="P436">
            <v>43763</v>
          </cell>
          <cell r="Q436">
            <v>0</v>
          </cell>
          <cell r="R436">
            <v>1</v>
          </cell>
          <cell r="S436">
            <v>0</v>
          </cell>
          <cell r="T436">
            <v>0</v>
          </cell>
          <cell r="U436">
            <v>0</v>
          </cell>
          <cell r="V436">
            <v>1</v>
          </cell>
          <cell r="W436">
            <v>3</v>
          </cell>
          <cell r="X436">
            <v>3</v>
          </cell>
          <cell r="Y436">
            <v>0</v>
          </cell>
        </row>
        <row r="437">
          <cell r="D437">
            <v>300158</v>
          </cell>
          <cell r="E437" t="str">
            <v>Anda National High School</v>
          </cell>
          <cell r="F437">
            <v>1</v>
          </cell>
          <cell r="G437">
            <v>0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1</v>
          </cell>
          <cell r="M437" t="str">
            <v>As needed</v>
          </cell>
          <cell r="N437">
            <v>1</v>
          </cell>
          <cell r="O437">
            <v>43617</v>
          </cell>
          <cell r="P437">
            <v>43617</v>
          </cell>
          <cell r="Q437">
            <v>0</v>
          </cell>
          <cell r="R437">
            <v>0</v>
          </cell>
          <cell r="S437">
            <v>0</v>
          </cell>
          <cell r="T437">
            <v>1</v>
          </cell>
          <cell r="U437" t="str">
            <v>As needed</v>
          </cell>
          <cell r="V437">
            <v>1</v>
          </cell>
          <cell r="W437">
            <v>3</v>
          </cell>
          <cell r="X437">
            <v>0</v>
          </cell>
          <cell r="Y437">
            <v>0</v>
          </cell>
        </row>
        <row r="438">
          <cell r="D438">
            <v>300183</v>
          </cell>
          <cell r="E438" t="str">
            <v>Calasiao Comprehensive NHS</v>
          </cell>
          <cell r="F438">
            <v>1</v>
          </cell>
          <cell r="G438">
            <v>1</v>
          </cell>
          <cell r="H438">
            <v>1</v>
          </cell>
          <cell r="I438">
            <v>0</v>
          </cell>
          <cell r="J438">
            <v>0</v>
          </cell>
          <cell r="K438">
            <v>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1</v>
          </cell>
          <cell r="T438">
            <v>0</v>
          </cell>
          <cell r="U438">
            <v>0</v>
          </cell>
          <cell r="V438">
            <v>1</v>
          </cell>
          <cell r="W438">
            <v>0</v>
          </cell>
          <cell r="X438">
            <v>0</v>
          </cell>
          <cell r="Y438">
            <v>0</v>
          </cell>
        </row>
        <row r="439">
          <cell r="D439">
            <v>300205</v>
          </cell>
          <cell r="E439" t="str">
            <v>Garrita NHS</v>
          </cell>
          <cell r="F439">
            <v>1</v>
          </cell>
          <cell r="G439">
            <v>1</v>
          </cell>
          <cell r="H439">
            <v>1</v>
          </cell>
          <cell r="I439">
            <v>0</v>
          </cell>
          <cell r="J439">
            <v>1</v>
          </cell>
          <cell r="K439">
            <v>0</v>
          </cell>
          <cell r="L439">
            <v>0</v>
          </cell>
          <cell r="M439">
            <v>0</v>
          </cell>
          <cell r="N439">
            <v>1</v>
          </cell>
          <cell r="O439" t="str">
            <v>JULY 1, 2019</v>
          </cell>
          <cell r="P439">
            <v>0</v>
          </cell>
          <cell r="Q439">
            <v>0</v>
          </cell>
          <cell r="R439">
            <v>1</v>
          </cell>
          <cell r="S439">
            <v>0</v>
          </cell>
          <cell r="T439">
            <v>0</v>
          </cell>
          <cell r="U439">
            <v>0</v>
          </cell>
          <cell r="V439">
            <v>1</v>
          </cell>
          <cell r="W439">
            <v>2</v>
          </cell>
          <cell r="X439">
            <v>0</v>
          </cell>
          <cell r="Y439">
            <v>0</v>
          </cell>
        </row>
        <row r="440">
          <cell r="D440">
            <v>300219</v>
          </cell>
          <cell r="E440" t="str">
            <v>Magalong National High School</v>
          </cell>
          <cell r="F440">
            <v>0</v>
          </cell>
          <cell r="G440">
            <v>0</v>
          </cell>
          <cell r="H440">
            <v>1</v>
          </cell>
          <cell r="I440">
            <v>0</v>
          </cell>
          <cell r="J440">
            <v>1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</row>
        <row r="441">
          <cell r="D441">
            <v>300256</v>
          </cell>
          <cell r="E441" t="str">
            <v>Tagudin NHS</v>
          </cell>
          <cell r="F441">
            <v>1</v>
          </cell>
          <cell r="G441">
            <v>1</v>
          </cell>
          <cell r="H441">
            <v>1</v>
          </cell>
          <cell r="I441">
            <v>0</v>
          </cell>
          <cell r="J441">
            <v>1</v>
          </cell>
          <cell r="K441">
            <v>0</v>
          </cell>
          <cell r="L441">
            <v>0</v>
          </cell>
          <cell r="M441">
            <v>0</v>
          </cell>
          <cell r="N441">
            <v>1</v>
          </cell>
          <cell r="O441">
            <v>43617</v>
          </cell>
          <cell r="P441">
            <v>43617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1</v>
          </cell>
          <cell r="W441">
            <v>3</v>
          </cell>
          <cell r="X441">
            <v>3</v>
          </cell>
          <cell r="Y441">
            <v>3</v>
          </cell>
        </row>
        <row r="442">
          <cell r="D442">
            <v>300347</v>
          </cell>
          <cell r="E442" t="str">
            <v>San Isidro NHS</v>
          </cell>
          <cell r="F442">
            <v>0</v>
          </cell>
          <cell r="G442">
            <v>0</v>
          </cell>
          <cell r="H442">
            <v>1</v>
          </cell>
          <cell r="I442">
            <v>0</v>
          </cell>
          <cell r="J442">
            <v>0</v>
          </cell>
          <cell r="K442">
            <v>1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1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</row>
        <row r="443">
          <cell r="D443">
            <v>300186</v>
          </cell>
          <cell r="E443" t="str">
            <v>Canan NHS</v>
          </cell>
          <cell r="F443">
            <v>1</v>
          </cell>
          <cell r="G443">
            <v>1</v>
          </cell>
          <cell r="H443">
            <v>1</v>
          </cell>
          <cell r="I443">
            <v>0</v>
          </cell>
          <cell r="J443">
            <v>1</v>
          </cell>
          <cell r="K443">
            <v>0</v>
          </cell>
          <cell r="L443">
            <v>0</v>
          </cell>
          <cell r="M443">
            <v>0</v>
          </cell>
          <cell r="N443">
            <v>1</v>
          </cell>
          <cell r="O443">
            <v>0</v>
          </cell>
          <cell r="P443" t="str">
            <v>JULY 27,2018</v>
          </cell>
          <cell r="Q443">
            <v>0</v>
          </cell>
          <cell r="R443">
            <v>1</v>
          </cell>
          <cell r="S443">
            <v>0</v>
          </cell>
          <cell r="T443">
            <v>0</v>
          </cell>
          <cell r="U443">
            <v>0</v>
          </cell>
          <cell r="V443">
            <v>1</v>
          </cell>
          <cell r="W443">
            <v>3</v>
          </cell>
          <cell r="X443">
            <v>3</v>
          </cell>
          <cell r="Y443">
            <v>3</v>
          </cell>
        </row>
        <row r="444">
          <cell r="D444">
            <v>300262</v>
          </cell>
          <cell r="E444" t="str">
            <v>Tobor NHS</v>
          </cell>
          <cell r="F444">
            <v>1</v>
          </cell>
          <cell r="G444">
            <v>1</v>
          </cell>
          <cell r="H444">
            <v>0</v>
          </cell>
          <cell r="I444">
            <v>1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1</v>
          </cell>
          <cell r="O444" t="str">
            <v>October, 2019</v>
          </cell>
          <cell r="P444" t="str">
            <v>October, 2019</v>
          </cell>
          <cell r="Q444">
            <v>0</v>
          </cell>
          <cell r="R444">
            <v>1</v>
          </cell>
          <cell r="S444">
            <v>0</v>
          </cell>
          <cell r="T444">
            <v>0</v>
          </cell>
          <cell r="U444">
            <v>0</v>
          </cell>
          <cell r="V444">
            <v>1</v>
          </cell>
          <cell r="W444">
            <v>3</v>
          </cell>
          <cell r="X444">
            <v>1</v>
          </cell>
          <cell r="Y444">
            <v>0</v>
          </cell>
        </row>
        <row r="445">
          <cell r="D445">
            <v>300231</v>
          </cell>
          <cell r="E445" t="str">
            <v>Olo NHS</v>
          </cell>
          <cell r="F445">
            <v>1</v>
          </cell>
          <cell r="G445">
            <v>1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1</v>
          </cell>
          <cell r="O445">
            <v>0</v>
          </cell>
          <cell r="P445">
            <v>0</v>
          </cell>
          <cell r="Q445">
            <v>1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1</v>
          </cell>
          <cell r="W445">
            <v>0</v>
          </cell>
          <cell r="X445">
            <v>0</v>
          </cell>
          <cell r="Y445">
            <v>0</v>
          </cell>
        </row>
        <row r="446">
          <cell r="D446">
            <v>300175</v>
          </cell>
          <cell r="E446" t="str">
            <v>Bolinao SOF</v>
          </cell>
          <cell r="F446">
            <v>1</v>
          </cell>
          <cell r="G446">
            <v>1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</row>
        <row r="447">
          <cell r="D447">
            <v>300214</v>
          </cell>
          <cell r="E447" t="str">
            <v>Luciente II NHS</v>
          </cell>
          <cell r="F447">
            <v>1</v>
          </cell>
          <cell r="G447">
            <v>1</v>
          </cell>
          <cell r="H447">
            <v>0</v>
          </cell>
          <cell r="I447">
            <v>1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1</v>
          </cell>
          <cell r="O447">
            <v>43617</v>
          </cell>
          <cell r="P447">
            <v>43783</v>
          </cell>
          <cell r="Q447">
            <v>1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</v>
          </cell>
          <cell r="W447">
            <v>0</v>
          </cell>
          <cell r="X447">
            <v>0</v>
          </cell>
          <cell r="Y447">
            <v>0</v>
          </cell>
        </row>
        <row r="448">
          <cell r="D448">
            <v>300108</v>
          </cell>
          <cell r="E448" t="str">
            <v>Cuenca National High School</v>
          </cell>
          <cell r="F448">
            <v>1</v>
          </cell>
          <cell r="G448">
            <v>1</v>
          </cell>
          <cell r="H448">
            <v>1</v>
          </cell>
          <cell r="I448">
            <v>0</v>
          </cell>
          <cell r="J448">
            <v>0</v>
          </cell>
          <cell r="K448">
            <v>1</v>
          </cell>
          <cell r="L448">
            <v>0</v>
          </cell>
          <cell r="M448">
            <v>0</v>
          </cell>
          <cell r="N448">
            <v>1</v>
          </cell>
          <cell r="O448">
            <v>43623</v>
          </cell>
          <cell r="P448">
            <v>0</v>
          </cell>
          <cell r="Q448">
            <v>0</v>
          </cell>
          <cell r="R448">
            <v>0</v>
          </cell>
          <cell r="S448">
            <v>1</v>
          </cell>
          <cell r="T448">
            <v>0</v>
          </cell>
          <cell r="U448">
            <v>0</v>
          </cell>
          <cell r="V448">
            <v>1</v>
          </cell>
          <cell r="W448">
            <v>0</v>
          </cell>
          <cell r="X448">
            <v>0</v>
          </cell>
          <cell r="Y448">
            <v>0</v>
          </cell>
        </row>
        <row r="449">
          <cell r="D449">
            <v>300261</v>
          </cell>
          <cell r="E449" t="str">
            <v>Tiep NHS</v>
          </cell>
          <cell r="F449">
            <v>1</v>
          </cell>
          <cell r="G449">
            <v>1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1</v>
          </cell>
          <cell r="M449" t="str">
            <v>as need arises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1</v>
          </cell>
          <cell r="U449" t="str">
            <v>as need arises</v>
          </cell>
          <cell r="V449">
            <v>1</v>
          </cell>
          <cell r="W449">
            <v>2</v>
          </cell>
          <cell r="X449">
            <v>0</v>
          </cell>
          <cell r="Y449">
            <v>0</v>
          </cell>
        </row>
        <row r="450">
          <cell r="D450">
            <v>500611</v>
          </cell>
          <cell r="E450" t="str">
            <v>Catubig Integrated School</v>
          </cell>
          <cell r="F450">
            <v>1</v>
          </cell>
          <cell r="G450">
            <v>1</v>
          </cell>
          <cell r="H450">
            <v>1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</row>
        <row r="451">
          <cell r="D451">
            <v>500058</v>
          </cell>
          <cell r="E451" t="str">
            <v>Guelew Integrated School</v>
          </cell>
          <cell r="F451">
            <v>1</v>
          </cell>
          <cell r="G451">
            <v>1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1</v>
          </cell>
          <cell r="O451">
            <v>0</v>
          </cell>
          <cell r="P451">
            <v>0</v>
          </cell>
          <cell r="Q451">
            <v>0</v>
          </cell>
          <cell r="R451">
            <v>1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</row>
        <row r="452">
          <cell r="D452">
            <v>300318</v>
          </cell>
          <cell r="E452" t="str">
            <v>Lagasit NHS</v>
          </cell>
          <cell r="F452">
            <v>1</v>
          </cell>
          <cell r="G452">
            <v>1</v>
          </cell>
          <cell r="H452">
            <v>0</v>
          </cell>
          <cell r="I452">
            <v>0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1</v>
          </cell>
          <cell r="O452" t="str">
            <v>September, 2019</v>
          </cell>
          <cell r="P452">
            <v>0</v>
          </cell>
          <cell r="Q452">
            <v>0</v>
          </cell>
          <cell r="R452">
            <v>1</v>
          </cell>
          <cell r="S452">
            <v>0</v>
          </cell>
          <cell r="T452">
            <v>0</v>
          </cell>
          <cell r="U452">
            <v>0</v>
          </cell>
          <cell r="V452">
            <v>1</v>
          </cell>
          <cell r="W452">
            <v>0</v>
          </cell>
          <cell r="X452">
            <v>0</v>
          </cell>
          <cell r="Y452">
            <v>0</v>
          </cell>
        </row>
        <row r="453">
          <cell r="D453">
            <v>300244</v>
          </cell>
          <cell r="E453" t="str">
            <v>Quinaoayanan NHS</v>
          </cell>
          <cell r="F453">
            <v>1</v>
          </cell>
          <cell r="G453">
            <v>0</v>
          </cell>
          <cell r="H453">
            <v>1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1</v>
          </cell>
          <cell r="O453" t="str">
            <v>6/19/2019</v>
          </cell>
          <cell r="P453" t="str">
            <v>7/19/2019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1</v>
          </cell>
          <cell r="W453">
            <v>2</v>
          </cell>
          <cell r="X453">
            <v>0</v>
          </cell>
          <cell r="Y453">
            <v>0</v>
          </cell>
        </row>
        <row r="454">
          <cell r="D454">
            <v>300258</v>
          </cell>
          <cell r="E454" t="str">
            <v>Tambobong National High School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 t="str">
            <v>11/21/2019</v>
          </cell>
          <cell r="P454" t="str">
            <v>11/21/2019</v>
          </cell>
          <cell r="Q454">
            <v>1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1</v>
          </cell>
          <cell r="W454">
            <v>0</v>
          </cell>
          <cell r="X454">
            <v>0</v>
          </cell>
          <cell r="Y454">
            <v>0</v>
          </cell>
        </row>
        <row r="455">
          <cell r="D455">
            <v>300161</v>
          </cell>
          <cell r="E455" t="str">
            <v>Balingasay NHS</v>
          </cell>
          <cell r="F455">
            <v>1</v>
          </cell>
          <cell r="G455">
            <v>0</v>
          </cell>
          <cell r="H455">
            <v>1</v>
          </cell>
          <cell r="I455">
            <v>0</v>
          </cell>
          <cell r="J455">
            <v>1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1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</row>
        <row r="456">
          <cell r="D456">
            <v>300194</v>
          </cell>
          <cell r="E456" t="str">
            <v>Dewey National High School</v>
          </cell>
          <cell r="F456">
            <v>1</v>
          </cell>
          <cell r="G456">
            <v>0</v>
          </cell>
          <cell r="H456">
            <v>0</v>
          </cell>
          <cell r="I456">
            <v>0</v>
          </cell>
          <cell r="J456">
            <v>1</v>
          </cell>
          <cell r="K456">
            <v>0</v>
          </cell>
          <cell r="L456">
            <v>0</v>
          </cell>
          <cell r="M456">
            <v>0</v>
          </cell>
          <cell r="N456">
            <v>1</v>
          </cell>
          <cell r="O456">
            <v>43796</v>
          </cell>
          <cell r="P456">
            <v>43796</v>
          </cell>
          <cell r="Q456">
            <v>0</v>
          </cell>
          <cell r="R456">
            <v>1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2</v>
          </cell>
          <cell r="X456">
            <v>0</v>
          </cell>
          <cell r="Y456">
            <v>0</v>
          </cell>
        </row>
        <row r="457">
          <cell r="D457">
            <v>300162</v>
          </cell>
          <cell r="E457" t="str">
            <v>Baloling NHS</v>
          </cell>
          <cell r="F457">
            <v>1</v>
          </cell>
          <cell r="G457">
            <v>0</v>
          </cell>
          <cell r="H457">
            <v>1</v>
          </cell>
          <cell r="I457">
            <v>1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1</v>
          </cell>
          <cell r="O457">
            <v>43739</v>
          </cell>
          <cell r="P457">
            <v>43739</v>
          </cell>
          <cell r="Q457">
            <v>1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1</v>
          </cell>
          <cell r="W457">
            <v>3</v>
          </cell>
          <cell r="X457">
            <v>0</v>
          </cell>
          <cell r="Y457">
            <v>0</v>
          </cell>
        </row>
        <row r="458">
          <cell r="D458">
            <v>300245</v>
          </cell>
          <cell r="E458" t="str">
            <v>Ranao National High School</v>
          </cell>
          <cell r="F458">
            <v>1</v>
          </cell>
          <cell r="G458">
            <v>1</v>
          </cell>
          <cell r="H458">
            <v>1</v>
          </cell>
          <cell r="I458">
            <v>0</v>
          </cell>
          <cell r="J458">
            <v>1</v>
          </cell>
          <cell r="K458">
            <v>0</v>
          </cell>
          <cell r="L458">
            <v>0</v>
          </cell>
          <cell r="M458">
            <v>0</v>
          </cell>
          <cell r="N458">
            <v>1</v>
          </cell>
          <cell r="O458" t="str">
            <v>7/19/2019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1</v>
          </cell>
          <cell r="U458" t="str">
            <v>IT IS A BARANGAY RESPONSIBILITIES</v>
          </cell>
          <cell r="V458">
            <v>0</v>
          </cell>
          <cell r="W458">
            <v>1</v>
          </cell>
          <cell r="X458">
            <v>0</v>
          </cell>
          <cell r="Y458">
            <v>0</v>
          </cell>
        </row>
        <row r="459">
          <cell r="D459">
            <v>500621</v>
          </cell>
          <cell r="E459" t="str">
            <v>Tupa Integrated School</v>
          </cell>
          <cell r="F459">
            <v>1</v>
          </cell>
          <cell r="G459">
            <v>1</v>
          </cell>
          <cell r="H459">
            <v>1</v>
          </cell>
          <cell r="I459">
            <v>0</v>
          </cell>
          <cell r="J459">
            <v>1</v>
          </cell>
          <cell r="K459">
            <v>0</v>
          </cell>
          <cell r="L459">
            <v>0</v>
          </cell>
          <cell r="M459">
            <v>0</v>
          </cell>
          <cell r="N459">
            <v>1</v>
          </cell>
          <cell r="O459">
            <v>0</v>
          </cell>
          <cell r="P459">
            <v>0</v>
          </cell>
          <cell r="Q459">
            <v>0</v>
          </cell>
          <cell r="R459">
            <v>1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</row>
        <row r="460">
          <cell r="D460">
            <v>500615</v>
          </cell>
          <cell r="E460" t="str">
            <v>Liwa Liwa Integrated School</v>
          </cell>
          <cell r="F460">
            <v>1</v>
          </cell>
          <cell r="G460">
            <v>0</v>
          </cell>
          <cell r="H460">
            <v>1</v>
          </cell>
          <cell r="I460">
            <v>0</v>
          </cell>
          <cell r="J460">
            <v>0</v>
          </cell>
          <cell r="K460">
            <v>1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</row>
        <row r="461">
          <cell r="D461">
            <v>500617</v>
          </cell>
          <cell r="E461" t="str">
            <v>PAITAN IS</v>
          </cell>
          <cell r="F461">
            <v>1</v>
          </cell>
          <cell r="G461">
            <v>1</v>
          </cell>
          <cell r="H461">
            <v>0</v>
          </cell>
          <cell r="I461">
            <v>1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1</v>
          </cell>
          <cell r="O461" t="str">
            <v>08/15/2019</v>
          </cell>
          <cell r="P461" t="str">
            <v>08/15/2019</v>
          </cell>
          <cell r="Q461">
            <v>1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1</v>
          </cell>
          <cell r="W461">
            <v>0</v>
          </cell>
          <cell r="X461">
            <v>0</v>
          </cell>
          <cell r="Y461">
            <v>0</v>
          </cell>
        </row>
        <row r="462">
          <cell r="D462">
            <v>500383</v>
          </cell>
          <cell r="E462" t="str">
            <v>Mangaldan IS</v>
          </cell>
          <cell r="F462">
            <v>1</v>
          </cell>
          <cell r="G462">
            <v>0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1</v>
          </cell>
          <cell r="M462" t="str">
            <v>TWICE</v>
          </cell>
          <cell r="N462">
            <v>0</v>
          </cell>
          <cell r="O462">
            <v>0</v>
          </cell>
          <cell r="P462">
            <v>43754</v>
          </cell>
          <cell r="Q462">
            <v>0</v>
          </cell>
          <cell r="R462">
            <v>0</v>
          </cell>
          <cell r="S462">
            <v>0</v>
          </cell>
          <cell r="T462">
            <v>1</v>
          </cell>
          <cell r="U462" t="str">
            <v>AS THE NEED ARISES</v>
          </cell>
          <cell r="V462">
            <v>1</v>
          </cell>
          <cell r="W462">
            <v>0</v>
          </cell>
          <cell r="X462">
            <v>0</v>
          </cell>
          <cell r="Y462">
            <v>0</v>
          </cell>
        </row>
        <row r="463">
          <cell r="D463">
            <v>500364</v>
          </cell>
          <cell r="E463" t="str">
            <v>Bayaoas IS</v>
          </cell>
          <cell r="F463">
            <v>1</v>
          </cell>
          <cell r="G463">
            <v>1</v>
          </cell>
          <cell r="H463">
            <v>1</v>
          </cell>
          <cell r="I463">
            <v>0</v>
          </cell>
          <cell r="J463">
            <v>0</v>
          </cell>
          <cell r="K463">
            <v>1</v>
          </cell>
          <cell r="L463">
            <v>0</v>
          </cell>
          <cell r="M463">
            <v>0</v>
          </cell>
          <cell r="N463">
            <v>1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1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</row>
        <row r="464">
          <cell r="D464">
            <v>300182</v>
          </cell>
          <cell r="E464" t="str">
            <v>Cabungan National High School</v>
          </cell>
          <cell r="F464">
            <v>1</v>
          </cell>
          <cell r="G464">
            <v>1</v>
          </cell>
          <cell r="H464">
            <v>1</v>
          </cell>
          <cell r="I464">
            <v>0</v>
          </cell>
          <cell r="J464">
            <v>1</v>
          </cell>
          <cell r="K464">
            <v>0</v>
          </cell>
          <cell r="L464">
            <v>0</v>
          </cell>
          <cell r="M464">
            <v>0</v>
          </cell>
          <cell r="N464">
            <v>1</v>
          </cell>
          <cell r="O464" t="str">
            <v>JUNE</v>
          </cell>
          <cell r="P464" t="str">
            <v>SEPTEMBER</v>
          </cell>
          <cell r="Q464">
            <v>0</v>
          </cell>
          <cell r="R464">
            <v>1</v>
          </cell>
          <cell r="S464">
            <v>0</v>
          </cell>
          <cell r="T464">
            <v>0</v>
          </cell>
          <cell r="U464">
            <v>0</v>
          </cell>
          <cell r="V464">
            <v>1</v>
          </cell>
          <cell r="W464">
            <v>0</v>
          </cell>
          <cell r="X464">
            <v>0</v>
          </cell>
          <cell r="Y464">
            <v>0</v>
          </cell>
        </row>
        <row r="465">
          <cell r="D465">
            <v>300180</v>
          </cell>
          <cell r="E465" t="str">
            <v>Cabanaetan NHS</v>
          </cell>
          <cell r="F465">
            <v>1</v>
          </cell>
          <cell r="G465">
            <v>1</v>
          </cell>
          <cell r="H465">
            <v>1</v>
          </cell>
          <cell r="I465">
            <v>0</v>
          </cell>
          <cell r="J465">
            <v>0</v>
          </cell>
          <cell r="K465">
            <v>1</v>
          </cell>
          <cell r="L465">
            <v>0</v>
          </cell>
          <cell r="M465">
            <v>0</v>
          </cell>
          <cell r="N465">
            <v>1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1</v>
          </cell>
          <cell r="T465">
            <v>0</v>
          </cell>
          <cell r="U465">
            <v>0</v>
          </cell>
          <cell r="V465">
            <v>1</v>
          </cell>
          <cell r="W465">
            <v>0</v>
          </cell>
          <cell r="X465">
            <v>0</v>
          </cell>
          <cell r="Y465">
            <v>0</v>
          </cell>
        </row>
        <row r="466">
          <cell r="D466">
            <v>300166</v>
          </cell>
          <cell r="E466" t="str">
            <v>Banog Sur NHS</v>
          </cell>
          <cell r="F466">
            <v>1</v>
          </cell>
          <cell r="G466">
            <v>0</v>
          </cell>
          <cell r="H466">
            <v>1</v>
          </cell>
          <cell r="I466">
            <v>0</v>
          </cell>
          <cell r="J466">
            <v>0</v>
          </cell>
          <cell r="K466">
            <v>1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43624</v>
          </cell>
          <cell r="Q466">
            <v>0</v>
          </cell>
          <cell r="R466">
            <v>0</v>
          </cell>
          <cell r="S466">
            <v>1</v>
          </cell>
          <cell r="T466">
            <v>0</v>
          </cell>
          <cell r="U466">
            <v>0</v>
          </cell>
          <cell r="V466">
            <v>1</v>
          </cell>
          <cell r="W466">
            <v>0</v>
          </cell>
          <cell r="X466">
            <v>0</v>
          </cell>
          <cell r="Y466">
            <v>0</v>
          </cell>
        </row>
        <row r="467">
          <cell r="D467">
            <v>300246</v>
          </cell>
          <cell r="E467" t="str">
            <v>Ranom Iloco National High School</v>
          </cell>
          <cell r="F467">
            <v>1</v>
          </cell>
          <cell r="G467">
            <v>1</v>
          </cell>
          <cell r="H467">
            <v>1</v>
          </cell>
          <cell r="I467">
            <v>0</v>
          </cell>
          <cell r="J467">
            <v>1</v>
          </cell>
          <cell r="K467">
            <v>0</v>
          </cell>
          <cell r="L467">
            <v>0</v>
          </cell>
          <cell r="M467">
            <v>0</v>
          </cell>
          <cell r="N467">
            <v>1</v>
          </cell>
          <cell r="O467">
            <v>43617</v>
          </cell>
          <cell r="P467">
            <v>43617</v>
          </cell>
          <cell r="Q467">
            <v>0</v>
          </cell>
          <cell r="R467">
            <v>1</v>
          </cell>
          <cell r="S467">
            <v>0</v>
          </cell>
          <cell r="T467">
            <v>0</v>
          </cell>
          <cell r="U467">
            <v>0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</row>
        <row r="468">
          <cell r="D468">
            <v>300204</v>
          </cell>
          <cell r="E468" t="str">
            <v>Galarin National High School</v>
          </cell>
          <cell r="F468">
            <v>1</v>
          </cell>
          <cell r="G468">
            <v>1</v>
          </cell>
          <cell r="H468">
            <v>1</v>
          </cell>
          <cell r="I468">
            <v>1</v>
          </cell>
          <cell r="J468">
            <v>0</v>
          </cell>
          <cell r="K468">
            <v>0</v>
          </cell>
          <cell r="L468">
            <v>1</v>
          </cell>
          <cell r="M468" t="str">
            <v>if there is a case/problem to be addressed</v>
          </cell>
          <cell r="N468">
            <v>1</v>
          </cell>
          <cell r="O468">
            <v>0</v>
          </cell>
          <cell r="P468">
            <v>43739</v>
          </cell>
          <cell r="Q468">
            <v>1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1</v>
          </cell>
          <cell r="W468">
            <v>40</v>
          </cell>
          <cell r="X468">
            <v>20</v>
          </cell>
          <cell r="Y468">
            <v>20</v>
          </cell>
        </row>
        <row r="469">
          <cell r="D469">
            <v>300097</v>
          </cell>
          <cell r="E469" t="str">
            <v>Balbalayang National High School</v>
          </cell>
          <cell r="F469">
            <v>1</v>
          </cell>
          <cell r="G469">
            <v>1</v>
          </cell>
          <cell r="H469">
            <v>1</v>
          </cell>
          <cell r="I469">
            <v>0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 t="str">
            <v>N/A</v>
          </cell>
          <cell r="P469">
            <v>43618</v>
          </cell>
          <cell r="Q469">
            <v>0</v>
          </cell>
          <cell r="R469">
            <v>1</v>
          </cell>
          <cell r="S469">
            <v>0</v>
          </cell>
          <cell r="T469">
            <v>0</v>
          </cell>
          <cell r="U469">
            <v>0</v>
          </cell>
          <cell r="V469">
            <v>1</v>
          </cell>
          <cell r="W469">
            <v>0</v>
          </cell>
          <cell r="X469">
            <v>0</v>
          </cell>
          <cell r="Y469">
            <v>0</v>
          </cell>
        </row>
        <row r="470">
          <cell r="D470">
            <v>300233</v>
          </cell>
          <cell r="E470" t="str">
            <v>Pangasinan National High School</v>
          </cell>
          <cell r="F470">
            <v>1</v>
          </cell>
          <cell r="G470">
            <v>1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</row>
        <row r="471">
          <cell r="D471">
            <v>300218</v>
          </cell>
          <cell r="E471" t="str">
            <v>Macarang National High School</v>
          </cell>
          <cell r="F471">
            <v>1</v>
          </cell>
          <cell r="G471">
            <v>1</v>
          </cell>
          <cell r="H471">
            <v>1</v>
          </cell>
          <cell r="I471">
            <v>0</v>
          </cell>
          <cell r="J471">
            <v>0</v>
          </cell>
          <cell r="K471">
            <v>1</v>
          </cell>
          <cell r="L471">
            <v>0</v>
          </cell>
          <cell r="M471">
            <v>0</v>
          </cell>
          <cell r="N471">
            <v>1</v>
          </cell>
          <cell r="O471">
            <v>0</v>
          </cell>
          <cell r="P471">
            <v>43252</v>
          </cell>
          <cell r="Q471">
            <v>0</v>
          </cell>
          <cell r="R471">
            <v>0</v>
          </cell>
          <cell r="S471">
            <v>1</v>
          </cell>
          <cell r="T471">
            <v>0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</row>
        <row r="472">
          <cell r="D472">
            <v>300296</v>
          </cell>
          <cell r="E472" t="str">
            <v>Cacabugaoan NHS</v>
          </cell>
          <cell r="F472">
            <v>0</v>
          </cell>
          <cell r="G472">
            <v>0</v>
          </cell>
          <cell r="H472">
            <v>1</v>
          </cell>
          <cell r="I472">
            <v>0</v>
          </cell>
          <cell r="J472">
            <v>0</v>
          </cell>
          <cell r="K472">
            <v>1</v>
          </cell>
          <cell r="L472">
            <v>0</v>
          </cell>
          <cell r="M472">
            <v>0</v>
          </cell>
          <cell r="N472">
            <v>0</v>
          </cell>
          <cell r="O472" t="str">
            <v>n/a</v>
          </cell>
          <cell r="P472" t="str">
            <v>n/a</v>
          </cell>
          <cell r="Q472">
            <v>0</v>
          </cell>
          <cell r="R472">
            <v>0</v>
          </cell>
          <cell r="S472">
            <v>0</v>
          </cell>
          <cell r="T472">
            <v>1</v>
          </cell>
          <cell r="U472" t="str">
            <v>n/a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</row>
        <row r="473">
          <cell r="D473">
            <v>500368</v>
          </cell>
          <cell r="E473" t="str">
            <v>URBIZTONDO INTEGRATED SCHOOL</v>
          </cell>
          <cell r="F473">
            <v>1</v>
          </cell>
          <cell r="G473">
            <v>0</v>
          </cell>
          <cell r="H473">
            <v>1</v>
          </cell>
          <cell r="I473">
            <v>0</v>
          </cell>
          <cell r="J473">
            <v>1</v>
          </cell>
          <cell r="K473">
            <v>0</v>
          </cell>
          <cell r="L473">
            <v>0</v>
          </cell>
          <cell r="M473">
            <v>0</v>
          </cell>
          <cell r="N473">
            <v>1</v>
          </cell>
          <cell r="O473">
            <v>0</v>
          </cell>
          <cell r="P473">
            <v>0</v>
          </cell>
          <cell r="Q473">
            <v>1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</row>
        <row r="474">
          <cell r="D474">
            <v>300314</v>
          </cell>
          <cell r="E474" t="str">
            <v>Guiling-Coliling NHS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1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1</v>
          </cell>
          <cell r="S474">
            <v>0</v>
          </cell>
          <cell r="T474">
            <v>0</v>
          </cell>
          <cell r="U474">
            <v>0</v>
          </cell>
          <cell r="V474">
            <v>1</v>
          </cell>
          <cell r="W474">
            <v>2</v>
          </cell>
          <cell r="X474">
            <v>0</v>
          </cell>
          <cell r="Y474">
            <v>0</v>
          </cell>
        </row>
        <row r="475">
          <cell r="D475">
            <v>300343</v>
          </cell>
          <cell r="E475" t="str">
            <v>Salud-San Eugenio NHS</v>
          </cell>
          <cell r="F475">
            <v>1</v>
          </cell>
          <cell r="G475">
            <v>1</v>
          </cell>
          <cell r="H475">
            <v>1</v>
          </cell>
          <cell r="I475">
            <v>0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1</v>
          </cell>
          <cell r="O475">
            <v>43770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</row>
        <row r="476">
          <cell r="D476">
            <v>300171</v>
          </cell>
          <cell r="E476" t="str">
            <v>Beleng NHS</v>
          </cell>
          <cell r="F476">
            <v>1</v>
          </cell>
          <cell r="G476">
            <v>1</v>
          </cell>
          <cell r="H476">
            <v>1</v>
          </cell>
          <cell r="I476">
            <v>0</v>
          </cell>
          <cell r="J476">
            <v>0</v>
          </cell>
          <cell r="K476">
            <v>1</v>
          </cell>
          <cell r="L476">
            <v>1</v>
          </cell>
          <cell r="M476" t="str">
            <v>as needed</v>
          </cell>
          <cell r="N476">
            <v>1</v>
          </cell>
          <cell r="O476">
            <v>43640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1</v>
          </cell>
          <cell r="U476" t="str">
            <v>as needed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</row>
        <row r="477">
          <cell r="D477">
            <v>300247</v>
          </cell>
          <cell r="E477" t="str">
            <v>Real National High School</v>
          </cell>
          <cell r="F477">
            <v>1</v>
          </cell>
          <cell r="G477">
            <v>1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</row>
        <row r="478">
          <cell r="D478">
            <v>300329</v>
          </cell>
          <cell r="E478" t="str">
            <v>Nama NHS</v>
          </cell>
          <cell r="F478">
            <v>1</v>
          </cell>
          <cell r="G478">
            <v>0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1</v>
          </cell>
          <cell r="M478" t="str">
            <v>as the need arises</v>
          </cell>
          <cell r="N478">
            <v>1</v>
          </cell>
          <cell r="O478">
            <v>43504</v>
          </cell>
          <cell r="P478">
            <v>43774</v>
          </cell>
          <cell r="Q478">
            <v>1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1</v>
          </cell>
          <cell r="W478">
            <v>3</v>
          </cell>
          <cell r="X478">
            <v>2</v>
          </cell>
          <cell r="Y478">
            <v>2</v>
          </cell>
        </row>
        <row r="479">
          <cell r="D479">
            <v>500610</v>
          </cell>
          <cell r="E479" t="str">
            <v>Bugallon IS</v>
          </cell>
          <cell r="F479">
            <v>1</v>
          </cell>
          <cell r="G479">
            <v>1</v>
          </cell>
          <cell r="H479">
            <v>0</v>
          </cell>
          <cell r="I479">
            <v>0</v>
          </cell>
          <cell r="J479">
            <v>1</v>
          </cell>
          <cell r="K479">
            <v>0</v>
          </cell>
          <cell r="L479">
            <v>0</v>
          </cell>
          <cell r="M479">
            <v>0</v>
          </cell>
          <cell r="N479">
            <v>1</v>
          </cell>
          <cell r="O479">
            <v>0</v>
          </cell>
          <cell r="P479">
            <v>0</v>
          </cell>
          <cell r="Q479">
            <v>0</v>
          </cell>
          <cell r="R479">
            <v>1</v>
          </cell>
          <cell r="S479">
            <v>0</v>
          </cell>
          <cell r="T479">
            <v>0</v>
          </cell>
          <cell r="U479">
            <v>0</v>
          </cell>
          <cell r="V479">
            <v>1</v>
          </cell>
          <cell r="W479">
            <v>5</v>
          </cell>
          <cell r="X479">
            <v>3</v>
          </cell>
          <cell r="Y479">
            <v>0</v>
          </cell>
        </row>
        <row r="480">
          <cell r="D480">
            <v>501118</v>
          </cell>
          <cell r="E480" t="str">
            <v>Amagbagan Integrated School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</row>
        <row r="481">
          <cell r="D481">
            <v>500619</v>
          </cell>
          <cell r="E481" t="str">
            <v>Portic IS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</row>
        <row r="482">
          <cell r="D482">
            <v>500367</v>
          </cell>
          <cell r="E482" t="str">
            <v>Domalandan Center IS</v>
          </cell>
          <cell r="F482">
            <v>1</v>
          </cell>
          <cell r="G482">
            <v>1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1</v>
          </cell>
          <cell r="X482">
            <v>0</v>
          </cell>
          <cell r="Y482">
            <v>0</v>
          </cell>
        </row>
        <row r="483">
          <cell r="D483">
            <v>300202</v>
          </cell>
          <cell r="E483" t="str">
            <v>Enrico T. Prado NHS</v>
          </cell>
          <cell r="F483">
            <v>1</v>
          </cell>
          <cell r="G483">
            <v>1</v>
          </cell>
          <cell r="H483">
            <v>0</v>
          </cell>
          <cell r="I483">
            <v>0</v>
          </cell>
          <cell r="J483">
            <v>0</v>
          </cell>
          <cell r="K483">
            <v>1</v>
          </cell>
          <cell r="L483">
            <v>0</v>
          </cell>
          <cell r="M483">
            <v>0</v>
          </cell>
          <cell r="N483">
            <v>1</v>
          </cell>
          <cell r="O483">
            <v>0</v>
          </cell>
          <cell r="P483">
            <v>0</v>
          </cell>
          <cell r="Q483">
            <v>0</v>
          </cell>
          <cell r="R483">
            <v>1</v>
          </cell>
          <cell r="S483">
            <v>0</v>
          </cell>
          <cell r="T483">
            <v>0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</row>
        <row r="484">
          <cell r="D484">
            <v>300173</v>
          </cell>
          <cell r="E484" t="str">
            <v>Bocboc East NHS</v>
          </cell>
          <cell r="F484">
            <v>1</v>
          </cell>
          <cell r="G484">
            <v>1</v>
          </cell>
          <cell r="H484">
            <v>1</v>
          </cell>
          <cell r="I484">
            <v>0</v>
          </cell>
          <cell r="J484">
            <v>0</v>
          </cell>
          <cell r="K484">
            <v>1</v>
          </cell>
          <cell r="L484">
            <v>0</v>
          </cell>
          <cell r="M484">
            <v>0</v>
          </cell>
          <cell r="N484">
            <v>1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1</v>
          </cell>
          <cell r="T484">
            <v>0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</row>
        <row r="485">
          <cell r="D485">
            <v>300242</v>
          </cell>
          <cell r="E485" t="str">
            <v>Primicias NHS</v>
          </cell>
          <cell r="F485">
            <v>1</v>
          </cell>
          <cell r="G485">
            <v>0</v>
          </cell>
          <cell r="H485">
            <v>1</v>
          </cell>
          <cell r="I485">
            <v>0</v>
          </cell>
          <cell r="J485">
            <v>0</v>
          </cell>
          <cell r="K485">
            <v>1</v>
          </cell>
          <cell r="L485">
            <v>0</v>
          </cell>
          <cell r="M485">
            <v>0</v>
          </cell>
          <cell r="N485">
            <v>1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</row>
        <row r="486">
          <cell r="D486">
            <v>300196</v>
          </cell>
          <cell r="E486" t="str">
            <v>Don Gaudencio B. Dumlao National High School</v>
          </cell>
          <cell r="F486">
            <v>1</v>
          </cell>
          <cell r="G486">
            <v>1</v>
          </cell>
          <cell r="H486">
            <v>1</v>
          </cell>
          <cell r="I486">
            <v>0</v>
          </cell>
          <cell r="J486">
            <v>0</v>
          </cell>
          <cell r="K486">
            <v>1</v>
          </cell>
          <cell r="L486">
            <v>0</v>
          </cell>
          <cell r="M486">
            <v>0</v>
          </cell>
          <cell r="N486">
            <v>1</v>
          </cell>
          <cell r="O486">
            <v>0</v>
          </cell>
          <cell r="P486">
            <v>0</v>
          </cell>
          <cell r="Q486">
            <v>1</v>
          </cell>
          <cell r="R486">
            <v>0</v>
          </cell>
          <cell r="S486">
            <v>0</v>
          </cell>
          <cell r="T486">
            <v>1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</row>
        <row r="487">
          <cell r="D487">
            <v>300248</v>
          </cell>
          <cell r="E487" t="str">
            <v>Salomague NHS</v>
          </cell>
          <cell r="F487">
            <v>1</v>
          </cell>
          <cell r="G487">
            <v>1</v>
          </cell>
          <cell r="H487">
            <v>1</v>
          </cell>
          <cell r="I487">
            <v>0</v>
          </cell>
          <cell r="J487">
            <v>1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1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</row>
        <row r="488">
          <cell r="D488">
            <v>300234</v>
          </cell>
          <cell r="E488" t="str">
            <v>Pangasinan School of Arts and Trades</v>
          </cell>
          <cell r="F488">
            <v>1</v>
          </cell>
          <cell r="G488">
            <v>0</v>
          </cell>
          <cell r="H488">
            <v>1</v>
          </cell>
          <cell r="I488">
            <v>0</v>
          </cell>
          <cell r="J488">
            <v>0</v>
          </cell>
          <cell r="K488">
            <v>0</v>
          </cell>
          <cell r="L488">
            <v>1</v>
          </cell>
          <cell r="M488" t="str">
            <v>as needed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1</v>
          </cell>
          <cell r="U488" t="str">
            <v>as the need arises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</row>
        <row r="489">
          <cell r="D489">
            <v>300243</v>
          </cell>
          <cell r="E489" t="str">
            <v>Quetegan NHS</v>
          </cell>
          <cell r="F489">
            <v>1</v>
          </cell>
          <cell r="G489">
            <v>1</v>
          </cell>
          <cell r="H489">
            <v>1</v>
          </cell>
          <cell r="I489">
            <v>0</v>
          </cell>
          <cell r="J489">
            <v>1</v>
          </cell>
          <cell r="K489">
            <v>0</v>
          </cell>
          <cell r="L489">
            <v>0</v>
          </cell>
          <cell r="M489">
            <v>0</v>
          </cell>
          <cell r="N489">
            <v>1</v>
          </cell>
          <cell r="O489">
            <v>0</v>
          </cell>
          <cell r="P489">
            <v>0</v>
          </cell>
          <cell r="Q489">
            <v>0</v>
          </cell>
          <cell r="R489">
            <v>1</v>
          </cell>
          <cell r="S489">
            <v>0</v>
          </cell>
          <cell r="T489">
            <v>0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</row>
        <row r="490">
          <cell r="D490">
            <v>300255</v>
          </cell>
          <cell r="E490" t="str">
            <v>Sual National High School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1</v>
          </cell>
          <cell r="O490" t="str">
            <v>Nov. 20, 2019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1</v>
          </cell>
          <cell r="U490" t="str">
            <v>Weekly</v>
          </cell>
          <cell r="V490">
            <v>1</v>
          </cell>
          <cell r="W490">
            <v>10</v>
          </cell>
          <cell r="X490">
            <v>10</v>
          </cell>
          <cell r="Y490">
            <v>10</v>
          </cell>
        </row>
        <row r="491">
          <cell r="D491">
            <v>300257</v>
          </cell>
          <cell r="E491" t="str">
            <v>Talospatang NHS</v>
          </cell>
          <cell r="F491">
            <v>1</v>
          </cell>
          <cell r="G491">
            <v>1</v>
          </cell>
          <cell r="H491">
            <v>1</v>
          </cell>
          <cell r="I491">
            <v>0</v>
          </cell>
          <cell r="J491">
            <v>1</v>
          </cell>
          <cell r="K491">
            <v>0</v>
          </cell>
          <cell r="L491">
            <v>0</v>
          </cell>
          <cell r="M491">
            <v>0</v>
          </cell>
          <cell r="N491">
            <v>1</v>
          </cell>
          <cell r="O491">
            <v>43719</v>
          </cell>
          <cell r="P491">
            <v>43720</v>
          </cell>
          <cell r="Q491">
            <v>0</v>
          </cell>
          <cell r="R491">
            <v>1</v>
          </cell>
          <cell r="S491">
            <v>0</v>
          </cell>
          <cell r="T491">
            <v>0</v>
          </cell>
          <cell r="U491">
            <v>0</v>
          </cell>
          <cell r="V491">
            <v>1</v>
          </cell>
          <cell r="W491">
            <v>5</v>
          </cell>
          <cell r="X491">
            <v>0</v>
          </cell>
          <cell r="Y491">
            <v>0</v>
          </cell>
        </row>
        <row r="492">
          <cell r="D492">
            <v>500374</v>
          </cell>
          <cell r="E492" t="str">
            <v>Ambayat Integrated School</v>
          </cell>
          <cell r="F492">
            <v>1</v>
          </cell>
          <cell r="G492">
            <v>0</v>
          </cell>
          <cell r="H492">
            <v>1</v>
          </cell>
          <cell r="I492">
            <v>0</v>
          </cell>
          <cell r="J492">
            <v>0</v>
          </cell>
          <cell r="K492">
            <v>1</v>
          </cell>
          <cell r="L492">
            <v>0</v>
          </cell>
          <cell r="M492">
            <v>0</v>
          </cell>
          <cell r="N492">
            <v>1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1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</row>
        <row r="493">
          <cell r="D493">
            <v>300112</v>
          </cell>
          <cell r="E493" t="str">
            <v>Don Eulogio De Guzman MNHS</v>
          </cell>
          <cell r="F493">
            <v>1</v>
          </cell>
          <cell r="G493">
            <v>1</v>
          </cell>
          <cell r="H493">
            <v>1</v>
          </cell>
          <cell r="I493">
            <v>0</v>
          </cell>
          <cell r="J493">
            <v>1</v>
          </cell>
          <cell r="K493">
            <v>0</v>
          </cell>
          <cell r="L493">
            <v>0</v>
          </cell>
          <cell r="M493">
            <v>0</v>
          </cell>
          <cell r="N493">
            <v>1</v>
          </cell>
          <cell r="O493">
            <v>0</v>
          </cell>
          <cell r="P493">
            <v>0</v>
          </cell>
          <cell r="Q493">
            <v>0</v>
          </cell>
          <cell r="R493">
            <v>1</v>
          </cell>
          <cell r="S493">
            <v>0</v>
          </cell>
          <cell r="T493">
            <v>0</v>
          </cell>
          <cell r="U493">
            <v>0</v>
          </cell>
          <cell r="V493">
            <v>1</v>
          </cell>
          <cell r="W493">
            <v>9</v>
          </cell>
          <cell r="X493">
            <v>2</v>
          </cell>
          <cell r="Y493">
            <v>0</v>
          </cell>
        </row>
        <row r="494">
          <cell r="D494">
            <v>500387</v>
          </cell>
          <cell r="E494" t="str">
            <v>San Vicente West IS</v>
          </cell>
          <cell r="F494">
            <v>1</v>
          </cell>
          <cell r="G494">
            <v>1</v>
          </cell>
          <cell r="H494">
            <v>1</v>
          </cell>
          <cell r="I494">
            <v>0</v>
          </cell>
          <cell r="J494">
            <v>0</v>
          </cell>
          <cell r="K494">
            <v>1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</row>
        <row r="495">
          <cell r="D495">
            <v>500603</v>
          </cell>
          <cell r="E495" t="str">
            <v>A.P. Guevara IS</v>
          </cell>
          <cell r="F495">
            <v>1</v>
          </cell>
          <cell r="G495">
            <v>1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1</v>
          </cell>
          <cell r="M495" t="str">
            <v>As needed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1</v>
          </cell>
          <cell r="U495" t="str">
            <v>As needed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</row>
        <row r="496">
          <cell r="D496">
            <v>300221</v>
          </cell>
          <cell r="E496" t="str">
            <v>Malimpin NHS</v>
          </cell>
          <cell r="F496">
            <v>1</v>
          </cell>
          <cell r="G496">
            <v>1</v>
          </cell>
          <cell r="H496">
            <v>1</v>
          </cell>
          <cell r="I496">
            <v>0</v>
          </cell>
          <cell r="J496">
            <v>1</v>
          </cell>
          <cell r="K496">
            <v>0</v>
          </cell>
          <cell r="L496">
            <v>0</v>
          </cell>
          <cell r="M496">
            <v>0</v>
          </cell>
          <cell r="N496">
            <v>1</v>
          </cell>
          <cell r="O496" t="str">
            <v>6/28/2019</v>
          </cell>
          <cell r="P496" t="str">
            <v>6/17/2019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1</v>
          </cell>
          <cell r="W496">
            <v>2</v>
          </cell>
          <cell r="X496">
            <v>0</v>
          </cell>
          <cell r="Y496">
            <v>0</v>
          </cell>
        </row>
        <row r="497">
          <cell r="D497">
            <v>300224</v>
          </cell>
          <cell r="E497" t="str">
            <v>Mapandan National High School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</row>
        <row r="498">
          <cell r="D498">
            <v>300228</v>
          </cell>
          <cell r="E498" t="str">
            <v>Nalsian-Tomling National High School</v>
          </cell>
          <cell r="F498">
            <v>1</v>
          </cell>
          <cell r="G498">
            <v>1</v>
          </cell>
          <cell r="H498">
            <v>1</v>
          </cell>
          <cell r="I498">
            <v>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1</v>
          </cell>
          <cell r="O498">
            <v>0</v>
          </cell>
          <cell r="P498">
            <v>0</v>
          </cell>
          <cell r="Q498">
            <v>1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1</v>
          </cell>
          <cell r="W498">
            <v>5</v>
          </cell>
          <cell r="X498">
            <v>2</v>
          </cell>
          <cell r="Y498">
            <v>2</v>
          </cell>
        </row>
        <row r="499">
          <cell r="D499">
            <v>300168</v>
          </cell>
          <cell r="E499" t="str">
            <v>Bayambang NHS (Bayambang)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</row>
        <row r="500">
          <cell r="D500">
            <v>340747</v>
          </cell>
          <cell r="E500" t="str">
            <v>Gen. Artemio Ricarte SHS</v>
          </cell>
          <cell r="F500">
            <v>1</v>
          </cell>
          <cell r="G500">
            <v>1</v>
          </cell>
          <cell r="H500">
            <v>1</v>
          </cell>
          <cell r="I500">
            <v>0</v>
          </cell>
          <cell r="J500">
            <v>1</v>
          </cell>
          <cell r="K500">
            <v>0</v>
          </cell>
          <cell r="L500">
            <v>0</v>
          </cell>
          <cell r="M500">
            <v>0</v>
          </cell>
          <cell r="N500">
            <v>1</v>
          </cell>
          <cell r="O500">
            <v>43678</v>
          </cell>
          <cell r="P500">
            <v>0</v>
          </cell>
          <cell r="Q500">
            <v>1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</row>
        <row r="501">
          <cell r="D501">
            <v>300206</v>
          </cell>
          <cell r="E501" t="str">
            <v>Hermosa NHS</v>
          </cell>
          <cell r="F501">
            <v>1</v>
          </cell>
          <cell r="G501">
            <v>1</v>
          </cell>
          <cell r="H501">
            <v>1</v>
          </cell>
          <cell r="I501">
            <v>0</v>
          </cell>
          <cell r="J501">
            <v>1</v>
          </cell>
          <cell r="K501">
            <v>0</v>
          </cell>
          <cell r="L501">
            <v>0</v>
          </cell>
          <cell r="M501">
            <v>0</v>
          </cell>
          <cell r="N501">
            <v>1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</row>
        <row r="502">
          <cell r="D502">
            <v>300197</v>
          </cell>
          <cell r="E502" t="str">
            <v>Don Pedro National High School</v>
          </cell>
          <cell r="F502">
            <v>1</v>
          </cell>
          <cell r="G502">
            <v>1</v>
          </cell>
          <cell r="H502">
            <v>1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</row>
        <row r="503">
          <cell r="D503">
            <v>300226</v>
          </cell>
          <cell r="E503" t="str">
            <v>Minien NHS</v>
          </cell>
          <cell r="F503">
            <v>1</v>
          </cell>
          <cell r="G503">
            <v>1</v>
          </cell>
          <cell r="H503">
            <v>1</v>
          </cell>
          <cell r="I503">
            <v>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1</v>
          </cell>
          <cell r="O503" t="str">
            <v>October 11, 2019</v>
          </cell>
          <cell r="P503" t="str">
            <v>November 8, 2019</v>
          </cell>
          <cell r="Q503">
            <v>1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</row>
        <row r="504">
          <cell r="D504">
            <v>500369</v>
          </cell>
          <cell r="E504" t="str">
            <v>Ramon Magsaysay IS</v>
          </cell>
          <cell r="F504">
            <v>1</v>
          </cell>
          <cell r="G504">
            <v>1</v>
          </cell>
          <cell r="H504">
            <v>1</v>
          </cell>
          <cell r="I504">
            <v>0</v>
          </cell>
          <cell r="J504">
            <v>1</v>
          </cell>
          <cell r="K504">
            <v>0</v>
          </cell>
          <cell r="L504">
            <v>0</v>
          </cell>
          <cell r="M504">
            <v>0</v>
          </cell>
          <cell r="N504">
            <v>1</v>
          </cell>
          <cell r="O504">
            <v>0</v>
          </cell>
          <cell r="P504">
            <v>0</v>
          </cell>
          <cell r="Q504">
            <v>0</v>
          </cell>
          <cell r="R504">
            <v>1</v>
          </cell>
          <cell r="S504">
            <v>0</v>
          </cell>
          <cell r="T504">
            <v>0</v>
          </cell>
          <cell r="U504">
            <v>0</v>
          </cell>
          <cell r="V504">
            <v>1</v>
          </cell>
          <cell r="W504">
            <v>4</v>
          </cell>
          <cell r="X504">
            <v>4</v>
          </cell>
          <cell r="Y504">
            <v>4</v>
          </cell>
        </row>
        <row r="505">
          <cell r="D505">
            <v>300290</v>
          </cell>
          <cell r="E505" t="str">
            <v>Bobonan National High School</v>
          </cell>
          <cell r="F505">
            <v>1</v>
          </cell>
          <cell r="G505">
            <v>1</v>
          </cell>
          <cell r="H505">
            <v>1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43678</v>
          </cell>
          <cell r="Q505">
            <v>0</v>
          </cell>
          <cell r="R505">
            <v>1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2</v>
          </cell>
          <cell r="X505">
            <v>2</v>
          </cell>
          <cell r="Y505">
            <v>2</v>
          </cell>
        </row>
        <row r="506">
          <cell r="D506">
            <v>300130</v>
          </cell>
          <cell r="E506" t="str">
            <v>Don Eufemio F. Eriguel MNHS</v>
          </cell>
          <cell r="F506">
            <v>1</v>
          </cell>
          <cell r="G506">
            <v>1</v>
          </cell>
          <cell r="H506">
            <v>1</v>
          </cell>
          <cell r="I506">
            <v>0</v>
          </cell>
          <cell r="J506">
            <v>0</v>
          </cell>
          <cell r="K506">
            <v>1</v>
          </cell>
          <cell r="L506">
            <v>0</v>
          </cell>
          <cell r="M506">
            <v>0</v>
          </cell>
          <cell r="N506">
            <v>1</v>
          </cell>
          <cell r="O506">
            <v>0</v>
          </cell>
          <cell r="P506">
            <v>43617</v>
          </cell>
          <cell r="Q506">
            <v>1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4</v>
          </cell>
          <cell r="X506">
            <v>0</v>
          </cell>
          <cell r="Y506">
            <v>0</v>
          </cell>
        </row>
        <row r="507">
          <cell r="D507">
            <v>300121</v>
          </cell>
          <cell r="E507" t="str">
            <v>Maoasoas NHS</v>
          </cell>
          <cell r="F507">
            <v>1</v>
          </cell>
          <cell r="G507">
            <v>1</v>
          </cell>
          <cell r="H507">
            <v>1</v>
          </cell>
          <cell r="I507">
            <v>0</v>
          </cell>
          <cell r="J507">
            <v>1</v>
          </cell>
          <cell r="K507">
            <v>0</v>
          </cell>
          <cell r="L507">
            <v>0</v>
          </cell>
          <cell r="M507">
            <v>0</v>
          </cell>
          <cell r="N507">
            <v>1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</row>
        <row r="508">
          <cell r="D508">
            <v>300193</v>
          </cell>
          <cell r="E508" t="str">
            <v>Daniel Maramba NHS</v>
          </cell>
          <cell r="F508">
            <v>1</v>
          </cell>
          <cell r="G508">
            <v>1</v>
          </cell>
          <cell r="H508">
            <v>1</v>
          </cell>
          <cell r="I508">
            <v>0</v>
          </cell>
          <cell r="J508">
            <v>1</v>
          </cell>
          <cell r="K508">
            <v>0</v>
          </cell>
          <cell r="L508">
            <v>0</v>
          </cell>
          <cell r="M508">
            <v>0</v>
          </cell>
          <cell r="N508">
            <v>1</v>
          </cell>
          <cell r="O508">
            <v>43480</v>
          </cell>
          <cell r="P508">
            <v>43480</v>
          </cell>
          <cell r="Q508">
            <v>0</v>
          </cell>
          <cell r="R508">
            <v>1</v>
          </cell>
          <cell r="S508">
            <v>0</v>
          </cell>
          <cell r="T508">
            <v>0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</row>
        <row r="509">
          <cell r="D509">
            <v>300267</v>
          </cell>
          <cell r="E509" t="str">
            <v>Irene Rayos Ombac NHS</v>
          </cell>
          <cell r="F509">
            <v>1</v>
          </cell>
          <cell r="G509">
            <v>0</v>
          </cell>
          <cell r="H509">
            <v>1</v>
          </cell>
          <cell r="I509">
            <v>0</v>
          </cell>
          <cell r="J509">
            <v>1</v>
          </cell>
          <cell r="K509">
            <v>0</v>
          </cell>
          <cell r="L509">
            <v>0</v>
          </cell>
          <cell r="M509">
            <v>0</v>
          </cell>
          <cell r="N509">
            <v>1</v>
          </cell>
          <cell r="O509">
            <v>0</v>
          </cell>
          <cell r="P509">
            <v>0</v>
          </cell>
          <cell r="Q509">
            <v>1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1</v>
          </cell>
          <cell r="W509">
            <v>0</v>
          </cell>
          <cell r="X509">
            <v>0</v>
          </cell>
          <cell r="Y509">
            <v>0</v>
          </cell>
        </row>
        <row r="510">
          <cell r="D510">
            <v>300251</v>
          </cell>
          <cell r="E510" t="str">
            <v>San Julian NHS</v>
          </cell>
          <cell r="F510">
            <v>1</v>
          </cell>
          <cell r="G510">
            <v>1</v>
          </cell>
          <cell r="H510">
            <v>1</v>
          </cell>
          <cell r="I510">
            <v>0</v>
          </cell>
          <cell r="J510">
            <v>0</v>
          </cell>
          <cell r="K510">
            <v>1</v>
          </cell>
          <cell r="L510">
            <v>0</v>
          </cell>
          <cell r="M510">
            <v>0</v>
          </cell>
          <cell r="N510">
            <v>1</v>
          </cell>
          <cell r="O510" t="str">
            <v>06-05-2019</v>
          </cell>
          <cell r="P510" t="str">
            <v>09-30-2019</v>
          </cell>
          <cell r="Q510">
            <v>0</v>
          </cell>
          <cell r="R510">
            <v>1</v>
          </cell>
          <cell r="S510">
            <v>0</v>
          </cell>
          <cell r="T510">
            <v>0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</row>
        <row r="511">
          <cell r="D511">
            <v>300390</v>
          </cell>
          <cell r="E511" t="str">
            <v>Tandoc NHS</v>
          </cell>
          <cell r="F511">
            <v>1</v>
          </cell>
          <cell r="G511">
            <v>1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1</v>
          </cell>
          <cell r="O511">
            <v>0</v>
          </cell>
          <cell r="P511">
            <v>0</v>
          </cell>
          <cell r="Q511">
            <v>1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1</v>
          </cell>
          <cell r="W511">
            <v>0</v>
          </cell>
          <cell r="X511">
            <v>0</v>
          </cell>
          <cell r="Y511">
            <v>0</v>
          </cell>
        </row>
        <row r="512">
          <cell r="D512">
            <v>300252</v>
          </cell>
          <cell r="E512" t="str">
            <v>San Miguel NHS, Bani</v>
          </cell>
          <cell r="F512">
            <v>1</v>
          </cell>
          <cell r="G512">
            <v>1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1</v>
          </cell>
          <cell r="O512">
            <v>43733</v>
          </cell>
          <cell r="P512">
            <v>0</v>
          </cell>
          <cell r="Q512">
            <v>0</v>
          </cell>
          <cell r="R512">
            <v>1</v>
          </cell>
          <cell r="S512">
            <v>0</v>
          </cell>
          <cell r="T512">
            <v>0</v>
          </cell>
          <cell r="U512">
            <v>0</v>
          </cell>
          <cell r="V512">
            <v>1</v>
          </cell>
          <cell r="W512">
            <v>0</v>
          </cell>
          <cell r="X512">
            <v>0</v>
          </cell>
          <cell r="Y512">
            <v>0</v>
          </cell>
        </row>
        <row r="513">
          <cell r="D513">
            <v>300123</v>
          </cell>
          <cell r="E513" t="str">
            <v>Northern Naguilian National High School</v>
          </cell>
          <cell r="F513">
            <v>1</v>
          </cell>
          <cell r="G513">
            <v>1</v>
          </cell>
          <cell r="H513">
            <v>1</v>
          </cell>
          <cell r="I513">
            <v>0</v>
          </cell>
          <cell r="J513">
            <v>1</v>
          </cell>
          <cell r="K513">
            <v>0</v>
          </cell>
          <cell r="L513">
            <v>0</v>
          </cell>
          <cell r="M513">
            <v>0</v>
          </cell>
          <cell r="N513">
            <v>1</v>
          </cell>
          <cell r="O513">
            <v>43278</v>
          </cell>
          <cell r="P513">
            <v>43283</v>
          </cell>
          <cell r="Q513">
            <v>1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1</v>
          </cell>
          <cell r="W513">
            <v>4</v>
          </cell>
          <cell r="X513">
            <v>4</v>
          </cell>
          <cell r="Y513">
            <v>4</v>
          </cell>
        </row>
        <row r="514">
          <cell r="D514">
            <v>300151</v>
          </cell>
          <cell r="E514" t="str">
            <v>Tanglag National High School</v>
          </cell>
          <cell r="F514">
            <v>1</v>
          </cell>
          <cell r="G514">
            <v>1</v>
          </cell>
          <cell r="H514">
            <v>1</v>
          </cell>
          <cell r="I514">
            <v>0</v>
          </cell>
          <cell r="J514">
            <v>1</v>
          </cell>
          <cell r="K514">
            <v>0</v>
          </cell>
          <cell r="L514">
            <v>0</v>
          </cell>
          <cell r="M514">
            <v>0</v>
          </cell>
          <cell r="N514">
            <v>1</v>
          </cell>
          <cell r="O514">
            <v>0</v>
          </cell>
          <cell r="P514">
            <v>0</v>
          </cell>
          <cell r="Q514">
            <v>0</v>
          </cell>
          <cell r="R514">
            <v>1</v>
          </cell>
          <cell r="S514">
            <v>0</v>
          </cell>
          <cell r="T514">
            <v>0</v>
          </cell>
          <cell r="U514">
            <v>0</v>
          </cell>
          <cell r="V514">
            <v>1</v>
          </cell>
          <cell r="W514">
            <v>4</v>
          </cell>
          <cell r="X514">
            <v>0</v>
          </cell>
          <cell r="Y514">
            <v>0</v>
          </cell>
        </row>
        <row r="515">
          <cell r="D515">
            <v>500606</v>
          </cell>
          <cell r="E515" t="str">
            <v>ANDA INTEGRATED SCHOOL</v>
          </cell>
          <cell r="F515">
            <v>1</v>
          </cell>
          <cell r="G515">
            <v>1</v>
          </cell>
          <cell r="H515">
            <v>1</v>
          </cell>
          <cell r="I515">
            <v>0</v>
          </cell>
          <cell r="J515">
            <v>1</v>
          </cell>
          <cell r="K515">
            <v>0</v>
          </cell>
          <cell r="L515">
            <v>0</v>
          </cell>
          <cell r="M515">
            <v>0</v>
          </cell>
          <cell r="N515">
            <v>1</v>
          </cell>
          <cell r="O515">
            <v>0</v>
          </cell>
          <cell r="P515">
            <v>43739</v>
          </cell>
          <cell r="Q515">
            <v>0</v>
          </cell>
          <cell r="R515">
            <v>1</v>
          </cell>
          <cell r="S515">
            <v>0</v>
          </cell>
          <cell r="T515">
            <v>0</v>
          </cell>
          <cell r="U515">
            <v>0</v>
          </cell>
          <cell r="V515">
            <v>1</v>
          </cell>
          <cell r="W515">
            <v>0</v>
          </cell>
          <cell r="X515">
            <v>0</v>
          </cell>
          <cell r="Y515">
            <v>0</v>
          </cell>
        </row>
        <row r="516">
          <cell r="D516">
            <v>500601</v>
          </cell>
          <cell r="E516" t="str">
            <v>Saytan Integrated School</v>
          </cell>
          <cell r="F516">
            <v>1</v>
          </cell>
          <cell r="G516">
            <v>1</v>
          </cell>
          <cell r="H516">
            <v>1</v>
          </cell>
          <cell r="I516">
            <v>0</v>
          </cell>
          <cell r="J516">
            <v>0</v>
          </cell>
          <cell r="K516">
            <v>1</v>
          </cell>
          <cell r="L516">
            <v>0</v>
          </cell>
          <cell r="M516">
            <v>0</v>
          </cell>
          <cell r="N516">
            <v>1</v>
          </cell>
          <cell r="O516">
            <v>0</v>
          </cell>
          <cell r="P516" t="str">
            <v>11/15/2019</v>
          </cell>
          <cell r="Q516">
            <v>0</v>
          </cell>
          <cell r="R516">
            <v>1</v>
          </cell>
          <cell r="S516">
            <v>0</v>
          </cell>
          <cell r="T516">
            <v>0</v>
          </cell>
          <cell r="U516">
            <v>0</v>
          </cell>
          <cell r="V516">
            <v>1</v>
          </cell>
          <cell r="W516">
            <v>1</v>
          </cell>
          <cell r="X516">
            <v>0</v>
          </cell>
          <cell r="Y516">
            <v>0</v>
          </cell>
        </row>
        <row r="517">
          <cell r="D517">
            <v>300209</v>
          </cell>
          <cell r="E517" t="str">
            <v>Labrador NHS</v>
          </cell>
          <cell r="F517">
            <v>1</v>
          </cell>
          <cell r="G517">
            <v>1</v>
          </cell>
          <cell r="H517">
            <v>1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</row>
        <row r="518">
          <cell r="D518">
            <v>300363</v>
          </cell>
          <cell r="E518" t="str">
            <v>Tayug NHS</v>
          </cell>
          <cell r="F518">
            <v>1</v>
          </cell>
          <cell r="G518">
            <v>1</v>
          </cell>
          <cell r="H518">
            <v>1</v>
          </cell>
          <cell r="I518">
            <v>1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1</v>
          </cell>
          <cell r="O518">
            <v>0</v>
          </cell>
          <cell r="P518">
            <v>0</v>
          </cell>
          <cell r="Q518">
            <v>1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1</v>
          </cell>
          <cell r="W518">
            <v>0</v>
          </cell>
          <cell r="X518">
            <v>0</v>
          </cell>
          <cell r="Y518">
            <v>0</v>
          </cell>
        </row>
        <row r="519">
          <cell r="D519">
            <v>300330</v>
          </cell>
          <cell r="E519" t="str">
            <v>Nantangalan NHS</v>
          </cell>
          <cell r="F519">
            <v>1</v>
          </cell>
          <cell r="G519">
            <v>1</v>
          </cell>
          <cell r="H519">
            <v>1</v>
          </cell>
          <cell r="I519">
            <v>0</v>
          </cell>
          <cell r="J519">
            <v>1</v>
          </cell>
          <cell r="K519">
            <v>0</v>
          </cell>
          <cell r="L519">
            <v>0</v>
          </cell>
          <cell r="M519">
            <v>0</v>
          </cell>
          <cell r="N519">
            <v>1</v>
          </cell>
          <cell r="O519" t="str">
            <v>October, 2019</v>
          </cell>
          <cell r="P519" t="str">
            <v>October, 2019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1</v>
          </cell>
          <cell r="W519">
            <v>0</v>
          </cell>
          <cell r="X519">
            <v>0</v>
          </cell>
          <cell r="Y519">
            <v>0</v>
          </cell>
        </row>
        <row r="520">
          <cell r="D520">
            <v>300044</v>
          </cell>
          <cell r="E520" t="str">
            <v>Candon National High School</v>
          </cell>
          <cell r="F520">
            <v>1</v>
          </cell>
          <cell r="G520">
            <v>0</v>
          </cell>
          <cell r="H520">
            <v>1</v>
          </cell>
          <cell r="I520">
            <v>0</v>
          </cell>
          <cell r="J520">
            <v>0</v>
          </cell>
          <cell r="K520">
            <v>1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 t="str">
            <v>NONE YET</v>
          </cell>
          <cell r="Q520">
            <v>0</v>
          </cell>
          <cell r="R520">
            <v>0</v>
          </cell>
          <cell r="S520">
            <v>0</v>
          </cell>
          <cell r="T520">
            <v>1</v>
          </cell>
          <cell r="U520" t="str">
            <v>AS NEEDED</v>
          </cell>
          <cell r="V520">
            <v>1</v>
          </cell>
          <cell r="W520">
            <v>0</v>
          </cell>
          <cell r="X520">
            <v>0</v>
          </cell>
          <cell r="Y520">
            <v>0</v>
          </cell>
        </row>
        <row r="521">
          <cell r="D521">
            <v>322601</v>
          </cell>
          <cell r="E521" t="str">
            <v>Candon City Information Technology NHS</v>
          </cell>
          <cell r="F521">
            <v>1</v>
          </cell>
          <cell r="G521">
            <v>1</v>
          </cell>
          <cell r="H521">
            <v>1</v>
          </cell>
          <cell r="I521">
            <v>0</v>
          </cell>
          <cell r="J521">
            <v>0</v>
          </cell>
          <cell r="K521">
            <v>1</v>
          </cell>
          <cell r="L521">
            <v>0</v>
          </cell>
          <cell r="M521">
            <v>0</v>
          </cell>
          <cell r="N521">
            <v>1</v>
          </cell>
          <cell r="O521">
            <v>43530</v>
          </cell>
          <cell r="P521">
            <v>0</v>
          </cell>
          <cell r="Q521">
            <v>0</v>
          </cell>
          <cell r="R521">
            <v>1</v>
          </cell>
          <cell r="S521">
            <v>0</v>
          </cell>
          <cell r="T521">
            <v>0</v>
          </cell>
          <cell r="U521">
            <v>0</v>
          </cell>
          <cell r="V521">
            <v>1</v>
          </cell>
          <cell r="W521">
            <v>1</v>
          </cell>
          <cell r="X521">
            <v>0</v>
          </cell>
          <cell r="Y521">
            <v>0</v>
          </cell>
        </row>
        <row r="522">
          <cell r="D522">
            <v>300083</v>
          </cell>
          <cell r="E522" t="str">
            <v>Sto. Tomas National High School</v>
          </cell>
          <cell r="F522">
            <v>1</v>
          </cell>
          <cell r="G522">
            <v>0</v>
          </cell>
          <cell r="H522">
            <v>1</v>
          </cell>
          <cell r="I522">
            <v>0</v>
          </cell>
          <cell r="J522">
            <v>0</v>
          </cell>
          <cell r="K522">
            <v>1</v>
          </cell>
          <cell r="L522">
            <v>0</v>
          </cell>
          <cell r="M522">
            <v>0</v>
          </cell>
          <cell r="N522">
            <v>1</v>
          </cell>
          <cell r="O522">
            <v>43505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1</v>
          </cell>
          <cell r="X522">
            <v>0</v>
          </cell>
          <cell r="Y522">
            <v>0</v>
          </cell>
        </row>
        <row r="523">
          <cell r="D523">
            <v>300012</v>
          </cell>
          <cell r="E523" t="str">
            <v>Crispina Marcos Valdez NHS</v>
          </cell>
          <cell r="F523">
            <v>1</v>
          </cell>
          <cell r="G523">
            <v>0</v>
          </cell>
          <cell r="H523">
            <v>1</v>
          </cell>
          <cell r="I523">
            <v>0</v>
          </cell>
          <cell r="J523">
            <v>0</v>
          </cell>
          <cell r="K523">
            <v>1</v>
          </cell>
          <cell r="L523">
            <v>0</v>
          </cell>
          <cell r="M523">
            <v>0</v>
          </cell>
          <cell r="N523">
            <v>1</v>
          </cell>
          <cell r="O523" t="str">
            <v>December 9, 2019</v>
          </cell>
          <cell r="P523" t="str">
            <v>December 9,2019</v>
          </cell>
          <cell r="Q523">
            <v>1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1</v>
          </cell>
          <cell r="W523">
            <v>1</v>
          </cell>
          <cell r="X523">
            <v>1</v>
          </cell>
          <cell r="Y523">
            <v>1</v>
          </cell>
        </row>
        <row r="524">
          <cell r="D524">
            <v>300326</v>
          </cell>
          <cell r="E524" t="str">
            <v>Mangaldan National High School</v>
          </cell>
          <cell r="F524">
            <v>1</v>
          </cell>
          <cell r="G524">
            <v>1</v>
          </cell>
          <cell r="H524">
            <v>1</v>
          </cell>
          <cell r="I524">
            <v>1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1</v>
          </cell>
          <cell r="O524">
            <v>0</v>
          </cell>
          <cell r="P524">
            <v>0</v>
          </cell>
          <cell r="Q524">
            <v>1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1</v>
          </cell>
          <cell r="W524">
            <v>2</v>
          </cell>
          <cell r="X524">
            <v>2</v>
          </cell>
          <cell r="Y524">
            <v>2</v>
          </cell>
        </row>
        <row r="525">
          <cell r="D525">
            <v>300047</v>
          </cell>
          <cell r="E525" t="str">
            <v>Candon City High School</v>
          </cell>
          <cell r="F525">
            <v>1</v>
          </cell>
          <cell r="G525">
            <v>1</v>
          </cell>
          <cell r="H525">
            <v>1</v>
          </cell>
          <cell r="I525">
            <v>0</v>
          </cell>
          <cell r="J525">
            <v>1</v>
          </cell>
          <cell r="K525">
            <v>0</v>
          </cell>
          <cell r="L525">
            <v>0</v>
          </cell>
          <cell r="M525">
            <v>0</v>
          </cell>
          <cell r="N525">
            <v>1</v>
          </cell>
          <cell r="O525">
            <v>0</v>
          </cell>
          <cell r="P525">
            <v>0</v>
          </cell>
          <cell r="Q525">
            <v>1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</row>
        <row r="526">
          <cell r="D526">
            <v>300051</v>
          </cell>
          <cell r="E526" t="str">
            <v>Dr. Ricardo Gacula Memorial National High School</v>
          </cell>
          <cell r="F526">
            <v>1</v>
          </cell>
          <cell r="G526">
            <v>1</v>
          </cell>
          <cell r="H526">
            <v>1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1</v>
          </cell>
          <cell r="O526">
            <v>43675</v>
          </cell>
          <cell r="P526">
            <v>43617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1</v>
          </cell>
          <cell r="W526">
            <v>0</v>
          </cell>
          <cell r="X526">
            <v>0</v>
          </cell>
          <cell r="Y526">
            <v>0</v>
          </cell>
        </row>
        <row r="527">
          <cell r="D527">
            <v>300146</v>
          </cell>
          <cell r="E527" t="str">
            <v>Sto. Rosario National High School</v>
          </cell>
          <cell r="F527">
            <v>1</v>
          </cell>
          <cell r="G527">
            <v>1</v>
          </cell>
          <cell r="H527">
            <v>1</v>
          </cell>
          <cell r="I527">
            <v>0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1</v>
          </cell>
          <cell r="O527" t="str">
            <v>JUNE 3, 2019</v>
          </cell>
          <cell r="P527">
            <v>0</v>
          </cell>
          <cell r="Q527">
            <v>0</v>
          </cell>
          <cell r="R527">
            <v>1</v>
          </cell>
          <cell r="S527">
            <v>0</v>
          </cell>
          <cell r="T527">
            <v>0</v>
          </cell>
          <cell r="U527">
            <v>0</v>
          </cell>
          <cell r="V527">
            <v>1</v>
          </cell>
          <cell r="W527">
            <v>5</v>
          </cell>
          <cell r="X527">
            <v>0</v>
          </cell>
          <cell r="Y527">
            <v>3</v>
          </cell>
        </row>
        <row r="528">
          <cell r="D528">
            <v>300139</v>
          </cell>
          <cell r="E528" t="str">
            <v>Dr. Manuel T. Cases Sr. National High School</v>
          </cell>
          <cell r="F528">
            <v>1</v>
          </cell>
          <cell r="G528">
            <v>0</v>
          </cell>
          <cell r="H528">
            <v>1</v>
          </cell>
          <cell r="I528">
            <v>0</v>
          </cell>
          <cell r="J528">
            <v>1</v>
          </cell>
          <cell r="K528">
            <v>0</v>
          </cell>
          <cell r="L528">
            <v>0</v>
          </cell>
          <cell r="M528">
            <v>0</v>
          </cell>
          <cell r="N528">
            <v>1</v>
          </cell>
          <cell r="O528" t="str">
            <v>JULY 16 2019</v>
          </cell>
          <cell r="P528" t="str">
            <v>JUNE 3 2019</v>
          </cell>
          <cell r="Q528">
            <v>0</v>
          </cell>
          <cell r="R528">
            <v>1</v>
          </cell>
          <cell r="S528">
            <v>0</v>
          </cell>
          <cell r="T528">
            <v>0</v>
          </cell>
          <cell r="U528">
            <v>0</v>
          </cell>
          <cell r="V528">
            <v>1</v>
          </cell>
          <cell r="W528">
            <v>2</v>
          </cell>
          <cell r="X528">
            <v>0</v>
          </cell>
          <cell r="Y528">
            <v>0</v>
          </cell>
        </row>
        <row r="529">
          <cell r="D529">
            <v>321009</v>
          </cell>
          <cell r="E529" t="str">
            <v>Upper Tumapoc National High School</v>
          </cell>
          <cell r="F529">
            <v>1</v>
          </cell>
          <cell r="G529">
            <v>1</v>
          </cell>
          <cell r="H529">
            <v>1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1</v>
          </cell>
          <cell r="O529">
            <v>43540</v>
          </cell>
          <cell r="P529">
            <v>0</v>
          </cell>
          <cell r="Q529">
            <v>1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1</v>
          </cell>
          <cell r="W529">
            <v>1</v>
          </cell>
          <cell r="X529">
            <v>1</v>
          </cell>
          <cell r="Y529">
            <v>1</v>
          </cell>
        </row>
        <row r="530">
          <cell r="D530">
            <v>500614</v>
          </cell>
          <cell r="E530" t="str">
            <v>Infanta Integrated School</v>
          </cell>
          <cell r="F530">
            <v>1</v>
          </cell>
          <cell r="G530">
            <v>1</v>
          </cell>
          <cell r="H530">
            <v>1</v>
          </cell>
          <cell r="I530">
            <v>0</v>
          </cell>
          <cell r="J530">
            <v>1</v>
          </cell>
          <cell r="K530">
            <v>1</v>
          </cell>
          <cell r="L530">
            <v>0</v>
          </cell>
          <cell r="M530">
            <v>0</v>
          </cell>
          <cell r="N530">
            <v>1</v>
          </cell>
          <cell r="O530">
            <v>43768</v>
          </cell>
          <cell r="P530">
            <v>43752</v>
          </cell>
          <cell r="Q530">
            <v>0</v>
          </cell>
          <cell r="R530">
            <v>1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</row>
        <row r="531">
          <cell r="D531">
            <v>321010</v>
          </cell>
          <cell r="E531" t="str">
            <v>Sto. Tomas NHS</v>
          </cell>
          <cell r="F531">
            <v>1</v>
          </cell>
          <cell r="G531">
            <v>1</v>
          </cell>
          <cell r="H531">
            <v>1</v>
          </cell>
          <cell r="I531">
            <v>0</v>
          </cell>
          <cell r="J531">
            <v>1</v>
          </cell>
          <cell r="K531">
            <v>0</v>
          </cell>
          <cell r="L531">
            <v>0</v>
          </cell>
          <cell r="M531">
            <v>0</v>
          </cell>
          <cell r="N531">
            <v>1</v>
          </cell>
          <cell r="O531">
            <v>0</v>
          </cell>
          <cell r="P531">
            <v>0</v>
          </cell>
          <cell r="Q531">
            <v>0</v>
          </cell>
          <cell r="R531">
            <v>1</v>
          </cell>
          <cell r="S531">
            <v>0</v>
          </cell>
          <cell r="T531">
            <v>0</v>
          </cell>
          <cell r="U531">
            <v>0</v>
          </cell>
          <cell r="V531">
            <v>1</v>
          </cell>
          <cell r="W531">
            <v>2</v>
          </cell>
          <cell r="X531">
            <v>2</v>
          </cell>
          <cell r="Y531">
            <v>2</v>
          </cell>
        </row>
        <row r="532">
          <cell r="D532">
            <v>300005</v>
          </cell>
          <cell r="E532" t="str">
            <v>Batac National High School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</row>
        <row r="533">
          <cell r="D533">
            <v>320803</v>
          </cell>
          <cell r="E533" t="str">
            <v>City of Batac National high school Payao</v>
          </cell>
          <cell r="F533">
            <v>1</v>
          </cell>
          <cell r="G533">
            <v>0</v>
          </cell>
          <cell r="H533">
            <v>1</v>
          </cell>
          <cell r="I533">
            <v>0</v>
          </cell>
          <cell r="J533">
            <v>0</v>
          </cell>
          <cell r="K533">
            <v>1</v>
          </cell>
          <cell r="L533">
            <v>0</v>
          </cell>
          <cell r="M533">
            <v>0</v>
          </cell>
          <cell r="N533">
            <v>1</v>
          </cell>
          <cell r="O533">
            <v>0</v>
          </cell>
          <cell r="P533">
            <v>0</v>
          </cell>
          <cell r="Q533">
            <v>0</v>
          </cell>
          <cell r="R533">
            <v>1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</row>
        <row r="534">
          <cell r="D534">
            <v>340748</v>
          </cell>
          <cell r="E534" t="str">
            <v>Ferdinand E. Marcos SHS</v>
          </cell>
          <cell r="F534">
            <v>1</v>
          </cell>
          <cell r="G534">
            <v>1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1</v>
          </cell>
          <cell r="M534" t="str">
            <v>As needed</v>
          </cell>
          <cell r="N534">
            <v>0</v>
          </cell>
          <cell r="O534">
            <v>43693</v>
          </cell>
          <cell r="P534">
            <v>43719</v>
          </cell>
          <cell r="Q534">
            <v>0</v>
          </cell>
          <cell r="R534">
            <v>1</v>
          </cell>
          <cell r="S534">
            <v>0</v>
          </cell>
          <cell r="T534">
            <v>0</v>
          </cell>
          <cell r="U534">
            <v>0</v>
          </cell>
          <cell r="V534">
            <v>1</v>
          </cell>
          <cell r="W534">
            <v>3</v>
          </cell>
          <cell r="X534">
            <v>3</v>
          </cell>
          <cell r="Y534">
            <v>3</v>
          </cell>
        </row>
        <row r="535">
          <cell r="D535">
            <v>300249</v>
          </cell>
          <cell r="E535" t="str">
            <v>Sampaloc National High School</v>
          </cell>
          <cell r="F535">
            <v>1</v>
          </cell>
          <cell r="G535">
            <v>1</v>
          </cell>
          <cell r="H535">
            <v>1</v>
          </cell>
          <cell r="I535">
            <v>0</v>
          </cell>
          <cell r="J535">
            <v>0</v>
          </cell>
          <cell r="K535">
            <v>1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</row>
        <row r="536">
          <cell r="D536">
            <v>500620</v>
          </cell>
          <cell r="E536" t="str">
            <v>Sapa Grande Integrated School</v>
          </cell>
          <cell r="F536">
            <v>1</v>
          </cell>
          <cell r="G536">
            <v>1</v>
          </cell>
          <cell r="H536">
            <v>1</v>
          </cell>
          <cell r="I536">
            <v>0</v>
          </cell>
          <cell r="J536">
            <v>0</v>
          </cell>
          <cell r="K536">
            <v>1</v>
          </cell>
          <cell r="L536">
            <v>0</v>
          </cell>
          <cell r="M536">
            <v>0</v>
          </cell>
          <cell r="N536">
            <v>0</v>
          </cell>
          <cell r="O536" t="str">
            <v>JULY 12, 2019</v>
          </cell>
          <cell r="P536" t="str">
            <v>JULY 12, 2019</v>
          </cell>
          <cell r="Q536">
            <v>0</v>
          </cell>
          <cell r="R536">
            <v>0</v>
          </cell>
          <cell r="S536">
            <v>1</v>
          </cell>
          <cell r="T536">
            <v>0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</row>
        <row r="537">
          <cell r="D537">
            <v>300413</v>
          </cell>
          <cell r="E537" t="str">
            <v>Batanes Gen. Comp. HS</v>
          </cell>
          <cell r="F537">
            <v>0</v>
          </cell>
          <cell r="G537">
            <v>0</v>
          </cell>
          <cell r="H537">
            <v>1</v>
          </cell>
          <cell r="I537">
            <v>0</v>
          </cell>
          <cell r="J537">
            <v>1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1</v>
          </cell>
          <cell r="T537">
            <v>0</v>
          </cell>
          <cell r="U537">
            <v>0</v>
          </cell>
          <cell r="V537">
            <v>1</v>
          </cell>
          <cell r="W537">
            <v>0</v>
          </cell>
          <cell r="X537">
            <v>0</v>
          </cell>
          <cell r="Y537">
            <v>0</v>
          </cell>
        </row>
        <row r="538">
          <cell r="D538">
            <v>300415</v>
          </cell>
          <cell r="E538" t="str">
            <v>Ivana NHS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</row>
        <row r="539">
          <cell r="D539">
            <v>300416</v>
          </cell>
          <cell r="E539" t="str">
            <v>Mahatao NHS</v>
          </cell>
          <cell r="F539">
            <v>1</v>
          </cell>
          <cell r="G539">
            <v>0</v>
          </cell>
          <cell r="H539">
            <v>1</v>
          </cell>
          <cell r="I539">
            <v>0</v>
          </cell>
          <cell r="J539">
            <v>1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 t="str">
            <v>Partnership with LGU &amp; PNP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</row>
        <row r="540">
          <cell r="D540">
            <v>300417</v>
          </cell>
          <cell r="E540" t="str">
            <v>Sabtang National School of Fisheries</v>
          </cell>
          <cell r="F540">
            <v>1</v>
          </cell>
          <cell r="G540">
            <v>0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1</v>
          </cell>
          <cell r="M540" t="str">
            <v>NO MEETINGS SET YET</v>
          </cell>
          <cell r="N540">
            <v>0</v>
          </cell>
          <cell r="O540" t="str">
            <v>NOT YET CONCLUDED</v>
          </cell>
          <cell r="P540" t="str">
            <v>NOT YET CONCLUDED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 t="str">
            <v>NOT YET CONCLUDED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</row>
        <row r="541">
          <cell r="D541">
            <v>300411</v>
          </cell>
          <cell r="E541" t="str">
            <v>Batanes Nat"l Science High School</v>
          </cell>
          <cell r="F541">
            <v>1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</row>
        <row r="542">
          <cell r="D542">
            <v>500062</v>
          </cell>
          <cell r="E542" t="str">
            <v>Itbud Integrated School</v>
          </cell>
          <cell r="F542">
            <v>1</v>
          </cell>
          <cell r="G542">
            <v>1</v>
          </cell>
          <cell r="H542">
            <v>1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</row>
        <row r="543">
          <cell r="D543">
            <v>500063</v>
          </cell>
          <cell r="E543" t="str">
            <v>Raele Integrated School</v>
          </cell>
          <cell r="F543">
            <v>0</v>
          </cell>
          <cell r="G543">
            <v>0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</row>
        <row r="544">
          <cell r="D544">
            <v>300414</v>
          </cell>
          <cell r="E544" t="str">
            <v>Itbayat National Agricultural HS</v>
          </cell>
          <cell r="F544">
            <v>1</v>
          </cell>
          <cell r="G544">
            <v>1</v>
          </cell>
          <cell r="H544">
            <v>1</v>
          </cell>
          <cell r="I544">
            <v>0</v>
          </cell>
          <cell r="J544">
            <v>0</v>
          </cell>
          <cell r="K544">
            <v>1</v>
          </cell>
          <cell r="L544">
            <v>0</v>
          </cell>
          <cell r="M544">
            <v>0</v>
          </cell>
          <cell r="N544">
            <v>1</v>
          </cell>
          <cell r="O544">
            <v>43623</v>
          </cell>
          <cell r="P544">
            <v>43623</v>
          </cell>
          <cell r="Q544">
            <v>0</v>
          </cell>
          <cell r="R544">
            <v>1</v>
          </cell>
          <cell r="S544">
            <v>0</v>
          </cell>
          <cell r="T544">
            <v>0</v>
          </cell>
          <cell r="U544">
            <v>0</v>
          </cell>
          <cell r="V544">
            <v>1</v>
          </cell>
          <cell r="W544">
            <v>0</v>
          </cell>
          <cell r="X544">
            <v>0</v>
          </cell>
          <cell r="Y544">
            <v>0</v>
          </cell>
        </row>
        <row r="545">
          <cell r="D545">
            <v>300436</v>
          </cell>
          <cell r="E545" t="str">
            <v>Bidduang National High School</v>
          </cell>
          <cell r="F545">
            <v>0</v>
          </cell>
          <cell r="G545">
            <v>0</v>
          </cell>
          <cell r="H545">
            <v>1</v>
          </cell>
          <cell r="I545">
            <v>0</v>
          </cell>
          <cell r="J545">
            <v>1</v>
          </cell>
          <cell r="K545">
            <v>0</v>
          </cell>
          <cell r="L545">
            <v>0</v>
          </cell>
          <cell r="M545">
            <v>0</v>
          </cell>
          <cell r="N545">
            <v>1</v>
          </cell>
          <cell r="O545">
            <v>43617</v>
          </cell>
          <cell r="P545">
            <v>43617</v>
          </cell>
          <cell r="Q545">
            <v>0</v>
          </cell>
          <cell r="R545">
            <v>1</v>
          </cell>
          <cell r="S545">
            <v>0</v>
          </cell>
          <cell r="T545">
            <v>0</v>
          </cell>
          <cell r="U545">
            <v>0</v>
          </cell>
          <cell r="V545">
            <v>1</v>
          </cell>
          <cell r="W545">
            <v>5</v>
          </cell>
          <cell r="X545">
            <v>5</v>
          </cell>
          <cell r="Y545">
            <v>0</v>
          </cell>
        </row>
        <row r="546">
          <cell r="D546">
            <v>300454</v>
          </cell>
          <cell r="E546" t="str">
            <v>David M. Puzon MNHS</v>
          </cell>
          <cell r="F546">
            <v>1</v>
          </cell>
          <cell r="G546">
            <v>0</v>
          </cell>
          <cell r="H546">
            <v>1</v>
          </cell>
          <cell r="I546">
            <v>0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</row>
        <row r="547">
          <cell r="D547">
            <v>300430</v>
          </cell>
          <cell r="E547" t="str">
            <v>Baggao National School of Arts &amp; Trades</v>
          </cell>
          <cell r="F547">
            <v>1</v>
          </cell>
          <cell r="G547">
            <v>1</v>
          </cell>
          <cell r="H547">
            <v>1</v>
          </cell>
          <cell r="I547">
            <v>0</v>
          </cell>
          <cell r="J547">
            <v>1</v>
          </cell>
          <cell r="K547">
            <v>0</v>
          </cell>
          <cell r="L547">
            <v>1</v>
          </cell>
          <cell r="M547" t="str">
            <v>AS NEED ARISES</v>
          </cell>
          <cell r="N547">
            <v>0</v>
          </cell>
          <cell r="O547">
            <v>43647</v>
          </cell>
          <cell r="P547">
            <v>43709</v>
          </cell>
          <cell r="Q547">
            <v>0</v>
          </cell>
          <cell r="R547">
            <v>0</v>
          </cell>
          <cell r="S547">
            <v>0</v>
          </cell>
          <cell r="T547">
            <v>1</v>
          </cell>
          <cell r="U547" t="str">
            <v>AS NEED ARISES</v>
          </cell>
          <cell r="V547">
            <v>0</v>
          </cell>
          <cell r="W547">
            <v>1</v>
          </cell>
          <cell r="X547">
            <v>1</v>
          </cell>
          <cell r="Y547">
            <v>1</v>
          </cell>
        </row>
        <row r="548">
          <cell r="D548">
            <v>300482</v>
          </cell>
          <cell r="E548" t="str">
            <v>Rebecca NHS</v>
          </cell>
          <cell r="F548">
            <v>1</v>
          </cell>
          <cell r="G548">
            <v>1</v>
          </cell>
          <cell r="H548">
            <v>1</v>
          </cell>
          <cell r="I548">
            <v>0</v>
          </cell>
          <cell r="J548">
            <v>1</v>
          </cell>
          <cell r="K548">
            <v>0</v>
          </cell>
          <cell r="L548">
            <v>0</v>
          </cell>
          <cell r="M548">
            <v>0</v>
          </cell>
          <cell r="N548">
            <v>1</v>
          </cell>
          <cell r="O548">
            <v>0</v>
          </cell>
          <cell r="P548">
            <v>0</v>
          </cell>
          <cell r="Q548">
            <v>1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1</v>
          </cell>
          <cell r="W548">
            <v>4</v>
          </cell>
          <cell r="X548">
            <v>4</v>
          </cell>
          <cell r="Y548">
            <v>4</v>
          </cell>
        </row>
        <row r="549">
          <cell r="D549">
            <v>300445</v>
          </cell>
          <cell r="E549" t="str">
            <v>Penablanca National High School</v>
          </cell>
          <cell r="F549">
            <v>1</v>
          </cell>
          <cell r="G549">
            <v>1</v>
          </cell>
          <cell r="H549">
            <v>1</v>
          </cell>
          <cell r="I549">
            <v>0</v>
          </cell>
          <cell r="J549">
            <v>1</v>
          </cell>
          <cell r="K549">
            <v>0</v>
          </cell>
          <cell r="L549">
            <v>0</v>
          </cell>
          <cell r="M549">
            <v>0</v>
          </cell>
          <cell r="N549">
            <v>1</v>
          </cell>
          <cell r="O549" t="str">
            <v>October 3, 2019</v>
          </cell>
          <cell r="P549">
            <v>0</v>
          </cell>
          <cell r="Q549">
            <v>0</v>
          </cell>
          <cell r="R549">
            <v>1</v>
          </cell>
          <cell r="S549">
            <v>0</v>
          </cell>
          <cell r="T549">
            <v>0</v>
          </cell>
          <cell r="U549">
            <v>0</v>
          </cell>
          <cell r="V549">
            <v>1</v>
          </cell>
          <cell r="W549">
            <v>0</v>
          </cell>
          <cell r="X549">
            <v>0</v>
          </cell>
          <cell r="Y549">
            <v>0</v>
          </cell>
        </row>
        <row r="550">
          <cell r="D550">
            <v>306010</v>
          </cell>
          <cell r="E550" t="str">
            <v>PACAC GRANDE NAT'L. HIGH SCHOOL</v>
          </cell>
          <cell r="F550">
            <v>0</v>
          </cell>
          <cell r="G550">
            <v>0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1</v>
          </cell>
          <cell r="M550" t="str">
            <v>as needed</v>
          </cell>
          <cell r="N550">
            <v>1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1</v>
          </cell>
          <cell r="W550">
            <v>0</v>
          </cell>
          <cell r="X550">
            <v>0</v>
          </cell>
          <cell r="Y550">
            <v>0</v>
          </cell>
        </row>
        <row r="551">
          <cell r="D551">
            <v>500009</v>
          </cell>
          <cell r="E551" t="str">
            <v>Utan IS</v>
          </cell>
          <cell r="F551">
            <v>0</v>
          </cell>
          <cell r="G551">
            <v>0</v>
          </cell>
          <cell r="H551">
            <v>1</v>
          </cell>
          <cell r="I551">
            <v>0</v>
          </cell>
          <cell r="J551">
            <v>0</v>
          </cell>
          <cell r="K551">
            <v>1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1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</row>
        <row r="552">
          <cell r="D552">
            <v>300440</v>
          </cell>
          <cell r="E552" t="str">
            <v>Calaoagan Dackel National High School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1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</row>
        <row r="553">
          <cell r="D553">
            <v>300452</v>
          </cell>
          <cell r="E553" t="str">
            <v>Cordova National High Sschool</v>
          </cell>
          <cell r="F553">
            <v>0</v>
          </cell>
          <cell r="G553">
            <v>0</v>
          </cell>
          <cell r="H553">
            <v>1</v>
          </cell>
          <cell r="I553">
            <v>1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</row>
        <row r="554">
          <cell r="D554">
            <v>300432</v>
          </cell>
          <cell r="E554" t="str">
            <v>Hacienda Intal NHS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</row>
        <row r="555">
          <cell r="D555">
            <v>300446</v>
          </cell>
          <cell r="E555" t="str">
            <v>Cabbo NHS</v>
          </cell>
          <cell r="F555">
            <v>1</v>
          </cell>
          <cell r="G555">
            <v>1</v>
          </cell>
          <cell r="H555">
            <v>1</v>
          </cell>
          <cell r="I555">
            <v>0</v>
          </cell>
          <cell r="J555">
            <v>1</v>
          </cell>
          <cell r="K555">
            <v>0</v>
          </cell>
          <cell r="L555">
            <v>0</v>
          </cell>
          <cell r="M555">
            <v>0</v>
          </cell>
          <cell r="N555">
            <v>1</v>
          </cell>
          <cell r="O555" t="str">
            <v>7/30/19</v>
          </cell>
          <cell r="P555" t="str">
            <v>7/30/2019</v>
          </cell>
          <cell r="Q555">
            <v>0</v>
          </cell>
          <cell r="R555">
            <v>1</v>
          </cell>
          <cell r="S555">
            <v>0</v>
          </cell>
          <cell r="T555">
            <v>0</v>
          </cell>
          <cell r="U555">
            <v>0</v>
          </cell>
          <cell r="V555">
            <v>1</v>
          </cell>
          <cell r="W555">
            <v>0</v>
          </cell>
          <cell r="X555">
            <v>0</v>
          </cell>
          <cell r="Y555">
            <v>0</v>
          </cell>
        </row>
        <row r="556">
          <cell r="D556">
            <v>300447</v>
          </cell>
          <cell r="E556" t="str">
            <v>Casambalangan NHS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</row>
        <row r="557">
          <cell r="D557">
            <v>300449</v>
          </cell>
          <cell r="E557" t="str">
            <v>Claveria NHS</v>
          </cell>
          <cell r="F557">
            <v>1</v>
          </cell>
          <cell r="G557">
            <v>1</v>
          </cell>
          <cell r="H557">
            <v>1</v>
          </cell>
          <cell r="I557">
            <v>0</v>
          </cell>
          <cell r="J557">
            <v>1</v>
          </cell>
          <cell r="K557">
            <v>0</v>
          </cell>
          <cell r="L557">
            <v>0</v>
          </cell>
          <cell r="M557">
            <v>0</v>
          </cell>
          <cell r="N557">
            <v>1</v>
          </cell>
          <cell r="O557">
            <v>0</v>
          </cell>
          <cell r="P557" t="str">
            <v>October 22, 2019</v>
          </cell>
          <cell r="Q557">
            <v>0</v>
          </cell>
          <cell r="R557">
            <v>1</v>
          </cell>
          <cell r="S557">
            <v>0</v>
          </cell>
          <cell r="T557">
            <v>0</v>
          </cell>
          <cell r="U557">
            <v>0</v>
          </cell>
          <cell r="V557">
            <v>1</v>
          </cell>
          <cell r="W557">
            <v>0</v>
          </cell>
          <cell r="X557">
            <v>0</v>
          </cell>
          <cell r="Y557">
            <v>0</v>
          </cell>
        </row>
        <row r="558">
          <cell r="D558">
            <v>300459</v>
          </cell>
          <cell r="E558" t="str">
            <v>Western Enrile Vocational High School</v>
          </cell>
          <cell r="F558">
            <v>1</v>
          </cell>
          <cell r="G558">
            <v>0</v>
          </cell>
          <cell r="H558">
            <v>1</v>
          </cell>
          <cell r="I558">
            <v>0</v>
          </cell>
          <cell r="J558">
            <v>1</v>
          </cell>
          <cell r="K558">
            <v>0</v>
          </cell>
          <cell r="L558">
            <v>1</v>
          </cell>
          <cell r="M558" t="str">
            <v>As the need arises</v>
          </cell>
          <cell r="N558">
            <v>1</v>
          </cell>
          <cell r="O558" t="str">
            <v>10/28/2019</v>
          </cell>
          <cell r="P558">
            <v>0</v>
          </cell>
          <cell r="Q558">
            <v>0</v>
          </cell>
          <cell r="R558">
            <v>1</v>
          </cell>
          <cell r="S558">
            <v>0</v>
          </cell>
          <cell r="T558">
            <v>1</v>
          </cell>
          <cell r="U558" t="str">
            <v>As the need arises</v>
          </cell>
          <cell r="V558">
            <v>1</v>
          </cell>
          <cell r="W558">
            <v>0</v>
          </cell>
          <cell r="X558">
            <v>0</v>
          </cell>
          <cell r="Y558">
            <v>0</v>
          </cell>
        </row>
        <row r="559">
          <cell r="D559">
            <v>300469</v>
          </cell>
          <cell r="E559" t="str">
            <v>LAL-LO NATIONAL HIGH SCHOOL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</row>
        <row r="560">
          <cell r="D560">
            <v>300488</v>
          </cell>
          <cell r="E560" t="str">
            <v>Sta. Ana Fishery National High School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</row>
        <row r="561">
          <cell r="D561">
            <v>300435</v>
          </cell>
          <cell r="E561" t="str">
            <v>Baua HS</v>
          </cell>
          <cell r="F561">
            <v>1</v>
          </cell>
          <cell r="G561">
            <v>0</v>
          </cell>
          <cell r="H561">
            <v>0</v>
          </cell>
          <cell r="I561">
            <v>0</v>
          </cell>
          <cell r="J561">
            <v>1</v>
          </cell>
          <cell r="K561">
            <v>0</v>
          </cell>
          <cell r="L561">
            <v>0</v>
          </cell>
          <cell r="M561">
            <v>0</v>
          </cell>
          <cell r="N561">
            <v>1</v>
          </cell>
          <cell r="O561">
            <v>43658</v>
          </cell>
          <cell r="P561">
            <v>43658</v>
          </cell>
          <cell r="Q561">
            <v>0</v>
          </cell>
          <cell r="R561">
            <v>1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</row>
        <row r="562">
          <cell r="D562">
            <v>300497</v>
          </cell>
          <cell r="E562" t="str">
            <v>Western Cagayan SAT</v>
          </cell>
          <cell r="F562">
            <v>1</v>
          </cell>
          <cell r="G562">
            <v>1</v>
          </cell>
          <cell r="H562">
            <v>1</v>
          </cell>
          <cell r="I562">
            <v>0</v>
          </cell>
          <cell r="J562">
            <v>1</v>
          </cell>
          <cell r="K562">
            <v>0</v>
          </cell>
          <cell r="L562">
            <v>0</v>
          </cell>
          <cell r="M562">
            <v>0</v>
          </cell>
          <cell r="N562">
            <v>1</v>
          </cell>
          <cell r="O562">
            <v>43592</v>
          </cell>
          <cell r="P562" t="str">
            <v>08/23/2019</v>
          </cell>
          <cell r="Q562">
            <v>1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1</v>
          </cell>
          <cell r="W562">
            <v>0</v>
          </cell>
          <cell r="X562">
            <v>0</v>
          </cell>
          <cell r="Y562">
            <v>0</v>
          </cell>
        </row>
        <row r="563">
          <cell r="D563">
            <v>300486</v>
          </cell>
          <cell r="E563" t="str">
            <v>Sanchez Mira SAT</v>
          </cell>
          <cell r="F563">
            <v>1</v>
          </cell>
          <cell r="G563">
            <v>1</v>
          </cell>
          <cell r="H563">
            <v>1</v>
          </cell>
          <cell r="I563">
            <v>0</v>
          </cell>
          <cell r="J563">
            <v>1</v>
          </cell>
          <cell r="K563">
            <v>0</v>
          </cell>
          <cell r="L563">
            <v>0</v>
          </cell>
          <cell r="M563">
            <v>0</v>
          </cell>
          <cell r="N563">
            <v>1</v>
          </cell>
          <cell r="O563" t="str">
            <v>10/23/2019</v>
          </cell>
          <cell r="P563" t="str">
            <v>10/15/2019</v>
          </cell>
          <cell r="Q563">
            <v>0</v>
          </cell>
          <cell r="R563">
            <v>1</v>
          </cell>
          <cell r="S563">
            <v>0</v>
          </cell>
          <cell r="T563">
            <v>0</v>
          </cell>
          <cell r="U563">
            <v>0</v>
          </cell>
          <cell r="V563">
            <v>1</v>
          </cell>
          <cell r="W563">
            <v>0</v>
          </cell>
          <cell r="X563">
            <v>0</v>
          </cell>
          <cell r="Y563">
            <v>0</v>
          </cell>
        </row>
        <row r="564">
          <cell r="D564">
            <v>300438</v>
          </cell>
          <cell r="E564" t="str">
            <v>Cabatacan National High School</v>
          </cell>
          <cell r="F564">
            <v>1</v>
          </cell>
          <cell r="G564">
            <v>1</v>
          </cell>
          <cell r="H564">
            <v>0</v>
          </cell>
          <cell r="I564">
            <v>0</v>
          </cell>
          <cell r="J564">
            <v>1</v>
          </cell>
          <cell r="K564">
            <v>0</v>
          </cell>
          <cell r="L564">
            <v>0</v>
          </cell>
          <cell r="M564">
            <v>0</v>
          </cell>
          <cell r="N564">
            <v>1</v>
          </cell>
          <cell r="O564">
            <v>43641</v>
          </cell>
          <cell r="P564">
            <v>43702</v>
          </cell>
          <cell r="Q564">
            <v>0</v>
          </cell>
          <cell r="R564">
            <v>1</v>
          </cell>
          <cell r="S564">
            <v>0</v>
          </cell>
          <cell r="T564">
            <v>1</v>
          </cell>
          <cell r="U564">
            <v>0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</row>
        <row r="565">
          <cell r="D565">
            <v>300478</v>
          </cell>
          <cell r="E565" t="str">
            <v>Mauanan NHS</v>
          </cell>
          <cell r="F565">
            <v>1</v>
          </cell>
          <cell r="G565">
            <v>0</v>
          </cell>
          <cell r="H565">
            <v>1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</row>
        <row r="566">
          <cell r="D566">
            <v>300472</v>
          </cell>
          <cell r="E566" t="str">
            <v>Lemu NHS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 t="str">
            <v>N/A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</row>
        <row r="567">
          <cell r="D567">
            <v>500066</v>
          </cell>
          <cell r="E567" t="str">
            <v>Sicalao IS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</row>
        <row r="568">
          <cell r="D568">
            <v>300476</v>
          </cell>
          <cell r="E568" t="str">
            <v>Magalalag National High School</v>
          </cell>
          <cell r="F568">
            <v>1</v>
          </cell>
          <cell r="G568">
            <v>1</v>
          </cell>
          <cell r="H568">
            <v>1</v>
          </cell>
          <cell r="I568">
            <v>0</v>
          </cell>
          <cell r="J568">
            <v>0</v>
          </cell>
          <cell r="K568">
            <v>1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</row>
        <row r="569">
          <cell r="D569">
            <v>300460</v>
          </cell>
          <cell r="E569" t="str">
            <v>Felipe Tuzon Agr'l. School</v>
          </cell>
          <cell r="F569">
            <v>1</v>
          </cell>
          <cell r="G569">
            <v>1</v>
          </cell>
          <cell r="H569">
            <v>1</v>
          </cell>
          <cell r="I569">
            <v>0</v>
          </cell>
          <cell r="J569">
            <v>0</v>
          </cell>
          <cell r="K569">
            <v>1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</row>
        <row r="570">
          <cell r="D570">
            <v>306428</v>
          </cell>
          <cell r="E570" t="str">
            <v>CFPJ (Carlito F. Pentecostes Jr.) National High School</v>
          </cell>
          <cell r="F570">
            <v>1</v>
          </cell>
          <cell r="G570">
            <v>1</v>
          </cell>
          <cell r="H570">
            <v>0</v>
          </cell>
          <cell r="I570">
            <v>0</v>
          </cell>
          <cell r="J570">
            <v>1</v>
          </cell>
          <cell r="K570">
            <v>0</v>
          </cell>
          <cell r="L570">
            <v>0</v>
          </cell>
          <cell r="M570">
            <v>0</v>
          </cell>
          <cell r="N570">
            <v>1</v>
          </cell>
          <cell r="O570">
            <v>0</v>
          </cell>
          <cell r="P570">
            <v>0</v>
          </cell>
          <cell r="Q570">
            <v>0</v>
          </cell>
          <cell r="R570">
            <v>1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</row>
        <row r="571">
          <cell r="D571">
            <v>300494</v>
          </cell>
          <cell r="E571" t="str">
            <v>Tuao Voc'l. and Tech'l. School - Pata Annex</v>
          </cell>
          <cell r="F571">
            <v>1</v>
          </cell>
          <cell r="G571">
            <v>1</v>
          </cell>
          <cell r="H571">
            <v>1</v>
          </cell>
          <cell r="I571">
            <v>0</v>
          </cell>
          <cell r="J571">
            <v>0</v>
          </cell>
          <cell r="K571">
            <v>1</v>
          </cell>
          <cell r="L571">
            <v>0</v>
          </cell>
          <cell r="M571">
            <v>0</v>
          </cell>
          <cell r="N571">
            <v>1</v>
          </cell>
          <cell r="O571">
            <v>43507</v>
          </cell>
          <cell r="P571">
            <v>43769</v>
          </cell>
          <cell r="Q571">
            <v>1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1</v>
          </cell>
          <cell r="W571">
            <v>0</v>
          </cell>
          <cell r="X571">
            <v>0</v>
          </cell>
          <cell r="Y571">
            <v>0</v>
          </cell>
        </row>
        <row r="572">
          <cell r="D572">
            <v>300458</v>
          </cell>
          <cell r="E572" t="str">
            <v>Enrile Vocational High School</v>
          </cell>
          <cell r="F572">
            <v>1</v>
          </cell>
          <cell r="G572">
            <v>0</v>
          </cell>
          <cell r="H572">
            <v>1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1</v>
          </cell>
          <cell r="S572">
            <v>0</v>
          </cell>
          <cell r="T572">
            <v>0</v>
          </cell>
          <cell r="U572">
            <v>0</v>
          </cell>
          <cell r="V572">
            <v>1</v>
          </cell>
          <cell r="W572">
            <v>0</v>
          </cell>
          <cell r="X572">
            <v>0</v>
          </cell>
          <cell r="Y572">
            <v>0</v>
          </cell>
        </row>
        <row r="573">
          <cell r="D573">
            <v>306014</v>
          </cell>
          <cell r="E573" t="str">
            <v>LUBO NATIONAL HIGH SCHOOL</v>
          </cell>
          <cell r="F573">
            <v>0</v>
          </cell>
          <cell r="G573">
            <v>0</v>
          </cell>
          <cell r="H573">
            <v>1</v>
          </cell>
          <cell r="I573">
            <v>0</v>
          </cell>
          <cell r="J573">
            <v>0</v>
          </cell>
          <cell r="K573">
            <v>1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1</v>
          </cell>
          <cell r="U573" t="str">
            <v>NONE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</row>
        <row r="574">
          <cell r="D574">
            <v>306001</v>
          </cell>
          <cell r="E574" t="str">
            <v>Gammad National High School</v>
          </cell>
          <cell r="F574">
            <v>1</v>
          </cell>
          <cell r="G574">
            <v>1</v>
          </cell>
          <cell r="H574">
            <v>1</v>
          </cell>
          <cell r="I574">
            <v>0</v>
          </cell>
          <cell r="J574">
            <v>0</v>
          </cell>
          <cell r="K574">
            <v>1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43646</v>
          </cell>
          <cell r="Q574">
            <v>0</v>
          </cell>
          <cell r="R574">
            <v>1</v>
          </cell>
          <cell r="S574">
            <v>0</v>
          </cell>
          <cell r="T574">
            <v>0</v>
          </cell>
          <cell r="U574">
            <v>0</v>
          </cell>
          <cell r="V574">
            <v>1</v>
          </cell>
          <cell r="W574">
            <v>0</v>
          </cell>
          <cell r="X574">
            <v>0</v>
          </cell>
          <cell r="Y574">
            <v>0</v>
          </cell>
        </row>
        <row r="575">
          <cell r="D575">
            <v>300437</v>
          </cell>
          <cell r="E575" t="str">
            <v>Bukig National Agricultural and Technical School</v>
          </cell>
          <cell r="F575">
            <v>1</v>
          </cell>
          <cell r="G575">
            <v>1</v>
          </cell>
          <cell r="H575">
            <v>1</v>
          </cell>
          <cell r="I575">
            <v>0</v>
          </cell>
          <cell r="J575">
            <v>1</v>
          </cell>
          <cell r="K575">
            <v>0</v>
          </cell>
          <cell r="L575">
            <v>0</v>
          </cell>
          <cell r="M575">
            <v>0</v>
          </cell>
          <cell r="N575">
            <v>1</v>
          </cell>
          <cell r="O575">
            <v>43717</v>
          </cell>
          <cell r="P575">
            <v>43744</v>
          </cell>
          <cell r="Q575">
            <v>0</v>
          </cell>
          <cell r="R575">
            <v>0</v>
          </cell>
          <cell r="S575">
            <v>1</v>
          </cell>
          <cell r="T575">
            <v>0</v>
          </cell>
          <cell r="U575">
            <v>0</v>
          </cell>
          <cell r="V575">
            <v>1</v>
          </cell>
          <cell r="W575">
            <v>0</v>
          </cell>
          <cell r="X575">
            <v>0</v>
          </cell>
          <cell r="Y575">
            <v>0</v>
          </cell>
        </row>
        <row r="576">
          <cell r="D576">
            <v>300455</v>
          </cell>
          <cell r="E576" t="str">
            <v>Don Mariano Marcos NHS</v>
          </cell>
          <cell r="F576">
            <v>0</v>
          </cell>
          <cell r="G576">
            <v>0</v>
          </cell>
          <cell r="H576">
            <v>1</v>
          </cell>
          <cell r="I576">
            <v>0</v>
          </cell>
          <cell r="J576">
            <v>0</v>
          </cell>
          <cell r="K576">
            <v>1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</row>
        <row r="577">
          <cell r="D577">
            <v>300492</v>
          </cell>
          <cell r="E577" t="str">
            <v>TUAO VOCATIONAL AND TECHNICAL SCHOOL</v>
          </cell>
          <cell r="F577">
            <v>1</v>
          </cell>
          <cell r="G577">
            <v>0</v>
          </cell>
          <cell r="H577">
            <v>1</v>
          </cell>
          <cell r="I577">
            <v>0</v>
          </cell>
          <cell r="J577">
            <v>1</v>
          </cell>
          <cell r="K577">
            <v>0</v>
          </cell>
          <cell r="L577">
            <v>0</v>
          </cell>
          <cell r="M577">
            <v>0</v>
          </cell>
          <cell r="N577">
            <v>1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</row>
        <row r="578">
          <cell r="D578">
            <v>300479</v>
          </cell>
          <cell r="E578" t="str">
            <v>Pamplona National School of Fisheries</v>
          </cell>
          <cell r="F578">
            <v>1</v>
          </cell>
          <cell r="G578">
            <v>0</v>
          </cell>
          <cell r="H578">
            <v>1</v>
          </cell>
          <cell r="I578">
            <v>0</v>
          </cell>
          <cell r="J578">
            <v>1</v>
          </cell>
          <cell r="K578">
            <v>0</v>
          </cell>
          <cell r="L578">
            <v>0</v>
          </cell>
          <cell r="M578">
            <v>0</v>
          </cell>
          <cell r="N578">
            <v>1</v>
          </cell>
          <cell r="O578">
            <v>43768</v>
          </cell>
          <cell r="P578">
            <v>43768</v>
          </cell>
          <cell r="Q578">
            <v>1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1</v>
          </cell>
          <cell r="W578">
            <v>3</v>
          </cell>
          <cell r="X578">
            <v>3</v>
          </cell>
          <cell r="Y578">
            <v>3</v>
          </cell>
        </row>
        <row r="579">
          <cell r="D579">
            <v>300463</v>
          </cell>
          <cell r="E579" t="str">
            <v>Vicente D. Trinidad High School</v>
          </cell>
          <cell r="F579">
            <v>1</v>
          </cell>
          <cell r="G579">
            <v>1</v>
          </cell>
          <cell r="H579">
            <v>1</v>
          </cell>
          <cell r="I579">
            <v>0</v>
          </cell>
          <cell r="J579">
            <v>1</v>
          </cell>
          <cell r="K579">
            <v>0</v>
          </cell>
          <cell r="L579">
            <v>0</v>
          </cell>
          <cell r="M579">
            <v>0</v>
          </cell>
          <cell r="N579">
            <v>1</v>
          </cell>
          <cell r="O579">
            <v>43586</v>
          </cell>
          <cell r="P579">
            <v>0</v>
          </cell>
          <cell r="Q579">
            <v>0</v>
          </cell>
          <cell r="R579">
            <v>0</v>
          </cell>
          <cell r="S579">
            <v>1</v>
          </cell>
          <cell r="T579">
            <v>0</v>
          </cell>
          <cell r="U579">
            <v>0</v>
          </cell>
          <cell r="V579">
            <v>1</v>
          </cell>
          <cell r="W579">
            <v>0</v>
          </cell>
          <cell r="X579">
            <v>0</v>
          </cell>
          <cell r="Y579">
            <v>0</v>
          </cell>
        </row>
        <row r="580">
          <cell r="D580">
            <v>306004</v>
          </cell>
          <cell r="E580" t="str">
            <v>Magapit NHS</v>
          </cell>
          <cell r="F580">
            <v>1</v>
          </cell>
          <cell r="G580">
            <v>0</v>
          </cell>
          <cell r="H580">
            <v>1</v>
          </cell>
          <cell r="I580">
            <v>0</v>
          </cell>
          <cell r="J580">
            <v>0</v>
          </cell>
          <cell r="K580">
            <v>0</v>
          </cell>
          <cell r="L580">
            <v>1</v>
          </cell>
          <cell r="M580" t="str">
            <v>AS NEEDED</v>
          </cell>
          <cell r="N580">
            <v>0</v>
          </cell>
          <cell r="O580">
            <v>0</v>
          </cell>
          <cell r="P580">
            <v>43739</v>
          </cell>
          <cell r="Q580">
            <v>0</v>
          </cell>
          <cell r="R580">
            <v>1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2</v>
          </cell>
          <cell r="X580">
            <v>0</v>
          </cell>
          <cell r="Y580">
            <v>0</v>
          </cell>
        </row>
        <row r="581">
          <cell r="D581">
            <v>300475</v>
          </cell>
          <cell r="E581" t="str">
            <v>Logac National High School</v>
          </cell>
          <cell r="F581">
            <v>1</v>
          </cell>
          <cell r="G581">
            <v>1</v>
          </cell>
          <cell r="H581">
            <v>1</v>
          </cell>
          <cell r="I581">
            <v>0</v>
          </cell>
          <cell r="J581">
            <v>1</v>
          </cell>
          <cell r="K581">
            <v>0</v>
          </cell>
          <cell r="L581">
            <v>0</v>
          </cell>
          <cell r="M581">
            <v>0</v>
          </cell>
          <cell r="N581">
            <v>1</v>
          </cell>
          <cell r="O581">
            <v>0</v>
          </cell>
          <cell r="P581">
            <v>0</v>
          </cell>
          <cell r="Q581">
            <v>0</v>
          </cell>
          <cell r="R581">
            <v>1</v>
          </cell>
          <cell r="S581">
            <v>0</v>
          </cell>
          <cell r="T581">
            <v>0</v>
          </cell>
          <cell r="U581">
            <v>0</v>
          </cell>
          <cell r="V581">
            <v>1</v>
          </cell>
          <cell r="W581">
            <v>0</v>
          </cell>
          <cell r="X581">
            <v>0</v>
          </cell>
          <cell r="Y581">
            <v>0</v>
          </cell>
        </row>
        <row r="582">
          <cell r="D582">
            <v>300485</v>
          </cell>
          <cell r="E582" t="str">
            <v>Sanchez Mira NHS</v>
          </cell>
          <cell r="F582">
            <v>1</v>
          </cell>
          <cell r="G582">
            <v>1</v>
          </cell>
          <cell r="H582">
            <v>0</v>
          </cell>
          <cell r="I582">
            <v>0</v>
          </cell>
          <cell r="J582">
            <v>1</v>
          </cell>
          <cell r="K582">
            <v>0</v>
          </cell>
          <cell r="L582">
            <v>0</v>
          </cell>
          <cell r="M582">
            <v>0</v>
          </cell>
          <cell r="N582">
            <v>1</v>
          </cell>
          <cell r="O582" t="str">
            <v>10/14/2019</v>
          </cell>
          <cell r="P582" t="str">
            <v>10/14/2019</v>
          </cell>
          <cell r="Q582">
            <v>1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1</v>
          </cell>
          <cell r="W582">
            <v>0</v>
          </cell>
          <cell r="X582">
            <v>0</v>
          </cell>
          <cell r="Y582">
            <v>0</v>
          </cell>
        </row>
        <row r="583">
          <cell r="D583">
            <v>300490</v>
          </cell>
          <cell r="E583" t="str">
            <v>Sta. Teresita National High School</v>
          </cell>
          <cell r="F583">
            <v>1</v>
          </cell>
          <cell r="G583">
            <v>0</v>
          </cell>
          <cell r="H583">
            <v>1</v>
          </cell>
          <cell r="I583">
            <v>0</v>
          </cell>
          <cell r="J583">
            <v>1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3</v>
          </cell>
          <cell r="X583">
            <v>0</v>
          </cell>
          <cell r="Y583">
            <v>0</v>
          </cell>
        </row>
        <row r="584">
          <cell r="D584">
            <v>300443</v>
          </cell>
          <cell r="E584" t="str">
            <v>Callao National High School</v>
          </cell>
          <cell r="F584">
            <v>1</v>
          </cell>
          <cell r="G584">
            <v>1</v>
          </cell>
          <cell r="H584">
            <v>1</v>
          </cell>
          <cell r="I584">
            <v>1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1</v>
          </cell>
          <cell r="O584" t="str">
            <v>OCTOBER 28, 2019</v>
          </cell>
          <cell r="P584">
            <v>43709</v>
          </cell>
          <cell r="Q584">
            <v>1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1</v>
          </cell>
          <cell r="W584">
            <v>1</v>
          </cell>
          <cell r="X584">
            <v>1</v>
          </cell>
          <cell r="Y584">
            <v>0</v>
          </cell>
        </row>
        <row r="585">
          <cell r="D585">
            <v>306019</v>
          </cell>
          <cell r="E585" t="str">
            <v>Tuao Voc'l. and Tech'l. School  Malummin Annex</v>
          </cell>
          <cell r="F585">
            <v>1</v>
          </cell>
          <cell r="G585">
            <v>1</v>
          </cell>
          <cell r="H585">
            <v>1</v>
          </cell>
          <cell r="I585">
            <v>0</v>
          </cell>
          <cell r="J585">
            <v>1</v>
          </cell>
          <cell r="K585">
            <v>0</v>
          </cell>
          <cell r="L585">
            <v>0</v>
          </cell>
          <cell r="M585">
            <v>0</v>
          </cell>
          <cell r="N585">
            <v>1</v>
          </cell>
          <cell r="O585" t="str">
            <v>June 1, 2019</v>
          </cell>
          <cell r="P585" t="str">
            <v>June 1, 2019</v>
          </cell>
          <cell r="Q585">
            <v>0</v>
          </cell>
          <cell r="R585">
            <v>1</v>
          </cell>
          <cell r="S585">
            <v>0</v>
          </cell>
          <cell r="T585">
            <v>0</v>
          </cell>
          <cell r="U585">
            <v>0</v>
          </cell>
          <cell r="V585">
            <v>1</v>
          </cell>
          <cell r="W585">
            <v>1</v>
          </cell>
          <cell r="X585">
            <v>1</v>
          </cell>
          <cell r="Y585">
            <v>0</v>
          </cell>
        </row>
        <row r="586">
          <cell r="D586">
            <v>300487</v>
          </cell>
          <cell r="E586" t="str">
            <v>Solana Fresh Water Fishery School</v>
          </cell>
          <cell r="F586">
            <v>1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</v>
          </cell>
          <cell r="M586" t="str">
            <v>semi anually</v>
          </cell>
          <cell r="N586">
            <v>0</v>
          </cell>
          <cell r="O586" t="str">
            <v>N/A</v>
          </cell>
          <cell r="P586" t="str">
            <v>10/28/2019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2</v>
          </cell>
          <cell r="X586">
            <v>0</v>
          </cell>
          <cell r="Y586">
            <v>0</v>
          </cell>
        </row>
        <row r="587">
          <cell r="D587">
            <v>306421</v>
          </cell>
          <cell r="E587" t="str">
            <v>Caridad B. Trinidad National High School</v>
          </cell>
          <cell r="F587">
            <v>1</v>
          </cell>
          <cell r="G587">
            <v>1</v>
          </cell>
          <cell r="H587">
            <v>1</v>
          </cell>
          <cell r="I587">
            <v>0</v>
          </cell>
          <cell r="J587">
            <v>0</v>
          </cell>
          <cell r="K587">
            <v>1</v>
          </cell>
          <cell r="L587">
            <v>0</v>
          </cell>
          <cell r="M587">
            <v>0</v>
          </cell>
          <cell r="N587">
            <v>1</v>
          </cell>
          <cell r="O587" t="str">
            <v>08/8-9/2019</v>
          </cell>
          <cell r="P587">
            <v>43733</v>
          </cell>
          <cell r="Q587">
            <v>0</v>
          </cell>
          <cell r="R587">
            <v>1</v>
          </cell>
          <cell r="S587">
            <v>0</v>
          </cell>
          <cell r="T587">
            <v>0</v>
          </cell>
          <cell r="U587">
            <v>0</v>
          </cell>
          <cell r="V587">
            <v>1</v>
          </cell>
          <cell r="W587">
            <v>2</v>
          </cell>
          <cell r="X587">
            <v>0</v>
          </cell>
          <cell r="Y587">
            <v>2</v>
          </cell>
        </row>
        <row r="588">
          <cell r="D588">
            <v>500008</v>
          </cell>
          <cell r="E588" t="str">
            <v>CATARATAN INTEGRATED SCHOOL</v>
          </cell>
          <cell r="F588">
            <v>1</v>
          </cell>
          <cell r="G588">
            <v>0</v>
          </cell>
          <cell r="H588">
            <v>1</v>
          </cell>
          <cell r="I588">
            <v>0</v>
          </cell>
          <cell r="J588">
            <v>1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</row>
        <row r="589">
          <cell r="D589">
            <v>300456</v>
          </cell>
          <cell r="E589" t="str">
            <v>Don Severino Pagalilauan National High School</v>
          </cell>
          <cell r="F589">
            <v>1</v>
          </cell>
          <cell r="G589">
            <v>1</v>
          </cell>
          <cell r="H589">
            <v>1</v>
          </cell>
          <cell r="I589">
            <v>0</v>
          </cell>
          <cell r="J589">
            <v>1</v>
          </cell>
          <cell r="K589">
            <v>0</v>
          </cell>
          <cell r="L589">
            <v>0</v>
          </cell>
          <cell r="M589">
            <v>0</v>
          </cell>
          <cell r="N589">
            <v>1</v>
          </cell>
          <cell r="O589" t="str">
            <v>09/26/2019</v>
          </cell>
          <cell r="P589" t="str">
            <v>09/26/2019</v>
          </cell>
          <cell r="Q589">
            <v>1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3</v>
          </cell>
          <cell r="X589">
            <v>0</v>
          </cell>
          <cell r="Y589">
            <v>0</v>
          </cell>
        </row>
        <row r="590">
          <cell r="D590">
            <v>300423</v>
          </cell>
          <cell r="E590" t="str">
            <v>Alig Valley National High School</v>
          </cell>
          <cell r="F590">
            <v>1</v>
          </cell>
          <cell r="G590">
            <v>0</v>
          </cell>
          <cell r="H590">
            <v>1</v>
          </cell>
          <cell r="I590">
            <v>0</v>
          </cell>
          <cell r="J590">
            <v>1</v>
          </cell>
          <cell r="K590">
            <v>0</v>
          </cell>
          <cell r="L590">
            <v>0</v>
          </cell>
          <cell r="M590">
            <v>0</v>
          </cell>
          <cell r="N590">
            <v>1</v>
          </cell>
          <cell r="O590">
            <v>43770</v>
          </cell>
          <cell r="P590">
            <v>43811</v>
          </cell>
          <cell r="Q590">
            <v>1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1</v>
          </cell>
          <cell r="W590">
            <v>2</v>
          </cell>
          <cell r="X590">
            <v>0</v>
          </cell>
          <cell r="Y590">
            <v>0</v>
          </cell>
        </row>
        <row r="591">
          <cell r="D591">
            <v>300481</v>
          </cell>
          <cell r="E591" t="str">
            <v>Piat National HS</v>
          </cell>
          <cell r="F591">
            <v>1</v>
          </cell>
          <cell r="G591">
            <v>0</v>
          </cell>
          <cell r="H591">
            <v>1</v>
          </cell>
          <cell r="I591">
            <v>0</v>
          </cell>
          <cell r="J591">
            <v>1</v>
          </cell>
          <cell r="K591">
            <v>0</v>
          </cell>
          <cell r="L591">
            <v>0</v>
          </cell>
          <cell r="M591">
            <v>0</v>
          </cell>
          <cell r="N591">
            <v>1</v>
          </cell>
          <cell r="O591">
            <v>0</v>
          </cell>
          <cell r="P591">
            <v>0</v>
          </cell>
          <cell r="Q591">
            <v>1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1</v>
          </cell>
          <cell r="W591">
            <v>0</v>
          </cell>
          <cell r="X591">
            <v>0</v>
          </cell>
          <cell r="Y591">
            <v>0</v>
          </cell>
        </row>
        <row r="592">
          <cell r="D592">
            <v>300462</v>
          </cell>
          <cell r="E592" t="str">
            <v>Gattaran National Trade School</v>
          </cell>
          <cell r="F592">
            <v>0</v>
          </cell>
          <cell r="G592">
            <v>1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</row>
        <row r="593">
          <cell r="D593">
            <v>300424</v>
          </cell>
          <cell r="E593" t="str">
            <v>Allacapan Vocational High School</v>
          </cell>
          <cell r="F593">
            <v>1</v>
          </cell>
          <cell r="G593">
            <v>1</v>
          </cell>
          <cell r="H593">
            <v>1</v>
          </cell>
          <cell r="I593">
            <v>0</v>
          </cell>
          <cell r="J593">
            <v>1</v>
          </cell>
          <cell r="K593">
            <v>0</v>
          </cell>
          <cell r="L593">
            <v>0</v>
          </cell>
          <cell r="M593">
            <v>0</v>
          </cell>
          <cell r="N593">
            <v>1</v>
          </cell>
          <cell r="O593" t="str">
            <v>AUGUST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1</v>
          </cell>
          <cell r="U593" t="str">
            <v>AS NEED ARISE</v>
          </cell>
          <cell r="V593">
            <v>1</v>
          </cell>
          <cell r="W593">
            <v>0</v>
          </cell>
          <cell r="X593">
            <v>0</v>
          </cell>
          <cell r="Y593">
            <v>0</v>
          </cell>
        </row>
        <row r="594">
          <cell r="D594">
            <v>300429</v>
          </cell>
          <cell r="E594" t="str">
            <v>Baggao National Agricultural School</v>
          </cell>
          <cell r="F594">
            <v>1</v>
          </cell>
          <cell r="G594">
            <v>1</v>
          </cell>
          <cell r="H594">
            <v>1</v>
          </cell>
          <cell r="I594">
            <v>0</v>
          </cell>
          <cell r="J594">
            <v>1</v>
          </cell>
          <cell r="K594">
            <v>0</v>
          </cell>
          <cell r="L594">
            <v>0</v>
          </cell>
          <cell r="M594">
            <v>0</v>
          </cell>
          <cell r="N594">
            <v>1</v>
          </cell>
          <cell r="O594" t="str">
            <v>10/18/2019</v>
          </cell>
          <cell r="P594">
            <v>43684</v>
          </cell>
          <cell r="Q594">
            <v>0</v>
          </cell>
          <cell r="R594">
            <v>1</v>
          </cell>
          <cell r="S594">
            <v>0</v>
          </cell>
          <cell r="T594">
            <v>0</v>
          </cell>
          <cell r="U594">
            <v>0</v>
          </cell>
          <cell r="V594">
            <v>1</v>
          </cell>
          <cell r="W594">
            <v>0</v>
          </cell>
          <cell r="X594">
            <v>0</v>
          </cell>
          <cell r="Y594">
            <v>0</v>
          </cell>
        </row>
        <row r="595">
          <cell r="D595">
            <v>300420</v>
          </cell>
          <cell r="E595" t="str">
            <v>Afusing NHS</v>
          </cell>
          <cell r="F595">
            <v>1</v>
          </cell>
          <cell r="G595">
            <v>1</v>
          </cell>
          <cell r="H595">
            <v>1</v>
          </cell>
          <cell r="I595">
            <v>0</v>
          </cell>
          <cell r="J595">
            <v>0</v>
          </cell>
          <cell r="K595">
            <v>1</v>
          </cell>
          <cell r="L595">
            <v>0</v>
          </cell>
          <cell r="M595">
            <v>0</v>
          </cell>
          <cell r="N595">
            <v>1</v>
          </cell>
          <cell r="O595" t="str">
            <v>05/23/2019</v>
          </cell>
          <cell r="P595" t="str">
            <v>08/30/2019</v>
          </cell>
          <cell r="Q595">
            <v>0</v>
          </cell>
          <cell r="R595">
            <v>1</v>
          </cell>
          <cell r="S595">
            <v>0</v>
          </cell>
          <cell r="T595">
            <v>0</v>
          </cell>
          <cell r="U595">
            <v>0</v>
          </cell>
          <cell r="V595">
            <v>1</v>
          </cell>
          <cell r="W595">
            <v>0</v>
          </cell>
          <cell r="X595">
            <v>0</v>
          </cell>
          <cell r="Y595">
            <v>0</v>
          </cell>
        </row>
        <row r="596">
          <cell r="D596">
            <v>300474</v>
          </cell>
          <cell r="E596" t="str">
            <v>Licerio Antiporda Sr. NHS</v>
          </cell>
          <cell r="F596">
            <v>1</v>
          </cell>
          <cell r="G596">
            <v>1</v>
          </cell>
          <cell r="H596">
            <v>1</v>
          </cell>
          <cell r="I596">
            <v>0</v>
          </cell>
          <cell r="J596">
            <v>1</v>
          </cell>
          <cell r="K596">
            <v>0</v>
          </cell>
          <cell r="L596">
            <v>0</v>
          </cell>
          <cell r="M596">
            <v>0</v>
          </cell>
          <cell r="N596">
            <v>1</v>
          </cell>
          <cell r="O596">
            <v>43685</v>
          </cell>
          <cell r="P596" t="str">
            <v xml:space="preserve">   08/08/2019</v>
          </cell>
          <cell r="Q596">
            <v>0</v>
          </cell>
          <cell r="R596">
            <v>1</v>
          </cell>
          <cell r="S596">
            <v>0</v>
          </cell>
          <cell r="T596">
            <v>0</v>
          </cell>
          <cell r="U596">
            <v>0</v>
          </cell>
          <cell r="V596">
            <v>1</v>
          </cell>
          <cell r="W596">
            <v>0</v>
          </cell>
          <cell r="X596">
            <v>0</v>
          </cell>
          <cell r="Y596">
            <v>0</v>
          </cell>
        </row>
        <row r="597">
          <cell r="D597">
            <v>300480</v>
          </cell>
          <cell r="E597" t="str">
            <v>Pattao NHS</v>
          </cell>
          <cell r="F597">
            <v>1</v>
          </cell>
          <cell r="G597">
            <v>1</v>
          </cell>
          <cell r="H597">
            <v>1</v>
          </cell>
          <cell r="I597">
            <v>0</v>
          </cell>
          <cell r="J597">
            <v>1</v>
          </cell>
          <cell r="K597">
            <v>0</v>
          </cell>
          <cell r="L597">
            <v>0</v>
          </cell>
          <cell r="M597">
            <v>0</v>
          </cell>
          <cell r="N597">
            <v>1</v>
          </cell>
          <cell r="O597">
            <v>0</v>
          </cell>
          <cell r="P597">
            <v>0</v>
          </cell>
          <cell r="Q597">
            <v>0</v>
          </cell>
          <cell r="R597">
            <v>1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</row>
        <row r="598">
          <cell r="D598">
            <v>300434</v>
          </cell>
          <cell r="E598" t="str">
            <v>Ballesteros NHS</v>
          </cell>
          <cell r="F598">
            <v>1</v>
          </cell>
          <cell r="G598">
            <v>0</v>
          </cell>
          <cell r="H598">
            <v>1</v>
          </cell>
          <cell r="I598">
            <v>0</v>
          </cell>
          <cell r="J598">
            <v>1</v>
          </cell>
          <cell r="K598">
            <v>0</v>
          </cell>
          <cell r="L598">
            <v>0</v>
          </cell>
          <cell r="M598">
            <v>0</v>
          </cell>
          <cell r="N598">
            <v>1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1</v>
          </cell>
          <cell r="U598" t="str">
            <v>if needed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</row>
        <row r="599">
          <cell r="D599">
            <v>306006</v>
          </cell>
          <cell r="E599" t="str">
            <v>Abariongan National High School</v>
          </cell>
          <cell r="F599">
            <v>1</v>
          </cell>
          <cell r="G599">
            <v>1</v>
          </cell>
          <cell r="H599">
            <v>1</v>
          </cell>
          <cell r="I599">
            <v>0</v>
          </cell>
          <cell r="J599">
            <v>0</v>
          </cell>
          <cell r="K599">
            <v>0</v>
          </cell>
          <cell r="L599">
            <v>1</v>
          </cell>
          <cell r="M599" t="str">
            <v>When the need arises</v>
          </cell>
          <cell r="N599">
            <v>1</v>
          </cell>
          <cell r="O599" t="str">
            <v>09/17/19</v>
          </cell>
          <cell r="P599">
            <v>43534</v>
          </cell>
          <cell r="Q599">
            <v>1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1</v>
          </cell>
          <cell r="W599">
            <v>3</v>
          </cell>
          <cell r="X599">
            <v>0</v>
          </cell>
          <cell r="Y599">
            <v>0</v>
          </cell>
        </row>
        <row r="600">
          <cell r="D600">
            <v>300491</v>
          </cell>
          <cell r="E600" t="str">
            <v>Sto. Nino NHS</v>
          </cell>
          <cell r="F600">
            <v>0</v>
          </cell>
          <cell r="G600">
            <v>0</v>
          </cell>
          <cell r="H600">
            <v>1</v>
          </cell>
          <cell r="I600">
            <v>0</v>
          </cell>
          <cell r="J600">
            <v>1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</row>
        <row r="601">
          <cell r="D601">
            <v>306013</v>
          </cell>
          <cell r="E601" t="str">
            <v>Luga National High School</v>
          </cell>
          <cell r="F601">
            <v>1</v>
          </cell>
          <cell r="G601">
            <v>1</v>
          </cell>
          <cell r="H601">
            <v>1</v>
          </cell>
          <cell r="I601">
            <v>0</v>
          </cell>
          <cell r="J601">
            <v>0</v>
          </cell>
          <cell r="K601">
            <v>1</v>
          </cell>
          <cell r="L601">
            <v>0</v>
          </cell>
          <cell r="M601">
            <v>0</v>
          </cell>
          <cell r="N601">
            <v>1</v>
          </cell>
          <cell r="O601">
            <v>0</v>
          </cell>
          <cell r="P601">
            <v>0</v>
          </cell>
          <cell r="Q601">
            <v>0</v>
          </cell>
          <cell r="R601">
            <v>1</v>
          </cell>
          <cell r="S601">
            <v>0</v>
          </cell>
          <cell r="T601">
            <v>0</v>
          </cell>
          <cell r="U601">
            <v>0</v>
          </cell>
          <cell r="V601">
            <v>1</v>
          </cell>
          <cell r="W601">
            <v>0</v>
          </cell>
          <cell r="X601">
            <v>0</v>
          </cell>
          <cell r="Y601">
            <v>0</v>
          </cell>
        </row>
        <row r="602">
          <cell r="D602">
            <v>300473</v>
          </cell>
          <cell r="E602" t="str">
            <v>Libertad National High School</v>
          </cell>
          <cell r="F602">
            <v>0</v>
          </cell>
          <cell r="G602">
            <v>0</v>
          </cell>
          <cell r="H602">
            <v>1</v>
          </cell>
          <cell r="I602">
            <v>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 t="str">
            <v>08-20-2019</v>
          </cell>
          <cell r="P602" t="str">
            <v>08-20-2019</v>
          </cell>
          <cell r="Q602">
            <v>1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1</v>
          </cell>
          <cell r="W602">
            <v>2</v>
          </cell>
          <cell r="X602">
            <v>0</v>
          </cell>
          <cell r="Y602">
            <v>0</v>
          </cell>
        </row>
        <row r="603">
          <cell r="D603">
            <v>300421</v>
          </cell>
          <cell r="E603" t="str">
            <v>Alcala Rural School</v>
          </cell>
          <cell r="F603">
            <v>1</v>
          </cell>
          <cell r="G603">
            <v>1</v>
          </cell>
          <cell r="H603">
            <v>1</v>
          </cell>
          <cell r="I603">
            <v>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1</v>
          </cell>
          <cell r="O603">
            <v>0</v>
          </cell>
          <cell r="P603">
            <v>0</v>
          </cell>
          <cell r="Q603">
            <v>1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1</v>
          </cell>
          <cell r="W603">
            <v>0</v>
          </cell>
          <cell r="X603">
            <v>0</v>
          </cell>
          <cell r="Y603">
            <v>0</v>
          </cell>
        </row>
        <row r="604">
          <cell r="D604">
            <v>300425</v>
          </cell>
          <cell r="E604" t="str">
            <v>AMULUNG NATIONAL HIGH SCHOOL</v>
          </cell>
          <cell r="F604">
            <v>0</v>
          </cell>
          <cell r="G604">
            <v>0</v>
          </cell>
          <cell r="H604">
            <v>1</v>
          </cell>
          <cell r="I604">
            <v>0</v>
          </cell>
          <cell r="J604">
            <v>0</v>
          </cell>
          <cell r="K604">
            <v>1</v>
          </cell>
          <cell r="L604">
            <v>0</v>
          </cell>
          <cell r="M604">
            <v>0</v>
          </cell>
          <cell r="N604">
            <v>1</v>
          </cell>
          <cell r="O604">
            <v>43617</v>
          </cell>
          <cell r="P604">
            <v>43682</v>
          </cell>
          <cell r="Q604">
            <v>0</v>
          </cell>
          <cell r="R604">
            <v>0</v>
          </cell>
          <cell r="S604">
            <v>0</v>
          </cell>
          <cell r="T604">
            <v>1</v>
          </cell>
          <cell r="U604" t="str">
            <v>WHEN THERE ARE REPORTS MADE BY CONCERNED STAKEHOLDERS &amp; STUDENTS</v>
          </cell>
          <cell r="V604">
            <v>1</v>
          </cell>
          <cell r="W604">
            <v>0</v>
          </cell>
          <cell r="X604">
            <v>0</v>
          </cell>
          <cell r="Y604">
            <v>0</v>
          </cell>
        </row>
        <row r="605">
          <cell r="D605">
            <v>300444</v>
          </cell>
          <cell r="E605" t="str">
            <v>Camalaniugan NHS</v>
          </cell>
          <cell r="F605">
            <v>1</v>
          </cell>
          <cell r="G605">
            <v>1</v>
          </cell>
          <cell r="H605">
            <v>1</v>
          </cell>
          <cell r="I605">
            <v>0</v>
          </cell>
          <cell r="J605">
            <v>0</v>
          </cell>
          <cell r="K605">
            <v>1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1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1</v>
          </cell>
          <cell r="W605">
            <v>0</v>
          </cell>
          <cell r="X605">
            <v>0</v>
          </cell>
          <cell r="Y605">
            <v>0</v>
          </cell>
        </row>
        <row r="606">
          <cell r="D606">
            <v>306008</v>
          </cell>
          <cell r="E606" t="str">
            <v>Amulung NHS - Baculud Ext.</v>
          </cell>
          <cell r="F606">
            <v>1</v>
          </cell>
          <cell r="G606">
            <v>1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L606">
            <v>1</v>
          </cell>
          <cell r="M606" t="str">
            <v>as the need arises</v>
          </cell>
          <cell r="N606">
            <v>0</v>
          </cell>
          <cell r="O606" t="str">
            <v>June, 2019</v>
          </cell>
          <cell r="P606" t="str">
            <v>August, 2019</v>
          </cell>
          <cell r="Q606">
            <v>0</v>
          </cell>
          <cell r="R606">
            <v>1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</row>
        <row r="607">
          <cell r="D607">
            <v>300477</v>
          </cell>
          <cell r="E607" t="str">
            <v>Matucay National High School</v>
          </cell>
          <cell r="F607">
            <v>0</v>
          </cell>
          <cell r="G607">
            <v>0</v>
          </cell>
          <cell r="H607">
            <v>1</v>
          </cell>
          <cell r="I607">
            <v>0</v>
          </cell>
          <cell r="J607">
            <v>1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1</v>
          </cell>
          <cell r="U607" t="str">
            <v>to be implemented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</row>
        <row r="608">
          <cell r="D608">
            <v>300453</v>
          </cell>
          <cell r="E608" t="str">
            <v>Bayabat NHS</v>
          </cell>
          <cell r="F608">
            <v>1</v>
          </cell>
          <cell r="G608">
            <v>1</v>
          </cell>
          <cell r="H608">
            <v>1</v>
          </cell>
          <cell r="I608">
            <v>0</v>
          </cell>
          <cell r="J608">
            <v>1</v>
          </cell>
          <cell r="K608">
            <v>1</v>
          </cell>
          <cell r="L608">
            <v>0</v>
          </cell>
          <cell r="M608">
            <v>0</v>
          </cell>
          <cell r="N608">
            <v>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</row>
        <row r="609">
          <cell r="D609">
            <v>306003</v>
          </cell>
          <cell r="E609" t="str">
            <v>Lal-lo NHS - Cabayabasan Annex</v>
          </cell>
          <cell r="F609">
            <v>1</v>
          </cell>
          <cell r="G609">
            <v>1</v>
          </cell>
          <cell r="H609">
            <v>1</v>
          </cell>
          <cell r="I609">
            <v>0</v>
          </cell>
          <cell r="J609">
            <v>1</v>
          </cell>
          <cell r="K609">
            <v>0</v>
          </cell>
          <cell r="L609">
            <v>0</v>
          </cell>
          <cell r="M609">
            <v>0</v>
          </cell>
          <cell r="N609">
            <v>1</v>
          </cell>
          <cell r="O609">
            <v>43770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</row>
        <row r="610">
          <cell r="D610">
            <v>300489</v>
          </cell>
          <cell r="E610" t="str">
            <v>Sta. Praxedes High School</v>
          </cell>
          <cell r="F610">
            <v>1</v>
          </cell>
          <cell r="G610">
            <v>1</v>
          </cell>
          <cell r="H610">
            <v>1</v>
          </cell>
          <cell r="I610">
            <v>0</v>
          </cell>
          <cell r="J610">
            <v>1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</row>
        <row r="611">
          <cell r="D611">
            <v>300464</v>
          </cell>
          <cell r="E611" t="str">
            <v>Illuru NHS</v>
          </cell>
          <cell r="F611">
            <v>1</v>
          </cell>
          <cell r="G611">
            <v>0</v>
          </cell>
          <cell r="H611">
            <v>1</v>
          </cell>
          <cell r="I611">
            <v>0</v>
          </cell>
          <cell r="J611">
            <v>0</v>
          </cell>
          <cell r="K611">
            <v>1</v>
          </cell>
          <cell r="L611">
            <v>0</v>
          </cell>
          <cell r="M611">
            <v>0</v>
          </cell>
          <cell r="N611">
            <v>1</v>
          </cell>
          <cell r="O611">
            <v>0</v>
          </cell>
          <cell r="P611">
            <v>0</v>
          </cell>
          <cell r="Q611">
            <v>0</v>
          </cell>
          <cell r="R611">
            <v>1</v>
          </cell>
          <cell r="S611">
            <v>0</v>
          </cell>
          <cell r="T611">
            <v>0</v>
          </cell>
          <cell r="U611">
            <v>0</v>
          </cell>
          <cell r="V611">
            <v>1</v>
          </cell>
          <cell r="W611">
            <v>0</v>
          </cell>
          <cell r="X611">
            <v>0</v>
          </cell>
          <cell r="Y611">
            <v>0</v>
          </cell>
        </row>
        <row r="612">
          <cell r="D612">
            <v>300470</v>
          </cell>
          <cell r="E612" t="str">
            <v>Aparri West National High School</v>
          </cell>
          <cell r="F612">
            <v>0</v>
          </cell>
          <cell r="G612">
            <v>0</v>
          </cell>
          <cell r="H612">
            <v>1</v>
          </cell>
          <cell r="I612">
            <v>0</v>
          </cell>
          <cell r="J612">
            <v>1</v>
          </cell>
          <cell r="K612">
            <v>0</v>
          </cell>
          <cell r="L612">
            <v>0</v>
          </cell>
          <cell r="M612">
            <v>0</v>
          </cell>
          <cell r="N612">
            <v>1</v>
          </cell>
          <cell r="O612">
            <v>0</v>
          </cell>
          <cell r="P612">
            <v>0</v>
          </cell>
          <cell r="Q612">
            <v>0</v>
          </cell>
          <cell r="R612">
            <v>1</v>
          </cell>
          <cell r="S612">
            <v>0</v>
          </cell>
          <cell r="T612">
            <v>0</v>
          </cell>
          <cell r="U612">
            <v>0</v>
          </cell>
          <cell r="V612">
            <v>1</v>
          </cell>
          <cell r="W612">
            <v>0</v>
          </cell>
          <cell r="X612">
            <v>0</v>
          </cell>
          <cell r="Y612">
            <v>0</v>
          </cell>
        </row>
        <row r="613">
          <cell r="D613">
            <v>300428</v>
          </cell>
          <cell r="E613" t="str">
            <v>Aparri School of Arts and Trades</v>
          </cell>
          <cell r="F613">
            <v>1</v>
          </cell>
          <cell r="G613">
            <v>1</v>
          </cell>
          <cell r="H613">
            <v>1</v>
          </cell>
          <cell r="I613">
            <v>1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1</v>
          </cell>
          <cell r="O613">
            <v>0</v>
          </cell>
          <cell r="P613">
            <v>0</v>
          </cell>
          <cell r="Q613">
            <v>1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1</v>
          </cell>
          <cell r="W613">
            <v>0</v>
          </cell>
          <cell r="X613">
            <v>0</v>
          </cell>
          <cell r="Y613">
            <v>0</v>
          </cell>
        </row>
        <row r="614">
          <cell r="D614">
            <v>300418</v>
          </cell>
          <cell r="E614" t="str">
            <v>Abulug National Rural and Vocational High School</v>
          </cell>
          <cell r="F614">
            <v>1</v>
          </cell>
          <cell r="G614">
            <v>0</v>
          </cell>
          <cell r="H614">
            <v>1</v>
          </cell>
          <cell r="I614">
            <v>1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 t="str">
            <v>INSET</v>
          </cell>
          <cell r="P614" t="str">
            <v>OCTOBER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1</v>
          </cell>
          <cell r="W614">
            <v>0</v>
          </cell>
          <cell r="X614">
            <v>0</v>
          </cell>
          <cell r="Y614">
            <v>0</v>
          </cell>
        </row>
        <row r="615">
          <cell r="D615">
            <v>300465</v>
          </cell>
          <cell r="E615" t="str">
            <v>Ipil National High School</v>
          </cell>
          <cell r="F615">
            <v>0</v>
          </cell>
          <cell r="G615">
            <v>0</v>
          </cell>
          <cell r="H615">
            <v>1</v>
          </cell>
          <cell r="I615">
            <v>1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1</v>
          </cell>
          <cell r="O615">
            <v>43313</v>
          </cell>
          <cell r="P615">
            <v>0</v>
          </cell>
          <cell r="Q615">
            <v>1</v>
          </cell>
          <cell r="R615">
            <v>0</v>
          </cell>
          <cell r="S615">
            <v>0</v>
          </cell>
          <cell r="T615">
            <v>1</v>
          </cell>
          <cell r="U615">
            <v>0</v>
          </cell>
          <cell r="V615">
            <v>1</v>
          </cell>
          <cell r="W615">
            <v>4</v>
          </cell>
          <cell r="X615">
            <v>1</v>
          </cell>
          <cell r="Y615">
            <v>0</v>
          </cell>
        </row>
        <row r="616">
          <cell r="D616">
            <v>300419</v>
          </cell>
          <cell r="E616" t="str">
            <v>Abulug SOF</v>
          </cell>
          <cell r="F616">
            <v>0</v>
          </cell>
          <cell r="G616">
            <v>0</v>
          </cell>
          <cell r="H616">
            <v>1</v>
          </cell>
          <cell r="I616">
            <v>0</v>
          </cell>
          <cell r="J616">
            <v>0</v>
          </cell>
          <cell r="K616">
            <v>1</v>
          </cell>
          <cell r="L616">
            <v>1</v>
          </cell>
          <cell r="M616" t="str">
            <v>as the need arises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1</v>
          </cell>
          <cell r="T616">
            <v>1</v>
          </cell>
          <cell r="U616" t="str">
            <v>as the need arises</v>
          </cell>
          <cell r="V616">
            <v>1</v>
          </cell>
          <cell r="W616">
            <v>0</v>
          </cell>
          <cell r="X616">
            <v>0</v>
          </cell>
          <cell r="Y616">
            <v>0</v>
          </cell>
        </row>
        <row r="617">
          <cell r="D617">
            <v>300483</v>
          </cell>
          <cell r="E617" t="str">
            <v>Gonzaga National High School</v>
          </cell>
          <cell r="F617">
            <v>1</v>
          </cell>
          <cell r="G617">
            <v>1</v>
          </cell>
          <cell r="H617">
            <v>0</v>
          </cell>
          <cell r="I617">
            <v>0</v>
          </cell>
          <cell r="J617">
            <v>1</v>
          </cell>
          <cell r="K617">
            <v>0</v>
          </cell>
          <cell r="L617">
            <v>0</v>
          </cell>
          <cell r="M617">
            <v>0</v>
          </cell>
          <cell r="N617">
            <v>1</v>
          </cell>
          <cell r="O617">
            <v>43646</v>
          </cell>
          <cell r="P617">
            <v>0</v>
          </cell>
          <cell r="Q617">
            <v>1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1</v>
          </cell>
          <cell r="W617">
            <v>3</v>
          </cell>
          <cell r="X617">
            <v>3</v>
          </cell>
          <cell r="Y617">
            <v>3</v>
          </cell>
        </row>
        <row r="618">
          <cell r="D618">
            <v>306017</v>
          </cell>
          <cell r="E618" t="str">
            <v>Dadda National High School</v>
          </cell>
          <cell r="F618">
            <v>1</v>
          </cell>
          <cell r="G618">
            <v>1</v>
          </cell>
          <cell r="H618">
            <v>1</v>
          </cell>
          <cell r="I618">
            <v>0</v>
          </cell>
          <cell r="J618">
            <v>1</v>
          </cell>
          <cell r="K618">
            <v>0</v>
          </cell>
          <cell r="L618">
            <v>0</v>
          </cell>
          <cell r="M618">
            <v>0</v>
          </cell>
          <cell r="N618">
            <v>1</v>
          </cell>
          <cell r="O618">
            <v>0</v>
          </cell>
          <cell r="P618">
            <v>0</v>
          </cell>
          <cell r="Q618">
            <v>0</v>
          </cell>
          <cell r="R618">
            <v>1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</row>
        <row r="619">
          <cell r="D619">
            <v>300457</v>
          </cell>
          <cell r="E619" t="str">
            <v>Penablanca East NHS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</row>
        <row r="620">
          <cell r="D620">
            <v>306012</v>
          </cell>
          <cell r="E620" t="str">
            <v>Pattao NHS - Maddalero Ext.</v>
          </cell>
          <cell r="F620">
            <v>1</v>
          </cell>
          <cell r="G620">
            <v>1</v>
          </cell>
          <cell r="H620">
            <v>1</v>
          </cell>
          <cell r="I620">
            <v>0</v>
          </cell>
          <cell r="J620">
            <v>0</v>
          </cell>
          <cell r="K620">
            <v>1</v>
          </cell>
          <cell r="L620">
            <v>0</v>
          </cell>
          <cell r="M620">
            <v>0</v>
          </cell>
          <cell r="N620">
            <v>1</v>
          </cell>
          <cell r="O620" t="str">
            <v>NOVEMBER 10, 2019</v>
          </cell>
          <cell r="P620" t="str">
            <v>DECEMBER 2, 2019</v>
          </cell>
          <cell r="Q620">
            <v>0</v>
          </cell>
          <cell r="R620">
            <v>1</v>
          </cell>
          <cell r="S620">
            <v>0</v>
          </cell>
          <cell r="T620">
            <v>0</v>
          </cell>
          <cell r="U620">
            <v>0</v>
          </cell>
          <cell r="V620">
            <v>1</v>
          </cell>
          <cell r="W620">
            <v>1</v>
          </cell>
          <cell r="X620">
            <v>1</v>
          </cell>
          <cell r="Y620">
            <v>1</v>
          </cell>
        </row>
        <row r="621">
          <cell r="D621">
            <v>300439</v>
          </cell>
          <cell r="E621" t="str">
            <v>Nabannagan National High School</v>
          </cell>
          <cell r="F621">
            <v>1</v>
          </cell>
          <cell r="G621">
            <v>0</v>
          </cell>
          <cell r="H621">
            <v>1</v>
          </cell>
          <cell r="I621">
            <v>0</v>
          </cell>
          <cell r="J621">
            <v>1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 t="str">
            <v>JUNE 22,2019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1</v>
          </cell>
          <cell r="W621">
            <v>0</v>
          </cell>
          <cell r="X621">
            <v>0</v>
          </cell>
          <cell r="Y621">
            <v>0</v>
          </cell>
        </row>
        <row r="622">
          <cell r="D622">
            <v>306423</v>
          </cell>
          <cell r="E622" t="str">
            <v>Cabiraoan National High School</v>
          </cell>
          <cell r="F622">
            <v>1</v>
          </cell>
          <cell r="G622">
            <v>1</v>
          </cell>
          <cell r="H622">
            <v>1</v>
          </cell>
          <cell r="I622">
            <v>0</v>
          </cell>
          <cell r="J622">
            <v>1</v>
          </cell>
          <cell r="K622">
            <v>0</v>
          </cell>
          <cell r="L622">
            <v>0</v>
          </cell>
          <cell r="M622">
            <v>0</v>
          </cell>
          <cell r="N622">
            <v>1</v>
          </cell>
          <cell r="O622">
            <v>0</v>
          </cell>
          <cell r="P622">
            <v>43628</v>
          </cell>
          <cell r="Q622">
            <v>1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1</v>
          </cell>
          <cell r="W622">
            <v>2</v>
          </cell>
          <cell r="X622">
            <v>0</v>
          </cell>
          <cell r="Y622">
            <v>0</v>
          </cell>
        </row>
        <row r="623">
          <cell r="D623">
            <v>306011</v>
          </cell>
          <cell r="E623" t="str">
            <v>Licerio Antiporda Sr. NHS - Dalaya Ext.</v>
          </cell>
          <cell r="F623">
            <v>1</v>
          </cell>
          <cell r="G623">
            <v>1</v>
          </cell>
          <cell r="H623">
            <v>1</v>
          </cell>
          <cell r="I623">
            <v>0</v>
          </cell>
          <cell r="J623">
            <v>1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1</v>
          </cell>
          <cell r="S623">
            <v>0</v>
          </cell>
          <cell r="T623">
            <v>0</v>
          </cell>
          <cell r="U623">
            <v>0</v>
          </cell>
          <cell r="V623">
            <v>1</v>
          </cell>
          <cell r="W623">
            <v>0</v>
          </cell>
          <cell r="X623">
            <v>0</v>
          </cell>
          <cell r="Y623">
            <v>0</v>
          </cell>
        </row>
        <row r="624">
          <cell r="D624">
            <v>300461</v>
          </cell>
          <cell r="E624" t="str">
            <v>Gadu National High School</v>
          </cell>
          <cell r="F624">
            <v>0</v>
          </cell>
          <cell r="G624">
            <v>0</v>
          </cell>
          <cell r="H624">
            <v>1</v>
          </cell>
          <cell r="I624">
            <v>0</v>
          </cell>
          <cell r="J624">
            <v>0</v>
          </cell>
          <cell r="K624">
            <v>1</v>
          </cell>
          <cell r="L624">
            <v>0</v>
          </cell>
          <cell r="M624">
            <v>0</v>
          </cell>
          <cell r="N624">
            <v>0</v>
          </cell>
          <cell r="O624" t="str">
            <v>08/23/2019</v>
          </cell>
          <cell r="P624" t="str">
            <v>16/04/2019</v>
          </cell>
          <cell r="Q624">
            <v>0</v>
          </cell>
          <cell r="R624">
            <v>0</v>
          </cell>
          <cell r="S624">
            <v>1</v>
          </cell>
          <cell r="T624">
            <v>0</v>
          </cell>
          <cell r="U624">
            <v>0</v>
          </cell>
          <cell r="V624">
            <v>1</v>
          </cell>
          <cell r="W624">
            <v>0</v>
          </cell>
          <cell r="X624">
            <v>0</v>
          </cell>
          <cell r="Y624">
            <v>0</v>
          </cell>
        </row>
        <row r="625">
          <cell r="D625">
            <v>300493</v>
          </cell>
          <cell r="E625" t="str">
            <v>Tuao Voc'l. and Tech'l. School - Culung Annex</v>
          </cell>
          <cell r="F625">
            <v>0</v>
          </cell>
          <cell r="G625">
            <v>0</v>
          </cell>
          <cell r="H625">
            <v>1</v>
          </cell>
          <cell r="I625">
            <v>0</v>
          </cell>
          <cell r="J625">
            <v>1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43315</v>
          </cell>
          <cell r="P625" t="str">
            <v>September</v>
          </cell>
          <cell r="Q625">
            <v>1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1</v>
          </cell>
          <cell r="W625">
            <v>0</v>
          </cell>
          <cell r="X625">
            <v>0</v>
          </cell>
          <cell r="Y625">
            <v>0</v>
          </cell>
        </row>
        <row r="626">
          <cell r="D626">
            <v>300441</v>
          </cell>
          <cell r="E626" t="str">
            <v>Calayan HS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</row>
        <row r="627">
          <cell r="D627">
            <v>300426</v>
          </cell>
          <cell r="E627" t="str">
            <v>Andarayan NHS</v>
          </cell>
          <cell r="F627">
            <v>1</v>
          </cell>
          <cell r="G627">
            <v>0</v>
          </cell>
          <cell r="H627">
            <v>1</v>
          </cell>
          <cell r="I627">
            <v>0</v>
          </cell>
          <cell r="J627">
            <v>1</v>
          </cell>
          <cell r="K627">
            <v>0</v>
          </cell>
          <cell r="L627">
            <v>0</v>
          </cell>
          <cell r="M627">
            <v>0</v>
          </cell>
          <cell r="N627">
            <v>1</v>
          </cell>
          <cell r="O627">
            <v>43811</v>
          </cell>
          <cell r="P627">
            <v>43811</v>
          </cell>
          <cell r="Q627">
            <v>0</v>
          </cell>
          <cell r="R627">
            <v>1</v>
          </cell>
          <cell r="S627">
            <v>0</v>
          </cell>
          <cell r="T627">
            <v>0</v>
          </cell>
          <cell r="U627">
            <v>0</v>
          </cell>
          <cell r="V627">
            <v>1</v>
          </cell>
          <cell r="W627">
            <v>0</v>
          </cell>
          <cell r="X627">
            <v>0</v>
          </cell>
          <cell r="Y627">
            <v>0</v>
          </cell>
        </row>
        <row r="628">
          <cell r="D628">
            <v>300422</v>
          </cell>
          <cell r="E628" t="str">
            <v>BAYBAYOG NATIONAL HIGH SCHOOL</v>
          </cell>
          <cell r="F628">
            <v>1</v>
          </cell>
          <cell r="G628">
            <v>1</v>
          </cell>
          <cell r="H628">
            <v>1</v>
          </cell>
          <cell r="I628">
            <v>0</v>
          </cell>
          <cell r="J628">
            <v>0</v>
          </cell>
          <cell r="K628">
            <v>1</v>
          </cell>
          <cell r="L628">
            <v>0</v>
          </cell>
          <cell r="M628">
            <v>0</v>
          </cell>
          <cell r="N628">
            <v>1</v>
          </cell>
          <cell r="O628" t="str">
            <v>JUNE 7,2019</v>
          </cell>
          <cell r="P628" t="str">
            <v>JULY 5, 2019</v>
          </cell>
          <cell r="Q628">
            <v>0</v>
          </cell>
          <cell r="R628">
            <v>1</v>
          </cell>
          <cell r="S628">
            <v>0</v>
          </cell>
          <cell r="T628">
            <v>0</v>
          </cell>
          <cell r="U628">
            <v>0</v>
          </cell>
          <cell r="V628">
            <v>1</v>
          </cell>
          <cell r="W628">
            <v>0</v>
          </cell>
          <cell r="X628">
            <v>0</v>
          </cell>
          <cell r="Y628">
            <v>0</v>
          </cell>
        </row>
        <row r="629">
          <cell r="D629">
            <v>300450</v>
          </cell>
          <cell r="E629" t="str">
            <v>Claveria RVS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</row>
        <row r="630">
          <cell r="D630">
            <v>306005</v>
          </cell>
          <cell r="E630" t="str">
            <v>Licerio Antiporda Sr. NHS - Sta. Isabel Ext.</v>
          </cell>
          <cell r="F630">
            <v>1</v>
          </cell>
          <cell r="G630">
            <v>0</v>
          </cell>
          <cell r="H630">
            <v>1</v>
          </cell>
          <cell r="I630">
            <v>0</v>
          </cell>
          <cell r="J630">
            <v>0</v>
          </cell>
          <cell r="K630">
            <v>1</v>
          </cell>
          <cell r="L630">
            <v>0</v>
          </cell>
          <cell r="M630">
            <v>0</v>
          </cell>
          <cell r="N630">
            <v>1</v>
          </cell>
          <cell r="O630">
            <v>43812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</row>
        <row r="631">
          <cell r="D631">
            <v>300467</v>
          </cell>
          <cell r="E631" t="str">
            <v>Itawes National High School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</row>
        <row r="632">
          <cell r="D632">
            <v>300468</v>
          </cell>
          <cell r="E632" t="str">
            <v>Itawes Nat'l.l Agr'l. &amp; Tech'l. School - Bagumbayan Annex</v>
          </cell>
          <cell r="F632">
            <v>0</v>
          </cell>
          <cell r="G632">
            <v>0</v>
          </cell>
          <cell r="H632">
            <v>1</v>
          </cell>
          <cell r="I632">
            <v>1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1</v>
          </cell>
          <cell r="O632">
            <v>43793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4</v>
          </cell>
          <cell r="X632">
            <v>0</v>
          </cell>
          <cell r="Y632">
            <v>0</v>
          </cell>
        </row>
        <row r="633">
          <cell r="D633">
            <v>300433</v>
          </cell>
          <cell r="E633" t="str">
            <v>Imurung NHS</v>
          </cell>
          <cell r="F633">
            <v>1</v>
          </cell>
          <cell r="G633">
            <v>1</v>
          </cell>
          <cell r="H633">
            <v>1</v>
          </cell>
          <cell r="I633">
            <v>0</v>
          </cell>
          <cell r="J633">
            <v>1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43596</v>
          </cell>
          <cell r="Q633">
            <v>0</v>
          </cell>
          <cell r="R633">
            <v>1</v>
          </cell>
          <cell r="S633">
            <v>0</v>
          </cell>
          <cell r="T633">
            <v>0</v>
          </cell>
          <cell r="U633">
            <v>0</v>
          </cell>
          <cell r="V633">
            <v>1</v>
          </cell>
          <cell r="W633">
            <v>3</v>
          </cell>
          <cell r="X633">
            <v>3</v>
          </cell>
          <cell r="Y633">
            <v>3</v>
          </cell>
        </row>
        <row r="634">
          <cell r="D634">
            <v>500625</v>
          </cell>
          <cell r="E634" t="str">
            <v>Namuccayan Integrated School</v>
          </cell>
          <cell r="F634">
            <v>0</v>
          </cell>
          <cell r="G634">
            <v>0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 t="str">
            <v>n/a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</row>
        <row r="635">
          <cell r="D635">
            <v>306002</v>
          </cell>
          <cell r="E635" t="str">
            <v>Baggao NAS - Sta. Margarita Annex</v>
          </cell>
          <cell r="F635">
            <v>1</v>
          </cell>
          <cell r="G635">
            <v>1</v>
          </cell>
          <cell r="H635">
            <v>1</v>
          </cell>
          <cell r="I635">
            <v>0</v>
          </cell>
          <cell r="J635">
            <v>1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1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</row>
        <row r="636">
          <cell r="D636">
            <v>300427</v>
          </cell>
          <cell r="E636" t="str">
            <v>Dassun NHS</v>
          </cell>
          <cell r="F636">
            <v>0</v>
          </cell>
          <cell r="G636">
            <v>0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1</v>
          </cell>
          <cell r="M636" t="str">
            <v>Semi-annually</v>
          </cell>
          <cell r="N636">
            <v>1</v>
          </cell>
          <cell r="O636">
            <v>43769</v>
          </cell>
          <cell r="P636">
            <v>43769</v>
          </cell>
          <cell r="Q636">
            <v>1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1</v>
          </cell>
          <cell r="W636">
            <v>0</v>
          </cell>
          <cell r="X636">
            <v>0</v>
          </cell>
          <cell r="Y636">
            <v>0</v>
          </cell>
        </row>
        <row r="637">
          <cell r="D637">
            <v>306020</v>
          </cell>
          <cell r="E637" t="str">
            <v>AGAMAN NATIONAL HIGH SCHOOL</v>
          </cell>
          <cell r="F637">
            <v>1</v>
          </cell>
          <cell r="G637">
            <v>1</v>
          </cell>
          <cell r="H637">
            <v>1</v>
          </cell>
          <cell r="I637">
            <v>0</v>
          </cell>
          <cell r="J637">
            <v>1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1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</row>
        <row r="638">
          <cell r="D638">
            <v>300451</v>
          </cell>
          <cell r="E638" t="str">
            <v>Claveria SAT</v>
          </cell>
          <cell r="F638">
            <v>1</v>
          </cell>
          <cell r="G638">
            <v>1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L638">
            <v>1</v>
          </cell>
          <cell r="M638" t="str">
            <v>as the need arises</v>
          </cell>
          <cell r="N638">
            <v>1</v>
          </cell>
          <cell r="O638">
            <v>43617</v>
          </cell>
          <cell r="P638" t="str">
            <v>January 6, 2020</v>
          </cell>
          <cell r="Q638">
            <v>1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2</v>
          </cell>
          <cell r="X638">
            <v>0</v>
          </cell>
          <cell r="Y638">
            <v>0</v>
          </cell>
        </row>
        <row r="639">
          <cell r="D639">
            <v>300431</v>
          </cell>
          <cell r="E639" t="str">
            <v>Baggao NHS</v>
          </cell>
          <cell r="F639">
            <v>1</v>
          </cell>
          <cell r="G639">
            <v>0</v>
          </cell>
          <cell r="H639">
            <v>1</v>
          </cell>
          <cell r="I639">
            <v>0</v>
          </cell>
          <cell r="J639">
            <v>0</v>
          </cell>
          <cell r="K639">
            <v>1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</row>
        <row r="640">
          <cell r="D640">
            <v>300471</v>
          </cell>
          <cell r="E640" t="str">
            <v>Aparri East National High School</v>
          </cell>
          <cell r="F640">
            <v>1</v>
          </cell>
          <cell r="G640">
            <v>1</v>
          </cell>
          <cell r="H640">
            <v>1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1</v>
          </cell>
          <cell r="O640">
            <v>0</v>
          </cell>
          <cell r="P640" t="str">
            <v>August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1</v>
          </cell>
          <cell r="W640">
            <v>3</v>
          </cell>
          <cell r="X640">
            <v>0</v>
          </cell>
          <cell r="Y640">
            <v>0</v>
          </cell>
        </row>
        <row r="641">
          <cell r="D641">
            <v>306009</v>
          </cell>
          <cell r="E641" t="str">
            <v>Bayabat NHS - La Suerte Ext.</v>
          </cell>
          <cell r="F641">
            <v>1</v>
          </cell>
          <cell r="G641">
            <v>1</v>
          </cell>
          <cell r="H641">
            <v>1</v>
          </cell>
          <cell r="I641">
            <v>0</v>
          </cell>
          <cell r="J641">
            <v>1</v>
          </cell>
          <cell r="K641">
            <v>0</v>
          </cell>
          <cell r="L641">
            <v>0</v>
          </cell>
          <cell r="M641">
            <v>0</v>
          </cell>
          <cell r="N641">
            <v>1</v>
          </cell>
          <cell r="O641" t="str">
            <v>November 18, 2019</v>
          </cell>
          <cell r="P641" t="str">
            <v>December 6, 2019</v>
          </cell>
          <cell r="Q641">
            <v>1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1</v>
          </cell>
          <cell r="W641">
            <v>1</v>
          </cell>
          <cell r="X641">
            <v>1</v>
          </cell>
          <cell r="Y641">
            <v>1</v>
          </cell>
        </row>
        <row r="642">
          <cell r="D642">
            <v>300466</v>
          </cell>
          <cell r="E642" t="str">
            <v>Itawes Nat'l. Agr'l. &amp; Tech'l. School</v>
          </cell>
          <cell r="F642">
            <v>1</v>
          </cell>
          <cell r="G642">
            <v>1</v>
          </cell>
          <cell r="H642">
            <v>1</v>
          </cell>
          <cell r="I642">
            <v>0</v>
          </cell>
          <cell r="J642">
            <v>1</v>
          </cell>
          <cell r="K642">
            <v>0</v>
          </cell>
          <cell r="L642">
            <v>0</v>
          </cell>
          <cell r="M642">
            <v>0</v>
          </cell>
          <cell r="N642">
            <v>1</v>
          </cell>
          <cell r="O642">
            <v>43474</v>
          </cell>
          <cell r="P642">
            <v>43800</v>
          </cell>
          <cell r="Q642">
            <v>0</v>
          </cell>
          <cell r="R642">
            <v>1</v>
          </cell>
          <cell r="S642">
            <v>0</v>
          </cell>
          <cell r="T642">
            <v>0</v>
          </cell>
          <cell r="U642">
            <v>0</v>
          </cell>
          <cell r="V642">
            <v>1</v>
          </cell>
          <cell r="W642">
            <v>0</v>
          </cell>
          <cell r="X642">
            <v>0</v>
          </cell>
          <cell r="Y642">
            <v>0</v>
          </cell>
        </row>
        <row r="643">
          <cell r="D643">
            <v>306424</v>
          </cell>
          <cell r="E643" t="str">
            <v>Gadu NHS- Nangalisan Extension</v>
          </cell>
          <cell r="F643">
            <v>0</v>
          </cell>
          <cell r="G643">
            <v>0</v>
          </cell>
          <cell r="H643">
            <v>1</v>
          </cell>
          <cell r="I643">
            <v>0</v>
          </cell>
          <cell r="J643">
            <v>1</v>
          </cell>
          <cell r="K643">
            <v>0</v>
          </cell>
          <cell r="L643">
            <v>0</v>
          </cell>
          <cell r="M643">
            <v>0</v>
          </cell>
          <cell r="N643">
            <v>1</v>
          </cell>
          <cell r="O643">
            <v>43647</v>
          </cell>
          <cell r="P643">
            <v>0</v>
          </cell>
          <cell r="Q643">
            <v>0</v>
          </cell>
          <cell r="R643">
            <v>1</v>
          </cell>
          <cell r="S643">
            <v>0</v>
          </cell>
          <cell r="T643">
            <v>0</v>
          </cell>
          <cell r="U643">
            <v>0</v>
          </cell>
          <cell r="V643">
            <v>1</v>
          </cell>
          <cell r="W643">
            <v>0</v>
          </cell>
          <cell r="X643">
            <v>0</v>
          </cell>
          <cell r="Y643">
            <v>0</v>
          </cell>
        </row>
        <row r="644">
          <cell r="D644">
            <v>306422</v>
          </cell>
          <cell r="E644" t="str">
            <v>Calaoagan Dackel National High School-Capissayan Annex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</row>
        <row r="645">
          <cell r="D645">
            <v>500064</v>
          </cell>
          <cell r="E645" t="str">
            <v>Babuyan Claro IS</v>
          </cell>
          <cell r="F645">
            <v>1</v>
          </cell>
          <cell r="G645">
            <v>1</v>
          </cell>
          <cell r="H645">
            <v>1</v>
          </cell>
          <cell r="I645">
            <v>0</v>
          </cell>
          <cell r="J645">
            <v>0</v>
          </cell>
          <cell r="K645">
            <v>1</v>
          </cell>
          <cell r="L645">
            <v>0</v>
          </cell>
          <cell r="M645">
            <v>0</v>
          </cell>
          <cell r="N645">
            <v>1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1</v>
          </cell>
          <cell r="U645" t="str">
            <v>none</v>
          </cell>
          <cell r="V645">
            <v>1</v>
          </cell>
          <cell r="W645">
            <v>0</v>
          </cell>
          <cell r="X645">
            <v>0</v>
          </cell>
          <cell r="Y645">
            <v>0</v>
          </cell>
        </row>
        <row r="646">
          <cell r="D646">
            <v>500077</v>
          </cell>
          <cell r="E646" t="str">
            <v>Bimonton Integrated School</v>
          </cell>
          <cell r="F646">
            <v>1</v>
          </cell>
          <cell r="G646">
            <v>1</v>
          </cell>
          <cell r="H646">
            <v>1</v>
          </cell>
          <cell r="I646">
            <v>0</v>
          </cell>
          <cell r="J646">
            <v>1</v>
          </cell>
          <cell r="K646">
            <v>0</v>
          </cell>
          <cell r="L646">
            <v>0</v>
          </cell>
          <cell r="M646">
            <v>0</v>
          </cell>
          <cell r="N646">
            <v>1</v>
          </cell>
          <cell r="O646">
            <v>43686</v>
          </cell>
          <cell r="P646">
            <v>43718</v>
          </cell>
          <cell r="Q646">
            <v>0</v>
          </cell>
          <cell r="R646">
            <v>1</v>
          </cell>
          <cell r="S646">
            <v>0</v>
          </cell>
          <cell r="T646">
            <v>0</v>
          </cell>
          <cell r="U646">
            <v>0</v>
          </cell>
          <cell r="V646">
            <v>1</v>
          </cell>
          <cell r="W646">
            <v>3</v>
          </cell>
          <cell r="X646">
            <v>0</v>
          </cell>
          <cell r="Y646">
            <v>0</v>
          </cell>
        </row>
        <row r="647">
          <cell r="D647">
            <v>306127</v>
          </cell>
          <cell r="E647" t="str">
            <v>San Mateo National High School</v>
          </cell>
          <cell r="F647">
            <v>1</v>
          </cell>
          <cell r="G647">
            <v>1</v>
          </cell>
          <cell r="H647">
            <v>1</v>
          </cell>
          <cell r="I647">
            <v>0</v>
          </cell>
          <cell r="J647">
            <v>1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43743</v>
          </cell>
          <cell r="P647">
            <v>43743</v>
          </cell>
          <cell r="Q647">
            <v>0</v>
          </cell>
          <cell r="R647">
            <v>0</v>
          </cell>
          <cell r="S647">
            <v>0</v>
          </cell>
          <cell r="T647">
            <v>1</v>
          </cell>
          <cell r="U647" t="str">
            <v>OCASSIONALY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</row>
        <row r="648">
          <cell r="D648">
            <v>342077</v>
          </cell>
          <cell r="E648" t="str">
            <v>Aurora Senior High School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</row>
        <row r="649">
          <cell r="D649">
            <v>300541</v>
          </cell>
          <cell r="E649" t="str">
            <v>Imelda R. Marcos High School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1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1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</row>
        <row r="650">
          <cell r="D650">
            <v>300520</v>
          </cell>
          <cell r="E650" t="str">
            <v>Delfin Albano High School-Main</v>
          </cell>
          <cell r="F650">
            <v>1</v>
          </cell>
          <cell r="G650">
            <v>1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</row>
        <row r="651">
          <cell r="D651">
            <v>300508</v>
          </cell>
          <cell r="E651" t="str">
            <v>Cagasat National High School</v>
          </cell>
          <cell r="F651">
            <v>1</v>
          </cell>
          <cell r="G651">
            <v>1</v>
          </cell>
          <cell r="H651">
            <v>1</v>
          </cell>
          <cell r="I651">
            <v>0</v>
          </cell>
          <cell r="J651">
            <v>1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1</v>
          </cell>
          <cell r="S651">
            <v>0</v>
          </cell>
          <cell r="T651">
            <v>0</v>
          </cell>
          <cell r="U651">
            <v>0</v>
          </cell>
          <cell r="V651">
            <v>1</v>
          </cell>
          <cell r="W651">
            <v>3</v>
          </cell>
          <cell r="X651">
            <v>0</v>
          </cell>
          <cell r="Y651">
            <v>0</v>
          </cell>
        </row>
        <row r="652">
          <cell r="D652">
            <v>300502</v>
          </cell>
          <cell r="E652" t="str">
            <v>Villa Domingo National High School</v>
          </cell>
          <cell r="F652">
            <v>1</v>
          </cell>
          <cell r="G652">
            <v>1</v>
          </cell>
          <cell r="H652">
            <v>1</v>
          </cell>
          <cell r="I652">
            <v>0</v>
          </cell>
          <cell r="J652">
            <v>1</v>
          </cell>
          <cell r="K652">
            <v>0</v>
          </cell>
          <cell r="L652">
            <v>0</v>
          </cell>
          <cell r="M652">
            <v>0</v>
          </cell>
          <cell r="N652">
            <v>1</v>
          </cell>
          <cell r="O652">
            <v>43709</v>
          </cell>
          <cell r="P652">
            <v>43770</v>
          </cell>
          <cell r="Q652">
            <v>0</v>
          </cell>
          <cell r="R652">
            <v>0</v>
          </cell>
          <cell r="S652">
            <v>1</v>
          </cell>
          <cell r="T652">
            <v>0</v>
          </cell>
          <cell r="U652">
            <v>0</v>
          </cell>
          <cell r="V652">
            <v>1</v>
          </cell>
          <cell r="W652">
            <v>1</v>
          </cell>
          <cell r="X652">
            <v>0</v>
          </cell>
          <cell r="Y652">
            <v>0</v>
          </cell>
        </row>
        <row r="653">
          <cell r="D653">
            <v>300562</v>
          </cell>
          <cell r="E653" t="str">
            <v>Munoz High School</v>
          </cell>
          <cell r="F653">
            <v>1</v>
          </cell>
          <cell r="G653">
            <v>0</v>
          </cell>
          <cell r="H653">
            <v>1</v>
          </cell>
          <cell r="I653">
            <v>0</v>
          </cell>
          <cell r="J653">
            <v>1</v>
          </cell>
          <cell r="K653">
            <v>0</v>
          </cell>
          <cell r="L653">
            <v>0</v>
          </cell>
          <cell r="M653">
            <v>0</v>
          </cell>
          <cell r="N653">
            <v>1</v>
          </cell>
          <cell r="O653">
            <v>0</v>
          </cell>
          <cell r="P653">
            <v>0</v>
          </cell>
          <cell r="Q653">
            <v>1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1</v>
          </cell>
          <cell r="W653">
            <v>0</v>
          </cell>
          <cell r="X653">
            <v>0</v>
          </cell>
          <cell r="Y653">
            <v>0</v>
          </cell>
        </row>
        <row r="654">
          <cell r="D654">
            <v>306115</v>
          </cell>
          <cell r="E654" t="str">
            <v>Luis-Fe Gomez Diamantina National High School</v>
          </cell>
          <cell r="F654">
            <v>1</v>
          </cell>
          <cell r="G654">
            <v>0</v>
          </cell>
          <cell r="H654">
            <v>1</v>
          </cell>
          <cell r="I654">
            <v>0</v>
          </cell>
          <cell r="J654">
            <v>1</v>
          </cell>
          <cell r="K654">
            <v>0</v>
          </cell>
          <cell r="L654">
            <v>0</v>
          </cell>
          <cell r="M654">
            <v>0</v>
          </cell>
          <cell r="N654">
            <v>1</v>
          </cell>
          <cell r="O654">
            <v>0</v>
          </cell>
          <cell r="P654">
            <v>0</v>
          </cell>
          <cell r="Q654">
            <v>0</v>
          </cell>
          <cell r="R654">
            <v>1</v>
          </cell>
          <cell r="S654">
            <v>0</v>
          </cell>
          <cell r="T654">
            <v>0</v>
          </cell>
          <cell r="U654">
            <v>0</v>
          </cell>
          <cell r="V654">
            <v>1</v>
          </cell>
          <cell r="W654">
            <v>0</v>
          </cell>
          <cell r="X654">
            <v>0</v>
          </cell>
          <cell r="Y654">
            <v>0</v>
          </cell>
        </row>
        <row r="655">
          <cell r="D655">
            <v>300576</v>
          </cell>
          <cell r="E655" t="str">
            <v>Rizal Region National High School</v>
          </cell>
          <cell r="F655">
            <v>1</v>
          </cell>
          <cell r="G655">
            <v>1</v>
          </cell>
          <cell r="H655">
            <v>1</v>
          </cell>
          <cell r="I655">
            <v>0</v>
          </cell>
          <cell r="J655">
            <v>1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1</v>
          </cell>
          <cell r="S655">
            <v>0</v>
          </cell>
          <cell r="T655">
            <v>0</v>
          </cell>
          <cell r="U655">
            <v>0</v>
          </cell>
          <cell r="V655">
            <v>1</v>
          </cell>
          <cell r="W655">
            <v>0</v>
          </cell>
          <cell r="X655">
            <v>0</v>
          </cell>
          <cell r="Y655">
            <v>0</v>
          </cell>
        </row>
        <row r="656">
          <cell r="D656">
            <v>300546</v>
          </cell>
          <cell r="E656" t="str">
            <v>Andabuen National High School</v>
          </cell>
          <cell r="F656">
            <v>0</v>
          </cell>
          <cell r="G656">
            <v>0</v>
          </cell>
          <cell r="H656">
            <v>1</v>
          </cell>
          <cell r="I656">
            <v>0</v>
          </cell>
          <cell r="J656">
            <v>0</v>
          </cell>
          <cell r="K656">
            <v>1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</row>
        <row r="657">
          <cell r="D657">
            <v>300537</v>
          </cell>
          <cell r="E657" t="str">
            <v>Gamu Rural School-Main</v>
          </cell>
          <cell r="F657">
            <v>1</v>
          </cell>
          <cell r="G657">
            <v>0</v>
          </cell>
          <cell r="H657">
            <v>1</v>
          </cell>
          <cell r="I657">
            <v>1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1</v>
          </cell>
          <cell r="O657">
            <v>0</v>
          </cell>
          <cell r="P657" t="str">
            <v>AUGUST 27, 2019</v>
          </cell>
          <cell r="Q657">
            <v>1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1</v>
          </cell>
          <cell r="W657">
            <v>3</v>
          </cell>
          <cell r="X657">
            <v>3</v>
          </cell>
          <cell r="Y657">
            <v>3</v>
          </cell>
        </row>
        <row r="658">
          <cell r="D658">
            <v>500091</v>
          </cell>
          <cell r="E658" t="str">
            <v>Cebu Integrated School</v>
          </cell>
          <cell r="F658">
            <v>1</v>
          </cell>
          <cell r="G658">
            <v>1</v>
          </cell>
          <cell r="H658">
            <v>1</v>
          </cell>
          <cell r="I658">
            <v>0</v>
          </cell>
          <cell r="J658">
            <v>0</v>
          </cell>
          <cell r="K658">
            <v>1</v>
          </cell>
          <cell r="L658">
            <v>0</v>
          </cell>
          <cell r="M658">
            <v>0</v>
          </cell>
          <cell r="N658">
            <v>1</v>
          </cell>
          <cell r="O658">
            <v>0</v>
          </cell>
          <cell r="P658">
            <v>0</v>
          </cell>
          <cell r="Q658">
            <v>1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1</v>
          </cell>
          <cell r="W658">
            <v>3</v>
          </cell>
          <cell r="X658">
            <v>1</v>
          </cell>
          <cell r="Y658">
            <v>1</v>
          </cell>
        </row>
        <row r="659">
          <cell r="D659">
            <v>500076</v>
          </cell>
          <cell r="E659" t="str">
            <v>Turod Integrated School</v>
          </cell>
          <cell r="F659">
            <v>0</v>
          </cell>
          <cell r="G659">
            <v>0</v>
          </cell>
          <cell r="H659">
            <v>1</v>
          </cell>
          <cell r="I659">
            <v>0</v>
          </cell>
          <cell r="J659">
            <v>0</v>
          </cell>
          <cell r="K659">
            <v>1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1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</row>
        <row r="660">
          <cell r="D660">
            <v>500023</v>
          </cell>
          <cell r="E660" t="str">
            <v>Sto. Niño Integrated School</v>
          </cell>
          <cell r="F660">
            <v>1</v>
          </cell>
          <cell r="G660">
            <v>1</v>
          </cell>
          <cell r="H660">
            <v>1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1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</row>
        <row r="661">
          <cell r="D661">
            <v>300512</v>
          </cell>
          <cell r="E661" t="str">
            <v>Callang National High School - Main</v>
          </cell>
          <cell r="F661">
            <v>1</v>
          </cell>
          <cell r="G661">
            <v>0</v>
          </cell>
          <cell r="H661">
            <v>1</v>
          </cell>
          <cell r="I661">
            <v>0</v>
          </cell>
          <cell r="J661">
            <v>1</v>
          </cell>
          <cell r="K661">
            <v>0</v>
          </cell>
          <cell r="L661">
            <v>0</v>
          </cell>
          <cell r="M661">
            <v>0</v>
          </cell>
          <cell r="N661">
            <v>1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</row>
        <row r="662">
          <cell r="D662">
            <v>300526</v>
          </cell>
          <cell r="E662" t="str">
            <v>Dinapigue National High School</v>
          </cell>
          <cell r="F662">
            <v>0</v>
          </cell>
          <cell r="G662">
            <v>0</v>
          </cell>
          <cell r="H662">
            <v>1</v>
          </cell>
          <cell r="I662">
            <v>0</v>
          </cell>
          <cell r="J662">
            <v>1</v>
          </cell>
          <cell r="K662">
            <v>0</v>
          </cell>
          <cell r="L662">
            <v>0</v>
          </cell>
          <cell r="M662">
            <v>0</v>
          </cell>
          <cell r="N662">
            <v>1</v>
          </cell>
          <cell r="O662" t="str">
            <v>JUNE 07, 2019</v>
          </cell>
          <cell r="P662" t="str">
            <v>JUNE 07, 2019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1</v>
          </cell>
          <cell r="W662">
            <v>14</v>
          </cell>
          <cell r="X662">
            <v>12</v>
          </cell>
          <cell r="Y662">
            <v>0</v>
          </cell>
        </row>
        <row r="663">
          <cell r="D663">
            <v>300551</v>
          </cell>
          <cell r="E663" t="str">
            <v>Lanna National High School</v>
          </cell>
          <cell r="F663">
            <v>1</v>
          </cell>
          <cell r="G663">
            <v>1</v>
          </cell>
          <cell r="H663">
            <v>1</v>
          </cell>
          <cell r="I663">
            <v>0</v>
          </cell>
          <cell r="J663">
            <v>1</v>
          </cell>
          <cell r="K663">
            <v>0</v>
          </cell>
          <cell r="L663">
            <v>0</v>
          </cell>
          <cell r="M663">
            <v>0</v>
          </cell>
          <cell r="N663">
            <v>1</v>
          </cell>
          <cell r="O663">
            <v>0</v>
          </cell>
          <cell r="P663">
            <v>0</v>
          </cell>
          <cell r="Q663">
            <v>0</v>
          </cell>
          <cell r="R663">
            <v>1</v>
          </cell>
          <cell r="S663">
            <v>0</v>
          </cell>
          <cell r="T663">
            <v>0</v>
          </cell>
          <cell r="U663">
            <v>0</v>
          </cell>
          <cell r="V663">
            <v>1</v>
          </cell>
          <cell r="W663">
            <v>0</v>
          </cell>
          <cell r="X663">
            <v>0</v>
          </cell>
          <cell r="Y663">
            <v>0</v>
          </cell>
        </row>
        <row r="664">
          <cell r="D664">
            <v>500082</v>
          </cell>
          <cell r="E664" t="str">
            <v>Sto. Domingo Integrated School</v>
          </cell>
          <cell r="F664">
            <v>1</v>
          </cell>
          <cell r="G664">
            <v>1</v>
          </cell>
          <cell r="H664">
            <v>0</v>
          </cell>
          <cell r="I664">
            <v>0</v>
          </cell>
          <cell r="J664">
            <v>1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 t="str">
            <v>August 17, 2018</v>
          </cell>
          <cell r="P664" t="str">
            <v>August 17, 2018</v>
          </cell>
          <cell r="Q664">
            <v>0</v>
          </cell>
          <cell r="R664">
            <v>1</v>
          </cell>
          <cell r="S664">
            <v>0</v>
          </cell>
          <cell r="T664">
            <v>0</v>
          </cell>
          <cell r="U664">
            <v>0</v>
          </cell>
          <cell r="V664">
            <v>1</v>
          </cell>
          <cell r="W664">
            <v>0</v>
          </cell>
          <cell r="X664">
            <v>0</v>
          </cell>
          <cell r="Y664">
            <v>0</v>
          </cell>
        </row>
        <row r="665">
          <cell r="D665">
            <v>300506</v>
          </cell>
          <cell r="E665" t="str">
            <v>Cadaloria High School</v>
          </cell>
          <cell r="F665">
            <v>1</v>
          </cell>
          <cell r="G665">
            <v>1</v>
          </cell>
          <cell r="H665">
            <v>1</v>
          </cell>
          <cell r="I665">
            <v>0</v>
          </cell>
          <cell r="J665">
            <v>1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1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1</v>
          </cell>
          <cell r="W665">
            <v>2</v>
          </cell>
          <cell r="X665">
            <v>1</v>
          </cell>
          <cell r="Y665">
            <v>0</v>
          </cell>
        </row>
        <row r="666">
          <cell r="D666">
            <v>500092</v>
          </cell>
          <cell r="E666" t="str">
            <v>San Miguel Integrated School</v>
          </cell>
          <cell r="F666">
            <v>1</v>
          </cell>
          <cell r="G666">
            <v>1</v>
          </cell>
          <cell r="H666">
            <v>1</v>
          </cell>
          <cell r="I666">
            <v>0</v>
          </cell>
          <cell r="J666">
            <v>1</v>
          </cell>
          <cell r="K666">
            <v>0</v>
          </cell>
          <cell r="L666">
            <v>1</v>
          </cell>
          <cell r="M666" t="str">
            <v>as the need arises</v>
          </cell>
          <cell r="N666">
            <v>1</v>
          </cell>
          <cell r="O666">
            <v>43722</v>
          </cell>
          <cell r="P666">
            <v>43722</v>
          </cell>
          <cell r="Q666">
            <v>0</v>
          </cell>
          <cell r="R666">
            <v>1</v>
          </cell>
          <cell r="S666">
            <v>0</v>
          </cell>
          <cell r="T666">
            <v>1</v>
          </cell>
          <cell r="U666" t="str">
            <v>as the need arises</v>
          </cell>
          <cell r="V666">
            <v>1</v>
          </cell>
          <cell r="W666">
            <v>0</v>
          </cell>
          <cell r="X666">
            <v>0</v>
          </cell>
          <cell r="Y666">
            <v>0</v>
          </cell>
        </row>
        <row r="667">
          <cell r="D667">
            <v>300514</v>
          </cell>
          <cell r="E667" t="str">
            <v>Sandiat National High School</v>
          </cell>
          <cell r="F667">
            <v>1</v>
          </cell>
          <cell r="G667">
            <v>1</v>
          </cell>
          <cell r="H667">
            <v>1</v>
          </cell>
          <cell r="I667">
            <v>0</v>
          </cell>
          <cell r="J667">
            <v>1</v>
          </cell>
          <cell r="K667">
            <v>0</v>
          </cell>
          <cell r="L667">
            <v>0</v>
          </cell>
          <cell r="M667">
            <v>0</v>
          </cell>
          <cell r="N667">
            <v>1</v>
          </cell>
          <cell r="O667">
            <v>0</v>
          </cell>
          <cell r="P667">
            <v>0</v>
          </cell>
          <cell r="Q667">
            <v>0</v>
          </cell>
          <cell r="R667">
            <v>1</v>
          </cell>
          <cell r="S667">
            <v>0</v>
          </cell>
          <cell r="T667">
            <v>0</v>
          </cell>
          <cell r="U667">
            <v>0</v>
          </cell>
          <cell r="V667">
            <v>1</v>
          </cell>
          <cell r="W667">
            <v>0</v>
          </cell>
          <cell r="X667">
            <v>0</v>
          </cell>
          <cell r="Y667">
            <v>0</v>
          </cell>
        </row>
        <row r="668">
          <cell r="D668">
            <v>501202</v>
          </cell>
          <cell r="E668" t="str">
            <v>Cabaruan Integrated School</v>
          </cell>
          <cell r="F668">
            <v>1</v>
          </cell>
          <cell r="G668">
            <v>1</v>
          </cell>
          <cell r="H668">
            <v>1</v>
          </cell>
          <cell r="I668">
            <v>1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1</v>
          </cell>
          <cell r="O668">
            <v>43678</v>
          </cell>
          <cell r="P668">
            <v>43678</v>
          </cell>
          <cell r="Q668">
            <v>1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1</v>
          </cell>
          <cell r="W668">
            <v>2</v>
          </cell>
          <cell r="X668">
            <v>2</v>
          </cell>
          <cell r="Y668">
            <v>1</v>
          </cell>
        </row>
        <row r="669">
          <cell r="D669">
            <v>300595</v>
          </cell>
          <cell r="E669" t="str">
            <v>Ueg National High School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 t="str">
            <v>06/01/2020</v>
          </cell>
          <cell r="P669" t="str">
            <v>06/01/2020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</row>
        <row r="670">
          <cell r="D670">
            <v>300575</v>
          </cell>
          <cell r="E670" t="str">
            <v>Reina Mercedes Vocational and Industrial School</v>
          </cell>
          <cell r="F670">
            <v>1</v>
          </cell>
          <cell r="G670">
            <v>0</v>
          </cell>
          <cell r="H670">
            <v>1</v>
          </cell>
          <cell r="I670">
            <v>0</v>
          </cell>
          <cell r="J670">
            <v>1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</row>
        <row r="671">
          <cell r="D671">
            <v>306135</v>
          </cell>
          <cell r="E671" t="str">
            <v>Matusalem National High School</v>
          </cell>
          <cell r="F671">
            <v>1</v>
          </cell>
          <cell r="G671">
            <v>1</v>
          </cell>
          <cell r="H671">
            <v>1</v>
          </cell>
          <cell r="I671">
            <v>0</v>
          </cell>
          <cell r="J671">
            <v>1</v>
          </cell>
          <cell r="K671">
            <v>0</v>
          </cell>
          <cell r="L671">
            <v>0</v>
          </cell>
          <cell r="M671">
            <v>0</v>
          </cell>
          <cell r="N671">
            <v>1</v>
          </cell>
          <cell r="O671">
            <v>43722</v>
          </cell>
          <cell r="P671">
            <v>43725</v>
          </cell>
          <cell r="Q671">
            <v>0</v>
          </cell>
          <cell r="R671">
            <v>1</v>
          </cell>
          <cell r="S671">
            <v>0</v>
          </cell>
          <cell r="T671">
            <v>0</v>
          </cell>
          <cell r="U671">
            <v>0</v>
          </cell>
          <cell r="V671">
            <v>1</v>
          </cell>
          <cell r="W671">
            <v>4</v>
          </cell>
          <cell r="X671">
            <v>1</v>
          </cell>
          <cell r="Y671">
            <v>1</v>
          </cell>
        </row>
        <row r="672">
          <cell r="D672">
            <v>306114</v>
          </cell>
          <cell r="E672" t="str">
            <v>La Paz National High School</v>
          </cell>
          <cell r="F672">
            <v>0</v>
          </cell>
          <cell r="G672">
            <v>0</v>
          </cell>
          <cell r="H672">
            <v>1</v>
          </cell>
          <cell r="I672">
            <v>0</v>
          </cell>
          <cell r="J672">
            <v>1</v>
          </cell>
          <cell r="K672">
            <v>0</v>
          </cell>
          <cell r="L672">
            <v>0</v>
          </cell>
          <cell r="M672">
            <v>0</v>
          </cell>
          <cell r="N672">
            <v>1</v>
          </cell>
          <cell r="O672">
            <v>43678</v>
          </cell>
          <cell r="P672">
            <v>43678</v>
          </cell>
          <cell r="Q672">
            <v>0</v>
          </cell>
          <cell r="R672">
            <v>1</v>
          </cell>
          <cell r="S672">
            <v>0</v>
          </cell>
          <cell r="T672">
            <v>0</v>
          </cell>
          <cell r="U672">
            <v>0</v>
          </cell>
          <cell r="V672">
            <v>1</v>
          </cell>
          <cell r="W672">
            <v>3</v>
          </cell>
          <cell r="X672">
            <v>1</v>
          </cell>
          <cell r="Y672">
            <v>1</v>
          </cell>
        </row>
        <row r="673">
          <cell r="D673">
            <v>300521</v>
          </cell>
          <cell r="E673" t="str">
            <v>Alfreda Albano National High School - Magassi, Cabagan</v>
          </cell>
          <cell r="F673">
            <v>1</v>
          </cell>
          <cell r="G673">
            <v>1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</row>
        <row r="674">
          <cell r="D674">
            <v>306143</v>
          </cell>
          <cell r="E674" t="str">
            <v>Cagasat HS-Magsaysay Annex</v>
          </cell>
          <cell r="F674">
            <v>1</v>
          </cell>
          <cell r="G674">
            <v>1</v>
          </cell>
          <cell r="H674">
            <v>1</v>
          </cell>
          <cell r="I674">
            <v>1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1</v>
          </cell>
          <cell r="O674" t="str">
            <v>10/29/2019</v>
          </cell>
          <cell r="P674">
            <v>43564</v>
          </cell>
          <cell r="Q674">
            <v>0</v>
          </cell>
          <cell r="R674">
            <v>1</v>
          </cell>
          <cell r="S674">
            <v>0</v>
          </cell>
          <cell r="T674">
            <v>0</v>
          </cell>
          <cell r="U674">
            <v>0</v>
          </cell>
          <cell r="V674">
            <v>1</v>
          </cell>
          <cell r="W674">
            <v>0</v>
          </cell>
          <cell r="X674">
            <v>0</v>
          </cell>
          <cell r="Y674">
            <v>0</v>
          </cell>
        </row>
        <row r="675">
          <cell r="D675">
            <v>500022</v>
          </cell>
          <cell r="E675" t="str">
            <v>Rizal Integrated School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</row>
        <row r="676">
          <cell r="D676">
            <v>300605</v>
          </cell>
          <cell r="E676" t="str">
            <v>Buenaventura G. Masigan National High School</v>
          </cell>
          <cell r="F676">
            <v>1</v>
          </cell>
          <cell r="G676">
            <v>1</v>
          </cell>
          <cell r="H676">
            <v>1</v>
          </cell>
          <cell r="I676">
            <v>1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1</v>
          </cell>
          <cell r="O676" t="str">
            <v>OCTOBER 28,2019</v>
          </cell>
          <cell r="P676" t="str">
            <v>OCTOBER</v>
          </cell>
          <cell r="Q676">
            <v>1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1</v>
          </cell>
          <cell r="W676">
            <v>0</v>
          </cell>
          <cell r="X676">
            <v>0</v>
          </cell>
          <cell r="Y676">
            <v>0</v>
          </cell>
        </row>
        <row r="677">
          <cell r="D677">
            <v>300585</v>
          </cell>
          <cell r="E677" t="str">
            <v>San Antonio National High School</v>
          </cell>
          <cell r="F677">
            <v>1</v>
          </cell>
          <cell r="G677">
            <v>1</v>
          </cell>
          <cell r="H677">
            <v>0</v>
          </cell>
          <cell r="I677">
            <v>0</v>
          </cell>
          <cell r="J677">
            <v>0</v>
          </cell>
          <cell r="K677">
            <v>1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1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</row>
        <row r="678">
          <cell r="D678">
            <v>300603</v>
          </cell>
          <cell r="E678" t="str">
            <v>Santa Maria High School</v>
          </cell>
          <cell r="F678">
            <v>1</v>
          </cell>
          <cell r="G678">
            <v>1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</row>
        <row r="679">
          <cell r="D679">
            <v>300555</v>
          </cell>
          <cell r="E679" t="str">
            <v>Jones Rural School - Main</v>
          </cell>
          <cell r="F679">
            <v>1</v>
          </cell>
          <cell r="G679">
            <v>1</v>
          </cell>
          <cell r="H679">
            <v>1</v>
          </cell>
          <cell r="I679">
            <v>0</v>
          </cell>
          <cell r="J679">
            <v>1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1</v>
          </cell>
          <cell r="T679">
            <v>0</v>
          </cell>
          <cell r="U679">
            <v>0</v>
          </cell>
          <cell r="V679">
            <v>1</v>
          </cell>
          <cell r="W679">
            <v>0</v>
          </cell>
          <cell r="X679">
            <v>0</v>
          </cell>
          <cell r="Y679">
            <v>0</v>
          </cell>
        </row>
        <row r="680">
          <cell r="D680">
            <v>300558</v>
          </cell>
          <cell r="E680" t="str">
            <v>Luna National High School</v>
          </cell>
          <cell r="F680">
            <v>1</v>
          </cell>
          <cell r="G680">
            <v>1</v>
          </cell>
          <cell r="H680">
            <v>1</v>
          </cell>
          <cell r="I680">
            <v>0</v>
          </cell>
          <cell r="J680">
            <v>1</v>
          </cell>
          <cell r="K680">
            <v>0</v>
          </cell>
          <cell r="L680">
            <v>0</v>
          </cell>
          <cell r="M680">
            <v>0</v>
          </cell>
          <cell r="N680">
            <v>1</v>
          </cell>
          <cell r="O680">
            <v>43665</v>
          </cell>
          <cell r="P680">
            <v>43755</v>
          </cell>
          <cell r="Q680">
            <v>0</v>
          </cell>
          <cell r="R680">
            <v>1</v>
          </cell>
          <cell r="S680">
            <v>0</v>
          </cell>
          <cell r="T680">
            <v>0</v>
          </cell>
          <cell r="U680">
            <v>0</v>
          </cell>
          <cell r="V680">
            <v>1</v>
          </cell>
          <cell r="W680">
            <v>5</v>
          </cell>
          <cell r="X680">
            <v>5</v>
          </cell>
          <cell r="Y680">
            <v>5</v>
          </cell>
        </row>
        <row r="681">
          <cell r="D681">
            <v>300498</v>
          </cell>
          <cell r="E681" t="str">
            <v>Addalam Region HS - Main</v>
          </cell>
          <cell r="F681">
            <v>1</v>
          </cell>
          <cell r="G681">
            <v>1</v>
          </cell>
          <cell r="H681">
            <v>1</v>
          </cell>
          <cell r="I681">
            <v>0</v>
          </cell>
          <cell r="J681">
            <v>1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0</v>
          </cell>
          <cell r="V681">
            <v>1</v>
          </cell>
          <cell r="W681">
            <v>0</v>
          </cell>
          <cell r="X681">
            <v>0</v>
          </cell>
          <cell r="Y681">
            <v>0</v>
          </cell>
        </row>
        <row r="682">
          <cell r="D682">
            <v>500073</v>
          </cell>
          <cell r="E682" t="str">
            <v>Wigan Integrated School</v>
          </cell>
          <cell r="F682">
            <v>1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2</v>
          </cell>
          <cell r="X682">
            <v>0</v>
          </cell>
          <cell r="Y682">
            <v>0</v>
          </cell>
        </row>
        <row r="683">
          <cell r="D683">
            <v>300499</v>
          </cell>
          <cell r="E683" t="str">
            <v>Alicia Vocational School</v>
          </cell>
          <cell r="F683">
            <v>1</v>
          </cell>
          <cell r="G683">
            <v>0</v>
          </cell>
          <cell r="H683">
            <v>1</v>
          </cell>
          <cell r="I683">
            <v>0</v>
          </cell>
          <cell r="J683">
            <v>1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1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1</v>
          </cell>
          <cell r="X683">
            <v>0</v>
          </cell>
          <cell r="Y683">
            <v>0</v>
          </cell>
        </row>
        <row r="684">
          <cell r="D684">
            <v>300581</v>
          </cell>
          <cell r="E684" t="str">
            <v>Salinungan National High School</v>
          </cell>
          <cell r="F684">
            <v>0</v>
          </cell>
          <cell r="G684">
            <v>0</v>
          </cell>
          <cell r="H684">
            <v>1</v>
          </cell>
          <cell r="I684">
            <v>0</v>
          </cell>
          <cell r="J684">
            <v>1</v>
          </cell>
          <cell r="K684">
            <v>0</v>
          </cell>
          <cell r="L684">
            <v>0</v>
          </cell>
          <cell r="M684">
            <v>0</v>
          </cell>
          <cell r="N684">
            <v>1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</row>
        <row r="685">
          <cell r="D685">
            <v>500068</v>
          </cell>
          <cell r="E685" t="str">
            <v>Villa Cacho Integrated School</v>
          </cell>
          <cell r="F685">
            <v>0</v>
          </cell>
          <cell r="G685">
            <v>1</v>
          </cell>
          <cell r="H685">
            <v>1</v>
          </cell>
          <cell r="I685">
            <v>0</v>
          </cell>
          <cell r="J685">
            <v>1</v>
          </cell>
          <cell r="K685">
            <v>0</v>
          </cell>
          <cell r="L685">
            <v>0</v>
          </cell>
          <cell r="M685">
            <v>0</v>
          </cell>
          <cell r="N685">
            <v>1</v>
          </cell>
          <cell r="O685" t="str">
            <v>08/17/2019</v>
          </cell>
          <cell r="P685" t="str">
            <v>08/17/2019</v>
          </cell>
          <cell r="Q685">
            <v>0</v>
          </cell>
          <cell r="R685">
            <v>1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</row>
        <row r="686">
          <cell r="D686">
            <v>300572</v>
          </cell>
          <cell r="E686" t="str">
            <v>General Emilio Aguinaldo National High School</v>
          </cell>
          <cell r="F686">
            <v>1</v>
          </cell>
          <cell r="G686">
            <v>1</v>
          </cell>
          <cell r="H686">
            <v>1</v>
          </cell>
          <cell r="I686">
            <v>0</v>
          </cell>
          <cell r="J686">
            <v>1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1</v>
          </cell>
          <cell r="W686">
            <v>11</v>
          </cell>
          <cell r="X686">
            <v>0</v>
          </cell>
          <cell r="Y686">
            <v>0</v>
          </cell>
        </row>
        <row r="687">
          <cell r="D687">
            <v>300586</v>
          </cell>
          <cell r="E687" t="str">
            <v>Josefina Albano National High School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</row>
        <row r="688">
          <cell r="D688">
            <v>300547</v>
          </cell>
          <cell r="E688" t="str">
            <v>Antagan National High School</v>
          </cell>
          <cell r="F688">
            <v>0</v>
          </cell>
          <cell r="G688">
            <v>0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1</v>
          </cell>
          <cell r="M688" t="str">
            <v>irregular schedule</v>
          </cell>
          <cell r="N688">
            <v>1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1</v>
          </cell>
          <cell r="U688">
            <v>0</v>
          </cell>
          <cell r="V688">
            <v>1</v>
          </cell>
          <cell r="W688">
            <v>0</v>
          </cell>
          <cell r="X688">
            <v>0</v>
          </cell>
          <cell r="Y688">
            <v>0</v>
          </cell>
        </row>
        <row r="689">
          <cell r="D689">
            <v>306109</v>
          </cell>
          <cell r="E689" t="str">
            <v>Fermeldy National High School</v>
          </cell>
          <cell r="F689">
            <v>1</v>
          </cell>
          <cell r="G689">
            <v>1</v>
          </cell>
          <cell r="H689">
            <v>1</v>
          </cell>
          <cell r="I689">
            <v>0</v>
          </cell>
          <cell r="J689">
            <v>0</v>
          </cell>
          <cell r="K689">
            <v>1</v>
          </cell>
          <cell r="L689">
            <v>0</v>
          </cell>
          <cell r="M689">
            <v>0</v>
          </cell>
          <cell r="N689">
            <v>1</v>
          </cell>
          <cell r="O689" t="str">
            <v>September 13,2019</v>
          </cell>
          <cell r="P689" t="str">
            <v>March 22,2019</v>
          </cell>
          <cell r="Q689">
            <v>0</v>
          </cell>
          <cell r="R689">
            <v>0</v>
          </cell>
          <cell r="S689">
            <v>1</v>
          </cell>
          <cell r="T689">
            <v>0</v>
          </cell>
          <cell r="U689">
            <v>0</v>
          </cell>
          <cell r="V689">
            <v>1</v>
          </cell>
          <cell r="W689">
            <v>0</v>
          </cell>
          <cell r="X689">
            <v>0</v>
          </cell>
          <cell r="Y689">
            <v>0</v>
          </cell>
        </row>
        <row r="690">
          <cell r="D690">
            <v>300569</v>
          </cell>
          <cell r="E690" t="str">
            <v>Quirino National High School</v>
          </cell>
          <cell r="F690">
            <v>0</v>
          </cell>
          <cell r="G690">
            <v>0</v>
          </cell>
          <cell r="H690">
            <v>1</v>
          </cell>
          <cell r="I690">
            <v>0</v>
          </cell>
          <cell r="J690">
            <v>0</v>
          </cell>
          <cell r="K690">
            <v>1</v>
          </cell>
          <cell r="L690">
            <v>1</v>
          </cell>
          <cell r="M690" t="str">
            <v>as needed</v>
          </cell>
          <cell r="N690">
            <v>1</v>
          </cell>
          <cell r="O690" t="str">
            <v>08/17/2019</v>
          </cell>
          <cell r="P690">
            <v>43744</v>
          </cell>
          <cell r="Q690">
            <v>0</v>
          </cell>
          <cell r="R690">
            <v>0</v>
          </cell>
          <cell r="S690">
            <v>1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</row>
        <row r="691">
          <cell r="D691">
            <v>300554</v>
          </cell>
          <cell r="E691" t="str">
            <v>Isabela School of Fisheries</v>
          </cell>
          <cell r="F691">
            <v>0</v>
          </cell>
          <cell r="G691">
            <v>0</v>
          </cell>
          <cell r="H691">
            <v>1</v>
          </cell>
          <cell r="I691">
            <v>0</v>
          </cell>
          <cell r="J691">
            <v>1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 t="str">
            <v>July 27, 2019</v>
          </cell>
          <cell r="P691" t="str">
            <v>October 28, 2019</v>
          </cell>
          <cell r="Q691">
            <v>1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1</v>
          </cell>
          <cell r="W691">
            <v>0</v>
          </cell>
          <cell r="X691">
            <v>0</v>
          </cell>
          <cell r="Y691">
            <v>0</v>
          </cell>
        </row>
        <row r="692">
          <cell r="D692">
            <v>300579</v>
          </cell>
          <cell r="E692" t="str">
            <v>Roxas National High School</v>
          </cell>
          <cell r="F692">
            <v>1</v>
          </cell>
          <cell r="G692">
            <v>1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</row>
        <row r="693">
          <cell r="D693">
            <v>500070</v>
          </cell>
          <cell r="E693" t="str">
            <v>San Jose Integrated School</v>
          </cell>
          <cell r="F693">
            <v>1</v>
          </cell>
          <cell r="G693">
            <v>0</v>
          </cell>
          <cell r="H693">
            <v>1</v>
          </cell>
          <cell r="I693">
            <v>0</v>
          </cell>
          <cell r="J693">
            <v>1</v>
          </cell>
          <cell r="K693">
            <v>0</v>
          </cell>
          <cell r="L693">
            <v>0</v>
          </cell>
          <cell r="M693">
            <v>0</v>
          </cell>
          <cell r="N693">
            <v>1</v>
          </cell>
          <cell r="O693">
            <v>0</v>
          </cell>
          <cell r="P693">
            <v>0</v>
          </cell>
          <cell r="Q693">
            <v>0</v>
          </cell>
          <cell r="R693">
            <v>1</v>
          </cell>
          <cell r="S693">
            <v>0</v>
          </cell>
          <cell r="T693">
            <v>0</v>
          </cell>
          <cell r="U693">
            <v>0</v>
          </cell>
          <cell r="V693">
            <v>1</v>
          </cell>
          <cell r="W693">
            <v>0</v>
          </cell>
          <cell r="X693">
            <v>0</v>
          </cell>
          <cell r="Y693">
            <v>0</v>
          </cell>
        </row>
        <row r="694">
          <cell r="D694">
            <v>500014</v>
          </cell>
          <cell r="E694" t="str">
            <v>Del Pilar Integrated School</v>
          </cell>
          <cell r="F694">
            <v>1</v>
          </cell>
          <cell r="G694">
            <v>0</v>
          </cell>
          <cell r="H694">
            <v>1</v>
          </cell>
          <cell r="I694">
            <v>0</v>
          </cell>
          <cell r="J694">
            <v>1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</row>
        <row r="695">
          <cell r="D695">
            <v>300612</v>
          </cell>
          <cell r="E695" t="str">
            <v>Echague National High School</v>
          </cell>
          <cell r="F695">
            <v>1</v>
          </cell>
          <cell r="G695">
            <v>1</v>
          </cell>
          <cell r="H695">
            <v>1</v>
          </cell>
          <cell r="I695">
            <v>1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1</v>
          </cell>
          <cell r="O695">
            <v>0</v>
          </cell>
          <cell r="P695">
            <v>0</v>
          </cell>
          <cell r="Q695">
            <v>1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</row>
        <row r="696">
          <cell r="D696">
            <v>300609</v>
          </cell>
          <cell r="E696" t="str">
            <v>Tumauini National High School</v>
          </cell>
          <cell r="F696">
            <v>1</v>
          </cell>
          <cell r="G696">
            <v>1</v>
          </cell>
          <cell r="H696">
            <v>1</v>
          </cell>
          <cell r="I696">
            <v>0</v>
          </cell>
          <cell r="J696">
            <v>1</v>
          </cell>
          <cell r="K696">
            <v>0</v>
          </cell>
          <cell r="L696">
            <v>0</v>
          </cell>
          <cell r="M696">
            <v>0</v>
          </cell>
          <cell r="N696">
            <v>1</v>
          </cell>
          <cell r="O696">
            <v>0</v>
          </cell>
          <cell r="P696">
            <v>43667</v>
          </cell>
          <cell r="Q696">
            <v>1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1</v>
          </cell>
          <cell r="W696">
            <v>5</v>
          </cell>
          <cell r="X696">
            <v>5</v>
          </cell>
          <cell r="Y696">
            <v>0</v>
          </cell>
        </row>
        <row r="697">
          <cell r="D697">
            <v>300560</v>
          </cell>
          <cell r="E697" t="str">
            <v>Maconacon National High School</v>
          </cell>
          <cell r="F697">
            <v>1</v>
          </cell>
          <cell r="G697">
            <v>0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L697">
            <v>1</v>
          </cell>
          <cell r="M697" t="str">
            <v>SELDOM</v>
          </cell>
          <cell r="N697">
            <v>1</v>
          </cell>
          <cell r="O697" t="str">
            <v>SEPTEMBER 18, 2015</v>
          </cell>
          <cell r="P697" t="str">
            <v>FEBRUARY 23,2018</v>
          </cell>
          <cell r="Q697">
            <v>0</v>
          </cell>
          <cell r="R697">
            <v>0</v>
          </cell>
          <cell r="S697">
            <v>0</v>
          </cell>
          <cell r="T697">
            <v>1</v>
          </cell>
          <cell r="U697">
            <v>0</v>
          </cell>
          <cell r="V697">
            <v>1</v>
          </cell>
          <cell r="W697">
            <v>3</v>
          </cell>
          <cell r="X697">
            <v>3</v>
          </cell>
          <cell r="Y697">
            <v>3</v>
          </cell>
        </row>
        <row r="698">
          <cell r="D698">
            <v>300522</v>
          </cell>
          <cell r="E698" t="str">
            <v>Delfin Albano High School - San Juan Annex</v>
          </cell>
          <cell r="F698">
            <v>1</v>
          </cell>
          <cell r="G698">
            <v>1</v>
          </cell>
          <cell r="H698">
            <v>1</v>
          </cell>
          <cell r="I698">
            <v>0</v>
          </cell>
          <cell r="J698">
            <v>1</v>
          </cell>
          <cell r="K698">
            <v>0</v>
          </cell>
          <cell r="L698">
            <v>0</v>
          </cell>
          <cell r="M698">
            <v>0</v>
          </cell>
          <cell r="N698">
            <v>1</v>
          </cell>
          <cell r="O698" t="str">
            <v>AUGUST 7, 2019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1</v>
          </cell>
          <cell r="U698" t="str">
            <v>DAILY</v>
          </cell>
          <cell r="V698">
            <v>1</v>
          </cell>
          <cell r="W698">
            <v>1</v>
          </cell>
          <cell r="X698">
            <v>1</v>
          </cell>
          <cell r="Y698">
            <v>1</v>
          </cell>
        </row>
        <row r="699">
          <cell r="D699">
            <v>300513</v>
          </cell>
          <cell r="E699" t="str">
            <v>Malalinta National High School</v>
          </cell>
          <cell r="F699">
            <v>0</v>
          </cell>
          <cell r="G699">
            <v>0</v>
          </cell>
          <cell r="H699">
            <v>1</v>
          </cell>
          <cell r="I699">
            <v>0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1</v>
          </cell>
          <cell r="O699">
            <v>0</v>
          </cell>
          <cell r="P699">
            <v>43678</v>
          </cell>
          <cell r="Q699">
            <v>1</v>
          </cell>
          <cell r="R699">
            <v>0</v>
          </cell>
          <cell r="S699">
            <v>0</v>
          </cell>
          <cell r="T699">
            <v>1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</row>
        <row r="700">
          <cell r="D700">
            <v>300606</v>
          </cell>
          <cell r="E700" t="str">
            <v>Santo Tomas National High School</v>
          </cell>
          <cell r="F700">
            <v>1</v>
          </cell>
          <cell r="G700">
            <v>1</v>
          </cell>
          <cell r="H700">
            <v>1</v>
          </cell>
          <cell r="I700">
            <v>0</v>
          </cell>
          <cell r="J700">
            <v>1</v>
          </cell>
          <cell r="K700">
            <v>0</v>
          </cell>
          <cell r="L700">
            <v>0</v>
          </cell>
          <cell r="M700">
            <v>0</v>
          </cell>
          <cell r="N700">
            <v>1</v>
          </cell>
          <cell r="O700">
            <v>0</v>
          </cell>
          <cell r="P700">
            <v>0</v>
          </cell>
          <cell r="Q700">
            <v>0</v>
          </cell>
          <cell r="R700">
            <v>1</v>
          </cell>
          <cell r="S700">
            <v>0</v>
          </cell>
          <cell r="T700">
            <v>0</v>
          </cell>
          <cell r="U700">
            <v>0</v>
          </cell>
          <cell r="V700">
            <v>1</v>
          </cell>
          <cell r="W700">
            <v>0</v>
          </cell>
          <cell r="X700">
            <v>0</v>
          </cell>
          <cell r="Y700">
            <v>0</v>
          </cell>
        </row>
        <row r="701">
          <cell r="D701">
            <v>300610</v>
          </cell>
          <cell r="E701" t="str">
            <v>Regional Science High School for Region II</v>
          </cell>
          <cell r="F701">
            <v>1</v>
          </cell>
          <cell r="G701">
            <v>1</v>
          </cell>
          <cell r="H701">
            <v>1</v>
          </cell>
          <cell r="I701">
            <v>0</v>
          </cell>
          <cell r="J701">
            <v>1</v>
          </cell>
          <cell r="K701">
            <v>0</v>
          </cell>
          <cell r="L701">
            <v>0</v>
          </cell>
          <cell r="M701">
            <v>0</v>
          </cell>
          <cell r="N701">
            <v>1</v>
          </cell>
          <cell r="O701">
            <v>0</v>
          </cell>
          <cell r="P701">
            <v>0</v>
          </cell>
          <cell r="Q701">
            <v>0</v>
          </cell>
          <cell r="R701">
            <v>1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</row>
        <row r="702">
          <cell r="D702">
            <v>300600</v>
          </cell>
          <cell r="E702" t="str">
            <v>Sgt. Prospero Bello HS - Main</v>
          </cell>
          <cell r="F702">
            <v>1</v>
          </cell>
          <cell r="G702">
            <v>1</v>
          </cell>
          <cell r="H702">
            <v>1</v>
          </cell>
          <cell r="I702">
            <v>0</v>
          </cell>
          <cell r="J702">
            <v>1</v>
          </cell>
          <cell r="K702">
            <v>0</v>
          </cell>
          <cell r="L702">
            <v>1</v>
          </cell>
          <cell r="M702">
            <v>0</v>
          </cell>
          <cell r="N702">
            <v>1</v>
          </cell>
          <cell r="O702">
            <v>0</v>
          </cell>
          <cell r="P702" t="str">
            <v>AUGUST 31, 2019</v>
          </cell>
          <cell r="Q702">
            <v>0</v>
          </cell>
          <cell r="R702">
            <v>1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</row>
        <row r="703">
          <cell r="D703">
            <v>500081</v>
          </cell>
          <cell r="E703" t="str">
            <v>San Sebastian Integrated School</v>
          </cell>
          <cell r="F703">
            <v>0</v>
          </cell>
          <cell r="G703">
            <v>0</v>
          </cell>
          <cell r="H703">
            <v>1</v>
          </cell>
          <cell r="I703">
            <v>0</v>
          </cell>
          <cell r="J703">
            <v>1</v>
          </cell>
          <cell r="K703">
            <v>0</v>
          </cell>
          <cell r="L703">
            <v>0</v>
          </cell>
          <cell r="M703">
            <v>0</v>
          </cell>
          <cell r="N703">
            <v>1</v>
          </cell>
          <cell r="O703" t="str">
            <v>November 08,2019</v>
          </cell>
          <cell r="P703" t="str">
            <v>November 04, 2019</v>
          </cell>
          <cell r="Q703">
            <v>0</v>
          </cell>
          <cell r="R703">
            <v>1</v>
          </cell>
          <cell r="S703">
            <v>0</v>
          </cell>
          <cell r="T703">
            <v>0</v>
          </cell>
          <cell r="U703">
            <v>0</v>
          </cell>
          <cell r="V703">
            <v>1</v>
          </cell>
          <cell r="W703">
            <v>0</v>
          </cell>
          <cell r="X703">
            <v>0</v>
          </cell>
          <cell r="Y703">
            <v>0</v>
          </cell>
        </row>
        <row r="704">
          <cell r="D704">
            <v>300503</v>
          </cell>
          <cell r="E704" t="str">
            <v>Benito Soliven National High School</v>
          </cell>
          <cell r="F704">
            <v>1</v>
          </cell>
          <cell r="G704">
            <v>1</v>
          </cell>
          <cell r="H704">
            <v>1</v>
          </cell>
          <cell r="I704">
            <v>1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1</v>
          </cell>
          <cell r="O704" t="str">
            <v>November 8, 2019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4</v>
          </cell>
          <cell r="X704">
            <v>4</v>
          </cell>
          <cell r="Y704">
            <v>4</v>
          </cell>
        </row>
        <row r="705">
          <cell r="D705">
            <v>306117</v>
          </cell>
          <cell r="E705" t="str">
            <v>San Mateo General Comprehensive High School</v>
          </cell>
          <cell r="F705">
            <v>1</v>
          </cell>
          <cell r="G705">
            <v>0</v>
          </cell>
          <cell r="H705">
            <v>1</v>
          </cell>
          <cell r="I705">
            <v>1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1</v>
          </cell>
          <cell r="O705">
            <v>43739</v>
          </cell>
          <cell r="P705">
            <v>0</v>
          </cell>
          <cell r="Q705">
            <v>1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1</v>
          </cell>
          <cell r="W705">
            <v>5</v>
          </cell>
          <cell r="X705">
            <v>0</v>
          </cell>
          <cell r="Y705">
            <v>0</v>
          </cell>
        </row>
        <row r="706">
          <cell r="D706">
            <v>300534</v>
          </cell>
          <cell r="E706" t="str">
            <v>Dorganda High School</v>
          </cell>
          <cell r="F706">
            <v>1</v>
          </cell>
          <cell r="G706">
            <v>0</v>
          </cell>
          <cell r="H706">
            <v>1</v>
          </cell>
          <cell r="I706">
            <v>0</v>
          </cell>
          <cell r="J706">
            <v>1</v>
          </cell>
          <cell r="K706">
            <v>0</v>
          </cell>
          <cell r="L706">
            <v>0</v>
          </cell>
          <cell r="M706">
            <v>0</v>
          </cell>
          <cell r="N706">
            <v>1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1</v>
          </cell>
          <cell r="T706">
            <v>0</v>
          </cell>
          <cell r="U706">
            <v>0</v>
          </cell>
          <cell r="V706">
            <v>0</v>
          </cell>
          <cell r="W706">
            <v>1</v>
          </cell>
          <cell r="X706">
            <v>0</v>
          </cell>
          <cell r="Y706">
            <v>0</v>
          </cell>
        </row>
        <row r="707">
          <cell r="D707">
            <v>300518</v>
          </cell>
          <cell r="E707" t="str">
            <v>Dabubu High School - Main</v>
          </cell>
          <cell r="F707">
            <v>1</v>
          </cell>
          <cell r="G707">
            <v>1</v>
          </cell>
          <cell r="H707">
            <v>1</v>
          </cell>
          <cell r="I707">
            <v>0</v>
          </cell>
          <cell r="J707">
            <v>0</v>
          </cell>
          <cell r="K707">
            <v>0</v>
          </cell>
          <cell r="L707">
            <v>1</v>
          </cell>
          <cell r="M707" t="str">
            <v>semester</v>
          </cell>
          <cell r="N707">
            <v>0</v>
          </cell>
          <cell r="O707" t="str">
            <v>n/a</v>
          </cell>
          <cell r="P707" t="str">
            <v>10/20/2019</v>
          </cell>
          <cell r="Q707">
            <v>1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1</v>
          </cell>
          <cell r="W707">
            <v>0</v>
          </cell>
          <cell r="X707">
            <v>0</v>
          </cell>
          <cell r="Y707">
            <v>0</v>
          </cell>
        </row>
        <row r="708">
          <cell r="D708">
            <v>300593</v>
          </cell>
          <cell r="E708" t="str">
            <v>Alibadabad National High School</v>
          </cell>
          <cell r="F708">
            <v>1</v>
          </cell>
          <cell r="G708">
            <v>0</v>
          </cell>
          <cell r="H708">
            <v>1</v>
          </cell>
          <cell r="I708">
            <v>0</v>
          </cell>
          <cell r="J708">
            <v>1</v>
          </cell>
          <cell r="K708">
            <v>0</v>
          </cell>
          <cell r="L708">
            <v>0</v>
          </cell>
          <cell r="M708">
            <v>0</v>
          </cell>
          <cell r="N708">
            <v>1</v>
          </cell>
          <cell r="O708">
            <v>43707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</row>
        <row r="709">
          <cell r="D709">
            <v>300604</v>
          </cell>
          <cell r="E709" t="str">
            <v>Naganacan-Villabuena National High School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</row>
        <row r="710">
          <cell r="D710">
            <v>306116</v>
          </cell>
          <cell r="E710" t="str">
            <v>Reina Mercedes National High School</v>
          </cell>
          <cell r="F710">
            <v>1</v>
          </cell>
          <cell r="G710">
            <v>0</v>
          </cell>
          <cell r="H710">
            <v>1</v>
          </cell>
          <cell r="I710">
            <v>1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1</v>
          </cell>
          <cell r="O710">
            <v>43766</v>
          </cell>
          <cell r="P710" t="str">
            <v>10/28/209</v>
          </cell>
          <cell r="Q710">
            <v>1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1</v>
          </cell>
          <cell r="W710">
            <v>2</v>
          </cell>
          <cell r="X710">
            <v>0</v>
          </cell>
          <cell r="Y710">
            <v>0</v>
          </cell>
        </row>
        <row r="711">
          <cell r="D711">
            <v>300571</v>
          </cell>
          <cell r="E711" t="str">
            <v>Ramon National High School</v>
          </cell>
          <cell r="F711">
            <v>1</v>
          </cell>
          <cell r="G711">
            <v>0</v>
          </cell>
          <cell r="H711">
            <v>1</v>
          </cell>
          <cell r="I711">
            <v>0</v>
          </cell>
          <cell r="J711">
            <v>1</v>
          </cell>
          <cell r="K711">
            <v>0</v>
          </cell>
          <cell r="L711">
            <v>0</v>
          </cell>
          <cell r="M711">
            <v>0</v>
          </cell>
          <cell r="N711">
            <v>1</v>
          </cell>
          <cell r="O711" t="str">
            <v>August 23, 2019</v>
          </cell>
          <cell r="P711" t="str">
            <v>October 15, 2019</v>
          </cell>
          <cell r="Q711">
            <v>0</v>
          </cell>
          <cell r="R711">
            <v>1</v>
          </cell>
          <cell r="S711">
            <v>0</v>
          </cell>
          <cell r="T711">
            <v>0</v>
          </cell>
          <cell r="U711">
            <v>0</v>
          </cell>
          <cell r="V711">
            <v>1</v>
          </cell>
          <cell r="W711">
            <v>0</v>
          </cell>
          <cell r="X711">
            <v>0</v>
          </cell>
          <cell r="Y711">
            <v>0</v>
          </cell>
        </row>
        <row r="712">
          <cell r="D712">
            <v>300597</v>
          </cell>
          <cell r="E712" t="str">
            <v>San Pablo National High School</v>
          </cell>
          <cell r="F712">
            <v>1</v>
          </cell>
          <cell r="G712">
            <v>1</v>
          </cell>
          <cell r="H712">
            <v>1</v>
          </cell>
          <cell r="I712">
            <v>0</v>
          </cell>
          <cell r="J712">
            <v>1</v>
          </cell>
          <cell r="K712">
            <v>0</v>
          </cell>
          <cell r="L712">
            <v>0</v>
          </cell>
          <cell r="M712">
            <v>0</v>
          </cell>
          <cell r="N712">
            <v>1</v>
          </cell>
          <cell r="O712" t="str">
            <v>03/21/2019</v>
          </cell>
          <cell r="P712" t="str">
            <v>03/21/2019</v>
          </cell>
          <cell r="Q712">
            <v>1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1</v>
          </cell>
          <cell r="W712">
            <v>0</v>
          </cell>
          <cell r="X712">
            <v>0</v>
          </cell>
          <cell r="Y712">
            <v>0</v>
          </cell>
        </row>
        <row r="713">
          <cell r="D713">
            <v>306166</v>
          </cell>
          <cell r="E713" t="str">
            <v>Mallig Plains National High School</v>
          </cell>
          <cell r="F713">
            <v>1</v>
          </cell>
          <cell r="G713">
            <v>1</v>
          </cell>
          <cell r="H713">
            <v>0</v>
          </cell>
          <cell r="I713">
            <v>0</v>
          </cell>
          <cell r="J713">
            <v>0</v>
          </cell>
          <cell r="K713">
            <v>1</v>
          </cell>
          <cell r="L713">
            <v>0</v>
          </cell>
          <cell r="M713">
            <v>0</v>
          </cell>
          <cell r="N713">
            <v>1</v>
          </cell>
          <cell r="O713">
            <v>43624</v>
          </cell>
          <cell r="P713">
            <v>43624</v>
          </cell>
          <cell r="Q713">
            <v>0</v>
          </cell>
          <cell r="R713">
            <v>0</v>
          </cell>
          <cell r="S713">
            <v>1</v>
          </cell>
          <cell r="T713">
            <v>0</v>
          </cell>
          <cell r="U713">
            <v>0</v>
          </cell>
          <cell r="V713">
            <v>1</v>
          </cell>
          <cell r="W713">
            <v>1</v>
          </cell>
          <cell r="X713">
            <v>1</v>
          </cell>
          <cell r="Y713">
            <v>1</v>
          </cell>
        </row>
        <row r="714">
          <cell r="D714">
            <v>300566</v>
          </cell>
          <cell r="E714" t="str">
            <v>Pangal Sur High School</v>
          </cell>
          <cell r="F714">
            <v>1</v>
          </cell>
          <cell r="G714">
            <v>0</v>
          </cell>
          <cell r="H714">
            <v>1</v>
          </cell>
          <cell r="I714">
            <v>0</v>
          </cell>
          <cell r="J714">
            <v>0</v>
          </cell>
          <cell r="K714">
            <v>1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1</v>
          </cell>
          <cell r="U714" t="str">
            <v>THRU BARANGAY OFFICIALS</v>
          </cell>
          <cell r="V714">
            <v>1</v>
          </cell>
          <cell r="W714">
            <v>0</v>
          </cell>
          <cell r="X714">
            <v>0</v>
          </cell>
          <cell r="Y714">
            <v>0</v>
          </cell>
        </row>
        <row r="715">
          <cell r="D715">
            <v>300563</v>
          </cell>
          <cell r="E715" t="str">
            <v>Naguillian National High School</v>
          </cell>
          <cell r="F715">
            <v>1</v>
          </cell>
          <cell r="G715">
            <v>1</v>
          </cell>
          <cell r="H715">
            <v>1</v>
          </cell>
          <cell r="I715">
            <v>0</v>
          </cell>
          <cell r="J715">
            <v>1</v>
          </cell>
          <cell r="K715">
            <v>0</v>
          </cell>
          <cell r="L715">
            <v>0</v>
          </cell>
          <cell r="M715">
            <v>0</v>
          </cell>
          <cell r="N715">
            <v>1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1</v>
          </cell>
          <cell r="T715">
            <v>1</v>
          </cell>
          <cell r="U715">
            <v>0</v>
          </cell>
          <cell r="V715">
            <v>1</v>
          </cell>
          <cell r="W715">
            <v>0</v>
          </cell>
          <cell r="X715">
            <v>0</v>
          </cell>
          <cell r="Y715">
            <v>0</v>
          </cell>
        </row>
        <row r="716">
          <cell r="D716">
            <v>300529</v>
          </cell>
          <cell r="E716" t="str">
            <v>Don Mariano Marcos National High School</v>
          </cell>
          <cell r="F716">
            <v>1</v>
          </cell>
          <cell r="G716">
            <v>1</v>
          </cell>
          <cell r="H716">
            <v>1</v>
          </cell>
          <cell r="I716">
            <v>0</v>
          </cell>
          <cell r="J716">
            <v>1</v>
          </cell>
          <cell r="K716">
            <v>0</v>
          </cell>
          <cell r="L716">
            <v>0</v>
          </cell>
          <cell r="M716">
            <v>0</v>
          </cell>
          <cell r="N716">
            <v>1</v>
          </cell>
          <cell r="O716">
            <v>43709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1</v>
          </cell>
          <cell r="W716">
            <v>0</v>
          </cell>
          <cell r="X716">
            <v>0</v>
          </cell>
          <cell r="Y716">
            <v>0</v>
          </cell>
        </row>
        <row r="717">
          <cell r="D717">
            <v>300565</v>
          </cell>
          <cell r="E717" t="str">
            <v>Palayan Region High School</v>
          </cell>
          <cell r="F717">
            <v>1</v>
          </cell>
          <cell r="G717">
            <v>1</v>
          </cell>
          <cell r="H717">
            <v>1</v>
          </cell>
          <cell r="I717">
            <v>0</v>
          </cell>
          <cell r="J717">
            <v>1</v>
          </cell>
          <cell r="K717">
            <v>0</v>
          </cell>
          <cell r="L717">
            <v>0</v>
          </cell>
          <cell r="M717">
            <v>0</v>
          </cell>
          <cell r="N717">
            <v>1</v>
          </cell>
          <cell r="O717">
            <v>0</v>
          </cell>
          <cell r="P717">
            <v>0</v>
          </cell>
          <cell r="Q717">
            <v>1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1</v>
          </cell>
          <cell r="W717">
            <v>0</v>
          </cell>
          <cell r="X717">
            <v>0</v>
          </cell>
          <cell r="Y717">
            <v>0</v>
          </cell>
        </row>
        <row r="718">
          <cell r="D718">
            <v>300539</v>
          </cell>
          <cell r="E718" t="str">
            <v>Highway Region National High School</v>
          </cell>
          <cell r="F718">
            <v>1</v>
          </cell>
          <cell r="G718">
            <v>1</v>
          </cell>
          <cell r="H718">
            <v>1</v>
          </cell>
          <cell r="I718">
            <v>0</v>
          </cell>
          <cell r="J718">
            <v>1</v>
          </cell>
          <cell r="K718">
            <v>0</v>
          </cell>
          <cell r="L718">
            <v>0</v>
          </cell>
          <cell r="M718">
            <v>0</v>
          </cell>
          <cell r="N718">
            <v>1</v>
          </cell>
          <cell r="O718">
            <v>43638</v>
          </cell>
          <cell r="P718">
            <v>43638</v>
          </cell>
          <cell r="Q718">
            <v>1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1</v>
          </cell>
          <cell r="W718">
            <v>3</v>
          </cell>
          <cell r="X718">
            <v>3</v>
          </cell>
          <cell r="Y718">
            <v>3</v>
          </cell>
        </row>
        <row r="719">
          <cell r="D719">
            <v>300568</v>
          </cell>
          <cell r="E719" t="str">
            <v>Quezon National High School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1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1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</row>
        <row r="720">
          <cell r="D720">
            <v>500086</v>
          </cell>
          <cell r="E720" t="str">
            <v>Dicamay Integrated School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</row>
        <row r="721">
          <cell r="D721">
            <v>500088</v>
          </cell>
          <cell r="E721" t="str">
            <v>Cumabao Integrated School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</row>
        <row r="722">
          <cell r="D722">
            <v>306137</v>
          </cell>
          <cell r="E722" t="str">
            <v>Daragutan East National High School</v>
          </cell>
          <cell r="F722">
            <v>0</v>
          </cell>
          <cell r="G722">
            <v>0</v>
          </cell>
          <cell r="H722">
            <v>1</v>
          </cell>
          <cell r="I722">
            <v>0</v>
          </cell>
          <cell r="J722">
            <v>1</v>
          </cell>
          <cell r="K722">
            <v>0</v>
          </cell>
          <cell r="L722">
            <v>0</v>
          </cell>
          <cell r="M722">
            <v>0</v>
          </cell>
          <cell r="N722">
            <v>1</v>
          </cell>
          <cell r="O722" t="str">
            <v>NOVEMBER, 2019</v>
          </cell>
          <cell r="P722" t="str">
            <v>NOVEMBER, 2019</v>
          </cell>
          <cell r="Q722">
            <v>1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1</v>
          </cell>
          <cell r="W722">
            <v>2</v>
          </cell>
          <cell r="X722">
            <v>0</v>
          </cell>
          <cell r="Y722">
            <v>0</v>
          </cell>
        </row>
        <row r="723">
          <cell r="D723">
            <v>300574</v>
          </cell>
          <cell r="E723" t="str">
            <v>Raniag HIgh School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</row>
        <row r="724">
          <cell r="D724">
            <v>300591</v>
          </cell>
          <cell r="E724" t="str">
            <v>San Isidro National High School</v>
          </cell>
          <cell r="F724">
            <v>0</v>
          </cell>
          <cell r="G724">
            <v>0</v>
          </cell>
          <cell r="H724">
            <v>1</v>
          </cell>
          <cell r="I724">
            <v>0</v>
          </cell>
          <cell r="J724">
            <v>0</v>
          </cell>
          <cell r="K724">
            <v>1</v>
          </cell>
          <cell r="L724">
            <v>1</v>
          </cell>
          <cell r="M724">
            <v>0</v>
          </cell>
          <cell r="N724">
            <v>1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1</v>
          </cell>
          <cell r="U724" t="str">
            <v>when recorded violation committed</v>
          </cell>
          <cell r="V724">
            <v>1</v>
          </cell>
          <cell r="W724">
            <v>2</v>
          </cell>
          <cell r="X724">
            <v>1</v>
          </cell>
          <cell r="Y724">
            <v>0</v>
          </cell>
        </row>
        <row r="725">
          <cell r="D725">
            <v>306132</v>
          </cell>
          <cell r="E725" t="str">
            <v>Simanu National High School</v>
          </cell>
          <cell r="F725">
            <v>1</v>
          </cell>
          <cell r="G725">
            <v>1</v>
          </cell>
          <cell r="H725">
            <v>1</v>
          </cell>
          <cell r="I725">
            <v>0</v>
          </cell>
          <cell r="J725">
            <v>1</v>
          </cell>
          <cell r="K725">
            <v>0</v>
          </cell>
          <cell r="L725">
            <v>0</v>
          </cell>
          <cell r="M725">
            <v>0</v>
          </cell>
          <cell r="N725">
            <v>1</v>
          </cell>
          <cell r="O725">
            <v>43715</v>
          </cell>
          <cell r="P725">
            <v>43756</v>
          </cell>
          <cell r="Q725">
            <v>1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1</v>
          </cell>
          <cell r="W725">
            <v>1</v>
          </cell>
          <cell r="X725">
            <v>1</v>
          </cell>
          <cell r="Y725">
            <v>1</v>
          </cell>
        </row>
        <row r="726">
          <cell r="D726">
            <v>300556</v>
          </cell>
          <cell r="E726" t="str">
            <v>Lalauanan National High School</v>
          </cell>
          <cell r="F726">
            <v>0</v>
          </cell>
          <cell r="G726">
            <v>0</v>
          </cell>
          <cell r="H726">
            <v>1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</row>
        <row r="727">
          <cell r="D727">
            <v>306112</v>
          </cell>
          <cell r="E727" t="str">
            <v>Barucboc National High School</v>
          </cell>
          <cell r="F727">
            <v>1</v>
          </cell>
          <cell r="G727">
            <v>1</v>
          </cell>
          <cell r="H727">
            <v>1</v>
          </cell>
          <cell r="I727">
            <v>0</v>
          </cell>
          <cell r="J727">
            <v>1</v>
          </cell>
          <cell r="K727">
            <v>0</v>
          </cell>
          <cell r="L727">
            <v>0</v>
          </cell>
          <cell r="M727">
            <v>0</v>
          </cell>
          <cell r="N727">
            <v>1</v>
          </cell>
          <cell r="O727">
            <v>0</v>
          </cell>
          <cell r="P727">
            <v>43707</v>
          </cell>
          <cell r="Q727">
            <v>0</v>
          </cell>
          <cell r="R727">
            <v>1</v>
          </cell>
          <cell r="S727">
            <v>0</v>
          </cell>
          <cell r="T727">
            <v>0</v>
          </cell>
          <cell r="U727">
            <v>0</v>
          </cell>
          <cell r="V727">
            <v>1</v>
          </cell>
          <cell r="W727">
            <v>1</v>
          </cell>
          <cell r="X727">
            <v>0</v>
          </cell>
          <cell r="Y727">
            <v>0</v>
          </cell>
        </row>
        <row r="728">
          <cell r="D728">
            <v>300590</v>
          </cell>
          <cell r="E728" t="str">
            <v>San Guillermo Vocational &amp; Industrial High School</v>
          </cell>
          <cell r="F728">
            <v>1</v>
          </cell>
          <cell r="G728">
            <v>1</v>
          </cell>
          <cell r="H728">
            <v>1</v>
          </cell>
          <cell r="I728">
            <v>0</v>
          </cell>
          <cell r="J728">
            <v>1</v>
          </cell>
          <cell r="K728">
            <v>0</v>
          </cell>
          <cell r="L728">
            <v>0</v>
          </cell>
          <cell r="M728">
            <v>0</v>
          </cell>
          <cell r="N728">
            <v>1</v>
          </cell>
          <cell r="O728">
            <v>0</v>
          </cell>
          <cell r="P728">
            <v>0</v>
          </cell>
          <cell r="Q728">
            <v>1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</row>
        <row r="729">
          <cell r="D729">
            <v>306101</v>
          </cell>
          <cell r="E729" t="str">
            <v>Calanigan National High School</v>
          </cell>
          <cell r="F729">
            <v>0</v>
          </cell>
          <cell r="G729">
            <v>0</v>
          </cell>
          <cell r="H729">
            <v>1</v>
          </cell>
          <cell r="I729">
            <v>0</v>
          </cell>
          <cell r="J729">
            <v>1</v>
          </cell>
          <cell r="K729">
            <v>0</v>
          </cell>
          <cell r="L729">
            <v>0</v>
          </cell>
          <cell r="M729">
            <v>0</v>
          </cell>
          <cell r="N729">
            <v>1</v>
          </cell>
          <cell r="O729">
            <v>43686</v>
          </cell>
          <cell r="P729">
            <v>43686</v>
          </cell>
          <cell r="Q729">
            <v>0</v>
          </cell>
          <cell r="R729">
            <v>1</v>
          </cell>
          <cell r="S729">
            <v>0</v>
          </cell>
          <cell r="T729">
            <v>0</v>
          </cell>
          <cell r="U729">
            <v>0</v>
          </cell>
          <cell r="V729">
            <v>1</v>
          </cell>
          <cell r="W729">
            <v>0</v>
          </cell>
          <cell r="X729">
            <v>0</v>
          </cell>
          <cell r="Y729">
            <v>0</v>
          </cell>
        </row>
        <row r="730">
          <cell r="D730">
            <v>300559</v>
          </cell>
          <cell r="E730" t="str">
            <v>Mabini National High School</v>
          </cell>
          <cell r="F730">
            <v>0</v>
          </cell>
          <cell r="G730">
            <v>0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1</v>
          </cell>
          <cell r="T730">
            <v>0</v>
          </cell>
          <cell r="U730">
            <v>0</v>
          </cell>
          <cell r="V730">
            <v>1</v>
          </cell>
          <cell r="W730">
            <v>1</v>
          </cell>
          <cell r="X730">
            <v>0</v>
          </cell>
          <cell r="Y730">
            <v>0</v>
          </cell>
        </row>
        <row r="731">
          <cell r="D731">
            <v>342078</v>
          </cell>
          <cell r="E731" t="str">
            <v>Isabela Sports Senior High School</v>
          </cell>
          <cell r="F731">
            <v>1</v>
          </cell>
          <cell r="G731">
            <v>1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</row>
        <row r="732">
          <cell r="D732">
            <v>306123</v>
          </cell>
          <cell r="E732" t="str">
            <v>Manuel L. Quezon National High School</v>
          </cell>
          <cell r="F732">
            <v>1</v>
          </cell>
          <cell r="G732">
            <v>0</v>
          </cell>
          <cell r="H732">
            <v>0</v>
          </cell>
          <cell r="I732">
            <v>0</v>
          </cell>
          <cell r="J732">
            <v>1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</row>
        <row r="733">
          <cell r="D733">
            <v>300549</v>
          </cell>
          <cell r="E733" t="str">
            <v>Divilacan National High School</v>
          </cell>
          <cell r="F733">
            <v>1</v>
          </cell>
          <cell r="G733">
            <v>1</v>
          </cell>
          <cell r="H733">
            <v>1</v>
          </cell>
          <cell r="I733">
            <v>0</v>
          </cell>
          <cell r="J733">
            <v>1</v>
          </cell>
          <cell r="K733">
            <v>0</v>
          </cell>
          <cell r="L733">
            <v>0</v>
          </cell>
          <cell r="M733">
            <v>0</v>
          </cell>
          <cell r="N733">
            <v>1</v>
          </cell>
          <cell r="O733">
            <v>0</v>
          </cell>
          <cell r="P733">
            <v>0</v>
          </cell>
          <cell r="Q733">
            <v>0</v>
          </cell>
          <cell r="R733">
            <v>1</v>
          </cell>
          <cell r="S733">
            <v>0</v>
          </cell>
          <cell r="T733">
            <v>0</v>
          </cell>
          <cell r="U733">
            <v>0</v>
          </cell>
          <cell r="V733">
            <v>1</v>
          </cell>
          <cell r="W733">
            <v>1</v>
          </cell>
          <cell r="X733">
            <v>1</v>
          </cell>
          <cell r="Y733">
            <v>1</v>
          </cell>
        </row>
        <row r="734">
          <cell r="D734">
            <v>300511</v>
          </cell>
          <cell r="E734" t="str">
            <v>San Antonino National High School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</row>
        <row r="735">
          <cell r="D735">
            <v>305731</v>
          </cell>
          <cell r="E735" t="str">
            <v>Delfin Albano (Magsaysay) Stand Alone Senior High School</v>
          </cell>
          <cell r="F735">
            <v>1</v>
          </cell>
          <cell r="G735">
            <v>1</v>
          </cell>
          <cell r="H735">
            <v>0</v>
          </cell>
          <cell r="I735">
            <v>0</v>
          </cell>
          <cell r="J735">
            <v>0</v>
          </cell>
          <cell r="K735">
            <v>1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1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</row>
        <row r="736">
          <cell r="D736">
            <v>300564</v>
          </cell>
          <cell r="E736" t="str">
            <v>Palanan National High School</v>
          </cell>
          <cell r="F736">
            <v>1</v>
          </cell>
          <cell r="G736">
            <v>1</v>
          </cell>
          <cell r="H736">
            <v>1</v>
          </cell>
          <cell r="I736">
            <v>0</v>
          </cell>
          <cell r="J736">
            <v>1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</row>
        <row r="737">
          <cell r="D737">
            <v>306110</v>
          </cell>
          <cell r="E737" t="str">
            <v>San Jose National High School</v>
          </cell>
          <cell r="F737">
            <v>1</v>
          </cell>
          <cell r="G737">
            <v>1</v>
          </cell>
          <cell r="H737">
            <v>1</v>
          </cell>
          <cell r="I737">
            <v>0</v>
          </cell>
          <cell r="J737">
            <v>1</v>
          </cell>
          <cell r="K737">
            <v>0</v>
          </cell>
          <cell r="L737">
            <v>0</v>
          </cell>
          <cell r="M737">
            <v>0</v>
          </cell>
          <cell r="N737">
            <v>1</v>
          </cell>
          <cell r="O737" t="str">
            <v>July 10, 2019</v>
          </cell>
          <cell r="P737" t="str">
            <v>September 10, 2019</v>
          </cell>
          <cell r="Q737">
            <v>0</v>
          </cell>
          <cell r="R737">
            <v>1</v>
          </cell>
          <cell r="S737">
            <v>0</v>
          </cell>
          <cell r="T737">
            <v>0</v>
          </cell>
          <cell r="U737">
            <v>0</v>
          </cell>
          <cell r="V737">
            <v>1</v>
          </cell>
          <cell r="W737">
            <v>3</v>
          </cell>
          <cell r="X737">
            <v>0</v>
          </cell>
          <cell r="Y737">
            <v>0</v>
          </cell>
        </row>
        <row r="738">
          <cell r="D738">
            <v>306111</v>
          </cell>
          <cell r="E738" t="str">
            <v>Monico Rarama National High School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</row>
        <row r="739">
          <cell r="D739">
            <v>300561</v>
          </cell>
          <cell r="E739" t="str">
            <v>Mallig National High School-Main</v>
          </cell>
          <cell r="F739">
            <v>0</v>
          </cell>
          <cell r="G739">
            <v>0</v>
          </cell>
          <cell r="H739">
            <v>1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</row>
        <row r="740">
          <cell r="D740">
            <v>300611</v>
          </cell>
          <cell r="E740" t="str">
            <v>Ugad High School</v>
          </cell>
          <cell r="F740">
            <v>1</v>
          </cell>
          <cell r="G740">
            <v>0</v>
          </cell>
          <cell r="H740">
            <v>1</v>
          </cell>
          <cell r="I740">
            <v>0</v>
          </cell>
          <cell r="J740">
            <v>1</v>
          </cell>
          <cell r="K740">
            <v>0</v>
          </cell>
          <cell r="L740">
            <v>0</v>
          </cell>
          <cell r="M740">
            <v>0</v>
          </cell>
          <cell r="N740">
            <v>1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1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</row>
        <row r="741">
          <cell r="D741">
            <v>300532</v>
          </cell>
          <cell r="E741" t="str">
            <v>Dona Josefa E. Marcos High School</v>
          </cell>
          <cell r="F741">
            <v>1</v>
          </cell>
          <cell r="G741">
            <v>0</v>
          </cell>
          <cell r="H741">
            <v>1</v>
          </cell>
          <cell r="I741">
            <v>1</v>
          </cell>
          <cell r="J741">
            <v>1</v>
          </cell>
          <cell r="K741">
            <v>0</v>
          </cell>
          <cell r="L741">
            <v>0</v>
          </cell>
          <cell r="M741">
            <v>0</v>
          </cell>
          <cell r="N741">
            <v>1</v>
          </cell>
          <cell r="O741">
            <v>43777</v>
          </cell>
          <cell r="P741">
            <v>0</v>
          </cell>
          <cell r="Q741">
            <v>1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1</v>
          </cell>
          <cell r="W741">
            <v>0</v>
          </cell>
          <cell r="X741">
            <v>0</v>
          </cell>
          <cell r="Y741">
            <v>0</v>
          </cell>
        </row>
        <row r="742">
          <cell r="D742">
            <v>300582</v>
          </cell>
          <cell r="E742" t="str">
            <v>San Agustin National High School</v>
          </cell>
          <cell r="F742">
            <v>0</v>
          </cell>
          <cell r="G742">
            <v>0</v>
          </cell>
          <cell r="H742">
            <v>1</v>
          </cell>
          <cell r="I742">
            <v>0</v>
          </cell>
          <cell r="J742">
            <v>1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43748</v>
          </cell>
          <cell r="Q742">
            <v>1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1</v>
          </cell>
          <cell r="W742">
            <v>0</v>
          </cell>
          <cell r="X742">
            <v>0</v>
          </cell>
          <cell r="Y742">
            <v>0</v>
          </cell>
        </row>
        <row r="743">
          <cell r="D743">
            <v>306150</v>
          </cell>
          <cell r="E743" t="str">
            <v>Luna General Comprehensive High School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1</v>
          </cell>
          <cell r="Y743">
            <v>0</v>
          </cell>
        </row>
        <row r="744">
          <cell r="D744">
            <v>300510</v>
          </cell>
          <cell r="E744" t="str">
            <v>Bacnor National High School</v>
          </cell>
          <cell r="F744">
            <v>1</v>
          </cell>
          <cell r="G744">
            <v>0</v>
          </cell>
          <cell r="H744">
            <v>1</v>
          </cell>
          <cell r="I744">
            <v>0</v>
          </cell>
          <cell r="J744">
            <v>1</v>
          </cell>
          <cell r="K744">
            <v>0</v>
          </cell>
          <cell r="L744">
            <v>0</v>
          </cell>
          <cell r="M744">
            <v>0</v>
          </cell>
          <cell r="N744">
            <v>1</v>
          </cell>
          <cell r="O744">
            <v>43530</v>
          </cell>
          <cell r="P744" t="str">
            <v>09/20/2019</v>
          </cell>
          <cell r="Q744">
            <v>0</v>
          </cell>
          <cell r="R744">
            <v>1</v>
          </cell>
          <cell r="S744">
            <v>0</v>
          </cell>
          <cell r="T744">
            <v>0</v>
          </cell>
          <cell r="U744">
            <v>0</v>
          </cell>
          <cell r="V744">
            <v>1</v>
          </cell>
          <cell r="W744">
            <v>3</v>
          </cell>
          <cell r="X744">
            <v>1</v>
          </cell>
          <cell r="Y744">
            <v>0</v>
          </cell>
        </row>
        <row r="745">
          <cell r="D745">
            <v>300504</v>
          </cell>
          <cell r="E745" t="str">
            <v>Cabatuan National High School</v>
          </cell>
          <cell r="F745">
            <v>1</v>
          </cell>
          <cell r="G745">
            <v>1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</row>
        <row r="746">
          <cell r="D746">
            <v>300587</v>
          </cell>
          <cell r="E746" t="str">
            <v>Ragan Sur National High School</v>
          </cell>
          <cell r="F746">
            <v>1</v>
          </cell>
          <cell r="G746">
            <v>1</v>
          </cell>
          <cell r="H746">
            <v>1</v>
          </cell>
          <cell r="I746">
            <v>0</v>
          </cell>
          <cell r="J746">
            <v>1</v>
          </cell>
          <cell r="K746">
            <v>0</v>
          </cell>
          <cell r="L746">
            <v>0</v>
          </cell>
          <cell r="M746">
            <v>0</v>
          </cell>
          <cell r="N746">
            <v>1</v>
          </cell>
          <cell r="O746">
            <v>43566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</row>
        <row r="747">
          <cell r="D747">
            <v>300592</v>
          </cell>
          <cell r="E747" t="str">
            <v>San Mariano National High School - Main</v>
          </cell>
          <cell r="F747">
            <v>1</v>
          </cell>
          <cell r="G747">
            <v>1</v>
          </cell>
          <cell r="H747">
            <v>0</v>
          </cell>
          <cell r="I747">
            <v>0</v>
          </cell>
          <cell r="J747">
            <v>0</v>
          </cell>
          <cell r="K747">
            <v>1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</row>
        <row r="748">
          <cell r="D748">
            <v>300601</v>
          </cell>
          <cell r="E748" t="str">
            <v>St. Paul Vocational &amp; Industrial High School</v>
          </cell>
          <cell r="F748">
            <v>1</v>
          </cell>
          <cell r="G748">
            <v>1</v>
          </cell>
          <cell r="H748">
            <v>0</v>
          </cell>
          <cell r="I748">
            <v>1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1</v>
          </cell>
          <cell r="W748">
            <v>0</v>
          </cell>
          <cell r="X748">
            <v>0</v>
          </cell>
          <cell r="Y748">
            <v>0</v>
          </cell>
        </row>
        <row r="749">
          <cell r="D749">
            <v>300524</v>
          </cell>
          <cell r="E749" t="str">
            <v>Dibuluan National High School</v>
          </cell>
          <cell r="F749">
            <v>1</v>
          </cell>
          <cell r="G749">
            <v>0</v>
          </cell>
          <cell r="H749">
            <v>1</v>
          </cell>
          <cell r="I749">
            <v>0</v>
          </cell>
          <cell r="J749">
            <v>0</v>
          </cell>
          <cell r="K749">
            <v>1</v>
          </cell>
          <cell r="L749">
            <v>0</v>
          </cell>
          <cell r="M749">
            <v>0</v>
          </cell>
          <cell r="N749">
            <v>0</v>
          </cell>
          <cell r="O749" t="str">
            <v>N/A</v>
          </cell>
          <cell r="P749" t="str">
            <v>N/A</v>
          </cell>
          <cell r="Q749">
            <v>0</v>
          </cell>
          <cell r="R749">
            <v>0</v>
          </cell>
          <cell r="S749">
            <v>1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</row>
        <row r="750">
          <cell r="D750">
            <v>300500</v>
          </cell>
          <cell r="E750" t="str">
            <v>Alicia National High School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</row>
        <row r="751">
          <cell r="D751">
            <v>300501</v>
          </cell>
          <cell r="E751" t="str">
            <v>Angadanan High School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</row>
        <row r="752">
          <cell r="D752">
            <v>300509</v>
          </cell>
          <cell r="E752" t="str">
            <v>Burgos National High School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</row>
        <row r="753">
          <cell r="D753">
            <v>300523</v>
          </cell>
          <cell r="E753" t="str">
            <v>Diadi Region High School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</row>
        <row r="754">
          <cell r="D754">
            <v>300533</v>
          </cell>
          <cell r="E754" t="str">
            <v>Dona Magdalena H. Gaffud HIgh School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</row>
        <row r="755">
          <cell r="D755">
            <v>300580</v>
          </cell>
          <cell r="E755" t="str">
            <v>Lanting Region National High School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</row>
        <row r="756">
          <cell r="D756">
            <v>300596</v>
          </cell>
          <cell r="E756" t="str">
            <v>San Mateo Vocational and Industrial High School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</row>
        <row r="757">
          <cell r="D757">
            <v>306157</v>
          </cell>
          <cell r="E757" t="str">
            <v>Cabaruan Integrated School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</row>
        <row r="758">
          <cell r="D758">
            <v>500094</v>
          </cell>
          <cell r="E758" t="str">
            <v>Simimbaan Integrated School</v>
          </cell>
          <cell r="F758">
            <v>1</v>
          </cell>
          <cell r="G758">
            <v>1</v>
          </cell>
          <cell r="H758">
            <v>1</v>
          </cell>
          <cell r="I758">
            <v>0</v>
          </cell>
          <cell r="J758">
            <v>1</v>
          </cell>
          <cell r="K758">
            <v>0</v>
          </cell>
          <cell r="L758">
            <v>0</v>
          </cell>
          <cell r="M758">
            <v>0</v>
          </cell>
          <cell r="N758">
            <v>1</v>
          </cell>
          <cell r="O758">
            <v>0</v>
          </cell>
          <cell r="P758">
            <v>0</v>
          </cell>
          <cell r="Q758">
            <v>0</v>
          </cell>
          <cell r="R758">
            <v>1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3</v>
          </cell>
          <cell r="X758">
            <v>2</v>
          </cell>
          <cell r="Y758">
            <v>0</v>
          </cell>
        </row>
        <row r="759">
          <cell r="D759">
            <v>300619</v>
          </cell>
          <cell r="E759" t="str">
            <v>Bagabag NHS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</row>
        <row r="760">
          <cell r="D760">
            <v>300617</v>
          </cell>
          <cell r="E760" t="str">
            <v>Ambaguio High School</v>
          </cell>
          <cell r="F760">
            <v>0</v>
          </cell>
          <cell r="G760">
            <v>0</v>
          </cell>
          <cell r="H760">
            <v>1</v>
          </cell>
          <cell r="I760">
            <v>0</v>
          </cell>
          <cell r="J760">
            <v>0</v>
          </cell>
          <cell r="K760">
            <v>1</v>
          </cell>
          <cell r="L760">
            <v>0</v>
          </cell>
          <cell r="M760">
            <v>0</v>
          </cell>
          <cell r="N760">
            <v>1</v>
          </cell>
          <cell r="O760">
            <v>0</v>
          </cell>
          <cell r="P760" t="str">
            <v>n/a</v>
          </cell>
          <cell r="Q760">
            <v>0</v>
          </cell>
          <cell r="R760">
            <v>0</v>
          </cell>
          <cell r="S760">
            <v>0</v>
          </cell>
          <cell r="T760">
            <v>1</v>
          </cell>
          <cell r="U760" t="str">
            <v>n/a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</row>
        <row r="761">
          <cell r="D761">
            <v>300650</v>
          </cell>
          <cell r="E761" t="str">
            <v>Tuao HS</v>
          </cell>
          <cell r="F761">
            <v>1</v>
          </cell>
          <cell r="G761">
            <v>0</v>
          </cell>
          <cell r="H761">
            <v>1</v>
          </cell>
          <cell r="I761">
            <v>0</v>
          </cell>
          <cell r="J761">
            <v>0</v>
          </cell>
          <cell r="K761">
            <v>1</v>
          </cell>
          <cell r="L761">
            <v>0</v>
          </cell>
          <cell r="M761">
            <v>0</v>
          </cell>
          <cell r="N761">
            <v>1</v>
          </cell>
          <cell r="O761">
            <v>0</v>
          </cell>
          <cell r="P761">
            <v>0</v>
          </cell>
          <cell r="Q761">
            <v>0</v>
          </cell>
          <cell r="R761">
            <v>1</v>
          </cell>
          <cell r="S761">
            <v>0</v>
          </cell>
          <cell r="T761">
            <v>0</v>
          </cell>
          <cell r="U761">
            <v>0</v>
          </cell>
          <cell r="V761">
            <v>1</v>
          </cell>
          <cell r="W761">
            <v>0</v>
          </cell>
          <cell r="X761">
            <v>0</v>
          </cell>
          <cell r="Y761">
            <v>0</v>
          </cell>
        </row>
        <row r="762">
          <cell r="D762">
            <v>300636</v>
          </cell>
          <cell r="E762" t="str">
            <v>Malabing Valley NHS-INTEGRATED SENIOR HIGH SCHOOL</v>
          </cell>
          <cell r="F762">
            <v>1</v>
          </cell>
          <cell r="G762">
            <v>1</v>
          </cell>
          <cell r="H762">
            <v>1</v>
          </cell>
          <cell r="I762">
            <v>0</v>
          </cell>
          <cell r="J762">
            <v>1</v>
          </cell>
          <cell r="K762">
            <v>0</v>
          </cell>
          <cell r="L762">
            <v>0</v>
          </cell>
          <cell r="M762">
            <v>0</v>
          </cell>
          <cell r="N762">
            <v>1</v>
          </cell>
          <cell r="O762" t="str">
            <v>OCTOBER 28, 2019</v>
          </cell>
          <cell r="P762" t="str">
            <v>10/22/2019</v>
          </cell>
          <cell r="Q762">
            <v>1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1</v>
          </cell>
          <cell r="W762">
            <v>2</v>
          </cell>
          <cell r="X762">
            <v>0</v>
          </cell>
          <cell r="Y762">
            <v>0</v>
          </cell>
        </row>
        <row r="763">
          <cell r="D763">
            <v>500895</v>
          </cell>
          <cell r="E763" t="str">
            <v>Binalian ES</v>
          </cell>
          <cell r="F763">
            <v>1</v>
          </cell>
          <cell r="G763">
            <v>0</v>
          </cell>
          <cell r="H763">
            <v>0</v>
          </cell>
          <cell r="I763">
            <v>0</v>
          </cell>
          <cell r="J763">
            <v>1</v>
          </cell>
          <cell r="K763">
            <v>0</v>
          </cell>
          <cell r="L763">
            <v>1</v>
          </cell>
          <cell r="M763" t="str">
            <v>WHEN NEEDED</v>
          </cell>
          <cell r="N763">
            <v>0</v>
          </cell>
          <cell r="O763" t="str">
            <v>AUGUST 21, 2019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1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</row>
        <row r="764">
          <cell r="D764">
            <v>300624</v>
          </cell>
          <cell r="E764" t="str">
            <v>Bugkalot High School</v>
          </cell>
          <cell r="F764">
            <v>1</v>
          </cell>
          <cell r="G764">
            <v>0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1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</row>
        <row r="765">
          <cell r="D765">
            <v>300648</v>
          </cell>
          <cell r="E765" t="str">
            <v>Sta. Cruz Pingkian High School</v>
          </cell>
          <cell r="F765">
            <v>1</v>
          </cell>
          <cell r="G765">
            <v>1</v>
          </cell>
          <cell r="H765">
            <v>1</v>
          </cell>
          <cell r="I765">
            <v>0</v>
          </cell>
          <cell r="J765">
            <v>0</v>
          </cell>
          <cell r="K765">
            <v>0</v>
          </cell>
          <cell r="L765">
            <v>1</v>
          </cell>
          <cell r="M765" t="str">
            <v>Needed Arise</v>
          </cell>
          <cell r="N765">
            <v>1</v>
          </cell>
          <cell r="O765">
            <v>0</v>
          </cell>
          <cell r="P765">
            <v>0</v>
          </cell>
          <cell r="Q765">
            <v>0</v>
          </cell>
          <cell r="R765">
            <v>1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</row>
        <row r="766">
          <cell r="D766">
            <v>300621</v>
          </cell>
          <cell r="E766" t="str">
            <v>Bascaran NHS</v>
          </cell>
          <cell r="F766">
            <v>1</v>
          </cell>
          <cell r="G766">
            <v>1</v>
          </cell>
          <cell r="H766">
            <v>1</v>
          </cell>
          <cell r="I766">
            <v>0</v>
          </cell>
          <cell r="J766">
            <v>1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 t="str">
            <v>August 28,2019</v>
          </cell>
          <cell r="P766" t="str">
            <v>July 19, 2019</v>
          </cell>
          <cell r="Q766">
            <v>0</v>
          </cell>
          <cell r="R766">
            <v>1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</row>
        <row r="767">
          <cell r="D767">
            <v>300623</v>
          </cell>
          <cell r="E767" t="str">
            <v>Bintawan NHS</v>
          </cell>
          <cell r="F767">
            <v>1</v>
          </cell>
          <cell r="G767">
            <v>1</v>
          </cell>
          <cell r="H767">
            <v>1</v>
          </cell>
          <cell r="I767">
            <v>0</v>
          </cell>
          <cell r="J767">
            <v>1</v>
          </cell>
          <cell r="K767">
            <v>0</v>
          </cell>
          <cell r="L767">
            <v>0</v>
          </cell>
          <cell r="M767">
            <v>0</v>
          </cell>
          <cell r="N767">
            <v>1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1</v>
          </cell>
          <cell r="T767">
            <v>0</v>
          </cell>
          <cell r="U767">
            <v>0</v>
          </cell>
          <cell r="V767">
            <v>0</v>
          </cell>
          <cell r="W767">
            <v>71</v>
          </cell>
          <cell r="X767">
            <v>21</v>
          </cell>
          <cell r="Y767">
            <v>71</v>
          </cell>
        </row>
        <row r="768">
          <cell r="D768">
            <v>300630</v>
          </cell>
          <cell r="E768" t="str">
            <v>Kakiduguen NHS</v>
          </cell>
          <cell r="F768">
            <v>1</v>
          </cell>
          <cell r="G768">
            <v>1</v>
          </cell>
          <cell r="H768">
            <v>1</v>
          </cell>
          <cell r="I768">
            <v>0</v>
          </cell>
          <cell r="J768">
            <v>1</v>
          </cell>
          <cell r="K768">
            <v>0</v>
          </cell>
          <cell r="L768">
            <v>0</v>
          </cell>
          <cell r="M768">
            <v>0</v>
          </cell>
          <cell r="N768">
            <v>1</v>
          </cell>
          <cell r="O768">
            <v>43678</v>
          </cell>
          <cell r="P768">
            <v>43762</v>
          </cell>
          <cell r="Q768">
            <v>1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1</v>
          </cell>
          <cell r="W768">
            <v>0</v>
          </cell>
          <cell r="X768">
            <v>0</v>
          </cell>
          <cell r="Y768">
            <v>0</v>
          </cell>
        </row>
        <row r="769">
          <cell r="D769">
            <v>300641</v>
          </cell>
          <cell r="E769" t="str">
            <v>Nueva Vizcaya Gen. CHS</v>
          </cell>
          <cell r="F769">
            <v>1</v>
          </cell>
          <cell r="G769">
            <v>0</v>
          </cell>
          <cell r="H769">
            <v>1</v>
          </cell>
          <cell r="I769">
            <v>0</v>
          </cell>
          <cell r="J769">
            <v>1</v>
          </cell>
          <cell r="K769">
            <v>0</v>
          </cell>
          <cell r="L769">
            <v>0</v>
          </cell>
          <cell r="M769">
            <v>0</v>
          </cell>
          <cell r="N769">
            <v>1</v>
          </cell>
          <cell r="O769">
            <v>43683</v>
          </cell>
          <cell r="P769">
            <v>0</v>
          </cell>
          <cell r="Q769">
            <v>0</v>
          </cell>
          <cell r="R769">
            <v>1</v>
          </cell>
          <cell r="S769">
            <v>0</v>
          </cell>
          <cell r="T769">
            <v>0</v>
          </cell>
          <cell r="U769">
            <v>0</v>
          </cell>
          <cell r="V769">
            <v>1</v>
          </cell>
          <cell r="W769">
            <v>0</v>
          </cell>
          <cell r="X769">
            <v>0</v>
          </cell>
          <cell r="Y769">
            <v>0</v>
          </cell>
        </row>
        <row r="770">
          <cell r="D770">
            <v>300615</v>
          </cell>
          <cell r="E770" t="str">
            <v>Alfonso CastaÃ±eda NHS</v>
          </cell>
          <cell r="F770">
            <v>1</v>
          </cell>
          <cell r="G770">
            <v>0</v>
          </cell>
          <cell r="H770">
            <v>1</v>
          </cell>
          <cell r="I770">
            <v>0</v>
          </cell>
          <cell r="J770">
            <v>0</v>
          </cell>
          <cell r="K770">
            <v>1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</row>
        <row r="771">
          <cell r="D771">
            <v>300626</v>
          </cell>
          <cell r="E771" t="str">
            <v>Casat NHS</v>
          </cell>
          <cell r="F771">
            <v>1</v>
          </cell>
          <cell r="G771">
            <v>1</v>
          </cell>
          <cell r="H771">
            <v>1</v>
          </cell>
          <cell r="I771">
            <v>0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1</v>
          </cell>
          <cell r="O771">
            <v>0</v>
          </cell>
          <cell r="P771">
            <v>0</v>
          </cell>
          <cell r="Q771">
            <v>0</v>
          </cell>
          <cell r="R771">
            <v>1</v>
          </cell>
          <cell r="S771">
            <v>0</v>
          </cell>
          <cell r="T771">
            <v>0</v>
          </cell>
          <cell r="U771">
            <v>0</v>
          </cell>
          <cell r="V771">
            <v>1</v>
          </cell>
          <cell r="W771">
            <v>0</v>
          </cell>
          <cell r="X771">
            <v>0</v>
          </cell>
          <cell r="Y771">
            <v>0</v>
          </cell>
        </row>
        <row r="772">
          <cell r="D772">
            <v>300629</v>
          </cell>
          <cell r="E772" t="str">
            <v>Ganao National HS</v>
          </cell>
          <cell r="F772">
            <v>0</v>
          </cell>
          <cell r="G772">
            <v>0</v>
          </cell>
          <cell r="H772">
            <v>1</v>
          </cell>
          <cell r="I772">
            <v>0</v>
          </cell>
          <cell r="J772">
            <v>1</v>
          </cell>
          <cell r="K772">
            <v>0</v>
          </cell>
          <cell r="L772">
            <v>0</v>
          </cell>
          <cell r="M772">
            <v>0</v>
          </cell>
          <cell r="N772">
            <v>1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1</v>
          </cell>
          <cell r="T772">
            <v>0</v>
          </cell>
          <cell r="U772">
            <v>0</v>
          </cell>
          <cell r="V772">
            <v>1</v>
          </cell>
          <cell r="W772">
            <v>0</v>
          </cell>
          <cell r="X772">
            <v>0</v>
          </cell>
          <cell r="Y772">
            <v>0</v>
          </cell>
        </row>
        <row r="773">
          <cell r="D773">
            <v>306208</v>
          </cell>
          <cell r="E773" t="str">
            <v>Eastern Nueva Vizcaya National High School</v>
          </cell>
          <cell r="F773">
            <v>0</v>
          </cell>
          <cell r="G773">
            <v>0</v>
          </cell>
          <cell r="H773">
            <v>1</v>
          </cell>
          <cell r="I773">
            <v>0</v>
          </cell>
          <cell r="J773">
            <v>1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</row>
        <row r="774">
          <cell r="D774">
            <v>300633</v>
          </cell>
          <cell r="E774" t="str">
            <v>Martinez Cuyangan National High School</v>
          </cell>
          <cell r="F774">
            <v>1</v>
          </cell>
          <cell r="G774">
            <v>1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1</v>
          </cell>
          <cell r="M774" t="str">
            <v>as needed</v>
          </cell>
          <cell r="N774">
            <v>1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1</v>
          </cell>
          <cell r="U774" t="str">
            <v>as needed</v>
          </cell>
          <cell r="V774">
            <v>1</v>
          </cell>
          <cell r="W774">
            <v>3</v>
          </cell>
          <cell r="X774">
            <v>0</v>
          </cell>
          <cell r="Y774">
            <v>0</v>
          </cell>
        </row>
        <row r="775">
          <cell r="D775">
            <v>300634</v>
          </cell>
          <cell r="E775" t="str">
            <v>Kongkong Valley NHS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</row>
        <row r="776">
          <cell r="D776">
            <v>300644</v>
          </cell>
          <cell r="E776" t="str">
            <v>Quezon NHS</v>
          </cell>
          <cell r="F776">
            <v>1</v>
          </cell>
          <cell r="G776">
            <v>0</v>
          </cell>
          <cell r="H776">
            <v>1</v>
          </cell>
          <cell r="I776">
            <v>0</v>
          </cell>
          <cell r="J776">
            <v>1</v>
          </cell>
          <cell r="K776">
            <v>0</v>
          </cell>
          <cell r="L776">
            <v>0</v>
          </cell>
          <cell r="M776">
            <v>0</v>
          </cell>
          <cell r="N776">
            <v>1</v>
          </cell>
          <cell r="O776" t="str">
            <v>06/26/2019</v>
          </cell>
          <cell r="P776" t="str">
            <v>10/18/2019</v>
          </cell>
          <cell r="Q776">
            <v>1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1</v>
          </cell>
          <cell r="W776">
            <v>3</v>
          </cell>
          <cell r="X776">
            <v>2</v>
          </cell>
          <cell r="Y776">
            <v>0</v>
          </cell>
        </row>
        <row r="777">
          <cell r="D777">
            <v>300642</v>
          </cell>
          <cell r="E777" t="str">
            <v>PAIMA NATIONAL HIGH SCHOOL</v>
          </cell>
          <cell r="F777">
            <v>1</v>
          </cell>
          <cell r="G777">
            <v>1</v>
          </cell>
          <cell r="H777">
            <v>1</v>
          </cell>
          <cell r="I777">
            <v>0</v>
          </cell>
          <cell r="J777">
            <v>1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43620</v>
          </cell>
          <cell r="P777">
            <v>43620</v>
          </cell>
          <cell r="Q777">
            <v>0</v>
          </cell>
          <cell r="R777">
            <v>1</v>
          </cell>
          <cell r="S777">
            <v>0</v>
          </cell>
          <cell r="T777">
            <v>0</v>
          </cell>
          <cell r="U777">
            <v>0</v>
          </cell>
          <cell r="V777">
            <v>1</v>
          </cell>
          <cell r="W777">
            <v>0</v>
          </cell>
          <cell r="X777">
            <v>0</v>
          </cell>
          <cell r="Y777">
            <v>0</v>
          </cell>
        </row>
        <row r="778">
          <cell r="D778">
            <v>300632</v>
          </cell>
          <cell r="E778" t="str">
            <v>Kayapa HS</v>
          </cell>
          <cell r="F778">
            <v>1</v>
          </cell>
          <cell r="G778">
            <v>1</v>
          </cell>
          <cell r="H778">
            <v>1</v>
          </cell>
          <cell r="I778">
            <v>0</v>
          </cell>
          <cell r="J778">
            <v>0</v>
          </cell>
          <cell r="K778">
            <v>0</v>
          </cell>
          <cell r="L778">
            <v>1</v>
          </cell>
          <cell r="M778" t="str">
            <v>Needed Arise</v>
          </cell>
          <cell r="N778">
            <v>1</v>
          </cell>
          <cell r="O778">
            <v>0</v>
          </cell>
          <cell r="P778">
            <v>0</v>
          </cell>
          <cell r="Q778">
            <v>0</v>
          </cell>
          <cell r="R778">
            <v>1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</row>
        <row r="779">
          <cell r="D779">
            <v>300618</v>
          </cell>
          <cell r="E779" t="str">
            <v>Aritao National High School</v>
          </cell>
          <cell r="F779">
            <v>1</v>
          </cell>
          <cell r="G779">
            <v>1</v>
          </cell>
          <cell r="H779">
            <v>1</v>
          </cell>
          <cell r="I779">
            <v>0</v>
          </cell>
          <cell r="J779">
            <v>1</v>
          </cell>
          <cell r="K779">
            <v>0</v>
          </cell>
          <cell r="L779">
            <v>0</v>
          </cell>
          <cell r="M779">
            <v>0</v>
          </cell>
          <cell r="N779">
            <v>1</v>
          </cell>
          <cell r="O779">
            <v>0</v>
          </cell>
          <cell r="P779">
            <v>0</v>
          </cell>
          <cell r="Q779">
            <v>1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1</v>
          </cell>
          <cell r="W779">
            <v>0</v>
          </cell>
          <cell r="X779">
            <v>0</v>
          </cell>
          <cell r="Y779">
            <v>0</v>
          </cell>
        </row>
        <row r="780">
          <cell r="D780">
            <v>300625</v>
          </cell>
          <cell r="E780" t="str">
            <v>Carolotan High School</v>
          </cell>
          <cell r="F780">
            <v>1</v>
          </cell>
          <cell r="G780">
            <v>1</v>
          </cell>
          <cell r="H780">
            <v>1</v>
          </cell>
          <cell r="I780">
            <v>0</v>
          </cell>
          <cell r="J780">
            <v>1</v>
          </cell>
          <cell r="K780">
            <v>0</v>
          </cell>
          <cell r="L780">
            <v>0</v>
          </cell>
          <cell r="M780">
            <v>0</v>
          </cell>
          <cell r="N780">
            <v>1</v>
          </cell>
          <cell r="O780">
            <v>0</v>
          </cell>
          <cell r="P780">
            <v>0</v>
          </cell>
          <cell r="Q780">
            <v>0</v>
          </cell>
          <cell r="R780">
            <v>1</v>
          </cell>
          <cell r="S780">
            <v>0</v>
          </cell>
          <cell r="T780">
            <v>0</v>
          </cell>
          <cell r="U780">
            <v>0</v>
          </cell>
          <cell r="V780">
            <v>1</v>
          </cell>
          <cell r="W780">
            <v>0</v>
          </cell>
          <cell r="X780">
            <v>0</v>
          </cell>
          <cell r="Y780">
            <v>0</v>
          </cell>
        </row>
        <row r="781">
          <cell r="D781">
            <v>300638</v>
          </cell>
          <cell r="E781" t="str">
            <v>Murong NHS</v>
          </cell>
          <cell r="F781">
            <v>1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1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</row>
        <row r="782">
          <cell r="D782">
            <v>300646</v>
          </cell>
          <cell r="E782" t="str">
            <v>Solano High School</v>
          </cell>
          <cell r="F782">
            <v>1</v>
          </cell>
          <cell r="G782">
            <v>1</v>
          </cell>
          <cell r="H782">
            <v>1</v>
          </cell>
          <cell r="I782">
            <v>0</v>
          </cell>
          <cell r="J782">
            <v>1</v>
          </cell>
          <cell r="K782">
            <v>0</v>
          </cell>
          <cell r="L782">
            <v>0</v>
          </cell>
          <cell r="M782">
            <v>0</v>
          </cell>
          <cell r="N782">
            <v>1</v>
          </cell>
          <cell r="O782">
            <v>40127</v>
          </cell>
          <cell r="P782" t="str">
            <v>11/22/2019</v>
          </cell>
          <cell r="Q782">
            <v>0</v>
          </cell>
          <cell r="R782">
            <v>1</v>
          </cell>
          <cell r="S782">
            <v>0</v>
          </cell>
          <cell r="T782">
            <v>0</v>
          </cell>
          <cell r="U782">
            <v>0</v>
          </cell>
          <cell r="V782">
            <v>1</v>
          </cell>
          <cell r="W782">
            <v>2</v>
          </cell>
          <cell r="X782">
            <v>0</v>
          </cell>
          <cell r="Y782">
            <v>0</v>
          </cell>
        </row>
        <row r="783">
          <cell r="D783">
            <v>300622</v>
          </cell>
          <cell r="E783" t="str">
            <v>Belance HS</v>
          </cell>
          <cell r="F783">
            <v>1</v>
          </cell>
          <cell r="G783">
            <v>1</v>
          </cell>
          <cell r="H783">
            <v>1</v>
          </cell>
          <cell r="I783">
            <v>0</v>
          </cell>
          <cell r="J783">
            <v>1</v>
          </cell>
          <cell r="K783">
            <v>0</v>
          </cell>
          <cell r="L783">
            <v>0</v>
          </cell>
          <cell r="M783">
            <v>0</v>
          </cell>
          <cell r="N783">
            <v>1</v>
          </cell>
          <cell r="O783">
            <v>0</v>
          </cell>
          <cell r="P783">
            <v>0</v>
          </cell>
          <cell r="Q783">
            <v>0</v>
          </cell>
          <cell r="R783">
            <v>1</v>
          </cell>
          <cell r="S783">
            <v>0</v>
          </cell>
          <cell r="T783">
            <v>0</v>
          </cell>
          <cell r="U783">
            <v>0</v>
          </cell>
          <cell r="V783">
            <v>1</v>
          </cell>
          <cell r="W783">
            <v>0</v>
          </cell>
          <cell r="X783">
            <v>0</v>
          </cell>
          <cell r="Y783">
            <v>0</v>
          </cell>
        </row>
        <row r="784">
          <cell r="D784">
            <v>306207</v>
          </cell>
          <cell r="E784" t="str">
            <v>Abuyo National High School</v>
          </cell>
          <cell r="F784">
            <v>1</v>
          </cell>
          <cell r="G784">
            <v>1</v>
          </cell>
          <cell r="H784">
            <v>1</v>
          </cell>
          <cell r="I784">
            <v>0</v>
          </cell>
          <cell r="J784">
            <v>1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1</v>
          </cell>
          <cell r="S784">
            <v>0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0</v>
          </cell>
          <cell r="Y784">
            <v>0</v>
          </cell>
        </row>
        <row r="785">
          <cell r="D785">
            <v>306204</v>
          </cell>
          <cell r="E785" t="str">
            <v>Runruno National High School</v>
          </cell>
          <cell r="F785">
            <v>0</v>
          </cell>
          <cell r="G785">
            <v>0</v>
          </cell>
          <cell r="H785">
            <v>1</v>
          </cell>
          <cell r="I785">
            <v>1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1</v>
          </cell>
          <cell r="O785">
            <v>43780</v>
          </cell>
          <cell r="P785" t="str">
            <v>11/15/2019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1</v>
          </cell>
          <cell r="W785">
            <v>0</v>
          </cell>
          <cell r="X785">
            <v>0</v>
          </cell>
          <cell r="Y785">
            <v>0</v>
          </cell>
        </row>
        <row r="786">
          <cell r="D786">
            <v>306205</v>
          </cell>
          <cell r="E786" t="str">
            <v>Canabuan National High School</v>
          </cell>
          <cell r="F786">
            <v>1</v>
          </cell>
          <cell r="G786">
            <v>1</v>
          </cell>
          <cell r="H786">
            <v>1</v>
          </cell>
          <cell r="I786">
            <v>0</v>
          </cell>
          <cell r="J786">
            <v>1</v>
          </cell>
          <cell r="K786">
            <v>0</v>
          </cell>
          <cell r="L786">
            <v>0</v>
          </cell>
          <cell r="M786">
            <v>0</v>
          </cell>
          <cell r="N786">
            <v>1</v>
          </cell>
          <cell r="O786">
            <v>0</v>
          </cell>
          <cell r="P786">
            <v>0</v>
          </cell>
          <cell r="Q786">
            <v>0</v>
          </cell>
          <cell r="R786">
            <v>1</v>
          </cell>
          <cell r="S786">
            <v>0</v>
          </cell>
          <cell r="T786">
            <v>0</v>
          </cell>
          <cell r="U786">
            <v>0</v>
          </cell>
          <cell r="V786">
            <v>1</v>
          </cell>
          <cell r="W786">
            <v>0</v>
          </cell>
          <cell r="X786">
            <v>0</v>
          </cell>
          <cell r="Y786">
            <v>0</v>
          </cell>
        </row>
        <row r="787">
          <cell r="D787">
            <v>300643</v>
          </cell>
          <cell r="E787" t="str">
            <v>Paniki High School</v>
          </cell>
          <cell r="F787">
            <v>1</v>
          </cell>
          <cell r="G787">
            <v>1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</row>
        <row r="788">
          <cell r="D788">
            <v>300647</v>
          </cell>
          <cell r="E788" t="str">
            <v>Sta. Clara HS</v>
          </cell>
          <cell r="F788">
            <v>0</v>
          </cell>
          <cell r="G788">
            <v>0</v>
          </cell>
          <cell r="H788">
            <v>1</v>
          </cell>
          <cell r="I788">
            <v>0</v>
          </cell>
          <cell r="J788">
            <v>1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1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1</v>
          </cell>
          <cell r="W788">
            <v>0</v>
          </cell>
          <cell r="X788">
            <v>0</v>
          </cell>
          <cell r="Y788">
            <v>0</v>
          </cell>
        </row>
        <row r="789">
          <cell r="D789">
            <v>306206</v>
          </cell>
          <cell r="E789" t="str">
            <v>DUPAX DEL NORTE NATIONAL HIGH SCHOOL</v>
          </cell>
          <cell r="F789">
            <v>0</v>
          </cell>
          <cell r="G789">
            <v>0</v>
          </cell>
          <cell r="H789">
            <v>1</v>
          </cell>
          <cell r="I789">
            <v>0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1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1</v>
          </cell>
          <cell r="W789">
            <v>0</v>
          </cell>
          <cell r="X789">
            <v>0</v>
          </cell>
          <cell r="Y789">
            <v>0</v>
          </cell>
        </row>
        <row r="790">
          <cell r="D790">
            <v>300616</v>
          </cell>
          <cell r="E790" t="str">
            <v>Casecnan National High School</v>
          </cell>
          <cell r="F790">
            <v>1</v>
          </cell>
          <cell r="G790">
            <v>1</v>
          </cell>
          <cell r="H790">
            <v>1</v>
          </cell>
          <cell r="I790">
            <v>0</v>
          </cell>
          <cell r="J790">
            <v>0</v>
          </cell>
          <cell r="K790">
            <v>0</v>
          </cell>
          <cell r="L790">
            <v>1</v>
          </cell>
          <cell r="M790">
            <v>1</v>
          </cell>
          <cell r="N790">
            <v>1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1</v>
          </cell>
          <cell r="U790">
            <v>1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</row>
        <row r="791">
          <cell r="D791">
            <v>300639</v>
          </cell>
          <cell r="E791" t="str">
            <v>Nansiakan NHS</v>
          </cell>
          <cell r="F791">
            <v>1</v>
          </cell>
          <cell r="G791">
            <v>1</v>
          </cell>
          <cell r="H791">
            <v>1</v>
          </cell>
          <cell r="I791">
            <v>0</v>
          </cell>
          <cell r="J791">
            <v>1</v>
          </cell>
          <cell r="K791">
            <v>0</v>
          </cell>
          <cell r="L791">
            <v>0</v>
          </cell>
          <cell r="M791">
            <v>0</v>
          </cell>
          <cell r="N791">
            <v>1</v>
          </cell>
          <cell r="O791">
            <v>0</v>
          </cell>
          <cell r="P791" t="str">
            <v>AUGUST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1</v>
          </cell>
          <cell r="W791">
            <v>5</v>
          </cell>
          <cell r="X791">
            <v>1</v>
          </cell>
          <cell r="Y791">
            <v>0</v>
          </cell>
        </row>
        <row r="792">
          <cell r="D792">
            <v>300645</v>
          </cell>
          <cell r="E792" t="str">
            <v>Salinas High School</v>
          </cell>
          <cell r="F792">
            <v>0</v>
          </cell>
          <cell r="G792">
            <v>0</v>
          </cell>
          <cell r="H792">
            <v>1</v>
          </cell>
          <cell r="I792">
            <v>0</v>
          </cell>
          <cell r="J792">
            <v>1</v>
          </cell>
          <cell r="K792">
            <v>0</v>
          </cell>
          <cell r="L792">
            <v>0</v>
          </cell>
          <cell r="M792">
            <v>0</v>
          </cell>
          <cell r="N792">
            <v>1</v>
          </cell>
          <cell r="O792">
            <v>0</v>
          </cell>
          <cell r="P792">
            <v>0</v>
          </cell>
          <cell r="Q792">
            <v>1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1</v>
          </cell>
          <cell r="W792">
            <v>0</v>
          </cell>
          <cell r="X792">
            <v>0</v>
          </cell>
          <cell r="Y792">
            <v>0</v>
          </cell>
        </row>
        <row r="793">
          <cell r="D793">
            <v>300635</v>
          </cell>
          <cell r="E793" t="str">
            <v>LAMO NATIONAL HIGH SCHOOL</v>
          </cell>
          <cell r="F793">
            <v>0</v>
          </cell>
          <cell r="G793">
            <v>0</v>
          </cell>
          <cell r="H793">
            <v>1</v>
          </cell>
          <cell r="I793">
            <v>0</v>
          </cell>
          <cell r="J793">
            <v>1</v>
          </cell>
          <cell r="K793">
            <v>0</v>
          </cell>
          <cell r="L793">
            <v>0</v>
          </cell>
          <cell r="M793">
            <v>0</v>
          </cell>
          <cell r="N793">
            <v>1</v>
          </cell>
          <cell r="O793">
            <v>0</v>
          </cell>
          <cell r="P793">
            <v>0</v>
          </cell>
          <cell r="Q793">
            <v>0</v>
          </cell>
          <cell r="R793">
            <v>1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</row>
        <row r="794">
          <cell r="D794">
            <v>300649</v>
          </cell>
          <cell r="E794" t="str">
            <v>Santa Fe National High School</v>
          </cell>
          <cell r="F794">
            <v>1</v>
          </cell>
          <cell r="G794">
            <v>0</v>
          </cell>
          <cell r="H794">
            <v>1</v>
          </cell>
          <cell r="I794">
            <v>0</v>
          </cell>
          <cell r="J794">
            <v>0</v>
          </cell>
          <cell r="K794">
            <v>1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1</v>
          </cell>
          <cell r="U794" t="str">
            <v>NONE</v>
          </cell>
          <cell r="V794">
            <v>0</v>
          </cell>
          <cell r="W794">
            <v>2</v>
          </cell>
          <cell r="X794">
            <v>0</v>
          </cell>
          <cell r="Y794">
            <v>0</v>
          </cell>
        </row>
        <row r="795">
          <cell r="D795">
            <v>300637</v>
          </cell>
          <cell r="E795" t="str">
            <v>Munguia NHS</v>
          </cell>
          <cell r="F795">
            <v>1</v>
          </cell>
          <cell r="G795">
            <v>1</v>
          </cell>
          <cell r="H795">
            <v>1</v>
          </cell>
          <cell r="I795">
            <v>0</v>
          </cell>
          <cell r="J795">
            <v>1</v>
          </cell>
          <cell r="K795">
            <v>0</v>
          </cell>
          <cell r="L795">
            <v>0</v>
          </cell>
          <cell r="M795">
            <v>0</v>
          </cell>
          <cell r="N795">
            <v>1</v>
          </cell>
          <cell r="O795">
            <v>0</v>
          </cell>
          <cell r="P795">
            <v>43739</v>
          </cell>
          <cell r="Q795">
            <v>0</v>
          </cell>
          <cell r="R795">
            <v>0</v>
          </cell>
          <cell r="S795">
            <v>1</v>
          </cell>
          <cell r="T795">
            <v>0</v>
          </cell>
          <cell r="U795">
            <v>0</v>
          </cell>
          <cell r="V795">
            <v>1</v>
          </cell>
          <cell r="W795">
            <v>0</v>
          </cell>
          <cell r="X795">
            <v>0</v>
          </cell>
          <cell r="Y795">
            <v>0</v>
          </cell>
        </row>
        <row r="796">
          <cell r="D796">
            <v>300651</v>
          </cell>
          <cell r="E796" t="str">
            <v>Uddiawan National High School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</row>
        <row r="797">
          <cell r="D797">
            <v>300628</v>
          </cell>
          <cell r="E797" t="str">
            <v>Dupax del Sur NHS</v>
          </cell>
          <cell r="F797">
            <v>1</v>
          </cell>
          <cell r="G797">
            <v>1</v>
          </cell>
          <cell r="H797">
            <v>1</v>
          </cell>
          <cell r="I797">
            <v>0</v>
          </cell>
          <cell r="J797">
            <v>0</v>
          </cell>
          <cell r="K797">
            <v>1</v>
          </cell>
          <cell r="L797">
            <v>0</v>
          </cell>
          <cell r="M797">
            <v>0</v>
          </cell>
          <cell r="N797">
            <v>1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1</v>
          </cell>
          <cell r="T797">
            <v>0</v>
          </cell>
          <cell r="U797">
            <v>0</v>
          </cell>
          <cell r="V797">
            <v>1</v>
          </cell>
          <cell r="W797">
            <v>3</v>
          </cell>
          <cell r="X797">
            <v>3</v>
          </cell>
          <cell r="Y797">
            <v>2</v>
          </cell>
        </row>
        <row r="798">
          <cell r="D798">
            <v>306202</v>
          </cell>
          <cell r="E798" t="str">
            <v>Bonfal National High School</v>
          </cell>
          <cell r="F798">
            <v>1</v>
          </cell>
          <cell r="G798">
            <v>1</v>
          </cell>
          <cell r="H798">
            <v>1</v>
          </cell>
          <cell r="I798">
            <v>0</v>
          </cell>
          <cell r="J798">
            <v>1</v>
          </cell>
          <cell r="K798">
            <v>0</v>
          </cell>
          <cell r="L798">
            <v>0</v>
          </cell>
          <cell r="M798">
            <v>0</v>
          </cell>
          <cell r="N798">
            <v>1</v>
          </cell>
          <cell r="O798" t="str">
            <v>11/26/2019</v>
          </cell>
          <cell r="P798" t="str">
            <v>11/26/2019</v>
          </cell>
          <cell r="Q798">
            <v>0</v>
          </cell>
          <cell r="R798">
            <v>1</v>
          </cell>
          <cell r="S798">
            <v>0</v>
          </cell>
          <cell r="T798">
            <v>0</v>
          </cell>
          <cell r="U798">
            <v>0</v>
          </cell>
          <cell r="V798">
            <v>1</v>
          </cell>
          <cell r="W798">
            <v>4</v>
          </cell>
          <cell r="X798">
            <v>1</v>
          </cell>
          <cell r="Y798">
            <v>1</v>
          </cell>
        </row>
        <row r="799">
          <cell r="D799">
            <v>300627</v>
          </cell>
          <cell r="E799" t="str">
            <v>Diadi NHS</v>
          </cell>
          <cell r="F799">
            <v>1</v>
          </cell>
          <cell r="G799">
            <v>1</v>
          </cell>
          <cell r="H799">
            <v>1</v>
          </cell>
          <cell r="I799">
            <v>0</v>
          </cell>
          <cell r="J799">
            <v>0</v>
          </cell>
          <cell r="K799">
            <v>1</v>
          </cell>
          <cell r="L799">
            <v>0</v>
          </cell>
          <cell r="M799">
            <v>0</v>
          </cell>
          <cell r="N799">
            <v>1</v>
          </cell>
          <cell r="O799">
            <v>43707</v>
          </cell>
          <cell r="P799">
            <v>0</v>
          </cell>
          <cell r="Q799">
            <v>0</v>
          </cell>
          <cell r="R799">
            <v>0</v>
          </cell>
          <cell r="S799">
            <v>1</v>
          </cell>
          <cell r="T799">
            <v>0</v>
          </cell>
          <cell r="U799">
            <v>0</v>
          </cell>
          <cell r="V799">
            <v>1</v>
          </cell>
          <cell r="W799">
            <v>0</v>
          </cell>
          <cell r="X799">
            <v>0</v>
          </cell>
          <cell r="Y799">
            <v>0</v>
          </cell>
        </row>
        <row r="800">
          <cell r="D800">
            <v>300620</v>
          </cell>
          <cell r="E800" t="str">
            <v>Bambang NHS</v>
          </cell>
          <cell r="F800">
            <v>1</v>
          </cell>
          <cell r="G800">
            <v>1</v>
          </cell>
          <cell r="H800">
            <v>1</v>
          </cell>
          <cell r="I800">
            <v>0</v>
          </cell>
          <cell r="J800">
            <v>1</v>
          </cell>
          <cell r="K800">
            <v>0</v>
          </cell>
          <cell r="L800">
            <v>0</v>
          </cell>
          <cell r="M800">
            <v>0</v>
          </cell>
          <cell r="N800">
            <v>1</v>
          </cell>
          <cell r="O800">
            <v>43790</v>
          </cell>
          <cell r="P800">
            <v>43766</v>
          </cell>
          <cell r="Q800">
            <v>0</v>
          </cell>
          <cell r="R800">
            <v>0</v>
          </cell>
          <cell r="S800">
            <v>0</v>
          </cell>
          <cell r="T800">
            <v>1</v>
          </cell>
          <cell r="U800" t="str">
            <v>as need arises</v>
          </cell>
          <cell r="V800">
            <v>1</v>
          </cell>
          <cell r="W800">
            <v>3</v>
          </cell>
          <cell r="X800">
            <v>1</v>
          </cell>
          <cell r="Y800">
            <v>1</v>
          </cell>
        </row>
        <row r="801">
          <cell r="D801">
            <v>300631</v>
          </cell>
          <cell r="E801" t="str">
            <v>Kasibu National Agricultural School</v>
          </cell>
          <cell r="F801">
            <v>1</v>
          </cell>
          <cell r="G801">
            <v>1</v>
          </cell>
          <cell r="H801">
            <v>1</v>
          </cell>
          <cell r="I801">
            <v>0</v>
          </cell>
          <cell r="J801">
            <v>0</v>
          </cell>
          <cell r="K801">
            <v>1</v>
          </cell>
          <cell r="L801">
            <v>0</v>
          </cell>
          <cell r="M801">
            <v>0</v>
          </cell>
          <cell r="N801">
            <v>1</v>
          </cell>
          <cell r="O801" t="str">
            <v>11/22/2019</v>
          </cell>
          <cell r="P801" t="str">
            <v>11/22/2019</v>
          </cell>
          <cell r="Q801">
            <v>0</v>
          </cell>
          <cell r="R801">
            <v>1</v>
          </cell>
          <cell r="S801">
            <v>0</v>
          </cell>
          <cell r="T801">
            <v>0</v>
          </cell>
          <cell r="U801">
            <v>0</v>
          </cell>
          <cell r="V801">
            <v>1</v>
          </cell>
          <cell r="W801">
            <v>2</v>
          </cell>
          <cell r="X801">
            <v>2</v>
          </cell>
          <cell r="Y801">
            <v>2</v>
          </cell>
        </row>
        <row r="802">
          <cell r="D802">
            <v>304684</v>
          </cell>
          <cell r="E802" t="str">
            <v>Philippine Science High School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</row>
        <row r="803">
          <cell r="D803">
            <v>300660</v>
          </cell>
          <cell r="E803" t="str">
            <v>Maddela CHS</v>
          </cell>
          <cell r="F803">
            <v>0</v>
          </cell>
          <cell r="G803">
            <v>0</v>
          </cell>
          <cell r="H803">
            <v>1</v>
          </cell>
          <cell r="I803">
            <v>0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</row>
        <row r="804">
          <cell r="D804">
            <v>300652</v>
          </cell>
          <cell r="E804" t="str">
            <v>Aglipay NHS</v>
          </cell>
          <cell r="F804">
            <v>0</v>
          </cell>
          <cell r="G804">
            <v>0</v>
          </cell>
          <cell r="H804">
            <v>1</v>
          </cell>
          <cell r="I804">
            <v>0</v>
          </cell>
          <cell r="J804">
            <v>1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 t="str">
            <v>to be scheduled</v>
          </cell>
          <cell r="P804">
            <v>43714</v>
          </cell>
          <cell r="Q804">
            <v>0</v>
          </cell>
          <cell r="R804">
            <v>1</v>
          </cell>
          <cell r="S804">
            <v>0</v>
          </cell>
          <cell r="T804">
            <v>0</v>
          </cell>
          <cell r="U804">
            <v>0</v>
          </cell>
          <cell r="V804">
            <v>1</v>
          </cell>
          <cell r="W804">
            <v>3</v>
          </cell>
          <cell r="X804">
            <v>3</v>
          </cell>
          <cell r="Y804">
            <v>3</v>
          </cell>
        </row>
        <row r="805">
          <cell r="D805">
            <v>300656</v>
          </cell>
          <cell r="E805" t="str">
            <v>Cabarroguis NSAT</v>
          </cell>
          <cell r="F805">
            <v>1</v>
          </cell>
          <cell r="G805">
            <v>1</v>
          </cell>
          <cell r="H805">
            <v>1</v>
          </cell>
          <cell r="I805">
            <v>0</v>
          </cell>
          <cell r="J805">
            <v>1</v>
          </cell>
          <cell r="K805">
            <v>0</v>
          </cell>
          <cell r="L805">
            <v>0</v>
          </cell>
          <cell r="M805">
            <v>0</v>
          </cell>
          <cell r="N805">
            <v>1</v>
          </cell>
          <cell r="O805">
            <v>0</v>
          </cell>
          <cell r="P805">
            <v>43739</v>
          </cell>
          <cell r="Q805">
            <v>1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1</v>
          </cell>
          <cell r="W805">
            <v>2</v>
          </cell>
          <cell r="X805">
            <v>0</v>
          </cell>
          <cell r="Y805">
            <v>0</v>
          </cell>
        </row>
        <row r="806">
          <cell r="D806">
            <v>300663</v>
          </cell>
          <cell r="E806" t="str">
            <v>Pinaripad National High School</v>
          </cell>
          <cell r="F806">
            <v>1</v>
          </cell>
          <cell r="G806">
            <v>1</v>
          </cell>
          <cell r="H806">
            <v>1</v>
          </cell>
          <cell r="I806">
            <v>0</v>
          </cell>
          <cell r="J806">
            <v>0</v>
          </cell>
          <cell r="K806">
            <v>1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1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</row>
        <row r="807">
          <cell r="D807">
            <v>300657</v>
          </cell>
          <cell r="E807" t="str">
            <v>Diffun National High School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</row>
        <row r="808">
          <cell r="D808">
            <v>500100</v>
          </cell>
          <cell r="E808" t="str">
            <v>Sangbay IS</v>
          </cell>
          <cell r="F808">
            <v>1</v>
          </cell>
          <cell r="G808">
            <v>1</v>
          </cell>
          <cell r="H808">
            <v>1</v>
          </cell>
          <cell r="I808">
            <v>1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1</v>
          </cell>
          <cell r="O808">
            <v>0</v>
          </cell>
          <cell r="P808" t="str">
            <v>SEPTEMBER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1</v>
          </cell>
          <cell r="W808">
            <v>2</v>
          </cell>
          <cell r="X808">
            <v>1</v>
          </cell>
          <cell r="Y808">
            <v>1</v>
          </cell>
        </row>
        <row r="809">
          <cell r="D809">
            <v>300653</v>
          </cell>
          <cell r="E809" t="str">
            <v>Victoria High School</v>
          </cell>
          <cell r="F809">
            <v>1</v>
          </cell>
          <cell r="G809">
            <v>0</v>
          </cell>
          <cell r="H809">
            <v>0</v>
          </cell>
          <cell r="I809">
            <v>0</v>
          </cell>
          <cell r="J809">
            <v>1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</row>
        <row r="810">
          <cell r="D810">
            <v>500105</v>
          </cell>
          <cell r="E810" t="str">
            <v>San Martin IS</v>
          </cell>
          <cell r="F810">
            <v>0</v>
          </cell>
          <cell r="G810">
            <v>0</v>
          </cell>
          <cell r="H810">
            <v>1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</row>
        <row r="811">
          <cell r="D811">
            <v>300665</v>
          </cell>
          <cell r="E811" t="str">
            <v>Saguday NHS</v>
          </cell>
          <cell r="F811">
            <v>1</v>
          </cell>
          <cell r="G811">
            <v>1</v>
          </cell>
          <cell r="H811">
            <v>1</v>
          </cell>
          <cell r="I811">
            <v>0</v>
          </cell>
          <cell r="J811">
            <v>1</v>
          </cell>
          <cell r="K811">
            <v>0</v>
          </cell>
          <cell r="L811">
            <v>0</v>
          </cell>
          <cell r="M811">
            <v>0</v>
          </cell>
          <cell r="N811">
            <v>1</v>
          </cell>
          <cell r="O811" t="str">
            <v>n/a</v>
          </cell>
          <cell r="P811" t="str">
            <v>n/a</v>
          </cell>
          <cell r="Q811">
            <v>0</v>
          </cell>
          <cell r="R811">
            <v>0</v>
          </cell>
          <cell r="S811">
            <v>0</v>
          </cell>
          <cell r="T811">
            <v>1</v>
          </cell>
          <cell r="U811" t="str">
            <v>n/a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</row>
        <row r="812">
          <cell r="D812">
            <v>500111</v>
          </cell>
          <cell r="E812" t="str">
            <v>Scala Integrated School</v>
          </cell>
          <cell r="F812">
            <v>1</v>
          </cell>
          <cell r="G812">
            <v>1</v>
          </cell>
          <cell r="H812">
            <v>1</v>
          </cell>
          <cell r="I812">
            <v>0</v>
          </cell>
          <cell r="J812">
            <v>0</v>
          </cell>
          <cell r="K812">
            <v>1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1</v>
          </cell>
          <cell r="T812">
            <v>0</v>
          </cell>
          <cell r="U812">
            <v>0</v>
          </cell>
          <cell r="V812">
            <v>1</v>
          </cell>
          <cell r="W812">
            <v>0</v>
          </cell>
          <cell r="X812">
            <v>0</v>
          </cell>
          <cell r="Y812">
            <v>0</v>
          </cell>
        </row>
        <row r="813">
          <cell r="D813">
            <v>300662</v>
          </cell>
          <cell r="E813" t="str">
            <v>Nagtipunan National High School</v>
          </cell>
          <cell r="F813">
            <v>1</v>
          </cell>
          <cell r="G813">
            <v>0</v>
          </cell>
          <cell r="H813">
            <v>1</v>
          </cell>
          <cell r="I813">
            <v>0</v>
          </cell>
          <cell r="J813">
            <v>1</v>
          </cell>
          <cell r="K813">
            <v>0</v>
          </cell>
          <cell r="L813">
            <v>0</v>
          </cell>
          <cell r="M813">
            <v>0</v>
          </cell>
          <cell r="N813">
            <v>1</v>
          </cell>
          <cell r="O813" t="str">
            <v>September 30, 2019</v>
          </cell>
          <cell r="P813" t="str">
            <v>September 30, 2019</v>
          </cell>
          <cell r="Q813">
            <v>0</v>
          </cell>
          <cell r="R813">
            <v>1</v>
          </cell>
          <cell r="S813">
            <v>0</v>
          </cell>
          <cell r="T813">
            <v>0</v>
          </cell>
          <cell r="U813">
            <v>0</v>
          </cell>
          <cell r="V813">
            <v>1</v>
          </cell>
          <cell r="W813">
            <v>0</v>
          </cell>
          <cell r="X813">
            <v>0</v>
          </cell>
          <cell r="Y813">
            <v>0</v>
          </cell>
        </row>
        <row r="814">
          <cell r="D814">
            <v>300664</v>
          </cell>
          <cell r="E814" t="str">
            <v>Quirino General HS</v>
          </cell>
          <cell r="F814">
            <v>1</v>
          </cell>
          <cell r="G814">
            <v>0</v>
          </cell>
          <cell r="H814">
            <v>0</v>
          </cell>
          <cell r="I814">
            <v>0</v>
          </cell>
          <cell r="J814">
            <v>1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1</v>
          </cell>
          <cell r="S814">
            <v>0</v>
          </cell>
          <cell r="T814">
            <v>0</v>
          </cell>
          <cell r="U814">
            <v>0</v>
          </cell>
          <cell r="V814">
            <v>1</v>
          </cell>
          <cell r="W814">
            <v>0</v>
          </cell>
          <cell r="X814">
            <v>0</v>
          </cell>
          <cell r="Y814">
            <v>0</v>
          </cell>
        </row>
        <row r="815">
          <cell r="D815">
            <v>500099</v>
          </cell>
          <cell r="E815" t="str">
            <v>Bannawag IS</v>
          </cell>
          <cell r="F815">
            <v>1</v>
          </cell>
          <cell r="G815">
            <v>1</v>
          </cell>
          <cell r="H815">
            <v>1</v>
          </cell>
          <cell r="I815">
            <v>0</v>
          </cell>
          <cell r="J815">
            <v>1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 t="str">
            <v>August 22-23, 2019</v>
          </cell>
          <cell r="P815" t="str">
            <v>JUNE 22,2019</v>
          </cell>
          <cell r="Q815">
            <v>1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1</v>
          </cell>
          <cell r="W815">
            <v>6</v>
          </cell>
          <cell r="X815">
            <v>4</v>
          </cell>
          <cell r="Y815">
            <v>4</v>
          </cell>
        </row>
        <row r="816">
          <cell r="D816">
            <v>500112</v>
          </cell>
          <cell r="E816" t="str">
            <v>Maddela Integrated School of Arts &amp; Trades</v>
          </cell>
          <cell r="F816">
            <v>1</v>
          </cell>
          <cell r="G816">
            <v>0</v>
          </cell>
          <cell r="H816">
            <v>1</v>
          </cell>
          <cell r="I816">
            <v>0</v>
          </cell>
          <cell r="J816">
            <v>1</v>
          </cell>
          <cell r="K816">
            <v>0</v>
          </cell>
          <cell r="L816">
            <v>0</v>
          </cell>
          <cell r="M816">
            <v>0</v>
          </cell>
          <cell r="N816">
            <v>1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</row>
        <row r="817">
          <cell r="D817">
            <v>300661</v>
          </cell>
          <cell r="E817" t="str">
            <v>Magsaysay National High School</v>
          </cell>
          <cell r="F817">
            <v>1</v>
          </cell>
          <cell r="G817">
            <v>1</v>
          </cell>
          <cell r="H817">
            <v>1</v>
          </cell>
          <cell r="I817">
            <v>0</v>
          </cell>
          <cell r="J817">
            <v>1</v>
          </cell>
          <cell r="K817">
            <v>0</v>
          </cell>
          <cell r="L817">
            <v>0</v>
          </cell>
          <cell r="M817">
            <v>0</v>
          </cell>
          <cell r="N817">
            <v>1</v>
          </cell>
          <cell r="O817">
            <v>43721</v>
          </cell>
          <cell r="P817">
            <v>43606</v>
          </cell>
          <cell r="Q817">
            <v>0</v>
          </cell>
          <cell r="R817">
            <v>0</v>
          </cell>
          <cell r="S817">
            <v>1</v>
          </cell>
          <cell r="T817">
            <v>0</v>
          </cell>
          <cell r="U817">
            <v>0</v>
          </cell>
          <cell r="V817">
            <v>1</v>
          </cell>
          <cell r="W817">
            <v>0</v>
          </cell>
          <cell r="X817">
            <v>1</v>
          </cell>
          <cell r="Y817">
            <v>1</v>
          </cell>
        </row>
        <row r="818">
          <cell r="D818">
            <v>300654</v>
          </cell>
          <cell r="E818" t="str">
            <v>Balligui HS</v>
          </cell>
          <cell r="F818">
            <v>0</v>
          </cell>
          <cell r="G818">
            <v>0</v>
          </cell>
          <cell r="H818">
            <v>1</v>
          </cell>
          <cell r="I818">
            <v>0</v>
          </cell>
          <cell r="J818">
            <v>1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</row>
        <row r="819">
          <cell r="D819">
            <v>300666</v>
          </cell>
          <cell r="E819" t="str">
            <v>Tucod HS</v>
          </cell>
          <cell r="F819">
            <v>1</v>
          </cell>
          <cell r="G819">
            <v>1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1</v>
          </cell>
          <cell r="M819" t="str">
            <v>if needed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</row>
        <row r="820">
          <cell r="D820">
            <v>300659</v>
          </cell>
          <cell r="E820" t="str">
            <v>Dipintin HS</v>
          </cell>
          <cell r="F820">
            <v>1</v>
          </cell>
          <cell r="G820">
            <v>1</v>
          </cell>
          <cell r="H820">
            <v>1</v>
          </cell>
          <cell r="I820">
            <v>0</v>
          </cell>
          <cell r="J820">
            <v>1</v>
          </cell>
          <cell r="K820">
            <v>0</v>
          </cell>
          <cell r="L820">
            <v>0</v>
          </cell>
          <cell r="M820">
            <v>0</v>
          </cell>
          <cell r="N820">
            <v>1</v>
          </cell>
          <cell r="O820">
            <v>43672</v>
          </cell>
          <cell r="P820">
            <v>0</v>
          </cell>
          <cell r="Q820">
            <v>1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1</v>
          </cell>
          <cell r="W820">
            <v>0</v>
          </cell>
          <cell r="X820">
            <v>0</v>
          </cell>
          <cell r="Y820">
            <v>0</v>
          </cell>
        </row>
        <row r="821">
          <cell r="D821">
            <v>500109</v>
          </cell>
          <cell r="E821" t="str">
            <v>Ifugao Village IS</v>
          </cell>
          <cell r="F821">
            <v>0</v>
          </cell>
          <cell r="G821">
            <v>0</v>
          </cell>
          <cell r="H821">
            <v>1</v>
          </cell>
          <cell r="I821">
            <v>0</v>
          </cell>
          <cell r="J821">
            <v>1</v>
          </cell>
          <cell r="K821">
            <v>0</v>
          </cell>
          <cell r="L821">
            <v>0</v>
          </cell>
          <cell r="M821">
            <v>0</v>
          </cell>
          <cell r="N821">
            <v>1</v>
          </cell>
          <cell r="O821">
            <v>0</v>
          </cell>
          <cell r="P821">
            <v>0</v>
          </cell>
          <cell r="Q821">
            <v>1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1</v>
          </cell>
          <cell r="W821">
            <v>0</v>
          </cell>
          <cell r="X821">
            <v>0</v>
          </cell>
          <cell r="Y821">
            <v>0</v>
          </cell>
        </row>
        <row r="822">
          <cell r="D822">
            <v>500115</v>
          </cell>
          <cell r="E822" t="str">
            <v>Alicia Integrated School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</row>
        <row r="823">
          <cell r="D823">
            <v>500106</v>
          </cell>
          <cell r="E823" t="str">
            <v>Giayan IS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1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1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</row>
        <row r="824">
          <cell r="D824">
            <v>500104</v>
          </cell>
          <cell r="E824" t="str">
            <v>San Antonio Integrated School</v>
          </cell>
          <cell r="F824">
            <v>1</v>
          </cell>
          <cell r="G824">
            <v>0</v>
          </cell>
          <cell r="H824">
            <v>1</v>
          </cell>
          <cell r="I824">
            <v>0</v>
          </cell>
          <cell r="J824">
            <v>0</v>
          </cell>
          <cell r="K824">
            <v>1</v>
          </cell>
          <cell r="L824">
            <v>0</v>
          </cell>
          <cell r="M824">
            <v>0</v>
          </cell>
          <cell r="N824">
            <v>1</v>
          </cell>
          <cell r="O824">
            <v>43719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</row>
        <row r="825">
          <cell r="D825">
            <v>300655</v>
          </cell>
          <cell r="E825" t="str">
            <v>Burgos NHS</v>
          </cell>
          <cell r="F825">
            <v>1</v>
          </cell>
          <cell r="G825">
            <v>1</v>
          </cell>
          <cell r="H825">
            <v>1</v>
          </cell>
          <cell r="I825">
            <v>0</v>
          </cell>
          <cell r="J825">
            <v>1</v>
          </cell>
          <cell r="K825">
            <v>0</v>
          </cell>
          <cell r="L825">
            <v>0</v>
          </cell>
          <cell r="M825">
            <v>0</v>
          </cell>
          <cell r="N825">
            <v>1</v>
          </cell>
          <cell r="O825">
            <v>0</v>
          </cell>
          <cell r="P825">
            <v>0</v>
          </cell>
          <cell r="Q825">
            <v>0</v>
          </cell>
          <cell r="R825">
            <v>1</v>
          </cell>
          <cell r="S825">
            <v>0</v>
          </cell>
          <cell r="T825">
            <v>0</v>
          </cell>
          <cell r="U825">
            <v>0</v>
          </cell>
          <cell r="V825">
            <v>1</v>
          </cell>
          <cell r="W825">
            <v>0</v>
          </cell>
          <cell r="X825">
            <v>0</v>
          </cell>
          <cell r="Y825">
            <v>0</v>
          </cell>
        </row>
        <row r="826">
          <cell r="D826">
            <v>300671</v>
          </cell>
          <cell r="E826" t="str">
            <v>Gosi National High School</v>
          </cell>
          <cell r="F826">
            <v>1</v>
          </cell>
          <cell r="G826">
            <v>1</v>
          </cell>
          <cell r="H826">
            <v>1</v>
          </cell>
          <cell r="I826">
            <v>0</v>
          </cell>
          <cell r="J826">
            <v>1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</row>
        <row r="827">
          <cell r="D827">
            <v>300668</v>
          </cell>
          <cell r="E827" t="str">
            <v>Cagayan National High Sschool</v>
          </cell>
          <cell r="F827">
            <v>1</v>
          </cell>
          <cell r="G827">
            <v>0</v>
          </cell>
          <cell r="H827">
            <v>1</v>
          </cell>
          <cell r="I827">
            <v>0</v>
          </cell>
          <cell r="J827">
            <v>1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 t="str">
            <v>N/A</v>
          </cell>
          <cell r="P827" t="str">
            <v>N/A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 t="str">
            <v>N/A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</row>
        <row r="828">
          <cell r="D828">
            <v>300670</v>
          </cell>
          <cell r="E828" t="str">
            <v>Linao National High School</v>
          </cell>
          <cell r="F828">
            <v>1</v>
          </cell>
          <cell r="G828">
            <v>1</v>
          </cell>
          <cell r="H828">
            <v>1</v>
          </cell>
          <cell r="I828">
            <v>0</v>
          </cell>
          <cell r="J828">
            <v>1</v>
          </cell>
          <cell r="K828">
            <v>0</v>
          </cell>
          <cell r="L828">
            <v>0</v>
          </cell>
          <cell r="M828">
            <v>0</v>
          </cell>
          <cell r="N828">
            <v>1</v>
          </cell>
          <cell r="O828">
            <v>43617</v>
          </cell>
          <cell r="P828">
            <v>43617</v>
          </cell>
          <cell r="Q828">
            <v>0</v>
          </cell>
          <cell r="R828">
            <v>1</v>
          </cell>
          <cell r="S828">
            <v>0</v>
          </cell>
          <cell r="T828">
            <v>0</v>
          </cell>
          <cell r="U828">
            <v>0</v>
          </cell>
          <cell r="V828">
            <v>1</v>
          </cell>
          <cell r="W828">
            <v>20</v>
          </cell>
          <cell r="X828">
            <v>20</v>
          </cell>
          <cell r="Y828">
            <v>20</v>
          </cell>
        </row>
        <row r="829">
          <cell r="D829">
            <v>300669</v>
          </cell>
          <cell r="E829" t="str">
            <v>Cataggaman National High School</v>
          </cell>
          <cell r="F829">
            <v>1</v>
          </cell>
          <cell r="G829">
            <v>1</v>
          </cell>
          <cell r="H829">
            <v>1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1</v>
          </cell>
          <cell r="O829" t="str">
            <v>08-23-2019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1</v>
          </cell>
          <cell r="W829">
            <v>0</v>
          </cell>
          <cell r="X829">
            <v>0</v>
          </cell>
          <cell r="Y829">
            <v>0</v>
          </cell>
        </row>
        <row r="830">
          <cell r="D830">
            <v>306401</v>
          </cell>
          <cell r="E830" t="str">
            <v>Tuguegarao City Science High School</v>
          </cell>
          <cell r="F830">
            <v>1</v>
          </cell>
          <cell r="G830">
            <v>1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</row>
        <row r="831">
          <cell r="D831">
            <v>300516</v>
          </cell>
          <cell r="E831" t="str">
            <v>Cauayan City NHS</v>
          </cell>
          <cell r="F831">
            <v>1</v>
          </cell>
          <cell r="G831">
            <v>1</v>
          </cell>
          <cell r="H831">
            <v>1</v>
          </cell>
          <cell r="I831">
            <v>0</v>
          </cell>
          <cell r="J831">
            <v>0</v>
          </cell>
          <cell r="K831">
            <v>1</v>
          </cell>
          <cell r="L831">
            <v>0</v>
          </cell>
          <cell r="M831">
            <v>0</v>
          </cell>
          <cell r="N831">
            <v>1</v>
          </cell>
          <cell r="O831">
            <v>43624</v>
          </cell>
          <cell r="P831">
            <v>43717</v>
          </cell>
          <cell r="Q831">
            <v>0</v>
          </cell>
          <cell r="R831">
            <v>0</v>
          </cell>
          <cell r="S831">
            <v>0</v>
          </cell>
          <cell r="T831">
            <v>1</v>
          </cell>
          <cell r="U831" t="str">
            <v>weekly</v>
          </cell>
          <cell r="V831">
            <v>1</v>
          </cell>
          <cell r="W831">
            <v>6</v>
          </cell>
          <cell r="X831">
            <v>6</v>
          </cell>
          <cell r="Y831">
            <v>0</v>
          </cell>
        </row>
        <row r="832">
          <cell r="D832">
            <v>306118</v>
          </cell>
          <cell r="E832" t="str">
            <v>Sillawit National High School</v>
          </cell>
          <cell r="F832">
            <v>1</v>
          </cell>
          <cell r="G832">
            <v>1</v>
          </cell>
          <cell r="H832">
            <v>1</v>
          </cell>
          <cell r="I832">
            <v>0</v>
          </cell>
          <cell r="J832">
            <v>1</v>
          </cell>
          <cell r="K832">
            <v>0</v>
          </cell>
          <cell r="L832">
            <v>0</v>
          </cell>
          <cell r="M832">
            <v>0</v>
          </cell>
          <cell r="N832">
            <v>1</v>
          </cell>
          <cell r="O832">
            <v>0</v>
          </cell>
          <cell r="P832">
            <v>0</v>
          </cell>
          <cell r="Q832">
            <v>0</v>
          </cell>
          <cell r="R832">
            <v>1</v>
          </cell>
          <cell r="S832">
            <v>0</v>
          </cell>
          <cell r="T832">
            <v>0</v>
          </cell>
          <cell r="U832">
            <v>0</v>
          </cell>
          <cell r="V832">
            <v>1</v>
          </cell>
          <cell r="W832">
            <v>0</v>
          </cell>
          <cell r="X832">
            <v>0</v>
          </cell>
          <cell r="Y832">
            <v>0</v>
          </cell>
        </row>
        <row r="833">
          <cell r="D833">
            <v>300589</v>
          </cell>
          <cell r="E833" t="str">
            <v>San Antonio National High School</v>
          </cell>
          <cell r="F833">
            <v>1</v>
          </cell>
          <cell r="G833">
            <v>0</v>
          </cell>
          <cell r="H833">
            <v>1</v>
          </cell>
          <cell r="I833">
            <v>0</v>
          </cell>
          <cell r="J833">
            <v>1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 t="str">
            <v>BEFORE THE END OF SEMESTER</v>
          </cell>
          <cell r="Q833">
            <v>1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</row>
        <row r="834">
          <cell r="D834">
            <v>323902</v>
          </cell>
          <cell r="E834" t="str">
            <v>Cauayan City NHS - Cabaruan Ext.</v>
          </cell>
          <cell r="F834">
            <v>1</v>
          </cell>
          <cell r="G834">
            <v>1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43657</v>
          </cell>
          <cell r="Q834">
            <v>1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</row>
        <row r="835">
          <cell r="D835">
            <v>323905</v>
          </cell>
          <cell r="E835" t="str">
            <v>Cauayan National High School- Marabulig Extension</v>
          </cell>
          <cell r="F835">
            <v>1</v>
          </cell>
          <cell r="G835">
            <v>0</v>
          </cell>
          <cell r="H835">
            <v>1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1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1</v>
          </cell>
          <cell r="U835" t="str">
            <v>IF NEEDED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</row>
        <row r="836">
          <cell r="D836">
            <v>300614</v>
          </cell>
          <cell r="E836" t="str">
            <v>Villaluna NHS</v>
          </cell>
          <cell r="F836">
            <v>1</v>
          </cell>
          <cell r="G836">
            <v>0</v>
          </cell>
          <cell r="H836">
            <v>1</v>
          </cell>
          <cell r="I836">
            <v>0</v>
          </cell>
          <cell r="J836">
            <v>1</v>
          </cell>
          <cell r="K836">
            <v>1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</row>
        <row r="837">
          <cell r="D837">
            <v>300567</v>
          </cell>
          <cell r="E837" t="str">
            <v>Pinoma NHS</v>
          </cell>
          <cell r="F837">
            <v>1</v>
          </cell>
          <cell r="G837">
            <v>1</v>
          </cell>
          <cell r="H837">
            <v>1</v>
          </cell>
          <cell r="I837">
            <v>0</v>
          </cell>
          <cell r="J837">
            <v>1</v>
          </cell>
          <cell r="K837">
            <v>0</v>
          </cell>
          <cell r="L837">
            <v>0</v>
          </cell>
          <cell r="M837">
            <v>0</v>
          </cell>
          <cell r="N837">
            <v>1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1</v>
          </cell>
          <cell r="T837">
            <v>0</v>
          </cell>
          <cell r="U837">
            <v>0</v>
          </cell>
          <cell r="V837">
            <v>1</v>
          </cell>
          <cell r="W837">
            <v>2</v>
          </cell>
          <cell r="X837">
            <v>0</v>
          </cell>
          <cell r="Y837">
            <v>0</v>
          </cell>
        </row>
        <row r="838">
          <cell r="D838">
            <v>300613</v>
          </cell>
          <cell r="E838" t="str">
            <v>Villa Concepcion National High School</v>
          </cell>
          <cell r="F838">
            <v>1</v>
          </cell>
          <cell r="G838">
            <v>1</v>
          </cell>
          <cell r="H838">
            <v>1</v>
          </cell>
          <cell r="I838">
            <v>0</v>
          </cell>
          <cell r="J838">
            <v>1</v>
          </cell>
          <cell r="K838">
            <v>0</v>
          </cell>
          <cell r="L838">
            <v>0</v>
          </cell>
          <cell r="M838">
            <v>0</v>
          </cell>
          <cell r="N838">
            <v>1</v>
          </cell>
          <cell r="O838">
            <v>0</v>
          </cell>
          <cell r="P838">
            <v>0</v>
          </cell>
          <cell r="Q838">
            <v>0</v>
          </cell>
          <cell r="R838">
            <v>1</v>
          </cell>
          <cell r="S838">
            <v>0</v>
          </cell>
          <cell r="T838">
            <v>0</v>
          </cell>
          <cell r="U838">
            <v>0</v>
          </cell>
          <cell r="V838">
            <v>1</v>
          </cell>
          <cell r="W838">
            <v>2</v>
          </cell>
          <cell r="X838">
            <v>2</v>
          </cell>
          <cell r="Y838">
            <v>2</v>
          </cell>
        </row>
        <row r="839">
          <cell r="D839">
            <v>306107</v>
          </cell>
          <cell r="E839" t="str">
            <v>WEST TABACAL REGION NATIONAL HIGH SCHOOL</v>
          </cell>
          <cell r="F839">
            <v>1</v>
          </cell>
          <cell r="G839">
            <v>1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L839">
            <v>1</v>
          </cell>
          <cell r="M839">
            <v>0</v>
          </cell>
          <cell r="N839">
            <v>1</v>
          </cell>
          <cell r="O839">
            <v>0</v>
          </cell>
          <cell r="P839">
            <v>0</v>
          </cell>
          <cell r="Q839">
            <v>1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1</v>
          </cell>
          <cell r="W839">
            <v>0</v>
          </cell>
          <cell r="X839">
            <v>0</v>
          </cell>
          <cell r="Y839">
            <v>0</v>
          </cell>
        </row>
        <row r="840">
          <cell r="D840">
            <v>300552</v>
          </cell>
          <cell r="E840" t="str">
            <v>Linglingay NHS</v>
          </cell>
          <cell r="F840">
            <v>1</v>
          </cell>
          <cell r="G840">
            <v>1</v>
          </cell>
          <cell r="H840">
            <v>1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1</v>
          </cell>
          <cell r="O840">
            <v>43467</v>
          </cell>
          <cell r="P840">
            <v>43467</v>
          </cell>
          <cell r="Q840">
            <v>0</v>
          </cell>
          <cell r="R840">
            <v>0</v>
          </cell>
          <cell r="S840">
            <v>1</v>
          </cell>
          <cell r="T840">
            <v>0</v>
          </cell>
          <cell r="U840">
            <v>0</v>
          </cell>
          <cell r="V840">
            <v>1</v>
          </cell>
          <cell r="W840">
            <v>0</v>
          </cell>
          <cell r="X840">
            <v>0</v>
          </cell>
          <cell r="Y840">
            <v>0</v>
          </cell>
        </row>
        <row r="841">
          <cell r="D841">
            <v>300538</v>
          </cell>
          <cell r="E841" t="str">
            <v>Gappal NHS</v>
          </cell>
          <cell r="F841">
            <v>0</v>
          </cell>
          <cell r="G841">
            <v>0</v>
          </cell>
          <cell r="H841">
            <v>1</v>
          </cell>
          <cell r="I841">
            <v>0</v>
          </cell>
          <cell r="J841">
            <v>1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 t="str">
            <v>JUNE 18, 2017</v>
          </cell>
          <cell r="Q841">
            <v>1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1</v>
          </cell>
          <cell r="W841">
            <v>2</v>
          </cell>
          <cell r="X841">
            <v>0</v>
          </cell>
          <cell r="Y841">
            <v>0</v>
          </cell>
        </row>
        <row r="842">
          <cell r="D842">
            <v>323901</v>
          </cell>
          <cell r="E842" t="str">
            <v>Cauayan City NHS - Research Annex</v>
          </cell>
          <cell r="F842">
            <v>1</v>
          </cell>
          <cell r="G842">
            <v>1</v>
          </cell>
          <cell r="H842">
            <v>0</v>
          </cell>
          <cell r="I842">
            <v>0</v>
          </cell>
          <cell r="J842">
            <v>1</v>
          </cell>
          <cell r="K842">
            <v>0</v>
          </cell>
          <cell r="L842">
            <v>0</v>
          </cell>
          <cell r="M842">
            <v>0</v>
          </cell>
          <cell r="N842">
            <v>1</v>
          </cell>
          <cell r="O842" t="str">
            <v>07/31/2019</v>
          </cell>
          <cell r="P842" t="str">
            <v>07/31/2019</v>
          </cell>
          <cell r="Q842">
            <v>0</v>
          </cell>
          <cell r="R842">
            <v>1</v>
          </cell>
          <cell r="S842">
            <v>0</v>
          </cell>
          <cell r="T842">
            <v>0</v>
          </cell>
          <cell r="U842">
            <v>0</v>
          </cell>
          <cell r="V842">
            <v>1</v>
          </cell>
          <cell r="W842">
            <v>0</v>
          </cell>
          <cell r="X842">
            <v>0</v>
          </cell>
          <cell r="Y842">
            <v>0</v>
          </cell>
        </row>
        <row r="843">
          <cell r="D843">
            <v>323903</v>
          </cell>
          <cell r="E843" t="str">
            <v>Villa Concepcion HS - Rogus Ext.</v>
          </cell>
          <cell r="F843">
            <v>0</v>
          </cell>
          <cell r="G843">
            <v>0</v>
          </cell>
          <cell r="H843">
            <v>1</v>
          </cell>
          <cell r="I843">
            <v>0</v>
          </cell>
          <cell r="J843">
            <v>1</v>
          </cell>
          <cell r="K843">
            <v>0</v>
          </cell>
          <cell r="L843">
            <v>0</v>
          </cell>
          <cell r="M843">
            <v>0</v>
          </cell>
          <cell r="N843">
            <v>1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1</v>
          </cell>
          <cell r="W843">
            <v>0</v>
          </cell>
          <cell r="X843">
            <v>0</v>
          </cell>
          <cell r="Y843">
            <v>0</v>
          </cell>
        </row>
        <row r="844">
          <cell r="D844">
            <v>300528</v>
          </cell>
          <cell r="E844" t="str">
            <v>Divisoria High School</v>
          </cell>
          <cell r="F844">
            <v>1</v>
          </cell>
          <cell r="G844">
            <v>0</v>
          </cell>
          <cell r="H844">
            <v>1</v>
          </cell>
          <cell r="I844">
            <v>0</v>
          </cell>
          <cell r="J844">
            <v>1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1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</row>
        <row r="845">
          <cell r="D845">
            <v>300599</v>
          </cell>
          <cell r="E845" t="str">
            <v>Santiago City National High School</v>
          </cell>
          <cell r="F845">
            <v>1</v>
          </cell>
          <cell r="G845">
            <v>1</v>
          </cell>
          <cell r="H845">
            <v>1</v>
          </cell>
          <cell r="I845">
            <v>0</v>
          </cell>
          <cell r="J845">
            <v>1</v>
          </cell>
          <cell r="K845">
            <v>0</v>
          </cell>
          <cell r="L845">
            <v>0</v>
          </cell>
          <cell r="M845">
            <v>0</v>
          </cell>
          <cell r="N845">
            <v>1</v>
          </cell>
          <cell r="O845">
            <v>43707</v>
          </cell>
          <cell r="P845">
            <v>0</v>
          </cell>
          <cell r="Q845">
            <v>0</v>
          </cell>
          <cell r="R845">
            <v>1</v>
          </cell>
          <cell r="S845">
            <v>0</v>
          </cell>
          <cell r="T845">
            <v>0</v>
          </cell>
          <cell r="U845">
            <v>0</v>
          </cell>
          <cell r="V845">
            <v>1</v>
          </cell>
          <cell r="W845">
            <v>1</v>
          </cell>
          <cell r="X845">
            <v>1</v>
          </cell>
          <cell r="Y845">
            <v>1</v>
          </cell>
        </row>
        <row r="846">
          <cell r="D846">
            <v>325202</v>
          </cell>
          <cell r="E846" t="str">
            <v>Santiago City National High School - Sagana</v>
          </cell>
          <cell r="F846">
            <v>1</v>
          </cell>
          <cell r="G846">
            <v>1</v>
          </cell>
          <cell r="H846">
            <v>1</v>
          </cell>
          <cell r="I846">
            <v>1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1</v>
          </cell>
          <cell r="O846">
            <v>43783</v>
          </cell>
          <cell r="P846">
            <v>43780</v>
          </cell>
          <cell r="Q846">
            <v>0</v>
          </cell>
          <cell r="R846">
            <v>1</v>
          </cell>
          <cell r="S846">
            <v>0</v>
          </cell>
          <cell r="T846">
            <v>0</v>
          </cell>
          <cell r="U846">
            <v>0</v>
          </cell>
          <cell r="V846">
            <v>1</v>
          </cell>
          <cell r="W846">
            <v>3</v>
          </cell>
          <cell r="X846">
            <v>3</v>
          </cell>
          <cell r="Y846">
            <v>3</v>
          </cell>
        </row>
        <row r="847">
          <cell r="D847">
            <v>300505</v>
          </cell>
          <cell r="E847" t="str">
            <v>Cabulay High School</v>
          </cell>
          <cell r="F847">
            <v>1</v>
          </cell>
          <cell r="G847">
            <v>1</v>
          </cell>
          <cell r="H847">
            <v>1</v>
          </cell>
          <cell r="I847">
            <v>0</v>
          </cell>
          <cell r="J847">
            <v>1</v>
          </cell>
          <cell r="K847">
            <v>0</v>
          </cell>
          <cell r="L847">
            <v>0</v>
          </cell>
          <cell r="M847">
            <v>0</v>
          </cell>
          <cell r="N847">
            <v>1</v>
          </cell>
          <cell r="O847" t="str">
            <v>08/01/2018</v>
          </cell>
          <cell r="P847">
            <v>0</v>
          </cell>
          <cell r="Q847">
            <v>1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1</v>
          </cell>
          <cell r="W847">
            <v>0</v>
          </cell>
          <cell r="X847">
            <v>0</v>
          </cell>
          <cell r="Y847">
            <v>0</v>
          </cell>
        </row>
        <row r="848">
          <cell r="D848">
            <v>306124</v>
          </cell>
          <cell r="E848" t="str">
            <v>Patul National High School</v>
          </cell>
          <cell r="F848">
            <v>1</v>
          </cell>
          <cell r="G848">
            <v>1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1</v>
          </cell>
          <cell r="O848">
            <v>0</v>
          </cell>
          <cell r="P848">
            <v>0</v>
          </cell>
          <cell r="Q848">
            <v>0</v>
          </cell>
          <cell r="R848">
            <v>1</v>
          </cell>
          <cell r="S848">
            <v>0</v>
          </cell>
          <cell r="T848">
            <v>0</v>
          </cell>
          <cell r="U848">
            <v>0</v>
          </cell>
          <cell r="V848">
            <v>1</v>
          </cell>
          <cell r="W848">
            <v>2</v>
          </cell>
          <cell r="X848">
            <v>1</v>
          </cell>
          <cell r="Y848">
            <v>0</v>
          </cell>
        </row>
        <row r="849">
          <cell r="D849">
            <v>325203</v>
          </cell>
          <cell r="E849" t="str">
            <v>Santiago City National High School - Rosario Extension</v>
          </cell>
          <cell r="F849">
            <v>1</v>
          </cell>
          <cell r="G849">
            <v>1</v>
          </cell>
          <cell r="H849">
            <v>1</v>
          </cell>
          <cell r="I849">
            <v>0</v>
          </cell>
          <cell r="J849">
            <v>0</v>
          </cell>
          <cell r="K849">
            <v>1</v>
          </cell>
          <cell r="L849">
            <v>1</v>
          </cell>
          <cell r="M849">
            <v>0</v>
          </cell>
          <cell r="N849">
            <v>1</v>
          </cell>
          <cell r="O849">
            <v>0</v>
          </cell>
          <cell r="P849">
            <v>0</v>
          </cell>
          <cell r="Q849">
            <v>0</v>
          </cell>
          <cell r="R849">
            <v>1</v>
          </cell>
          <cell r="S849">
            <v>0</v>
          </cell>
          <cell r="T849">
            <v>1</v>
          </cell>
          <cell r="U849" t="str">
            <v>If  there are complaints from parents</v>
          </cell>
          <cell r="V849">
            <v>1</v>
          </cell>
          <cell r="W849">
            <v>0</v>
          </cell>
          <cell r="X849">
            <v>0</v>
          </cell>
          <cell r="Y849">
            <v>0</v>
          </cell>
        </row>
        <row r="850">
          <cell r="D850">
            <v>300578</v>
          </cell>
          <cell r="E850" t="str">
            <v>Rizal National High School</v>
          </cell>
          <cell r="F850">
            <v>1</v>
          </cell>
          <cell r="G850">
            <v>1</v>
          </cell>
          <cell r="H850">
            <v>1</v>
          </cell>
          <cell r="I850">
            <v>0</v>
          </cell>
          <cell r="J850">
            <v>1</v>
          </cell>
          <cell r="K850">
            <v>0</v>
          </cell>
          <cell r="L850">
            <v>0</v>
          </cell>
          <cell r="M850">
            <v>0</v>
          </cell>
          <cell r="N850">
            <v>1</v>
          </cell>
          <cell r="O850">
            <v>43668</v>
          </cell>
          <cell r="P850" t="str">
            <v>N/A</v>
          </cell>
          <cell r="Q850">
            <v>0</v>
          </cell>
          <cell r="R850">
            <v>0</v>
          </cell>
          <cell r="S850">
            <v>0</v>
          </cell>
          <cell r="T850">
            <v>1</v>
          </cell>
          <cell r="U850" t="str">
            <v>LGU Monitoring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</row>
        <row r="851">
          <cell r="D851">
            <v>325201</v>
          </cell>
          <cell r="E851" t="str">
            <v>Santiago City National High School - Sinsayon</v>
          </cell>
          <cell r="F851">
            <v>1</v>
          </cell>
          <cell r="G851">
            <v>1</v>
          </cell>
          <cell r="H851">
            <v>0</v>
          </cell>
          <cell r="I851">
            <v>0</v>
          </cell>
          <cell r="J851">
            <v>1</v>
          </cell>
          <cell r="K851">
            <v>0</v>
          </cell>
          <cell r="L851">
            <v>0</v>
          </cell>
          <cell r="M851">
            <v>0</v>
          </cell>
          <cell r="N851">
            <v>1</v>
          </cell>
          <cell r="O851">
            <v>0</v>
          </cell>
          <cell r="P851">
            <v>0</v>
          </cell>
          <cell r="Q851">
            <v>1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2</v>
          </cell>
          <cell r="X851">
            <v>0</v>
          </cell>
          <cell r="Y851">
            <v>0</v>
          </cell>
        </row>
        <row r="852">
          <cell r="D852">
            <v>300542</v>
          </cell>
          <cell r="E852" t="str">
            <v>Isabela NHS - Main</v>
          </cell>
          <cell r="F852">
            <v>1</v>
          </cell>
          <cell r="G852">
            <v>1</v>
          </cell>
          <cell r="H852">
            <v>1</v>
          </cell>
          <cell r="I852">
            <v>1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1</v>
          </cell>
          <cell r="O852">
            <v>43620</v>
          </cell>
          <cell r="P852">
            <v>43620</v>
          </cell>
          <cell r="Q852">
            <v>1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1</v>
          </cell>
          <cell r="W852">
            <v>0</v>
          </cell>
          <cell r="X852">
            <v>0</v>
          </cell>
          <cell r="Y852">
            <v>0</v>
          </cell>
        </row>
        <row r="853">
          <cell r="D853">
            <v>500080</v>
          </cell>
          <cell r="E853" t="str">
            <v>Lupigue Integrated School (formerly Lupigue ES)</v>
          </cell>
          <cell r="F853">
            <v>1</v>
          </cell>
          <cell r="G853">
            <v>1</v>
          </cell>
          <cell r="H853">
            <v>1</v>
          </cell>
          <cell r="I853">
            <v>1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1</v>
          </cell>
          <cell r="O853" t="str">
            <v>7/27/2019</v>
          </cell>
          <cell r="P853" t="str">
            <v>11/15/2019</v>
          </cell>
          <cell r="Q853">
            <v>0</v>
          </cell>
          <cell r="R853">
            <v>1</v>
          </cell>
          <cell r="S853">
            <v>0</v>
          </cell>
          <cell r="T853">
            <v>0</v>
          </cell>
          <cell r="U853">
            <v>0</v>
          </cell>
          <cell r="V853">
            <v>1</v>
          </cell>
          <cell r="W853">
            <v>0</v>
          </cell>
          <cell r="X853">
            <v>0</v>
          </cell>
          <cell r="Y853">
            <v>0</v>
          </cell>
        </row>
        <row r="854">
          <cell r="D854">
            <v>500731</v>
          </cell>
          <cell r="E854" t="str">
            <v>Sindun Bayabo IS</v>
          </cell>
          <cell r="F854">
            <v>1</v>
          </cell>
          <cell r="G854">
            <v>1</v>
          </cell>
          <cell r="H854">
            <v>1</v>
          </cell>
          <cell r="I854">
            <v>0</v>
          </cell>
          <cell r="J854">
            <v>1</v>
          </cell>
          <cell r="K854">
            <v>0</v>
          </cell>
          <cell r="L854">
            <v>0</v>
          </cell>
          <cell r="M854">
            <v>0</v>
          </cell>
          <cell r="N854">
            <v>1</v>
          </cell>
          <cell r="O854" t="str">
            <v>7/26/2019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</row>
        <row r="855">
          <cell r="D855">
            <v>300602</v>
          </cell>
          <cell r="E855" t="str">
            <v>Sta. Isabel National High School</v>
          </cell>
          <cell r="F855">
            <v>1</v>
          </cell>
          <cell r="G855">
            <v>0</v>
          </cell>
          <cell r="H855">
            <v>1</v>
          </cell>
          <cell r="I855">
            <v>0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</row>
        <row r="856">
          <cell r="D856">
            <v>300540</v>
          </cell>
          <cell r="E856" t="str">
            <v>Ilagan West NHS</v>
          </cell>
          <cell r="F856">
            <v>1</v>
          </cell>
          <cell r="G856">
            <v>1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</row>
        <row r="857">
          <cell r="D857">
            <v>300583</v>
          </cell>
          <cell r="E857" t="str">
            <v>San Antonio Nat'l. Agro-Ind'l. &amp; Voc'l. HS</v>
          </cell>
          <cell r="F857">
            <v>0</v>
          </cell>
          <cell r="G857">
            <v>0</v>
          </cell>
          <cell r="H857">
            <v>1</v>
          </cell>
          <cell r="I857">
            <v>0</v>
          </cell>
          <cell r="J857">
            <v>0</v>
          </cell>
          <cell r="K857">
            <v>0</v>
          </cell>
          <cell r="L857">
            <v>1</v>
          </cell>
          <cell r="M857" t="str">
            <v>as the needs arises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</row>
        <row r="858">
          <cell r="D858">
            <v>306149</v>
          </cell>
          <cell r="E858" t="str">
            <v>ISAT-Cabannungan Annex</v>
          </cell>
          <cell r="F858">
            <v>1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 t="str">
            <v>N/A</v>
          </cell>
          <cell r="P858" t="str">
            <v>N/A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</row>
        <row r="859">
          <cell r="D859">
            <v>500018</v>
          </cell>
          <cell r="E859" t="str">
            <v>SAN LORENZO INTEGRATED SCHOOL</v>
          </cell>
          <cell r="F859">
            <v>1</v>
          </cell>
          <cell r="G859">
            <v>1</v>
          </cell>
          <cell r="H859">
            <v>1</v>
          </cell>
          <cell r="I859">
            <v>0</v>
          </cell>
          <cell r="J859">
            <v>1</v>
          </cell>
          <cell r="K859">
            <v>0</v>
          </cell>
          <cell r="L859">
            <v>0</v>
          </cell>
          <cell r="M859">
            <v>0</v>
          </cell>
          <cell r="N859">
            <v>1</v>
          </cell>
          <cell r="O859">
            <v>0</v>
          </cell>
          <cell r="P859">
            <v>0</v>
          </cell>
          <cell r="Q859">
            <v>0</v>
          </cell>
          <cell r="R859">
            <v>1</v>
          </cell>
          <cell r="S859">
            <v>0</v>
          </cell>
          <cell r="T859">
            <v>0</v>
          </cell>
          <cell r="U859">
            <v>0</v>
          </cell>
          <cell r="V859">
            <v>1</v>
          </cell>
          <cell r="W859">
            <v>0</v>
          </cell>
          <cell r="X859">
            <v>0</v>
          </cell>
          <cell r="Y859">
            <v>0</v>
          </cell>
        </row>
        <row r="860">
          <cell r="D860">
            <v>300543</v>
          </cell>
          <cell r="E860" t="str">
            <v>Rang-ayan NHS (Isabela NHS - Rang-ayan Annex)</v>
          </cell>
          <cell r="F860">
            <v>1</v>
          </cell>
          <cell r="G860">
            <v>1</v>
          </cell>
          <cell r="H860">
            <v>1</v>
          </cell>
          <cell r="I860">
            <v>0</v>
          </cell>
          <cell r="J860">
            <v>1</v>
          </cell>
          <cell r="K860">
            <v>0</v>
          </cell>
          <cell r="L860">
            <v>0</v>
          </cell>
          <cell r="M860">
            <v>0</v>
          </cell>
          <cell r="N860">
            <v>1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1</v>
          </cell>
          <cell r="W860">
            <v>0</v>
          </cell>
          <cell r="X860">
            <v>0</v>
          </cell>
          <cell r="Y860">
            <v>0</v>
          </cell>
        </row>
        <row r="861">
          <cell r="D861">
            <v>500087</v>
          </cell>
          <cell r="E861" t="str">
            <v>Gayong-Gayong Sur Integrated School</v>
          </cell>
          <cell r="F861">
            <v>1</v>
          </cell>
          <cell r="G861">
            <v>1</v>
          </cell>
          <cell r="H861">
            <v>1</v>
          </cell>
          <cell r="I861">
            <v>1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1</v>
          </cell>
          <cell r="O861">
            <v>43626</v>
          </cell>
          <cell r="P861">
            <v>43626</v>
          </cell>
          <cell r="Q861">
            <v>0</v>
          </cell>
          <cell r="R861">
            <v>1</v>
          </cell>
          <cell r="S861">
            <v>0</v>
          </cell>
          <cell r="T861">
            <v>0</v>
          </cell>
          <cell r="U861">
            <v>0</v>
          </cell>
          <cell r="V861">
            <v>1</v>
          </cell>
          <cell r="W861">
            <v>0</v>
          </cell>
          <cell r="X861">
            <v>0</v>
          </cell>
          <cell r="Y861">
            <v>0</v>
          </cell>
        </row>
        <row r="862">
          <cell r="D862">
            <v>500078</v>
          </cell>
          <cell r="E862" t="str">
            <v>Manaring IS (Bangag-Manaring-Capo ES)</v>
          </cell>
          <cell r="F862">
            <v>1</v>
          </cell>
          <cell r="G862">
            <v>1</v>
          </cell>
          <cell r="H862">
            <v>1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</row>
        <row r="863">
          <cell r="D863">
            <v>300584</v>
          </cell>
          <cell r="E863" t="str">
            <v>San Rafael Nat'l &amp; Voc'l HS (San Antonio NAIVHS-San Rafael Annex)</v>
          </cell>
          <cell r="F863">
            <v>1</v>
          </cell>
          <cell r="G863">
            <v>1</v>
          </cell>
          <cell r="H863">
            <v>1</v>
          </cell>
          <cell r="I863">
            <v>1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1</v>
          </cell>
          <cell r="O863">
            <v>43763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 t="str">
            <v>Daily</v>
          </cell>
          <cell r="V863">
            <v>1</v>
          </cell>
          <cell r="W863">
            <v>15</v>
          </cell>
          <cell r="X863">
            <v>0</v>
          </cell>
          <cell r="Y863">
            <v>0</v>
          </cell>
        </row>
        <row r="864">
          <cell r="D864">
            <v>306105</v>
          </cell>
          <cell r="E864" t="str">
            <v>ISAT-Main</v>
          </cell>
          <cell r="F864">
            <v>1</v>
          </cell>
          <cell r="G864">
            <v>1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1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</row>
        <row r="865">
          <cell r="D865">
            <v>501548</v>
          </cell>
          <cell r="E865" t="str">
            <v>Dappat Integrated School</v>
          </cell>
          <cell r="F865">
            <v>1</v>
          </cell>
          <cell r="G865">
            <v>1</v>
          </cell>
          <cell r="H865">
            <v>1</v>
          </cell>
          <cell r="I865">
            <v>0</v>
          </cell>
          <cell r="J865">
            <v>1</v>
          </cell>
          <cell r="K865">
            <v>0</v>
          </cell>
          <cell r="L865">
            <v>0</v>
          </cell>
          <cell r="M865">
            <v>0</v>
          </cell>
          <cell r="N865">
            <v>1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1</v>
          </cell>
          <cell r="T865">
            <v>0</v>
          </cell>
          <cell r="U865">
            <v>0</v>
          </cell>
          <cell r="V865">
            <v>1</v>
          </cell>
          <cell r="W865">
            <v>1</v>
          </cell>
          <cell r="X865">
            <v>1</v>
          </cell>
          <cell r="Y865">
            <v>0</v>
          </cell>
        </row>
        <row r="866">
          <cell r="D866">
            <v>300790</v>
          </cell>
          <cell r="E866" t="str">
            <v>Bongabon NHS</v>
          </cell>
          <cell r="F866">
            <v>0</v>
          </cell>
          <cell r="G866">
            <v>0</v>
          </cell>
          <cell r="H866">
            <v>1</v>
          </cell>
          <cell r="I866">
            <v>1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1</v>
          </cell>
          <cell r="U866" t="str">
            <v>Not Yet Monitored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</row>
        <row r="867">
          <cell r="D867">
            <v>300963</v>
          </cell>
          <cell r="E867" t="str">
            <v>Dueg High School</v>
          </cell>
          <cell r="F867">
            <v>1</v>
          </cell>
          <cell r="G867">
            <v>1</v>
          </cell>
          <cell r="H867">
            <v>1</v>
          </cell>
          <cell r="I867">
            <v>1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43682</v>
          </cell>
          <cell r="Q867">
            <v>0</v>
          </cell>
          <cell r="R867">
            <v>1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</row>
        <row r="868">
          <cell r="D868">
            <v>300981</v>
          </cell>
          <cell r="E868" t="str">
            <v>Quezon NHS</v>
          </cell>
          <cell r="F868">
            <v>1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1</v>
          </cell>
          <cell r="L868">
            <v>0</v>
          </cell>
          <cell r="M868">
            <v>0</v>
          </cell>
          <cell r="N868">
            <v>0</v>
          </cell>
          <cell r="O868" t="str">
            <v>11/28/2018</v>
          </cell>
          <cell r="P868">
            <v>0</v>
          </cell>
          <cell r="Q868">
            <v>0</v>
          </cell>
          <cell r="R868">
            <v>0</v>
          </cell>
          <cell r="S868">
            <v>1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</row>
        <row r="869">
          <cell r="D869">
            <v>300949</v>
          </cell>
          <cell r="E869" t="str">
            <v>Anastacio G. Yumul High School</v>
          </cell>
          <cell r="F869">
            <v>1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</row>
        <row r="870">
          <cell r="D870">
            <v>300819</v>
          </cell>
          <cell r="E870" t="str">
            <v>Maligaya National High School</v>
          </cell>
          <cell r="F870">
            <v>1</v>
          </cell>
          <cell r="G870">
            <v>1</v>
          </cell>
          <cell r="H870">
            <v>1</v>
          </cell>
          <cell r="I870">
            <v>0</v>
          </cell>
          <cell r="J870">
            <v>1</v>
          </cell>
          <cell r="K870">
            <v>0</v>
          </cell>
          <cell r="L870">
            <v>0</v>
          </cell>
          <cell r="M870">
            <v>0</v>
          </cell>
          <cell r="N870">
            <v>1</v>
          </cell>
          <cell r="O870">
            <v>43624</v>
          </cell>
          <cell r="P870">
            <v>43631</v>
          </cell>
          <cell r="Q870">
            <v>1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2</v>
          </cell>
          <cell r="X870">
            <v>2</v>
          </cell>
          <cell r="Y870">
            <v>2</v>
          </cell>
        </row>
        <row r="871">
          <cell r="D871">
            <v>300966</v>
          </cell>
          <cell r="E871" t="str">
            <v>Guevara NHS</v>
          </cell>
          <cell r="F871">
            <v>1</v>
          </cell>
          <cell r="G871">
            <v>0</v>
          </cell>
          <cell r="H871">
            <v>1</v>
          </cell>
          <cell r="I871">
            <v>0</v>
          </cell>
          <cell r="J871">
            <v>1</v>
          </cell>
          <cell r="K871">
            <v>0</v>
          </cell>
          <cell r="L871">
            <v>0</v>
          </cell>
          <cell r="M871">
            <v>0</v>
          </cell>
          <cell r="N871">
            <v>1</v>
          </cell>
          <cell r="O871" t="str">
            <v>July 3, 2019</v>
          </cell>
          <cell r="P871" t="str">
            <v>July 3, 2019</v>
          </cell>
          <cell r="Q871">
            <v>1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</row>
        <row r="872">
          <cell r="D872">
            <v>300792</v>
          </cell>
          <cell r="E872" t="str">
            <v>Cabiao National High School</v>
          </cell>
          <cell r="F872">
            <v>1</v>
          </cell>
          <cell r="G872">
            <v>1</v>
          </cell>
          <cell r="H872">
            <v>1</v>
          </cell>
          <cell r="I872">
            <v>0</v>
          </cell>
          <cell r="J872">
            <v>1</v>
          </cell>
          <cell r="K872">
            <v>0</v>
          </cell>
          <cell r="L872">
            <v>0</v>
          </cell>
          <cell r="M872">
            <v>0</v>
          </cell>
          <cell r="N872">
            <v>1</v>
          </cell>
          <cell r="O872">
            <v>43656</v>
          </cell>
          <cell r="P872">
            <v>43656</v>
          </cell>
          <cell r="Q872">
            <v>0</v>
          </cell>
          <cell r="R872">
            <v>1</v>
          </cell>
          <cell r="S872">
            <v>0</v>
          </cell>
          <cell r="T872">
            <v>0</v>
          </cell>
          <cell r="U872">
            <v>0</v>
          </cell>
          <cell r="V872">
            <v>1</v>
          </cell>
          <cell r="W872">
            <v>0</v>
          </cell>
          <cell r="X872">
            <v>0</v>
          </cell>
          <cell r="Y872">
            <v>0</v>
          </cell>
        </row>
        <row r="873">
          <cell r="D873">
            <v>300985</v>
          </cell>
          <cell r="E873" t="str">
            <v>San Felipe HS</v>
          </cell>
          <cell r="F873">
            <v>1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1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43626</v>
          </cell>
          <cell r="Q873">
            <v>0</v>
          </cell>
          <cell r="R873">
            <v>0</v>
          </cell>
          <cell r="S873">
            <v>1</v>
          </cell>
          <cell r="T873">
            <v>0</v>
          </cell>
          <cell r="U873">
            <v>0</v>
          </cell>
          <cell r="V873">
            <v>0</v>
          </cell>
          <cell r="W873">
            <v>1</v>
          </cell>
          <cell r="X873">
            <v>1</v>
          </cell>
          <cell r="Y873">
            <v>1</v>
          </cell>
        </row>
        <row r="874">
          <cell r="D874">
            <v>307017</v>
          </cell>
          <cell r="E874" t="str">
            <v>Caluluan High School Annex</v>
          </cell>
          <cell r="F874">
            <v>1</v>
          </cell>
          <cell r="G874">
            <v>0</v>
          </cell>
          <cell r="H874">
            <v>1</v>
          </cell>
          <cell r="I874">
            <v>0</v>
          </cell>
          <cell r="J874">
            <v>1</v>
          </cell>
          <cell r="K874">
            <v>0</v>
          </cell>
          <cell r="L874">
            <v>0</v>
          </cell>
          <cell r="M874">
            <v>0</v>
          </cell>
          <cell r="N874">
            <v>1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</row>
        <row r="875">
          <cell r="D875">
            <v>300808</v>
          </cell>
          <cell r="E875" t="str">
            <v>General Tinio NHS</v>
          </cell>
          <cell r="F875">
            <v>1</v>
          </cell>
          <cell r="G875">
            <v>0</v>
          </cell>
          <cell r="H875">
            <v>1</v>
          </cell>
          <cell r="I875">
            <v>0</v>
          </cell>
          <cell r="J875">
            <v>1</v>
          </cell>
          <cell r="K875">
            <v>0</v>
          </cell>
          <cell r="L875">
            <v>0</v>
          </cell>
          <cell r="M875">
            <v>0</v>
          </cell>
          <cell r="N875">
            <v>1</v>
          </cell>
          <cell r="O875">
            <v>43658</v>
          </cell>
          <cell r="P875">
            <v>43679</v>
          </cell>
          <cell r="Q875">
            <v>1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1</v>
          </cell>
          <cell r="W875">
            <v>3</v>
          </cell>
          <cell r="X875">
            <v>1</v>
          </cell>
          <cell r="Y875">
            <v>1</v>
          </cell>
        </row>
        <row r="876">
          <cell r="D876">
            <v>300834</v>
          </cell>
          <cell r="E876" t="str">
            <v>Pulo NHS</v>
          </cell>
          <cell r="F876">
            <v>1</v>
          </cell>
          <cell r="G876">
            <v>1</v>
          </cell>
          <cell r="H876">
            <v>1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1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</row>
        <row r="877">
          <cell r="D877">
            <v>301060</v>
          </cell>
          <cell r="E877" t="str">
            <v>San Jose del Monte National HS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</row>
        <row r="878">
          <cell r="D878">
            <v>300823</v>
          </cell>
          <cell r="E878" t="str">
            <v>Mataas Na Kahoy National High School</v>
          </cell>
          <cell r="F878">
            <v>1</v>
          </cell>
          <cell r="G878">
            <v>1</v>
          </cell>
          <cell r="H878">
            <v>1</v>
          </cell>
          <cell r="I878">
            <v>0</v>
          </cell>
          <cell r="J878">
            <v>1</v>
          </cell>
          <cell r="K878">
            <v>0</v>
          </cell>
          <cell r="L878">
            <v>0</v>
          </cell>
          <cell r="M878">
            <v>0</v>
          </cell>
          <cell r="N878">
            <v>1</v>
          </cell>
          <cell r="O878" t="str">
            <v>JUNE 14, 2019</v>
          </cell>
          <cell r="P878" t="str">
            <v>JULY 16, 2019</v>
          </cell>
          <cell r="Q878">
            <v>0</v>
          </cell>
          <cell r="R878">
            <v>1</v>
          </cell>
          <cell r="S878">
            <v>0</v>
          </cell>
          <cell r="T878">
            <v>0</v>
          </cell>
          <cell r="U878">
            <v>0</v>
          </cell>
          <cell r="V878">
            <v>1</v>
          </cell>
          <cell r="W878">
            <v>2</v>
          </cell>
          <cell r="X878">
            <v>0</v>
          </cell>
          <cell r="Y878">
            <v>0</v>
          </cell>
        </row>
        <row r="879">
          <cell r="D879">
            <v>300857</v>
          </cell>
          <cell r="E879" t="str">
            <v>Sto. Domingo NTS</v>
          </cell>
          <cell r="F879">
            <v>1</v>
          </cell>
          <cell r="G879">
            <v>1</v>
          </cell>
          <cell r="H879">
            <v>1</v>
          </cell>
          <cell r="I879">
            <v>0</v>
          </cell>
          <cell r="J879">
            <v>1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1</v>
          </cell>
          <cell r="W879">
            <v>0</v>
          </cell>
          <cell r="X879">
            <v>0</v>
          </cell>
          <cell r="Y879">
            <v>0</v>
          </cell>
        </row>
        <row r="880">
          <cell r="D880">
            <v>500120</v>
          </cell>
          <cell r="E880" t="str">
            <v>Gen. Luna Integrated HS</v>
          </cell>
          <cell r="F880">
            <v>1</v>
          </cell>
          <cell r="G880">
            <v>1</v>
          </cell>
          <cell r="H880">
            <v>1</v>
          </cell>
          <cell r="I880">
            <v>0</v>
          </cell>
          <cell r="J880">
            <v>1</v>
          </cell>
          <cell r="K880">
            <v>0</v>
          </cell>
          <cell r="L880">
            <v>0</v>
          </cell>
          <cell r="M880">
            <v>0</v>
          </cell>
          <cell r="N880">
            <v>1</v>
          </cell>
          <cell r="O880">
            <v>43647</v>
          </cell>
          <cell r="P880" t="str">
            <v>07/31/2019</v>
          </cell>
          <cell r="Q880">
            <v>0</v>
          </cell>
          <cell r="R880">
            <v>1</v>
          </cell>
          <cell r="S880">
            <v>0</v>
          </cell>
          <cell r="T880">
            <v>0</v>
          </cell>
          <cell r="U880">
            <v>0</v>
          </cell>
          <cell r="V880">
            <v>1</v>
          </cell>
          <cell r="W880">
            <v>2</v>
          </cell>
          <cell r="X880">
            <v>0</v>
          </cell>
          <cell r="Y880">
            <v>0</v>
          </cell>
        </row>
        <row r="881">
          <cell r="D881">
            <v>300858</v>
          </cell>
          <cell r="E881" t="str">
            <v>Sto. Rosario NHS , Sta. Rosa</v>
          </cell>
          <cell r="F881">
            <v>1</v>
          </cell>
          <cell r="G881">
            <v>1</v>
          </cell>
          <cell r="H881">
            <v>1</v>
          </cell>
          <cell r="I881">
            <v>0</v>
          </cell>
          <cell r="J881">
            <v>1</v>
          </cell>
          <cell r="K881">
            <v>0</v>
          </cell>
          <cell r="L881">
            <v>0</v>
          </cell>
          <cell r="M881">
            <v>0</v>
          </cell>
          <cell r="N881">
            <v>1</v>
          </cell>
          <cell r="O881">
            <v>0</v>
          </cell>
          <cell r="P881" t="str">
            <v>6/21/2019</v>
          </cell>
          <cell r="Q881">
            <v>0</v>
          </cell>
          <cell r="R881">
            <v>0</v>
          </cell>
          <cell r="S881">
            <v>0</v>
          </cell>
          <cell r="T881">
            <v>1</v>
          </cell>
          <cell r="U881" t="str">
            <v>MORE FREQUENT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</row>
        <row r="882">
          <cell r="D882">
            <v>300784</v>
          </cell>
          <cell r="E882" t="str">
            <v>Andres Bonifacio NHS</v>
          </cell>
          <cell r="F882">
            <v>1</v>
          </cell>
          <cell r="G882">
            <v>0</v>
          </cell>
          <cell r="H882">
            <v>1</v>
          </cell>
          <cell r="I882">
            <v>0</v>
          </cell>
          <cell r="J882">
            <v>1</v>
          </cell>
          <cell r="K882">
            <v>0</v>
          </cell>
          <cell r="L882">
            <v>0</v>
          </cell>
          <cell r="M882">
            <v>0</v>
          </cell>
          <cell r="N882">
            <v>1</v>
          </cell>
          <cell r="O882">
            <v>43492</v>
          </cell>
          <cell r="P882">
            <v>43469</v>
          </cell>
          <cell r="Q882">
            <v>0</v>
          </cell>
          <cell r="R882">
            <v>1</v>
          </cell>
          <cell r="S882">
            <v>0</v>
          </cell>
          <cell r="T882">
            <v>0</v>
          </cell>
          <cell r="U882">
            <v>0</v>
          </cell>
          <cell r="V882">
            <v>1</v>
          </cell>
          <cell r="W882">
            <v>0</v>
          </cell>
          <cell r="X882">
            <v>0</v>
          </cell>
          <cell r="Y882">
            <v>0</v>
          </cell>
        </row>
        <row r="883">
          <cell r="D883">
            <v>300860</v>
          </cell>
          <cell r="E883" t="str">
            <v>Vicente R. Bumanlag, Sr. National HS</v>
          </cell>
          <cell r="F883">
            <v>1</v>
          </cell>
          <cell r="G883">
            <v>1</v>
          </cell>
          <cell r="H883">
            <v>1</v>
          </cell>
          <cell r="I883">
            <v>0</v>
          </cell>
          <cell r="J883">
            <v>1</v>
          </cell>
          <cell r="K883">
            <v>0</v>
          </cell>
          <cell r="L883">
            <v>0</v>
          </cell>
          <cell r="M883">
            <v>0</v>
          </cell>
          <cell r="N883">
            <v>1</v>
          </cell>
          <cell r="O883" t="str">
            <v>June 2019</v>
          </cell>
          <cell r="P883" t="str">
            <v>June 2019</v>
          </cell>
          <cell r="Q883">
            <v>1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1</v>
          </cell>
          <cell r="W883">
            <v>3</v>
          </cell>
          <cell r="X883">
            <v>0</v>
          </cell>
          <cell r="Y883">
            <v>0</v>
          </cell>
        </row>
        <row r="884">
          <cell r="D884">
            <v>306701</v>
          </cell>
          <cell r="E884" t="str">
            <v>Jaime J. Vistan High School</v>
          </cell>
          <cell r="F884">
            <v>1</v>
          </cell>
          <cell r="G884">
            <v>1</v>
          </cell>
          <cell r="H884">
            <v>1</v>
          </cell>
          <cell r="I884">
            <v>0</v>
          </cell>
          <cell r="J884">
            <v>0</v>
          </cell>
          <cell r="K884">
            <v>1</v>
          </cell>
          <cell r="L884">
            <v>0</v>
          </cell>
          <cell r="M884">
            <v>0</v>
          </cell>
          <cell r="N884">
            <v>1</v>
          </cell>
          <cell r="O884">
            <v>43620</v>
          </cell>
          <cell r="P884">
            <v>43686</v>
          </cell>
          <cell r="Q884">
            <v>0</v>
          </cell>
          <cell r="R884">
            <v>1</v>
          </cell>
          <cell r="S884">
            <v>0</v>
          </cell>
          <cell r="T884">
            <v>0</v>
          </cell>
          <cell r="U884">
            <v>0</v>
          </cell>
          <cell r="V884">
            <v>1</v>
          </cell>
          <cell r="W884">
            <v>0</v>
          </cell>
          <cell r="X884">
            <v>0</v>
          </cell>
          <cell r="Y884">
            <v>0</v>
          </cell>
        </row>
        <row r="885">
          <cell r="D885">
            <v>300976</v>
          </cell>
          <cell r="E885" t="str">
            <v>Cristo Rey HS (ORES)</v>
          </cell>
          <cell r="F885">
            <v>1</v>
          </cell>
          <cell r="G885">
            <v>1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</row>
        <row r="886">
          <cell r="D886">
            <v>300873</v>
          </cell>
          <cell r="E886" t="str">
            <v>Arayat National High School</v>
          </cell>
          <cell r="F886">
            <v>1</v>
          </cell>
          <cell r="G886">
            <v>1</v>
          </cell>
          <cell r="H886">
            <v>1</v>
          </cell>
          <cell r="I886">
            <v>0</v>
          </cell>
          <cell r="J886">
            <v>1</v>
          </cell>
          <cell r="K886">
            <v>0</v>
          </cell>
          <cell r="L886">
            <v>0</v>
          </cell>
          <cell r="M886">
            <v>0</v>
          </cell>
          <cell r="N886">
            <v>1</v>
          </cell>
          <cell r="O886">
            <v>43620</v>
          </cell>
          <cell r="P886">
            <v>0</v>
          </cell>
          <cell r="Q886">
            <v>0</v>
          </cell>
          <cell r="R886">
            <v>1</v>
          </cell>
          <cell r="S886">
            <v>0</v>
          </cell>
          <cell r="T886">
            <v>0</v>
          </cell>
          <cell r="U886">
            <v>0</v>
          </cell>
          <cell r="V886">
            <v>1</v>
          </cell>
          <cell r="W886">
            <v>0</v>
          </cell>
          <cell r="X886">
            <v>0</v>
          </cell>
          <cell r="Y886">
            <v>0</v>
          </cell>
        </row>
        <row r="887">
          <cell r="D887">
            <v>300796</v>
          </cell>
          <cell r="E887" t="str">
            <v>Carmen NHS</v>
          </cell>
          <cell r="F887">
            <v>1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</row>
        <row r="888">
          <cell r="D888">
            <v>500122</v>
          </cell>
          <cell r="E888" t="str">
            <v>Sta. Barbara Integrated School</v>
          </cell>
          <cell r="F888">
            <v>1</v>
          </cell>
          <cell r="G888">
            <v>1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1</v>
          </cell>
          <cell r="O888">
            <v>0</v>
          </cell>
          <cell r="P888">
            <v>0</v>
          </cell>
          <cell r="Q888">
            <v>0</v>
          </cell>
          <cell r="R888">
            <v>1</v>
          </cell>
          <cell r="S888">
            <v>0</v>
          </cell>
          <cell r="T888">
            <v>0</v>
          </cell>
          <cell r="U888">
            <v>0</v>
          </cell>
          <cell r="V888">
            <v>1</v>
          </cell>
          <cell r="W888">
            <v>0</v>
          </cell>
          <cell r="X888">
            <v>0</v>
          </cell>
          <cell r="Y888">
            <v>0</v>
          </cell>
        </row>
        <row r="889">
          <cell r="D889">
            <v>300799</v>
          </cell>
          <cell r="E889" t="str">
            <v>Digdig HS</v>
          </cell>
          <cell r="F889">
            <v>1</v>
          </cell>
          <cell r="G889">
            <v>1</v>
          </cell>
          <cell r="H889">
            <v>1</v>
          </cell>
          <cell r="I889">
            <v>1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</row>
        <row r="890">
          <cell r="D890">
            <v>300930</v>
          </cell>
          <cell r="E890" t="str">
            <v>San Vicente-San Francisco NHS</v>
          </cell>
          <cell r="F890">
            <v>1</v>
          </cell>
          <cell r="G890">
            <v>1</v>
          </cell>
          <cell r="H890">
            <v>1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1</v>
          </cell>
          <cell r="O890">
            <v>43669</v>
          </cell>
          <cell r="P890">
            <v>0</v>
          </cell>
          <cell r="Q890">
            <v>0</v>
          </cell>
          <cell r="R890">
            <v>1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</row>
        <row r="891">
          <cell r="D891">
            <v>300828</v>
          </cell>
          <cell r="E891" t="str">
            <v>Palayan City National High School</v>
          </cell>
          <cell r="F891">
            <v>1</v>
          </cell>
          <cell r="G891">
            <v>0</v>
          </cell>
          <cell r="H891">
            <v>1</v>
          </cell>
          <cell r="I891">
            <v>0</v>
          </cell>
          <cell r="J891">
            <v>1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1</v>
          </cell>
          <cell r="T891">
            <v>0</v>
          </cell>
          <cell r="U891">
            <v>0</v>
          </cell>
          <cell r="V891">
            <v>1</v>
          </cell>
          <cell r="W891">
            <v>0</v>
          </cell>
          <cell r="X891">
            <v>0</v>
          </cell>
          <cell r="Y891">
            <v>0</v>
          </cell>
        </row>
        <row r="892">
          <cell r="D892">
            <v>306813</v>
          </cell>
          <cell r="E892" t="str">
            <v>Bongabon NHS Annex (Vega HS)</v>
          </cell>
          <cell r="F892">
            <v>1</v>
          </cell>
          <cell r="G892">
            <v>0</v>
          </cell>
          <cell r="H892">
            <v>1</v>
          </cell>
          <cell r="I892">
            <v>0</v>
          </cell>
          <cell r="J892">
            <v>1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 t="str">
            <v>06/28/2019</v>
          </cell>
          <cell r="Q892">
            <v>0</v>
          </cell>
          <cell r="R892">
            <v>1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</row>
        <row r="893">
          <cell r="D893">
            <v>300517</v>
          </cell>
          <cell r="E893" t="str">
            <v>GREGORIO T. CRESPO MEMORIAL HIGH SCHOOL</v>
          </cell>
          <cell r="F893">
            <v>1</v>
          </cell>
          <cell r="G893">
            <v>1</v>
          </cell>
          <cell r="H893">
            <v>1</v>
          </cell>
          <cell r="I893">
            <v>0</v>
          </cell>
          <cell r="J893">
            <v>0</v>
          </cell>
          <cell r="K893">
            <v>1</v>
          </cell>
          <cell r="L893">
            <v>0</v>
          </cell>
          <cell r="M893">
            <v>0</v>
          </cell>
          <cell r="N893">
            <v>1</v>
          </cell>
          <cell r="O893">
            <v>43643</v>
          </cell>
          <cell r="P893">
            <v>43677</v>
          </cell>
          <cell r="Q893">
            <v>1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1</v>
          </cell>
          <cell r="W893">
            <v>0</v>
          </cell>
          <cell r="X893">
            <v>0</v>
          </cell>
          <cell r="Y893">
            <v>0</v>
          </cell>
        </row>
        <row r="894">
          <cell r="D894">
            <v>300856</v>
          </cell>
          <cell r="E894" t="str">
            <v>Sta. Rita NHS</v>
          </cell>
          <cell r="F894">
            <v>1</v>
          </cell>
          <cell r="G894">
            <v>1</v>
          </cell>
          <cell r="H894">
            <v>1</v>
          </cell>
          <cell r="I894">
            <v>1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1</v>
          </cell>
          <cell r="O894">
            <v>0</v>
          </cell>
          <cell r="P894" t="str">
            <v>n/a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 t="str">
            <v>weekly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</row>
        <row r="895">
          <cell r="D895">
            <v>300827</v>
          </cell>
          <cell r="E895" t="str">
            <v>Paitan Sur NHS</v>
          </cell>
          <cell r="F895">
            <v>1</v>
          </cell>
          <cell r="G895">
            <v>1</v>
          </cell>
          <cell r="H895">
            <v>1</v>
          </cell>
          <cell r="I895">
            <v>0</v>
          </cell>
          <cell r="J895">
            <v>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 t="str">
            <v>6/26/2019</v>
          </cell>
          <cell r="Q895">
            <v>0</v>
          </cell>
          <cell r="R895">
            <v>1</v>
          </cell>
          <cell r="S895">
            <v>0</v>
          </cell>
          <cell r="T895">
            <v>0</v>
          </cell>
          <cell r="U895">
            <v>0</v>
          </cell>
          <cell r="V895">
            <v>1</v>
          </cell>
          <cell r="W895">
            <v>0</v>
          </cell>
          <cell r="X895">
            <v>0</v>
          </cell>
          <cell r="Y895">
            <v>0</v>
          </cell>
        </row>
        <row r="896">
          <cell r="D896">
            <v>300789</v>
          </cell>
          <cell r="E896" t="str">
            <v>BICOS NATIONAL HIGH SCHOOL</v>
          </cell>
          <cell r="F896">
            <v>1</v>
          </cell>
          <cell r="G896">
            <v>1</v>
          </cell>
          <cell r="H896">
            <v>1</v>
          </cell>
          <cell r="I896">
            <v>1</v>
          </cell>
          <cell r="J896">
            <v>0</v>
          </cell>
          <cell r="K896">
            <v>1</v>
          </cell>
          <cell r="L896">
            <v>0</v>
          </cell>
          <cell r="M896">
            <v>0</v>
          </cell>
          <cell r="N896">
            <v>1</v>
          </cell>
          <cell r="O896" t="str">
            <v>06/28/2019</v>
          </cell>
          <cell r="P896">
            <v>43592</v>
          </cell>
          <cell r="Q896">
            <v>1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1</v>
          </cell>
          <cell r="W896">
            <v>2</v>
          </cell>
          <cell r="X896">
            <v>2</v>
          </cell>
          <cell r="Y896">
            <v>2</v>
          </cell>
        </row>
        <row r="897">
          <cell r="D897">
            <v>300742</v>
          </cell>
          <cell r="E897" t="str">
            <v>Guiguinto Nat'l Voc'l. High School</v>
          </cell>
          <cell r="F897">
            <v>1</v>
          </cell>
          <cell r="G897">
            <v>1</v>
          </cell>
          <cell r="H897">
            <v>0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1</v>
          </cell>
          <cell r="T897">
            <v>0</v>
          </cell>
          <cell r="U897">
            <v>0</v>
          </cell>
          <cell r="V897">
            <v>0</v>
          </cell>
          <cell r="W897">
            <v>3</v>
          </cell>
          <cell r="X897">
            <v>0</v>
          </cell>
          <cell r="Y897">
            <v>1</v>
          </cell>
        </row>
        <row r="898">
          <cell r="D898">
            <v>306808</v>
          </cell>
          <cell r="E898" t="str">
            <v>Ganduz National High School</v>
          </cell>
          <cell r="F898">
            <v>1</v>
          </cell>
          <cell r="G898">
            <v>1</v>
          </cell>
          <cell r="H898">
            <v>1</v>
          </cell>
          <cell r="I898">
            <v>0</v>
          </cell>
          <cell r="J898">
            <v>1</v>
          </cell>
          <cell r="K898">
            <v>0</v>
          </cell>
          <cell r="L898">
            <v>0</v>
          </cell>
          <cell r="M898">
            <v>0</v>
          </cell>
          <cell r="N898">
            <v>1</v>
          </cell>
          <cell r="O898" t="str">
            <v>May 20, 2019</v>
          </cell>
          <cell r="P898" t="str">
            <v>June 3, 2019</v>
          </cell>
          <cell r="Q898">
            <v>0</v>
          </cell>
          <cell r="R898">
            <v>1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</row>
        <row r="899">
          <cell r="D899">
            <v>306804</v>
          </cell>
          <cell r="E899" t="str">
            <v>BURGOS NATIONAL HIGH SCHOOL</v>
          </cell>
          <cell r="F899">
            <v>1</v>
          </cell>
          <cell r="G899">
            <v>0</v>
          </cell>
          <cell r="H899">
            <v>1</v>
          </cell>
          <cell r="I899">
            <v>0</v>
          </cell>
          <cell r="J899">
            <v>1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</row>
        <row r="900">
          <cell r="D900">
            <v>300841</v>
          </cell>
          <cell r="E900" t="str">
            <v>Rizal NHS</v>
          </cell>
          <cell r="F900">
            <v>1</v>
          </cell>
          <cell r="G900">
            <v>1</v>
          </cell>
          <cell r="H900">
            <v>0</v>
          </cell>
          <cell r="I900">
            <v>0</v>
          </cell>
          <cell r="J900">
            <v>0</v>
          </cell>
          <cell r="K900">
            <v>1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1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</row>
        <row r="901">
          <cell r="D901">
            <v>300876</v>
          </cell>
          <cell r="E901" t="str">
            <v>Andres M. Luciano HS</v>
          </cell>
          <cell r="F901">
            <v>1</v>
          </cell>
          <cell r="G901">
            <v>1</v>
          </cell>
          <cell r="H901">
            <v>1</v>
          </cell>
          <cell r="I901">
            <v>1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1</v>
          </cell>
          <cell r="O901">
            <v>43657</v>
          </cell>
          <cell r="P901" t="str">
            <v>JULY 2019</v>
          </cell>
          <cell r="Q901">
            <v>1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1</v>
          </cell>
          <cell r="W901">
            <v>2</v>
          </cell>
          <cell r="X901">
            <v>1</v>
          </cell>
          <cell r="Y901">
            <v>1</v>
          </cell>
        </row>
        <row r="902">
          <cell r="D902">
            <v>500121</v>
          </cell>
          <cell r="E902" t="str">
            <v>Bunga ES</v>
          </cell>
          <cell r="F902">
            <v>1</v>
          </cell>
          <cell r="G902">
            <v>1</v>
          </cell>
          <cell r="H902">
            <v>1</v>
          </cell>
          <cell r="I902">
            <v>0</v>
          </cell>
          <cell r="J902">
            <v>1</v>
          </cell>
          <cell r="K902">
            <v>0</v>
          </cell>
          <cell r="L902">
            <v>0</v>
          </cell>
          <cell r="M902">
            <v>0</v>
          </cell>
          <cell r="N902">
            <v>1</v>
          </cell>
          <cell r="O902">
            <v>0</v>
          </cell>
          <cell r="P902">
            <v>0</v>
          </cell>
          <cell r="Q902">
            <v>0</v>
          </cell>
          <cell r="R902">
            <v>1</v>
          </cell>
          <cell r="S902">
            <v>0</v>
          </cell>
          <cell r="T902">
            <v>0</v>
          </cell>
          <cell r="U902">
            <v>0</v>
          </cell>
          <cell r="V902">
            <v>1</v>
          </cell>
          <cell r="W902">
            <v>0</v>
          </cell>
          <cell r="X902">
            <v>0</v>
          </cell>
          <cell r="Y902">
            <v>0</v>
          </cell>
        </row>
        <row r="903">
          <cell r="D903">
            <v>300785</v>
          </cell>
          <cell r="E903" t="str">
            <v>Lino P. Bernardo NHS</v>
          </cell>
          <cell r="F903">
            <v>1</v>
          </cell>
          <cell r="G903">
            <v>0</v>
          </cell>
          <cell r="H903">
            <v>1</v>
          </cell>
          <cell r="I903">
            <v>0</v>
          </cell>
          <cell r="J903">
            <v>1</v>
          </cell>
          <cell r="K903">
            <v>0</v>
          </cell>
          <cell r="L903">
            <v>0</v>
          </cell>
          <cell r="M903">
            <v>0</v>
          </cell>
          <cell r="N903">
            <v>1</v>
          </cell>
          <cell r="O903">
            <v>43658</v>
          </cell>
          <cell r="P903">
            <v>0</v>
          </cell>
          <cell r="Q903">
            <v>1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1</v>
          </cell>
          <cell r="W903">
            <v>2</v>
          </cell>
          <cell r="X903">
            <v>0</v>
          </cell>
          <cell r="Y903">
            <v>0</v>
          </cell>
        </row>
        <row r="904">
          <cell r="D904">
            <v>300838</v>
          </cell>
          <cell r="E904" t="str">
            <v>Nampicuan NHS</v>
          </cell>
          <cell r="F904">
            <v>1</v>
          </cell>
          <cell r="G904">
            <v>1</v>
          </cell>
          <cell r="H904">
            <v>1</v>
          </cell>
          <cell r="I904">
            <v>0</v>
          </cell>
          <cell r="J904">
            <v>1</v>
          </cell>
          <cell r="K904">
            <v>0</v>
          </cell>
          <cell r="L904">
            <v>0</v>
          </cell>
          <cell r="M904">
            <v>0</v>
          </cell>
          <cell r="N904">
            <v>1</v>
          </cell>
          <cell r="O904" t="str">
            <v>June 19, 2019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1</v>
          </cell>
          <cell r="W904">
            <v>0</v>
          </cell>
          <cell r="X904">
            <v>0</v>
          </cell>
          <cell r="Y904">
            <v>0</v>
          </cell>
        </row>
        <row r="905">
          <cell r="D905">
            <v>306814</v>
          </cell>
          <cell r="E905" t="str">
            <v>Ligaya National High School</v>
          </cell>
          <cell r="F905">
            <v>1</v>
          </cell>
          <cell r="G905">
            <v>0</v>
          </cell>
          <cell r="H905">
            <v>1</v>
          </cell>
          <cell r="I905">
            <v>1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1</v>
          </cell>
          <cell r="O905">
            <v>0</v>
          </cell>
          <cell r="P905">
            <v>0</v>
          </cell>
          <cell r="Q905">
            <v>1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</row>
        <row r="906">
          <cell r="D906">
            <v>300802</v>
          </cell>
          <cell r="E906" t="str">
            <v>Doña Juana Chioco National High School</v>
          </cell>
          <cell r="F906">
            <v>1</v>
          </cell>
          <cell r="G906">
            <v>1</v>
          </cell>
          <cell r="H906">
            <v>1</v>
          </cell>
          <cell r="I906">
            <v>0</v>
          </cell>
          <cell r="J906">
            <v>0</v>
          </cell>
          <cell r="K906">
            <v>1</v>
          </cell>
          <cell r="L906">
            <v>0</v>
          </cell>
          <cell r="M906">
            <v>0</v>
          </cell>
          <cell r="N906">
            <v>1</v>
          </cell>
          <cell r="O906">
            <v>43531</v>
          </cell>
          <cell r="P906">
            <v>43441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1</v>
          </cell>
          <cell r="W906">
            <v>0</v>
          </cell>
          <cell r="X906">
            <v>0</v>
          </cell>
          <cell r="Y906">
            <v>0</v>
          </cell>
        </row>
        <row r="907">
          <cell r="D907">
            <v>300897</v>
          </cell>
          <cell r="E907" t="str">
            <v>Malusac NHS</v>
          </cell>
          <cell r="F907">
            <v>1</v>
          </cell>
          <cell r="G907">
            <v>1</v>
          </cell>
          <cell r="H907">
            <v>1</v>
          </cell>
          <cell r="I907">
            <v>0</v>
          </cell>
          <cell r="J907">
            <v>1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6</v>
          </cell>
          <cell r="X907">
            <v>0</v>
          </cell>
          <cell r="Y907">
            <v>0</v>
          </cell>
        </row>
        <row r="908">
          <cell r="D908">
            <v>306830</v>
          </cell>
          <cell r="E908" t="str">
            <v>Cambitala NHS</v>
          </cell>
          <cell r="F908">
            <v>1</v>
          </cell>
          <cell r="G908">
            <v>1</v>
          </cell>
          <cell r="H908">
            <v>1</v>
          </cell>
          <cell r="I908">
            <v>0</v>
          </cell>
          <cell r="J908">
            <v>1</v>
          </cell>
          <cell r="K908">
            <v>0</v>
          </cell>
          <cell r="L908">
            <v>0</v>
          </cell>
          <cell r="M908">
            <v>0</v>
          </cell>
          <cell r="N908">
            <v>1</v>
          </cell>
          <cell r="O908">
            <v>0</v>
          </cell>
          <cell r="P908">
            <v>0</v>
          </cell>
          <cell r="Q908">
            <v>1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3</v>
          </cell>
          <cell r="X908">
            <v>0</v>
          </cell>
          <cell r="Y908">
            <v>0</v>
          </cell>
        </row>
        <row r="909">
          <cell r="D909">
            <v>300845</v>
          </cell>
          <cell r="E909" t="str">
            <v>Exequiel R. Lina National High School</v>
          </cell>
          <cell r="F909">
            <v>1</v>
          </cell>
          <cell r="G909">
            <v>1</v>
          </cell>
          <cell r="H909">
            <v>1</v>
          </cell>
          <cell r="I909">
            <v>1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1</v>
          </cell>
          <cell r="O909">
            <v>0</v>
          </cell>
          <cell r="P909">
            <v>0</v>
          </cell>
          <cell r="Q909">
            <v>1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1</v>
          </cell>
          <cell r="W909">
            <v>0</v>
          </cell>
          <cell r="X909">
            <v>0</v>
          </cell>
          <cell r="Y909">
            <v>0</v>
          </cell>
        </row>
        <row r="910">
          <cell r="D910">
            <v>300795</v>
          </cell>
          <cell r="E910" t="str">
            <v>Canaan East NHS</v>
          </cell>
          <cell r="F910">
            <v>1</v>
          </cell>
          <cell r="G910">
            <v>0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1</v>
          </cell>
          <cell r="M910" t="str">
            <v>when needed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1</v>
          </cell>
          <cell r="U910" t="str">
            <v>when needed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</row>
        <row r="911">
          <cell r="D911">
            <v>300866</v>
          </cell>
          <cell r="E911" t="str">
            <v>Talugtug NHS</v>
          </cell>
          <cell r="F911">
            <v>1</v>
          </cell>
          <cell r="G911">
            <v>0</v>
          </cell>
          <cell r="H911">
            <v>0</v>
          </cell>
          <cell r="I911">
            <v>1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1</v>
          </cell>
          <cell r="O911">
            <v>0</v>
          </cell>
          <cell r="P911">
            <v>0</v>
          </cell>
          <cell r="Q911">
            <v>1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1</v>
          </cell>
          <cell r="W911">
            <v>0</v>
          </cell>
          <cell r="X911">
            <v>0</v>
          </cell>
          <cell r="Y911">
            <v>0</v>
          </cell>
        </row>
        <row r="912">
          <cell r="D912">
            <v>306832</v>
          </cell>
          <cell r="E912" t="str">
            <v>Conversion IS</v>
          </cell>
          <cell r="F912">
            <v>1</v>
          </cell>
          <cell r="G912">
            <v>1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1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</row>
        <row r="913">
          <cell r="D913">
            <v>306828</v>
          </cell>
          <cell r="E913" t="str">
            <v>Talugtug NHS Annex-Saverona</v>
          </cell>
          <cell r="F913">
            <v>1</v>
          </cell>
          <cell r="G913">
            <v>1</v>
          </cell>
          <cell r="H913">
            <v>1</v>
          </cell>
          <cell r="I913">
            <v>0</v>
          </cell>
          <cell r="J913">
            <v>1</v>
          </cell>
          <cell r="K913">
            <v>0</v>
          </cell>
          <cell r="L913">
            <v>0</v>
          </cell>
          <cell r="M913">
            <v>0</v>
          </cell>
          <cell r="N913">
            <v>1</v>
          </cell>
          <cell r="O913">
            <v>43644</v>
          </cell>
          <cell r="P913">
            <v>43645</v>
          </cell>
          <cell r="Q913">
            <v>0</v>
          </cell>
          <cell r="R913">
            <v>1</v>
          </cell>
          <cell r="S913">
            <v>0</v>
          </cell>
          <cell r="T913">
            <v>0</v>
          </cell>
          <cell r="U913">
            <v>0</v>
          </cell>
          <cell r="V913">
            <v>1</v>
          </cell>
          <cell r="W913">
            <v>0</v>
          </cell>
          <cell r="X913">
            <v>0</v>
          </cell>
          <cell r="Y913">
            <v>0</v>
          </cell>
        </row>
        <row r="914">
          <cell r="D914">
            <v>300805</v>
          </cell>
          <cell r="E914" t="str">
            <v>Gabaldon Voc'l. Agric. HS</v>
          </cell>
          <cell r="F914">
            <v>1</v>
          </cell>
          <cell r="G914">
            <v>1</v>
          </cell>
          <cell r="H914">
            <v>1</v>
          </cell>
          <cell r="I914">
            <v>0</v>
          </cell>
          <cell r="J914">
            <v>0</v>
          </cell>
          <cell r="K914">
            <v>1</v>
          </cell>
          <cell r="L914">
            <v>0</v>
          </cell>
          <cell r="M914">
            <v>0</v>
          </cell>
          <cell r="N914">
            <v>1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</row>
        <row r="915">
          <cell r="D915">
            <v>307504</v>
          </cell>
          <cell r="E915" t="str">
            <v>Graceville NHS</v>
          </cell>
          <cell r="F915">
            <v>1</v>
          </cell>
          <cell r="G915">
            <v>0</v>
          </cell>
          <cell r="H915">
            <v>1</v>
          </cell>
          <cell r="I915">
            <v>0</v>
          </cell>
          <cell r="J915">
            <v>1</v>
          </cell>
          <cell r="K915">
            <v>0</v>
          </cell>
          <cell r="L915">
            <v>1</v>
          </cell>
          <cell r="M915" t="str">
            <v>AS NEED ARISES</v>
          </cell>
          <cell r="N915">
            <v>1</v>
          </cell>
          <cell r="O915">
            <v>43644</v>
          </cell>
          <cell r="P915" t="str">
            <v>EVERY  NOW AND THEN</v>
          </cell>
          <cell r="Q915">
            <v>0</v>
          </cell>
          <cell r="R915">
            <v>0</v>
          </cell>
          <cell r="S915">
            <v>0</v>
          </cell>
          <cell r="T915">
            <v>1</v>
          </cell>
          <cell r="U915" t="str">
            <v>EVERY  NOW AND THEN</v>
          </cell>
          <cell r="V915">
            <v>1</v>
          </cell>
          <cell r="W915">
            <v>4</v>
          </cell>
          <cell r="X915">
            <v>0</v>
          </cell>
          <cell r="Y915">
            <v>1</v>
          </cell>
        </row>
        <row r="916">
          <cell r="D916">
            <v>300840</v>
          </cell>
          <cell r="E916" t="str">
            <v>Rio Chico National High School</v>
          </cell>
          <cell r="F916">
            <v>1</v>
          </cell>
          <cell r="G916">
            <v>1</v>
          </cell>
          <cell r="H916">
            <v>1</v>
          </cell>
          <cell r="I916">
            <v>1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 t="str">
            <v>AUGUST 2, 2019</v>
          </cell>
          <cell r="P916" t="str">
            <v>JULY 26, 2019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1</v>
          </cell>
          <cell r="W916">
            <v>3</v>
          </cell>
          <cell r="X916">
            <v>3</v>
          </cell>
          <cell r="Y916">
            <v>3</v>
          </cell>
        </row>
        <row r="917">
          <cell r="D917">
            <v>306803</v>
          </cell>
          <cell r="E917" t="str">
            <v>Buklod-Palad NHS (former Maligaya NHS Annex - DoÃ±a Josefa)</v>
          </cell>
          <cell r="F917">
            <v>1</v>
          </cell>
          <cell r="G917">
            <v>0</v>
          </cell>
          <cell r="H917">
            <v>1</v>
          </cell>
          <cell r="I917">
            <v>0</v>
          </cell>
          <cell r="J917">
            <v>1</v>
          </cell>
          <cell r="K917">
            <v>0</v>
          </cell>
          <cell r="L917">
            <v>0</v>
          </cell>
          <cell r="M917">
            <v>0</v>
          </cell>
          <cell r="N917">
            <v>1</v>
          </cell>
          <cell r="O917">
            <v>43532</v>
          </cell>
          <cell r="P917">
            <v>43532</v>
          </cell>
          <cell r="Q917">
            <v>0</v>
          </cell>
          <cell r="R917">
            <v>0</v>
          </cell>
          <cell r="S917">
            <v>1</v>
          </cell>
          <cell r="T917">
            <v>0</v>
          </cell>
          <cell r="U917">
            <v>0</v>
          </cell>
          <cell r="V917">
            <v>1</v>
          </cell>
          <cell r="W917">
            <v>1</v>
          </cell>
          <cell r="X917">
            <v>0</v>
          </cell>
          <cell r="Y917">
            <v>0</v>
          </cell>
        </row>
        <row r="918">
          <cell r="D918">
            <v>300974</v>
          </cell>
          <cell r="E918" t="str">
            <v>Maungib NHS</v>
          </cell>
          <cell r="F918">
            <v>1</v>
          </cell>
          <cell r="G918">
            <v>1</v>
          </cell>
          <cell r="H918">
            <v>1</v>
          </cell>
          <cell r="I918">
            <v>0</v>
          </cell>
          <cell r="J918">
            <v>0</v>
          </cell>
          <cell r="K918">
            <v>1</v>
          </cell>
          <cell r="L918">
            <v>0</v>
          </cell>
          <cell r="M918">
            <v>0</v>
          </cell>
          <cell r="N918">
            <v>1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1</v>
          </cell>
          <cell r="T918">
            <v>0</v>
          </cell>
          <cell r="U918">
            <v>0</v>
          </cell>
          <cell r="V918">
            <v>1</v>
          </cell>
          <cell r="W918">
            <v>0</v>
          </cell>
          <cell r="X918">
            <v>0</v>
          </cell>
          <cell r="Y918">
            <v>0</v>
          </cell>
        </row>
        <row r="919">
          <cell r="D919">
            <v>306812</v>
          </cell>
          <cell r="E919" t="str">
            <v>Ricardo Dizon Canlas Agr'l. HS (Former Jorge M. Padilla NHS Annex)</v>
          </cell>
          <cell r="F919">
            <v>1</v>
          </cell>
          <cell r="G919">
            <v>1</v>
          </cell>
          <cell r="H919">
            <v>1</v>
          </cell>
          <cell r="I919">
            <v>1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1</v>
          </cell>
          <cell r="O919">
            <v>43676</v>
          </cell>
          <cell r="P919">
            <v>43709</v>
          </cell>
          <cell r="Q919">
            <v>1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1</v>
          </cell>
          <cell r="W919">
            <v>3</v>
          </cell>
          <cell r="X919">
            <v>0</v>
          </cell>
          <cell r="Y919">
            <v>0</v>
          </cell>
        </row>
        <row r="920">
          <cell r="D920">
            <v>300954</v>
          </cell>
          <cell r="E920" t="str">
            <v>Buenlag NHS</v>
          </cell>
          <cell r="F920">
            <v>1</v>
          </cell>
          <cell r="G920">
            <v>1</v>
          </cell>
          <cell r="H920">
            <v>1</v>
          </cell>
          <cell r="I920">
            <v>0</v>
          </cell>
          <cell r="J920">
            <v>1</v>
          </cell>
          <cell r="K920">
            <v>0</v>
          </cell>
          <cell r="L920">
            <v>0</v>
          </cell>
          <cell r="M920">
            <v>0</v>
          </cell>
          <cell r="N920">
            <v>1</v>
          </cell>
          <cell r="O920">
            <v>43806</v>
          </cell>
          <cell r="P920">
            <v>43561</v>
          </cell>
          <cell r="Q920">
            <v>0</v>
          </cell>
          <cell r="R920">
            <v>1</v>
          </cell>
          <cell r="S920">
            <v>0</v>
          </cell>
          <cell r="T920">
            <v>0</v>
          </cell>
          <cell r="U920">
            <v>0</v>
          </cell>
          <cell r="V920">
            <v>1</v>
          </cell>
          <cell r="W920">
            <v>0</v>
          </cell>
          <cell r="X920">
            <v>0</v>
          </cell>
          <cell r="Y920">
            <v>0</v>
          </cell>
        </row>
        <row r="921">
          <cell r="D921">
            <v>300846</v>
          </cell>
          <cell r="E921" t="str">
            <v>San Francisco NHS</v>
          </cell>
          <cell r="F921">
            <v>1</v>
          </cell>
          <cell r="G921">
            <v>1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 t="str">
            <v>Not Yet</v>
          </cell>
          <cell r="Q921">
            <v>0</v>
          </cell>
          <cell r="R921">
            <v>0</v>
          </cell>
          <cell r="S921">
            <v>0</v>
          </cell>
          <cell r="T921">
            <v>1</v>
          </cell>
          <cell r="U921" t="str">
            <v>With the help of barangay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</row>
        <row r="922">
          <cell r="D922">
            <v>306801</v>
          </cell>
          <cell r="E922" t="str">
            <v>SANTA ROSA NATIONAL HIGH SCHOOL</v>
          </cell>
          <cell r="F922">
            <v>1</v>
          </cell>
          <cell r="G922">
            <v>1</v>
          </cell>
          <cell r="H922">
            <v>1</v>
          </cell>
          <cell r="I922">
            <v>0</v>
          </cell>
          <cell r="J922">
            <v>1</v>
          </cell>
          <cell r="K922">
            <v>0</v>
          </cell>
          <cell r="L922">
            <v>0</v>
          </cell>
          <cell r="M922">
            <v>0</v>
          </cell>
          <cell r="N922">
            <v>1</v>
          </cell>
          <cell r="O922">
            <v>43649</v>
          </cell>
          <cell r="P922">
            <v>43682</v>
          </cell>
          <cell r="Q922">
            <v>1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1</v>
          </cell>
          <cell r="W922">
            <v>0</v>
          </cell>
          <cell r="X922">
            <v>0</v>
          </cell>
          <cell r="Y922">
            <v>0</v>
          </cell>
        </row>
        <row r="923">
          <cell r="D923">
            <v>306821</v>
          </cell>
          <cell r="E923" t="str">
            <v>Dr. Jose Lapuz Salonga HS (Former San Mariano NHS Annex)</v>
          </cell>
          <cell r="F923">
            <v>1</v>
          </cell>
          <cell r="G923">
            <v>1</v>
          </cell>
          <cell r="H923">
            <v>1</v>
          </cell>
          <cell r="I923">
            <v>0</v>
          </cell>
          <cell r="J923">
            <v>0</v>
          </cell>
          <cell r="K923">
            <v>1</v>
          </cell>
          <cell r="L923">
            <v>0</v>
          </cell>
          <cell r="M923">
            <v>0</v>
          </cell>
          <cell r="N923">
            <v>0</v>
          </cell>
          <cell r="O923" t="str">
            <v>NONE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</row>
        <row r="924">
          <cell r="D924">
            <v>300801</v>
          </cell>
          <cell r="E924" t="str">
            <v>Cuyapo National High School</v>
          </cell>
          <cell r="F924">
            <v>1</v>
          </cell>
          <cell r="G924">
            <v>1</v>
          </cell>
          <cell r="H924">
            <v>1</v>
          </cell>
          <cell r="I924">
            <v>0</v>
          </cell>
          <cell r="J924">
            <v>0</v>
          </cell>
          <cell r="K924">
            <v>1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</row>
        <row r="925">
          <cell r="D925">
            <v>300871</v>
          </cell>
          <cell r="E925" t="str">
            <v>ZARAGOZA NATIONAL HIGH SCHOOL</v>
          </cell>
          <cell r="F925">
            <v>1</v>
          </cell>
          <cell r="G925">
            <v>1</v>
          </cell>
          <cell r="H925">
            <v>1</v>
          </cell>
          <cell r="I925">
            <v>0</v>
          </cell>
          <cell r="J925">
            <v>1</v>
          </cell>
          <cell r="K925">
            <v>0</v>
          </cell>
          <cell r="L925">
            <v>0</v>
          </cell>
          <cell r="M925">
            <v>0</v>
          </cell>
          <cell r="N925">
            <v>1</v>
          </cell>
          <cell r="O925">
            <v>0</v>
          </cell>
          <cell r="P925">
            <v>0</v>
          </cell>
          <cell r="Q925">
            <v>0</v>
          </cell>
          <cell r="R925">
            <v>1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</row>
        <row r="926">
          <cell r="D926">
            <v>300825</v>
          </cell>
          <cell r="E926" t="str">
            <v>Nagpandayan NHS</v>
          </cell>
          <cell r="F926">
            <v>1</v>
          </cell>
          <cell r="G926">
            <v>0</v>
          </cell>
          <cell r="H926">
            <v>1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</row>
        <row r="927">
          <cell r="D927">
            <v>300921</v>
          </cell>
          <cell r="E927" t="str">
            <v>San Juan NHS, Mexico</v>
          </cell>
          <cell r="F927">
            <v>1</v>
          </cell>
          <cell r="G927">
            <v>1</v>
          </cell>
          <cell r="H927">
            <v>1</v>
          </cell>
          <cell r="I927">
            <v>1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1</v>
          </cell>
          <cell r="O927">
            <v>0</v>
          </cell>
          <cell r="P927">
            <v>0</v>
          </cell>
          <cell r="Q927">
            <v>1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1</v>
          </cell>
          <cell r="W927">
            <v>0</v>
          </cell>
          <cell r="X927">
            <v>0</v>
          </cell>
          <cell r="Y927">
            <v>0</v>
          </cell>
        </row>
        <row r="928">
          <cell r="D928">
            <v>300719</v>
          </cell>
          <cell r="E928" t="str">
            <v>Samal NHS</v>
          </cell>
          <cell r="F928">
            <v>1</v>
          </cell>
          <cell r="G928">
            <v>1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</row>
        <row r="929">
          <cell r="D929">
            <v>300798</v>
          </cell>
          <cell r="E929" t="str">
            <v>Capintalan HS</v>
          </cell>
          <cell r="F929">
            <v>1</v>
          </cell>
          <cell r="G929">
            <v>1</v>
          </cell>
          <cell r="H929">
            <v>1</v>
          </cell>
          <cell r="I929">
            <v>0</v>
          </cell>
          <cell r="J929">
            <v>1</v>
          </cell>
          <cell r="K929">
            <v>0</v>
          </cell>
          <cell r="L929">
            <v>0</v>
          </cell>
          <cell r="M929">
            <v>0</v>
          </cell>
          <cell r="N929">
            <v>1</v>
          </cell>
          <cell r="O929">
            <v>43664</v>
          </cell>
          <cell r="P929">
            <v>43675</v>
          </cell>
          <cell r="Q929">
            <v>1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</row>
        <row r="930">
          <cell r="D930">
            <v>300804</v>
          </cell>
          <cell r="E930" t="str">
            <v>Eduardo L. Joson Mem. HS</v>
          </cell>
          <cell r="F930">
            <v>1</v>
          </cell>
          <cell r="G930">
            <v>1</v>
          </cell>
          <cell r="H930">
            <v>1</v>
          </cell>
          <cell r="I930">
            <v>0</v>
          </cell>
          <cell r="J930">
            <v>1</v>
          </cell>
          <cell r="K930">
            <v>0</v>
          </cell>
          <cell r="L930">
            <v>0</v>
          </cell>
          <cell r="M930">
            <v>0</v>
          </cell>
          <cell r="N930">
            <v>1</v>
          </cell>
          <cell r="O930">
            <v>0</v>
          </cell>
          <cell r="P930" t="str">
            <v>07/11/2019</v>
          </cell>
          <cell r="Q930">
            <v>0</v>
          </cell>
          <cell r="R930">
            <v>1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3</v>
          </cell>
          <cell r="X930">
            <v>1</v>
          </cell>
          <cell r="Y930">
            <v>0</v>
          </cell>
        </row>
        <row r="931">
          <cell r="D931">
            <v>300811</v>
          </cell>
          <cell r="E931" t="str">
            <v>Jorge M. Padilla NHS</v>
          </cell>
          <cell r="F931">
            <v>1</v>
          </cell>
          <cell r="G931">
            <v>1</v>
          </cell>
          <cell r="H931">
            <v>1</v>
          </cell>
          <cell r="I931">
            <v>0</v>
          </cell>
          <cell r="J931">
            <v>1</v>
          </cell>
          <cell r="K931">
            <v>0</v>
          </cell>
          <cell r="L931">
            <v>0</v>
          </cell>
          <cell r="M931">
            <v>0</v>
          </cell>
          <cell r="N931">
            <v>1</v>
          </cell>
          <cell r="O931">
            <v>0</v>
          </cell>
          <cell r="P931" t="str">
            <v>AUGUST 9, 2019</v>
          </cell>
          <cell r="Q931">
            <v>0</v>
          </cell>
          <cell r="R931">
            <v>0</v>
          </cell>
          <cell r="S931">
            <v>1</v>
          </cell>
          <cell r="T931">
            <v>0</v>
          </cell>
          <cell r="U931">
            <v>0</v>
          </cell>
          <cell r="V931">
            <v>1</v>
          </cell>
          <cell r="W931">
            <v>0</v>
          </cell>
          <cell r="X931">
            <v>0</v>
          </cell>
          <cell r="Y931">
            <v>0</v>
          </cell>
        </row>
        <row r="932">
          <cell r="D932">
            <v>300847</v>
          </cell>
          <cell r="E932" t="str">
            <v>San Isidro NHS</v>
          </cell>
          <cell r="F932">
            <v>1</v>
          </cell>
          <cell r="G932">
            <v>1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 t="str">
            <v>n/a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 t="str">
            <v>n/a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</row>
        <row r="933">
          <cell r="D933">
            <v>300837</v>
          </cell>
          <cell r="E933" t="str">
            <v>Recuerdo NHS</v>
          </cell>
          <cell r="F933">
            <v>1</v>
          </cell>
          <cell r="G933">
            <v>1</v>
          </cell>
          <cell r="H933">
            <v>0</v>
          </cell>
          <cell r="I933">
            <v>0</v>
          </cell>
          <cell r="J933">
            <v>1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1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1</v>
          </cell>
          <cell r="W933">
            <v>2</v>
          </cell>
          <cell r="X933">
            <v>0</v>
          </cell>
          <cell r="Y933">
            <v>0</v>
          </cell>
        </row>
        <row r="934">
          <cell r="D934">
            <v>300951</v>
          </cell>
          <cell r="E934" t="str">
            <v>Benigno S. Aquino National High School</v>
          </cell>
          <cell r="F934">
            <v>1</v>
          </cell>
          <cell r="G934">
            <v>1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</row>
        <row r="935">
          <cell r="D935">
            <v>307006</v>
          </cell>
          <cell r="E935" t="str">
            <v>Malacampa NHS</v>
          </cell>
          <cell r="F935">
            <v>0</v>
          </cell>
          <cell r="G935">
            <v>0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1</v>
          </cell>
          <cell r="O935">
            <v>43617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</row>
        <row r="936">
          <cell r="D936">
            <v>300865</v>
          </cell>
          <cell r="E936" t="str">
            <v>Tabacao National High School</v>
          </cell>
          <cell r="F936">
            <v>1</v>
          </cell>
          <cell r="G936">
            <v>1</v>
          </cell>
          <cell r="H936">
            <v>1</v>
          </cell>
          <cell r="I936">
            <v>0</v>
          </cell>
          <cell r="J936">
            <v>1</v>
          </cell>
          <cell r="K936">
            <v>0</v>
          </cell>
          <cell r="L936">
            <v>0</v>
          </cell>
          <cell r="M936">
            <v>0</v>
          </cell>
          <cell r="N936">
            <v>1</v>
          </cell>
          <cell r="O936">
            <v>0</v>
          </cell>
          <cell r="P936">
            <v>0</v>
          </cell>
          <cell r="Q936">
            <v>0</v>
          </cell>
          <cell r="R936">
            <v>1</v>
          </cell>
          <cell r="S936">
            <v>0</v>
          </cell>
          <cell r="T936">
            <v>0</v>
          </cell>
          <cell r="U936">
            <v>0</v>
          </cell>
          <cell r="V936">
            <v>1</v>
          </cell>
          <cell r="W936">
            <v>0</v>
          </cell>
          <cell r="X936">
            <v>0</v>
          </cell>
          <cell r="Y936">
            <v>0</v>
          </cell>
        </row>
        <row r="937">
          <cell r="D937">
            <v>300807</v>
          </cell>
          <cell r="E937" t="str">
            <v>General Luna NHS</v>
          </cell>
          <cell r="F937">
            <v>1</v>
          </cell>
          <cell r="G937">
            <v>1</v>
          </cell>
          <cell r="H937">
            <v>1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1</v>
          </cell>
          <cell r="O937">
            <v>0</v>
          </cell>
          <cell r="P937">
            <v>0</v>
          </cell>
          <cell r="Q937">
            <v>0</v>
          </cell>
          <cell r="R937">
            <v>1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</row>
        <row r="938">
          <cell r="D938">
            <v>300782</v>
          </cell>
          <cell r="E938" t="str">
            <v>Agbannawag National High School</v>
          </cell>
          <cell r="F938">
            <v>1</v>
          </cell>
          <cell r="G938">
            <v>1</v>
          </cell>
          <cell r="H938">
            <v>1</v>
          </cell>
          <cell r="I938">
            <v>0</v>
          </cell>
          <cell r="J938">
            <v>0</v>
          </cell>
          <cell r="K938">
            <v>1</v>
          </cell>
          <cell r="L938">
            <v>0</v>
          </cell>
          <cell r="M938">
            <v>0</v>
          </cell>
          <cell r="N938">
            <v>1</v>
          </cell>
          <cell r="O938">
            <v>0</v>
          </cell>
          <cell r="P938">
            <v>43626</v>
          </cell>
          <cell r="Q938">
            <v>0</v>
          </cell>
          <cell r="R938">
            <v>1</v>
          </cell>
          <cell r="S938">
            <v>0</v>
          </cell>
          <cell r="T938">
            <v>0</v>
          </cell>
          <cell r="U938">
            <v>0</v>
          </cell>
          <cell r="V938">
            <v>1</v>
          </cell>
          <cell r="W938">
            <v>0</v>
          </cell>
          <cell r="X938">
            <v>0</v>
          </cell>
          <cell r="Y938">
            <v>0</v>
          </cell>
        </row>
        <row r="939">
          <cell r="D939">
            <v>300814</v>
          </cell>
          <cell r="E939" t="str">
            <v>Julia Ortiz Luiz NHS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</row>
        <row r="940">
          <cell r="D940">
            <v>300850</v>
          </cell>
          <cell r="E940" t="str">
            <v>San Ricardo NHS</v>
          </cell>
          <cell r="F940">
            <v>1</v>
          </cell>
          <cell r="G940">
            <v>1</v>
          </cell>
          <cell r="H940">
            <v>1</v>
          </cell>
          <cell r="I940">
            <v>0</v>
          </cell>
          <cell r="J940">
            <v>1</v>
          </cell>
          <cell r="K940">
            <v>0</v>
          </cell>
          <cell r="L940">
            <v>0</v>
          </cell>
          <cell r="M940">
            <v>0</v>
          </cell>
          <cell r="N940">
            <v>1</v>
          </cell>
          <cell r="O940">
            <v>0</v>
          </cell>
          <cell r="P940">
            <v>0</v>
          </cell>
          <cell r="Q940">
            <v>0</v>
          </cell>
          <cell r="R940">
            <v>1</v>
          </cell>
          <cell r="S940">
            <v>0</v>
          </cell>
          <cell r="T940">
            <v>0</v>
          </cell>
          <cell r="U940">
            <v>0</v>
          </cell>
          <cell r="V940">
            <v>1</v>
          </cell>
          <cell r="W940">
            <v>0</v>
          </cell>
          <cell r="X940">
            <v>0</v>
          </cell>
          <cell r="Y940">
            <v>0</v>
          </cell>
        </row>
        <row r="941">
          <cell r="D941">
            <v>300862</v>
          </cell>
          <cell r="E941" t="str">
            <v>Gen. Mamerto Natividad National HS</v>
          </cell>
          <cell r="F941">
            <v>1</v>
          </cell>
          <cell r="G941">
            <v>1</v>
          </cell>
          <cell r="H941">
            <v>1</v>
          </cell>
          <cell r="I941">
            <v>0</v>
          </cell>
          <cell r="J941">
            <v>0</v>
          </cell>
          <cell r="K941">
            <v>0</v>
          </cell>
          <cell r="L941">
            <v>1</v>
          </cell>
          <cell r="M941" t="str">
            <v>AS NEEDED</v>
          </cell>
          <cell r="N941">
            <v>1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1</v>
          </cell>
          <cell r="U941" t="str">
            <v>AS NEEDED</v>
          </cell>
          <cell r="V941">
            <v>1</v>
          </cell>
          <cell r="W941">
            <v>0</v>
          </cell>
          <cell r="X941">
            <v>0</v>
          </cell>
          <cell r="Y941">
            <v>0</v>
          </cell>
        </row>
        <row r="942">
          <cell r="D942">
            <v>300786</v>
          </cell>
          <cell r="E942" t="str">
            <v>Baloy HS</v>
          </cell>
          <cell r="F942">
            <v>1</v>
          </cell>
          <cell r="G942">
            <v>1</v>
          </cell>
          <cell r="H942">
            <v>1</v>
          </cell>
          <cell r="I942">
            <v>0</v>
          </cell>
          <cell r="J942">
            <v>1</v>
          </cell>
          <cell r="K942">
            <v>0</v>
          </cell>
          <cell r="L942">
            <v>0</v>
          </cell>
          <cell r="M942">
            <v>0</v>
          </cell>
          <cell r="N942">
            <v>1</v>
          </cell>
          <cell r="O942">
            <v>0</v>
          </cell>
          <cell r="P942">
            <v>0</v>
          </cell>
          <cell r="Q942">
            <v>0</v>
          </cell>
          <cell r="R942">
            <v>1</v>
          </cell>
          <cell r="S942">
            <v>0</v>
          </cell>
          <cell r="T942">
            <v>0</v>
          </cell>
          <cell r="U942">
            <v>0</v>
          </cell>
          <cell r="V942">
            <v>1</v>
          </cell>
          <cell r="W942">
            <v>0</v>
          </cell>
          <cell r="X942">
            <v>0</v>
          </cell>
          <cell r="Y942">
            <v>0</v>
          </cell>
        </row>
        <row r="943">
          <cell r="D943">
            <v>300869</v>
          </cell>
          <cell r="E943" t="str">
            <v>Triala NHS</v>
          </cell>
          <cell r="F943">
            <v>1</v>
          </cell>
          <cell r="G943">
            <v>1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1</v>
          </cell>
          <cell r="O943" t="str">
            <v>06/20/2019</v>
          </cell>
          <cell r="P943" t="str">
            <v>July 2, 2019</v>
          </cell>
          <cell r="Q943">
            <v>1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1</v>
          </cell>
          <cell r="W943">
            <v>0</v>
          </cell>
          <cell r="X943">
            <v>0</v>
          </cell>
          <cell r="Y943">
            <v>0</v>
          </cell>
        </row>
        <row r="944">
          <cell r="D944">
            <v>300836</v>
          </cell>
          <cell r="E944" t="str">
            <v>Lambakin National High School</v>
          </cell>
          <cell r="F944">
            <v>1</v>
          </cell>
          <cell r="G944">
            <v>1</v>
          </cell>
          <cell r="H944">
            <v>1</v>
          </cell>
          <cell r="I944">
            <v>0</v>
          </cell>
          <cell r="J944">
            <v>0</v>
          </cell>
          <cell r="K944">
            <v>0</v>
          </cell>
          <cell r="L944">
            <v>1</v>
          </cell>
          <cell r="M944" t="str">
            <v>as needed</v>
          </cell>
          <cell r="N944">
            <v>1</v>
          </cell>
          <cell r="O944">
            <v>43609</v>
          </cell>
          <cell r="P944">
            <v>43619</v>
          </cell>
          <cell r="Q944">
            <v>0</v>
          </cell>
          <cell r="R944">
            <v>0</v>
          </cell>
          <cell r="S944">
            <v>0</v>
          </cell>
          <cell r="T944">
            <v>1</v>
          </cell>
          <cell r="U944" t="str">
            <v>as needed</v>
          </cell>
          <cell r="V944">
            <v>1</v>
          </cell>
          <cell r="W944">
            <v>0</v>
          </cell>
          <cell r="X944">
            <v>0</v>
          </cell>
          <cell r="Y944">
            <v>0</v>
          </cell>
        </row>
        <row r="945">
          <cell r="D945">
            <v>300983</v>
          </cell>
          <cell r="E945" t="str">
            <v>Sacata NHS</v>
          </cell>
          <cell r="F945">
            <v>1</v>
          </cell>
          <cell r="G945">
            <v>1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1</v>
          </cell>
          <cell r="O945">
            <v>43686</v>
          </cell>
          <cell r="P945">
            <v>43619</v>
          </cell>
          <cell r="Q945">
            <v>0</v>
          </cell>
          <cell r="R945">
            <v>1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2</v>
          </cell>
          <cell r="X945">
            <v>0</v>
          </cell>
          <cell r="Y945">
            <v>0</v>
          </cell>
        </row>
        <row r="946">
          <cell r="D946">
            <v>306811</v>
          </cell>
          <cell r="E946" t="str">
            <v>Umangan National High School</v>
          </cell>
          <cell r="F946">
            <v>0</v>
          </cell>
          <cell r="G946">
            <v>0</v>
          </cell>
          <cell r="H946">
            <v>1</v>
          </cell>
          <cell r="I946">
            <v>0</v>
          </cell>
          <cell r="J946">
            <v>1</v>
          </cell>
          <cell r="K946">
            <v>0</v>
          </cell>
          <cell r="L946">
            <v>0</v>
          </cell>
          <cell r="M946">
            <v>0</v>
          </cell>
          <cell r="N946">
            <v>1</v>
          </cell>
          <cell r="O946">
            <v>0</v>
          </cell>
          <cell r="P946">
            <v>43617</v>
          </cell>
          <cell r="Q946">
            <v>0</v>
          </cell>
          <cell r="R946">
            <v>0</v>
          </cell>
          <cell r="S946">
            <v>1</v>
          </cell>
          <cell r="T946">
            <v>0</v>
          </cell>
          <cell r="U946">
            <v>0</v>
          </cell>
          <cell r="V946">
            <v>1</v>
          </cell>
          <cell r="W946">
            <v>0</v>
          </cell>
          <cell r="X946">
            <v>0</v>
          </cell>
          <cell r="Y946">
            <v>0</v>
          </cell>
        </row>
        <row r="947">
          <cell r="D947">
            <v>300892</v>
          </cell>
          <cell r="E947" t="str">
            <v>Gutad NHS</v>
          </cell>
          <cell r="F947">
            <v>1</v>
          </cell>
          <cell r="G947">
            <v>1</v>
          </cell>
          <cell r="H947">
            <v>1</v>
          </cell>
          <cell r="I947">
            <v>0</v>
          </cell>
          <cell r="J947">
            <v>0</v>
          </cell>
          <cell r="K947">
            <v>1</v>
          </cell>
          <cell r="L947">
            <v>0</v>
          </cell>
          <cell r="M947">
            <v>0</v>
          </cell>
          <cell r="N947">
            <v>0</v>
          </cell>
          <cell r="O947">
            <v>43651</v>
          </cell>
          <cell r="P947">
            <v>43353</v>
          </cell>
          <cell r="Q947">
            <v>0</v>
          </cell>
          <cell r="R947">
            <v>0</v>
          </cell>
          <cell r="S947">
            <v>1</v>
          </cell>
          <cell r="T947">
            <v>0</v>
          </cell>
          <cell r="U947">
            <v>0</v>
          </cell>
          <cell r="V947">
            <v>1</v>
          </cell>
          <cell r="W947">
            <v>0</v>
          </cell>
          <cell r="X947">
            <v>0</v>
          </cell>
          <cell r="Y947">
            <v>0</v>
          </cell>
        </row>
        <row r="948">
          <cell r="D948">
            <v>306824</v>
          </cell>
          <cell r="E948" t="str">
            <v>Cuyapo National High School Annex</v>
          </cell>
          <cell r="F948">
            <v>1</v>
          </cell>
          <cell r="G948">
            <v>0</v>
          </cell>
          <cell r="H948">
            <v>1</v>
          </cell>
          <cell r="I948">
            <v>0</v>
          </cell>
          <cell r="J948">
            <v>1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 t="str">
            <v>N/A</v>
          </cell>
          <cell r="Q948">
            <v>0</v>
          </cell>
          <cell r="R948">
            <v>0</v>
          </cell>
          <cell r="S948">
            <v>1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</row>
        <row r="949">
          <cell r="D949">
            <v>300797</v>
          </cell>
          <cell r="E949" t="str">
            <v>Carranglan NHS</v>
          </cell>
          <cell r="F949">
            <v>1</v>
          </cell>
          <cell r="G949">
            <v>1</v>
          </cell>
          <cell r="H949">
            <v>1</v>
          </cell>
          <cell r="I949">
            <v>0</v>
          </cell>
          <cell r="J949">
            <v>1</v>
          </cell>
          <cell r="K949">
            <v>0</v>
          </cell>
          <cell r="L949">
            <v>0</v>
          </cell>
          <cell r="M949">
            <v>0</v>
          </cell>
          <cell r="N949">
            <v>1</v>
          </cell>
          <cell r="O949">
            <v>0</v>
          </cell>
          <cell r="P949">
            <v>43530</v>
          </cell>
          <cell r="Q949">
            <v>0</v>
          </cell>
          <cell r="R949">
            <v>1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35</v>
          </cell>
          <cell r="X949">
            <v>22</v>
          </cell>
          <cell r="Y949">
            <v>22</v>
          </cell>
        </row>
        <row r="950">
          <cell r="D950">
            <v>300715</v>
          </cell>
          <cell r="E950" t="str">
            <v>Orani NHS</v>
          </cell>
          <cell r="F950">
            <v>1</v>
          </cell>
          <cell r="G950">
            <v>1</v>
          </cell>
          <cell r="H950">
            <v>1</v>
          </cell>
          <cell r="I950">
            <v>0</v>
          </cell>
          <cell r="J950">
            <v>0</v>
          </cell>
          <cell r="K950">
            <v>0</v>
          </cell>
          <cell r="L950">
            <v>1</v>
          </cell>
          <cell r="M950" t="str">
            <v>if needed</v>
          </cell>
          <cell r="N950">
            <v>0</v>
          </cell>
          <cell r="O950" t="str">
            <v>none</v>
          </cell>
          <cell r="P950" t="str">
            <v>07/12/2019</v>
          </cell>
          <cell r="Q950">
            <v>0</v>
          </cell>
          <cell r="R950">
            <v>0</v>
          </cell>
          <cell r="S950">
            <v>0</v>
          </cell>
          <cell r="T950">
            <v>1</v>
          </cell>
          <cell r="U950" t="str">
            <v>if needed</v>
          </cell>
          <cell r="V950">
            <v>1</v>
          </cell>
          <cell r="W950">
            <v>2</v>
          </cell>
          <cell r="X950">
            <v>0</v>
          </cell>
          <cell r="Y950">
            <v>0</v>
          </cell>
        </row>
        <row r="951">
          <cell r="D951">
            <v>301065</v>
          </cell>
          <cell r="E951" t="str">
            <v>Potrero NHS</v>
          </cell>
          <cell r="F951">
            <v>1</v>
          </cell>
          <cell r="G951">
            <v>1</v>
          </cell>
          <cell r="H951">
            <v>1</v>
          </cell>
          <cell r="I951">
            <v>0</v>
          </cell>
          <cell r="J951">
            <v>1</v>
          </cell>
          <cell r="K951">
            <v>0</v>
          </cell>
          <cell r="L951">
            <v>0</v>
          </cell>
          <cell r="M951">
            <v>0</v>
          </cell>
          <cell r="N951">
            <v>1</v>
          </cell>
          <cell r="O951" t="str">
            <v>July 9, 2019</v>
          </cell>
          <cell r="P951" t="str">
            <v>July 19, 2019</v>
          </cell>
          <cell r="Q951">
            <v>0</v>
          </cell>
          <cell r="R951">
            <v>1</v>
          </cell>
          <cell r="S951">
            <v>0</v>
          </cell>
          <cell r="T951">
            <v>0</v>
          </cell>
          <cell r="U951">
            <v>0</v>
          </cell>
          <cell r="V951">
            <v>1</v>
          </cell>
          <cell r="W951">
            <v>2</v>
          </cell>
          <cell r="X951">
            <v>2</v>
          </cell>
          <cell r="Y951">
            <v>2</v>
          </cell>
        </row>
        <row r="952">
          <cell r="D952">
            <v>300821</v>
          </cell>
          <cell r="E952" t="str">
            <v>Mambangnan NHS</v>
          </cell>
          <cell r="F952">
            <v>1</v>
          </cell>
          <cell r="G952">
            <v>1</v>
          </cell>
          <cell r="H952">
            <v>1</v>
          </cell>
          <cell r="I952">
            <v>1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1</v>
          </cell>
          <cell r="O952" t="str">
            <v>JUNE</v>
          </cell>
          <cell r="P952" t="str">
            <v>JUNE</v>
          </cell>
          <cell r="Q952">
            <v>1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1</v>
          </cell>
          <cell r="W952">
            <v>0</v>
          </cell>
          <cell r="X952">
            <v>0</v>
          </cell>
          <cell r="Y952">
            <v>0</v>
          </cell>
        </row>
        <row r="953">
          <cell r="D953">
            <v>300826</v>
          </cell>
          <cell r="E953" t="str">
            <v>Nueva Ecija NHS</v>
          </cell>
          <cell r="F953">
            <v>1</v>
          </cell>
          <cell r="G953">
            <v>0</v>
          </cell>
          <cell r="H953">
            <v>0</v>
          </cell>
          <cell r="I953">
            <v>0</v>
          </cell>
          <cell r="J953">
            <v>1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</row>
        <row r="954">
          <cell r="D954">
            <v>300820</v>
          </cell>
          <cell r="E954" t="str">
            <v>MALLORCA NATIONAL HIGH SCHOOL</v>
          </cell>
          <cell r="F954">
            <v>1</v>
          </cell>
          <cell r="G954">
            <v>0</v>
          </cell>
          <cell r="H954">
            <v>1</v>
          </cell>
          <cell r="I954">
            <v>0</v>
          </cell>
          <cell r="J954">
            <v>1</v>
          </cell>
          <cell r="K954">
            <v>0</v>
          </cell>
          <cell r="L954">
            <v>0</v>
          </cell>
          <cell r="M954">
            <v>0</v>
          </cell>
          <cell r="N954">
            <v>1</v>
          </cell>
          <cell r="O954" t="str">
            <v>August 7, 2019</v>
          </cell>
          <cell r="P954" t="str">
            <v>June 7, 2019</v>
          </cell>
          <cell r="Q954">
            <v>0</v>
          </cell>
          <cell r="R954">
            <v>1</v>
          </cell>
          <cell r="S954">
            <v>1</v>
          </cell>
          <cell r="T954">
            <v>0</v>
          </cell>
          <cell r="U954">
            <v>0</v>
          </cell>
          <cell r="V954">
            <v>1</v>
          </cell>
          <cell r="W954">
            <v>0</v>
          </cell>
          <cell r="X954">
            <v>0</v>
          </cell>
          <cell r="Y954">
            <v>0</v>
          </cell>
        </row>
        <row r="955">
          <cell r="D955">
            <v>306816</v>
          </cell>
          <cell r="E955" t="str">
            <v>Jaen NHS (former Putlod-San Jose NHS-Annex)</v>
          </cell>
          <cell r="F955">
            <v>1</v>
          </cell>
          <cell r="G955">
            <v>1</v>
          </cell>
          <cell r="H955">
            <v>1</v>
          </cell>
          <cell r="I955">
            <v>0</v>
          </cell>
          <cell r="J955">
            <v>1</v>
          </cell>
          <cell r="K955">
            <v>0</v>
          </cell>
          <cell r="L955">
            <v>1</v>
          </cell>
          <cell r="M955">
            <v>0</v>
          </cell>
          <cell r="N955">
            <v>1</v>
          </cell>
          <cell r="O955" t="str">
            <v>July 26, 2019</v>
          </cell>
          <cell r="P955" t="str">
            <v>July 30, 2019</v>
          </cell>
          <cell r="Q955">
            <v>0</v>
          </cell>
          <cell r="R955">
            <v>1</v>
          </cell>
          <cell r="S955">
            <v>0</v>
          </cell>
          <cell r="T955">
            <v>0</v>
          </cell>
          <cell r="U955">
            <v>0</v>
          </cell>
          <cell r="V955">
            <v>1</v>
          </cell>
          <cell r="W955">
            <v>0</v>
          </cell>
          <cell r="X955">
            <v>0</v>
          </cell>
          <cell r="Y955">
            <v>0</v>
          </cell>
        </row>
        <row r="956">
          <cell r="D956">
            <v>306287</v>
          </cell>
          <cell r="E956" t="str">
            <v>F. Buencamino Sr. Integrated School</v>
          </cell>
          <cell r="F956">
            <v>1</v>
          </cell>
          <cell r="G956">
            <v>1</v>
          </cell>
          <cell r="H956">
            <v>1</v>
          </cell>
          <cell r="I956">
            <v>0</v>
          </cell>
          <cell r="J956">
            <v>0</v>
          </cell>
          <cell r="K956">
            <v>1</v>
          </cell>
          <cell r="L956">
            <v>0</v>
          </cell>
          <cell r="M956">
            <v>0</v>
          </cell>
          <cell r="N956">
            <v>1</v>
          </cell>
          <cell r="O956" t="str">
            <v>JULY, 2019</v>
          </cell>
          <cell r="P956" t="str">
            <v>AUGUST, 2019</v>
          </cell>
          <cell r="Q956">
            <v>0</v>
          </cell>
          <cell r="R956">
            <v>1</v>
          </cell>
          <cell r="S956">
            <v>0</v>
          </cell>
          <cell r="T956">
            <v>0</v>
          </cell>
          <cell r="U956">
            <v>0</v>
          </cell>
          <cell r="V956">
            <v>1</v>
          </cell>
          <cell r="W956">
            <v>3</v>
          </cell>
          <cell r="X956">
            <v>0</v>
          </cell>
          <cell r="Y956">
            <v>0</v>
          </cell>
        </row>
        <row r="957">
          <cell r="D957">
            <v>306810</v>
          </cell>
          <cell r="E957" t="str">
            <v>PACAC HIGH SCHOOL</v>
          </cell>
          <cell r="F957">
            <v>1</v>
          </cell>
          <cell r="G957">
            <v>1</v>
          </cell>
          <cell r="H957">
            <v>1</v>
          </cell>
          <cell r="I957">
            <v>0</v>
          </cell>
          <cell r="J957">
            <v>0</v>
          </cell>
          <cell r="K957">
            <v>1</v>
          </cell>
          <cell r="L957">
            <v>0</v>
          </cell>
          <cell r="M957">
            <v>0</v>
          </cell>
          <cell r="N957">
            <v>1</v>
          </cell>
          <cell r="O957" t="str">
            <v>JULY 22, 2019</v>
          </cell>
          <cell r="P957" t="str">
            <v>JULY 31, 2019</v>
          </cell>
          <cell r="Q957">
            <v>1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1</v>
          </cell>
          <cell r="W957">
            <v>3</v>
          </cell>
          <cell r="X957">
            <v>0</v>
          </cell>
          <cell r="Y957">
            <v>3</v>
          </cell>
        </row>
        <row r="958">
          <cell r="D958">
            <v>307011</v>
          </cell>
          <cell r="E958" t="str">
            <v>Moncada National High School</v>
          </cell>
          <cell r="F958">
            <v>1</v>
          </cell>
          <cell r="G958">
            <v>1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1</v>
          </cell>
          <cell r="X958">
            <v>1</v>
          </cell>
          <cell r="Y958">
            <v>0</v>
          </cell>
        </row>
        <row r="959">
          <cell r="D959">
            <v>306823</v>
          </cell>
          <cell r="E959" t="str">
            <v>Sta. Isabel High School</v>
          </cell>
          <cell r="F959">
            <v>1</v>
          </cell>
          <cell r="G959">
            <v>1</v>
          </cell>
          <cell r="H959">
            <v>1</v>
          </cell>
          <cell r="I959">
            <v>0</v>
          </cell>
          <cell r="J959">
            <v>1</v>
          </cell>
          <cell r="K959">
            <v>0</v>
          </cell>
          <cell r="L959">
            <v>0</v>
          </cell>
          <cell r="M959">
            <v>0</v>
          </cell>
          <cell r="N959">
            <v>1</v>
          </cell>
          <cell r="O959" t="str">
            <v>July 29, 2019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</row>
        <row r="960">
          <cell r="D960">
            <v>300910</v>
          </cell>
          <cell r="E960" t="str">
            <v>Pulong Santol NHS - Annex 1</v>
          </cell>
          <cell r="F960">
            <v>1</v>
          </cell>
          <cell r="G960">
            <v>1</v>
          </cell>
          <cell r="H960">
            <v>1</v>
          </cell>
          <cell r="I960">
            <v>0</v>
          </cell>
          <cell r="J960">
            <v>1</v>
          </cell>
          <cell r="K960">
            <v>0</v>
          </cell>
          <cell r="L960">
            <v>0</v>
          </cell>
          <cell r="M960">
            <v>0</v>
          </cell>
          <cell r="N960">
            <v>1</v>
          </cell>
          <cell r="O960" t="str">
            <v>JUL-01-19</v>
          </cell>
          <cell r="P960" t="str">
            <v>JUN-7-19</v>
          </cell>
          <cell r="Q960">
            <v>0</v>
          </cell>
          <cell r="R960">
            <v>1</v>
          </cell>
          <cell r="S960">
            <v>0</v>
          </cell>
          <cell r="T960">
            <v>0</v>
          </cell>
          <cell r="U960">
            <v>0</v>
          </cell>
          <cell r="V960">
            <v>1</v>
          </cell>
          <cell r="W960">
            <v>3</v>
          </cell>
          <cell r="X960">
            <v>2</v>
          </cell>
          <cell r="Y960">
            <v>2</v>
          </cell>
        </row>
        <row r="961">
          <cell r="D961">
            <v>300835</v>
          </cell>
          <cell r="E961" t="str">
            <v>Putlod-San Jose NHS</v>
          </cell>
          <cell r="F961">
            <v>1</v>
          </cell>
          <cell r="G961">
            <v>1</v>
          </cell>
          <cell r="H961">
            <v>1</v>
          </cell>
          <cell r="I961">
            <v>0</v>
          </cell>
          <cell r="J961">
            <v>1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 t="str">
            <v>07/19/2019</v>
          </cell>
          <cell r="Q961">
            <v>0</v>
          </cell>
          <cell r="R961">
            <v>0</v>
          </cell>
          <cell r="S961">
            <v>1</v>
          </cell>
          <cell r="T961">
            <v>0</v>
          </cell>
          <cell r="U961">
            <v>0</v>
          </cell>
          <cell r="V961">
            <v>1</v>
          </cell>
          <cell r="W961">
            <v>0</v>
          </cell>
          <cell r="X961">
            <v>0</v>
          </cell>
          <cell r="Y961">
            <v>0</v>
          </cell>
        </row>
        <row r="962">
          <cell r="D962">
            <v>307010</v>
          </cell>
          <cell r="E962" t="str">
            <v>Calipayan NHS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</row>
        <row r="963">
          <cell r="D963">
            <v>306831</v>
          </cell>
          <cell r="E963" t="str">
            <v>Jaen NHS Annex-San Pablo</v>
          </cell>
          <cell r="F963">
            <v>1</v>
          </cell>
          <cell r="G963">
            <v>0</v>
          </cell>
          <cell r="H963">
            <v>1</v>
          </cell>
          <cell r="I963">
            <v>0</v>
          </cell>
          <cell r="J963">
            <v>0</v>
          </cell>
          <cell r="K963">
            <v>1</v>
          </cell>
          <cell r="L963">
            <v>0</v>
          </cell>
          <cell r="M963">
            <v>0</v>
          </cell>
          <cell r="N963">
            <v>1</v>
          </cell>
          <cell r="O963">
            <v>43745</v>
          </cell>
          <cell r="P963">
            <v>43806</v>
          </cell>
          <cell r="Q963">
            <v>1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1</v>
          </cell>
          <cell r="W963">
            <v>0</v>
          </cell>
          <cell r="X963">
            <v>0</v>
          </cell>
          <cell r="Y963">
            <v>0</v>
          </cell>
        </row>
        <row r="964">
          <cell r="D964">
            <v>306806</v>
          </cell>
          <cell r="E964" t="str">
            <v>AGUPALO WESTE HIGH SCHOOL</v>
          </cell>
          <cell r="F964">
            <v>1</v>
          </cell>
          <cell r="G964">
            <v>1</v>
          </cell>
          <cell r="H964">
            <v>1</v>
          </cell>
          <cell r="I964">
            <v>1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1</v>
          </cell>
          <cell r="O964">
            <v>43679</v>
          </cell>
          <cell r="P964">
            <v>43682</v>
          </cell>
          <cell r="Q964">
            <v>0</v>
          </cell>
          <cell r="R964">
            <v>0</v>
          </cell>
          <cell r="S964">
            <v>1</v>
          </cell>
          <cell r="T964">
            <v>0</v>
          </cell>
          <cell r="U964">
            <v>0</v>
          </cell>
          <cell r="V964">
            <v>1</v>
          </cell>
          <cell r="W964">
            <v>5</v>
          </cell>
          <cell r="X964">
            <v>1</v>
          </cell>
          <cell r="Y964">
            <v>0</v>
          </cell>
        </row>
        <row r="965">
          <cell r="D965">
            <v>300791</v>
          </cell>
          <cell r="E965" t="str">
            <v>Bulac NHS</v>
          </cell>
          <cell r="F965">
            <v>1</v>
          </cell>
          <cell r="G965">
            <v>1</v>
          </cell>
          <cell r="H965">
            <v>1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1</v>
          </cell>
          <cell r="O965" t="str">
            <v>June 21,2019</v>
          </cell>
          <cell r="P965">
            <v>43637</v>
          </cell>
          <cell r="Q965">
            <v>0</v>
          </cell>
          <cell r="R965">
            <v>1</v>
          </cell>
          <cell r="S965">
            <v>0</v>
          </cell>
          <cell r="T965">
            <v>0</v>
          </cell>
          <cell r="U965">
            <v>0</v>
          </cell>
          <cell r="V965">
            <v>1</v>
          </cell>
          <cell r="W965">
            <v>0</v>
          </cell>
          <cell r="X965">
            <v>0</v>
          </cell>
          <cell r="Y965">
            <v>0</v>
          </cell>
        </row>
        <row r="966">
          <cell r="D966">
            <v>301061</v>
          </cell>
          <cell r="E966" t="str">
            <v>San Jose del Monte Nat'l. Trade School</v>
          </cell>
          <cell r="F966">
            <v>1</v>
          </cell>
          <cell r="G966">
            <v>1</v>
          </cell>
          <cell r="H966">
            <v>1</v>
          </cell>
          <cell r="I966">
            <v>1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1</v>
          </cell>
          <cell r="O966" t="str">
            <v>June 03, 2019</v>
          </cell>
          <cell r="P966" t="str">
            <v>June 03, 2019</v>
          </cell>
          <cell r="Q966">
            <v>1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1</v>
          </cell>
          <cell r="W966">
            <v>0</v>
          </cell>
          <cell r="X966">
            <v>0</v>
          </cell>
          <cell r="Y966">
            <v>0</v>
          </cell>
        </row>
        <row r="967">
          <cell r="D967">
            <v>300832</v>
          </cell>
          <cell r="E967" t="str">
            <v>Peñaranda National High School</v>
          </cell>
          <cell r="F967">
            <v>1</v>
          </cell>
          <cell r="G967">
            <v>1</v>
          </cell>
          <cell r="H967">
            <v>1</v>
          </cell>
          <cell r="I967">
            <v>0</v>
          </cell>
          <cell r="J967">
            <v>1</v>
          </cell>
          <cell r="K967">
            <v>0</v>
          </cell>
          <cell r="L967">
            <v>0</v>
          </cell>
          <cell r="M967">
            <v>0</v>
          </cell>
          <cell r="N967">
            <v>1</v>
          </cell>
          <cell r="O967">
            <v>0</v>
          </cell>
          <cell r="P967">
            <v>43692</v>
          </cell>
          <cell r="Q967">
            <v>1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1</v>
          </cell>
          <cell r="W967">
            <v>2</v>
          </cell>
          <cell r="X967">
            <v>0</v>
          </cell>
          <cell r="Y967">
            <v>0</v>
          </cell>
        </row>
        <row r="968">
          <cell r="D968">
            <v>306901</v>
          </cell>
          <cell r="E968" t="str">
            <v>San Vicente Pilot School for Philippine Craftsmen</v>
          </cell>
          <cell r="F968">
            <v>1</v>
          </cell>
          <cell r="G968">
            <v>1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1</v>
          </cell>
          <cell r="M968" t="str">
            <v>when the need arises</v>
          </cell>
          <cell r="N968">
            <v>1</v>
          </cell>
          <cell r="O968">
            <v>0</v>
          </cell>
          <cell r="P968">
            <v>43525</v>
          </cell>
          <cell r="Q968">
            <v>0</v>
          </cell>
          <cell r="R968">
            <v>0</v>
          </cell>
          <cell r="S968">
            <v>0</v>
          </cell>
          <cell r="T968">
            <v>1</v>
          </cell>
          <cell r="U968" t="str">
            <v>as the need arises</v>
          </cell>
          <cell r="V968">
            <v>1</v>
          </cell>
          <cell r="W968">
            <v>4</v>
          </cell>
          <cell r="X968">
            <v>0</v>
          </cell>
          <cell r="Y968">
            <v>0</v>
          </cell>
        </row>
        <row r="969">
          <cell r="D969">
            <v>300863</v>
          </cell>
          <cell r="E969" t="str">
            <v>Eduardo L. Joson Memorial HS</v>
          </cell>
          <cell r="F969">
            <v>1</v>
          </cell>
          <cell r="G969">
            <v>1</v>
          </cell>
          <cell r="H969">
            <v>1</v>
          </cell>
          <cell r="I969">
            <v>0</v>
          </cell>
          <cell r="J969">
            <v>1</v>
          </cell>
          <cell r="K969">
            <v>0</v>
          </cell>
          <cell r="L969">
            <v>0</v>
          </cell>
          <cell r="M969">
            <v>0</v>
          </cell>
          <cell r="N969">
            <v>1</v>
          </cell>
          <cell r="O969">
            <v>43617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1</v>
          </cell>
          <cell r="U969" t="str">
            <v>Weekly</v>
          </cell>
          <cell r="V969">
            <v>1</v>
          </cell>
          <cell r="W969">
            <v>0</v>
          </cell>
          <cell r="X969">
            <v>0</v>
          </cell>
          <cell r="Y969">
            <v>0</v>
          </cell>
        </row>
        <row r="970">
          <cell r="D970">
            <v>306912</v>
          </cell>
          <cell r="E970" t="str">
            <v>Sta. Cruz High Integrated School</v>
          </cell>
          <cell r="F970">
            <v>1</v>
          </cell>
          <cell r="G970">
            <v>0</v>
          </cell>
          <cell r="H970">
            <v>1</v>
          </cell>
          <cell r="I970">
            <v>0</v>
          </cell>
          <cell r="J970">
            <v>0</v>
          </cell>
          <cell r="K970">
            <v>1</v>
          </cell>
          <cell r="L970">
            <v>0</v>
          </cell>
          <cell r="M970">
            <v>0</v>
          </cell>
          <cell r="N970">
            <v>1</v>
          </cell>
          <cell r="O970">
            <v>43617</v>
          </cell>
          <cell r="P970">
            <v>43647</v>
          </cell>
          <cell r="Q970">
            <v>1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1</v>
          </cell>
          <cell r="W970">
            <v>0</v>
          </cell>
          <cell r="X970">
            <v>0</v>
          </cell>
          <cell r="Y970">
            <v>0</v>
          </cell>
        </row>
        <row r="971">
          <cell r="D971">
            <v>301000</v>
          </cell>
          <cell r="E971" t="str">
            <v>Victoria National High School</v>
          </cell>
          <cell r="F971">
            <v>1</v>
          </cell>
          <cell r="G971">
            <v>1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</row>
        <row r="972">
          <cell r="D972">
            <v>300803</v>
          </cell>
          <cell r="E972" t="str">
            <v>Dr. Ramon de Santos NHS</v>
          </cell>
          <cell r="F972">
            <v>1</v>
          </cell>
          <cell r="G972">
            <v>1</v>
          </cell>
          <cell r="H972">
            <v>1</v>
          </cell>
          <cell r="I972">
            <v>0</v>
          </cell>
          <cell r="J972">
            <v>1</v>
          </cell>
          <cell r="K972">
            <v>0</v>
          </cell>
          <cell r="L972">
            <v>0</v>
          </cell>
          <cell r="M972">
            <v>0</v>
          </cell>
          <cell r="N972">
            <v>1</v>
          </cell>
          <cell r="O972">
            <v>0</v>
          </cell>
          <cell r="P972">
            <v>0</v>
          </cell>
          <cell r="Q972">
            <v>0</v>
          </cell>
          <cell r="R972">
            <v>1</v>
          </cell>
          <cell r="S972">
            <v>0</v>
          </cell>
          <cell r="T972">
            <v>0</v>
          </cell>
          <cell r="U972">
            <v>0</v>
          </cell>
          <cell r="V972">
            <v>1</v>
          </cell>
          <cell r="W972">
            <v>0</v>
          </cell>
          <cell r="X972">
            <v>0</v>
          </cell>
          <cell r="Y972">
            <v>0</v>
          </cell>
        </row>
        <row r="973">
          <cell r="D973">
            <v>301010</v>
          </cell>
          <cell r="E973" t="str">
            <v>Cabangan National High School</v>
          </cell>
          <cell r="F973">
            <v>1</v>
          </cell>
          <cell r="G973">
            <v>1</v>
          </cell>
          <cell r="H973">
            <v>1</v>
          </cell>
          <cell r="I973">
            <v>0</v>
          </cell>
          <cell r="J973">
            <v>0</v>
          </cell>
          <cell r="K973">
            <v>1</v>
          </cell>
          <cell r="L973">
            <v>0</v>
          </cell>
          <cell r="M973">
            <v>0</v>
          </cell>
          <cell r="N973">
            <v>1</v>
          </cell>
          <cell r="O973">
            <v>43647</v>
          </cell>
          <cell r="P973">
            <v>43647</v>
          </cell>
          <cell r="Q973">
            <v>1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1</v>
          </cell>
          <cell r="W973">
            <v>0</v>
          </cell>
          <cell r="X973">
            <v>0</v>
          </cell>
          <cell r="Y973">
            <v>0</v>
          </cell>
        </row>
        <row r="974">
          <cell r="D974">
            <v>300934</v>
          </cell>
          <cell r="E974" t="str">
            <v>Sta. Maria NHS, Macabebe</v>
          </cell>
          <cell r="F974">
            <v>1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 t="str">
            <v>not applicable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1</v>
          </cell>
          <cell r="X974">
            <v>1</v>
          </cell>
          <cell r="Y974">
            <v>0</v>
          </cell>
        </row>
        <row r="975">
          <cell r="D975">
            <v>300969</v>
          </cell>
          <cell r="E975" t="str">
            <v>Mababanaba High School</v>
          </cell>
          <cell r="F975">
            <v>1</v>
          </cell>
          <cell r="G975">
            <v>1</v>
          </cell>
          <cell r="H975">
            <v>1</v>
          </cell>
          <cell r="I975">
            <v>0</v>
          </cell>
          <cell r="J975">
            <v>0</v>
          </cell>
          <cell r="K975">
            <v>1</v>
          </cell>
          <cell r="L975">
            <v>0</v>
          </cell>
          <cell r="M975">
            <v>0</v>
          </cell>
          <cell r="N975">
            <v>1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1</v>
          </cell>
          <cell r="W975">
            <v>3</v>
          </cell>
          <cell r="X975">
            <v>2</v>
          </cell>
          <cell r="Y975">
            <v>3</v>
          </cell>
        </row>
        <row r="976">
          <cell r="D976">
            <v>306709</v>
          </cell>
          <cell r="E976" t="str">
            <v>Engr. Virgilio V. Dionisio MHS</v>
          </cell>
          <cell r="F976">
            <v>1</v>
          </cell>
          <cell r="G976">
            <v>1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L976">
            <v>1</v>
          </cell>
          <cell r="M976">
            <v>0</v>
          </cell>
          <cell r="N976">
            <v>1</v>
          </cell>
          <cell r="O976">
            <v>0</v>
          </cell>
          <cell r="P976">
            <v>43740</v>
          </cell>
          <cell r="Q976">
            <v>0</v>
          </cell>
          <cell r="R976">
            <v>0</v>
          </cell>
          <cell r="S976">
            <v>0</v>
          </cell>
          <cell r="T976">
            <v>1</v>
          </cell>
          <cell r="U976" t="str">
            <v>as needed</v>
          </cell>
          <cell r="V976">
            <v>1</v>
          </cell>
          <cell r="W976">
            <v>0</v>
          </cell>
          <cell r="X976">
            <v>0</v>
          </cell>
          <cell r="Y976">
            <v>0</v>
          </cell>
        </row>
        <row r="977">
          <cell r="D977">
            <v>300960</v>
          </cell>
          <cell r="E977" t="str">
            <v>Central Azucarera de Tarlac NHS Main</v>
          </cell>
          <cell r="F977">
            <v>1</v>
          </cell>
          <cell r="G977">
            <v>1</v>
          </cell>
          <cell r="H977">
            <v>1</v>
          </cell>
          <cell r="I977">
            <v>0</v>
          </cell>
          <cell r="J977">
            <v>1</v>
          </cell>
          <cell r="K977">
            <v>0</v>
          </cell>
          <cell r="L977">
            <v>0</v>
          </cell>
          <cell r="M977">
            <v>0</v>
          </cell>
          <cell r="N977">
            <v>1</v>
          </cell>
          <cell r="O977" t="str">
            <v>August 2019</v>
          </cell>
          <cell r="P977" t="str">
            <v>June 2019</v>
          </cell>
          <cell r="Q977">
            <v>0</v>
          </cell>
          <cell r="R977">
            <v>1</v>
          </cell>
          <cell r="S977">
            <v>0</v>
          </cell>
          <cell r="T977">
            <v>0</v>
          </cell>
          <cell r="U977">
            <v>0</v>
          </cell>
          <cell r="V977">
            <v>1</v>
          </cell>
          <cell r="W977">
            <v>1</v>
          </cell>
          <cell r="X977">
            <v>1</v>
          </cell>
          <cell r="Y977">
            <v>0</v>
          </cell>
        </row>
        <row r="978">
          <cell r="D978">
            <v>300870</v>
          </cell>
          <cell r="E978" t="str">
            <v>Llanera National HIgh School</v>
          </cell>
          <cell r="F978">
            <v>1</v>
          </cell>
          <cell r="G978">
            <v>1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1</v>
          </cell>
          <cell r="M978" t="str">
            <v>as needed</v>
          </cell>
          <cell r="N978">
            <v>0</v>
          </cell>
          <cell r="O978">
            <v>0</v>
          </cell>
          <cell r="P978" t="str">
            <v>N/A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 t="str">
            <v>N/A</v>
          </cell>
          <cell r="V978">
            <v>0</v>
          </cell>
          <cell r="W978">
            <v>1</v>
          </cell>
          <cell r="X978">
            <v>0</v>
          </cell>
          <cell r="Y978">
            <v>0</v>
          </cell>
        </row>
        <row r="979">
          <cell r="D979">
            <v>300994</v>
          </cell>
          <cell r="E979" t="str">
            <v>Capas High School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</row>
        <row r="980">
          <cell r="D980">
            <v>300793</v>
          </cell>
          <cell r="E980" t="str">
            <v>Cabucbucan NHS</v>
          </cell>
          <cell r="F980">
            <v>1</v>
          </cell>
          <cell r="G980">
            <v>1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</row>
        <row r="981">
          <cell r="D981">
            <v>307118</v>
          </cell>
          <cell r="E981" t="str">
            <v>San Agustin High School</v>
          </cell>
          <cell r="F981">
            <v>1</v>
          </cell>
          <cell r="G981">
            <v>1</v>
          </cell>
          <cell r="H981">
            <v>1</v>
          </cell>
          <cell r="I981">
            <v>0</v>
          </cell>
          <cell r="J981">
            <v>0</v>
          </cell>
          <cell r="K981">
            <v>1</v>
          </cell>
          <cell r="L981">
            <v>0</v>
          </cell>
          <cell r="M981">
            <v>0</v>
          </cell>
          <cell r="N981">
            <v>1</v>
          </cell>
          <cell r="O981">
            <v>39965</v>
          </cell>
          <cell r="P981" t="str">
            <v>MAY 31 2019</v>
          </cell>
          <cell r="Q981">
            <v>0</v>
          </cell>
          <cell r="R981">
            <v>1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</row>
        <row r="982">
          <cell r="D982">
            <v>306706</v>
          </cell>
          <cell r="E982" t="str">
            <v>Pres. Diosdado Macapagal MHS</v>
          </cell>
          <cell r="F982">
            <v>1</v>
          </cell>
          <cell r="G982">
            <v>1</v>
          </cell>
          <cell r="H982">
            <v>1</v>
          </cell>
          <cell r="I982">
            <v>0</v>
          </cell>
          <cell r="J982">
            <v>1</v>
          </cell>
          <cell r="K982">
            <v>0</v>
          </cell>
          <cell r="L982">
            <v>0</v>
          </cell>
          <cell r="M982">
            <v>0</v>
          </cell>
          <cell r="N982">
            <v>1</v>
          </cell>
          <cell r="O982">
            <v>43733</v>
          </cell>
          <cell r="P982">
            <v>43733</v>
          </cell>
          <cell r="Q982">
            <v>0</v>
          </cell>
          <cell r="R982">
            <v>0</v>
          </cell>
          <cell r="S982">
            <v>1</v>
          </cell>
          <cell r="T982">
            <v>0</v>
          </cell>
          <cell r="U982">
            <v>0</v>
          </cell>
          <cell r="V982">
            <v>1</v>
          </cell>
          <cell r="W982">
            <v>3</v>
          </cell>
          <cell r="X982">
            <v>1</v>
          </cell>
          <cell r="Y982">
            <v>1</v>
          </cell>
        </row>
        <row r="983">
          <cell r="D983">
            <v>306825</v>
          </cell>
          <cell r="E983" t="str">
            <v>Marawa National High School</v>
          </cell>
          <cell r="F983">
            <v>1</v>
          </cell>
          <cell r="G983">
            <v>1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</row>
        <row r="984">
          <cell r="D984">
            <v>306702</v>
          </cell>
          <cell r="E984" t="str">
            <v>Angat HS (Binagbag NHS - Taboc NHS)</v>
          </cell>
          <cell r="F984">
            <v>1</v>
          </cell>
          <cell r="G984">
            <v>0</v>
          </cell>
          <cell r="H984">
            <v>1</v>
          </cell>
          <cell r="I984">
            <v>0</v>
          </cell>
          <cell r="J984">
            <v>0</v>
          </cell>
          <cell r="K984">
            <v>1</v>
          </cell>
          <cell r="L984">
            <v>0</v>
          </cell>
          <cell r="M984">
            <v>0</v>
          </cell>
          <cell r="N984">
            <v>1</v>
          </cell>
          <cell r="O984">
            <v>43586</v>
          </cell>
          <cell r="P984">
            <v>43709</v>
          </cell>
          <cell r="Q984">
            <v>0</v>
          </cell>
          <cell r="R984">
            <v>1</v>
          </cell>
          <cell r="S984">
            <v>0</v>
          </cell>
          <cell r="T984">
            <v>0</v>
          </cell>
          <cell r="U984">
            <v>0</v>
          </cell>
          <cell r="V984">
            <v>1</v>
          </cell>
          <cell r="W984">
            <v>1</v>
          </cell>
          <cell r="X984">
            <v>0</v>
          </cell>
          <cell r="Y984">
            <v>0</v>
          </cell>
        </row>
        <row r="985">
          <cell r="D985">
            <v>300864</v>
          </cell>
          <cell r="E985" t="str">
            <v>TALAVERA NATIONAL HIGH SCHOOL</v>
          </cell>
          <cell r="F985">
            <v>1</v>
          </cell>
          <cell r="G985">
            <v>1</v>
          </cell>
          <cell r="H985">
            <v>0</v>
          </cell>
          <cell r="I985">
            <v>1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1</v>
          </cell>
          <cell r="O985">
            <v>0</v>
          </cell>
          <cell r="P985">
            <v>43661</v>
          </cell>
          <cell r="Q985">
            <v>1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</row>
        <row r="986">
          <cell r="D986">
            <v>301032</v>
          </cell>
          <cell r="E986" t="str">
            <v>San Miguel National High School</v>
          </cell>
          <cell r="F986">
            <v>1</v>
          </cell>
          <cell r="G986">
            <v>1</v>
          </cell>
          <cell r="H986">
            <v>1</v>
          </cell>
          <cell r="I986">
            <v>1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1</v>
          </cell>
          <cell r="O986">
            <v>0</v>
          </cell>
          <cell r="P986">
            <v>43473</v>
          </cell>
          <cell r="Q986">
            <v>1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1</v>
          </cell>
          <cell r="W986">
            <v>3</v>
          </cell>
          <cell r="X986">
            <v>3</v>
          </cell>
          <cell r="Y986">
            <v>3</v>
          </cell>
        </row>
        <row r="987">
          <cell r="D987">
            <v>361011</v>
          </cell>
          <cell r="E987" t="str">
            <v>Mariveles SHS - Sitio Mabuhay</v>
          </cell>
          <cell r="F987">
            <v>1</v>
          </cell>
          <cell r="G987">
            <v>1</v>
          </cell>
          <cell r="H987">
            <v>1</v>
          </cell>
          <cell r="I987">
            <v>0</v>
          </cell>
          <cell r="J987">
            <v>1</v>
          </cell>
          <cell r="K987">
            <v>0</v>
          </cell>
          <cell r="L987">
            <v>0</v>
          </cell>
          <cell r="M987">
            <v>0</v>
          </cell>
          <cell r="N987">
            <v>1</v>
          </cell>
          <cell r="O987">
            <v>0</v>
          </cell>
          <cell r="P987">
            <v>43620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1</v>
          </cell>
          <cell r="W987">
            <v>0</v>
          </cell>
          <cell r="X987">
            <v>0</v>
          </cell>
          <cell r="Y987">
            <v>0</v>
          </cell>
        </row>
        <row r="988">
          <cell r="D988">
            <v>300936</v>
          </cell>
          <cell r="E988" t="str">
            <v>Sto. Rosario NHS</v>
          </cell>
          <cell r="F988">
            <v>1</v>
          </cell>
          <cell r="G988">
            <v>1</v>
          </cell>
          <cell r="H988">
            <v>1</v>
          </cell>
          <cell r="I988">
            <v>0</v>
          </cell>
          <cell r="J988">
            <v>1</v>
          </cell>
          <cell r="K988">
            <v>0</v>
          </cell>
          <cell r="L988">
            <v>0</v>
          </cell>
          <cell r="M988">
            <v>0</v>
          </cell>
          <cell r="N988">
            <v>1</v>
          </cell>
          <cell r="O988">
            <v>43647</v>
          </cell>
          <cell r="P988">
            <v>43647</v>
          </cell>
          <cell r="Q988">
            <v>0</v>
          </cell>
          <cell r="R988">
            <v>1</v>
          </cell>
          <cell r="S988">
            <v>0</v>
          </cell>
          <cell r="T988">
            <v>0</v>
          </cell>
          <cell r="U988">
            <v>0</v>
          </cell>
          <cell r="V988">
            <v>1</v>
          </cell>
          <cell r="W988">
            <v>0</v>
          </cell>
          <cell r="X988">
            <v>0</v>
          </cell>
          <cell r="Y988">
            <v>0</v>
          </cell>
        </row>
        <row r="989">
          <cell r="D989">
            <v>301034</v>
          </cell>
          <cell r="E989" t="str">
            <v>Lipay High School</v>
          </cell>
          <cell r="F989">
            <v>1</v>
          </cell>
          <cell r="G989">
            <v>0</v>
          </cell>
          <cell r="H989">
            <v>1</v>
          </cell>
          <cell r="I989">
            <v>0</v>
          </cell>
          <cell r="J989">
            <v>0</v>
          </cell>
          <cell r="K989">
            <v>1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 t="str">
            <v>never</v>
          </cell>
          <cell r="Q989">
            <v>0</v>
          </cell>
          <cell r="R989">
            <v>0</v>
          </cell>
          <cell r="S989">
            <v>0</v>
          </cell>
          <cell r="T989">
            <v>1</v>
          </cell>
          <cell r="U989" t="str">
            <v>never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</row>
        <row r="990">
          <cell r="D990">
            <v>300818</v>
          </cell>
          <cell r="E990" t="str">
            <v>MalacaÃ±ang NHS</v>
          </cell>
          <cell r="F990">
            <v>1</v>
          </cell>
          <cell r="G990">
            <v>1</v>
          </cell>
          <cell r="H990">
            <v>1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1</v>
          </cell>
          <cell r="O990">
            <v>43637</v>
          </cell>
          <cell r="P990">
            <v>0</v>
          </cell>
          <cell r="Q990">
            <v>1</v>
          </cell>
          <cell r="R990">
            <v>0</v>
          </cell>
          <cell r="S990">
            <v>0</v>
          </cell>
          <cell r="T990">
            <v>0</v>
          </cell>
          <cell r="U990">
            <v>43629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</row>
        <row r="991">
          <cell r="D991">
            <v>306829</v>
          </cell>
          <cell r="E991" t="str">
            <v>Bartolome R Sangalang NHS Annex-Macatcatuit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</row>
        <row r="992">
          <cell r="D992">
            <v>300853</v>
          </cell>
          <cell r="E992" t="str">
            <v>STA. BARBARA NATIONAL HS</v>
          </cell>
          <cell r="F992">
            <v>1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</row>
        <row r="993">
          <cell r="D993">
            <v>301006</v>
          </cell>
          <cell r="E993" t="str">
            <v>Taltal National High School</v>
          </cell>
          <cell r="F993">
            <v>1</v>
          </cell>
          <cell r="G993">
            <v>1</v>
          </cell>
          <cell r="H993">
            <v>1</v>
          </cell>
          <cell r="I993">
            <v>0</v>
          </cell>
          <cell r="J993">
            <v>0</v>
          </cell>
          <cell r="K993">
            <v>1</v>
          </cell>
          <cell r="L993">
            <v>0</v>
          </cell>
          <cell r="M993">
            <v>0</v>
          </cell>
          <cell r="N993">
            <v>1</v>
          </cell>
          <cell r="O993" t="str">
            <v>SY 2018 - 2019</v>
          </cell>
          <cell r="P993" t="str">
            <v>SY 2018 - 2019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</row>
        <row r="994">
          <cell r="D994">
            <v>300854</v>
          </cell>
          <cell r="E994" t="str">
            <v>Zacarias C. Aquilizan HS (Sta. Barbara NHS Annex)</v>
          </cell>
          <cell r="F994">
            <v>1</v>
          </cell>
          <cell r="G994">
            <v>1</v>
          </cell>
          <cell r="H994">
            <v>1</v>
          </cell>
          <cell r="I994">
            <v>1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1</v>
          </cell>
          <cell r="O994">
            <v>43642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</row>
        <row r="995">
          <cell r="D995">
            <v>307116</v>
          </cell>
          <cell r="E995" t="str">
            <v>Sta. Cruz NHS - Don Marcelo C. Marty High School</v>
          </cell>
          <cell r="F995">
            <v>1</v>
          </cell>
          <cell r="G995">
            <v>0</v>
          </cell>
          <cell r="H995">
            <v>1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1</v>
          </cell>
          <cell r="T995">
            <v>0</v>
          </cell>
          <cell r="U995">
            <v>0</v>
          </cell>
          <cell r="V995">
            <v>1</v>
          </cell>
          <cell r="W995">
            <v>0</v>
          </cell>
          <cell r="X995">
            <v>0</v>
          </cell>
          <cell r="Y995">
            <v>0</v>
          </cell>
        </row>
        <row r="996">
          <cell r="D996">
            <v>300998</v>
          </cell>
          <cell r="E996" t="str">
            <v>Eduardo Cojuangco National Vocational High School</v>
          </cell>
          <cell r="F996">
            <v>1</v>
          </cell>
          <cell r="G996">
            <v>1</v>
          </cell>
          <cell r="H996">
            <v>1</v>
          </cell>
          <cell r="I996">
            <v>0</v>
          </cell>
          <cell r="J996">
            <v>1</v>
          </cell>
          <cell r="K996">
            <v>0</v>
          </cell>
          <cell r="L996">
            <v>0</v>
          </cell>
          <cell r="M996">
            <v>0</v>
          </cell>
          <cell r="N996">
            <v>1</v>
          </cell>
          <cell r="O996" t="str">
            <v>06/14/19</v>
          </cell>
          <cell r="P996" t="str">
            <v>08/19/19</v>
          </cell>
          <cell r="Q996">
            <v>1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1</v>
          </cell>
          <cell r="W996">
            <v>1</v>
          </cell>
          <cell r="X996">
            <v>0</v>
          </cell>
          <cell r="Y996">
            <v>0</v>
          </cell>
        </row>
        <row r="997">
          <cell r="D997">
            <v>500127</v>
          </cell>
          <cell r="E997" t="str">
            <v>Pamibian Integrated School</v>
          </cell>
          <cell r="F997">
            <v>1</v>
          </cell>
          <cell r="G997">
            <v>1</v>
          </cell>
          <cell r="H997">
            <v>1</v>
          </cell>
          <cell r="I997">
            <v>1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1</v>
          </cell>
          <cell r="O997">
            <v>0</v>
          </cell>
          <cell r="P997">
            <v>0</v>
          </cell>
          <cell r="Q997">
            <v>1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1</v>
          </cell>
          <cell r="W997">
            <v>13</v>
          </cell>
          <cell r="X997">
            <v>13</v>
          </cell>
          <cell r="Y997">
            <v>13</v>
          </cell>
        </row>
        <row r="998">
          <cell r="D998">
            <v>306815</v>
          </cell>
          <cell r="E998" t="str">
            <v>Manacsac HS (Former Nagpandayan HS Annex)</v>
          </cell>
          <cell r="F998">
            <v>1</v>
          </cell>
          <cell r="G998">
            <v>1</v>
          </cell>
          <cell r="H998">
            <v>1</v>
          </cell>
          <cell r="I998">
            <v>1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1</v>
          </cell>
          <cell r="O998">
            <v>0</v>
          </cell>
          <cell r="P998">
            <v>0</v>
          </cell>
          <cell r="Q998">
            <v>0</v>
          </cell>
          <cell r="R998">
            <v>1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</row>
        <row r="999">
          <cell r="D999">
            <v>300888</v>
          </cell>
          <cell r="E999" t="str">
            <v>Dolores NHS, Magalang</v>
          </cell>
          <cell r="F999">
            <v>1</v>
          </cell>
          <cell r="G999">
            <v>1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</row>
        <row r="1000">
          <cell r="D1000">
            <v>300852</v>
          </cell>
          <cell r="E1000" t="str">
            <v>Sibul National High School</v>
          </cell>
          <cell r="F1000">
            <v>1</v>
          </cell>
          <cell r="G1000">
            <v>1</v>
          </cell>
          <cell r="H1000">
            <v>0</v>
          </cell>
          <cell r="I1000">
            <v>1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1</v>
          </cell>
          <cell r="O1000">
            <v>0</v>
          </cell>
          <cell r="P1000">
            <v>0</v>
          </cell>
          <cell r="Q1000">
            <v>1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</row>
        <row r="1001">
          <cell r="D1001">
            <v>500138</v>
          </cell>
          <cell r="E1001" t="str">
            <v>City of San Fernando West IS</v>
          </cell>
          <cell r="F1001">
            <v>1</v>
          </cell>
          <cell r="G1001">
            <v>1</v>
          </cell>
          <cell r="H1001">
            <v>1</v>
          </cell>
          <cell r="I1001">
            <v>0</v>
          </cell>
          <cell r="J1001">
            <v>1</v>
          </cell>
          <cell r="K1001">
            <v>0</v>
          </cell>
          <cell r="L1001">
            <v>0</v>
          </cell>
          <cell r="M1001">
            <v>0</v>
          </cell>
          <cell r="N1001">
            <v>1</v>
          </cell>
          <cell r="O1001">
            <v>43686</v>
          </cell>
          <cell r="P1001" t="str">
            <v>n/a</v>
          </cell>
          <cell r="Q1001">
            <v>0</v>
          </cell>
          <cell r="R1001">
            <v>0</v>
          </cell>
          <cell r="S1001">
            <v>0</v>
          </cell>
          <cell r="T1001">
            <v>1</v>
          </cell>
          <cell r="U1001" t="str">
            <v>n/a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</row>
        <row r="1002">
          <cell r="D1002">
            <v>301007</v>
          </cell>
          <cell r="E1002" t="str">
            <v>Coto High School</v>
          </cell>
          <cell r="F1002">
            <v>1</v>
          </cell>
          <cell r="G1002">
            <v>0</v>
          </cell>
          <cell r="H1002">
            <v>1</v>
          </cell>
          <cell r="I1002">
            <v>0</v>
          </cell>
          <cell r="J1002">
            <v>1</v>
          </cell>
          <cell r="K1002">
            <v>0</v>
          </cell>
          <cell r="L1002">
            <v>0</v>
          </cell>
          <cell r="M1002">
            <v>0</v>
          </cell>
          <cell r="N1002">
            <v>1</v>
          </cell>
          <cell r="O1002" t="str">
            <v>SEPT. 2019</v>
          </cell>
          <cell r="P1002" t="str">
            <v>SEPT. , 2019</v>
          </cell>
          <cell r="Q1002">
            <v>0</v>
          </cell>
          <cell r="R1002">
            <v>1</v>
          </cell>
          <cell r="S1002">
            <v>0</v>
          </cell>
          <cell r="T1002">
            <v>0</v>
          </cell>
          <cell r="U1002">
            <v>0</v>
          </cell>
          <cell r="V1002">
            <v>1</v>
          </cell>
          <cell r="W1002">
            <v>0</v>
          </cell>
          <cell r="X1002">
            <v>0</v>
          </cell>
          <cell r="Y1002">
            <v>0</v>
          </cell>
        </row>
        <row r="1003">
          <cell r="D1003">
            <v>301037</v>
          </cell>
          <cell r="E1003" t="str">
            <v>Zambales National High School</v>
          </cell>
          <cell r="F1003">
            <v>1</v>
          </cell>
          <cell r="G1003">
            <v>1</v>
          </cell>
          <cell r="H1003">
            <v>1</v>
          </cell>
          <cell r="I1003">
            <v>0</v>
          </cell>
          <cell r="J1003">
            <v>0</v>
          </cell>
          <cell r="K1003">
            <v>1</v>
          </cell>
          <cell r="L1003">
            <v>0</v>
          </cell>
          <cell r="M1003">
            <v>0</v>
          </cell>
          <cell r="N1003">
            <v>1</v>
          </cell>
          <cell r="O1003">
            <v>43707</v>
          </cell>
          <cell r="P1003">
            <v>43617</v>
          </cell>
          <cell r="Q1003">
            <v>0</v>
          </cell>
          <cell r="R1003">
            <v>0</v>
          </cell>
          <cell r="S1003">
            <v>1</v>
          </cell>
          <cell r="T1003">
            <v>0</v>
          </cell>
          <cell r="U1003">
            <v>0</v>
          </cell>
          <cell r="V1003">
            <v>1</v>
          </cell>
          <cell r="W1003">
            <v>4</v>
          </cell>
          <cell r="X1003">
            <v>0</v>
          </cell>
          <cell r="Y1003">
            <v>0</v>
          </cell>
        </row>
        <row r="1004">
          <cell r="D1004">
            <v>307101</v>
          </cell>
          <cell r="E1004" t="str">
            <v>Zambales NHS - Jesus F. Magsaysay HS Annex</v>
          </cell>
          <cell r="F1004">
            <v>1</v>
          </cell>
          <cell r="G1004">
            <v>0</v>
          </cell>
          <cell r="H1004">
            <v>1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1</v>
          </cell>
          <cell r="O1004">
            <v>43665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</row>
        <row r="1005">
          <cell r="D1005">
            <v>300848</v>
          </cell>
          <cell r="E1005" t="str">
            <v>San Mariano National High School</v>
          </cell>
          <cell r="F1005">
            <v>1</v>
          </cell>
          <cell r="G1005">
            <v>1</v>
          </cell>
          <cell r="H1005">
            <v>1</v>
          </cell>
          <cell r="I1005">
            <v>0</v>
          </cell>
          <cell r="J1005">
            <v>1</v>
          </cell>
          <cell r="K1005">
            <v>0</v>
          </cell>
          <cell r="L1005">
            <v>0</v>
          </cell>
          <cell r="M1005">
            <v>0</v>
          </cell>
          <cell r="N1005">
            <v>1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1</v>
          </cell>
          <cell r="T1005">
            <v>0</v>
          </cell>
          <cell r="U1005">
            <v>0</v>
          </cell>
          <cell r="V1005">
            <v>1</v>
          </cell>
          <cell r="W1005">
            <v>0</v>
          </cell>
          <cell r="X1005">
            <v>0</v>
          </cell>
          <cell r="Y1005">
            <v>0</v>
          </cell>
        </row>
        <row r="1006">
          <cell r="D1006">
            <v>307124</v>
          </cell>
          <cell r="E1006" t="str">
            <v>Subic NHS Annex IV - San Isidro HS</v>
          </cell>
          <cell r="F1006">
            <v>1</v>
          </cell>
          <cell r="G1006">
            <v>0</v>
          </cell>
          <cell r="H1006">
            <v>1</v>
          </cell>
          <cell r="I1006">
            <v>0</v>
          </cell>
          <cell r="J1006">
            <v>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1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</row>
        <row r="1007">
          <cell r="D1007">
            <v>300907</v>
          </cell>
          <cell r="E1007" t="str">
            <v>Porac Model Comm. HS (Resettlement School)</v>
          </cell>
          <cell r="F1007">
            <v>1</v>
          </cell>
          <cell r="G1007">
            <v>1</v>
          </cell>
          <cell r="H1007">
            <v>1</v>
          </cell>
          <cell r="I1007">
            <v>0</v>
          </cell>
          <cell r="J1007">
            <v>0</v>
          </cell>
          <cell r="K1007">
            <v>1</v>
          </cell>
          <cell r="L1007">
            <v>0</v>
          </cell>
          <cell r="M1007">
            <v>0</v>
          </cell>
          <cell r="N1007">
            <v>0</v>
          </cell>
          <cell r="O1007">
            <v>43651</v>
          </cell>
          <cell r="P1007">
            <v>43353</v>
          </cell>
          <cell r="Q1007">
            <v>0</v>
          </cell>
          <cell r="R1007">
            <v>1</v>
          </cell>
          <cell r="S1007">
            <v>0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</row>
        <row r="1008">
          <cell r="D1008">
            <v>301036</v>
          </cell>
          <cell r="E1008" t="str">
            <v>Subic National High School</v>
          </cell>
          <cell r="F1008">
            <v>0</v>
          </cell>
          <cell r="G1008">
            <v>0</v>
          </cell>
          <cell r="H1008">
            <v>1</v>
          </cell>
          <cell r="I1008">
            <v>0</v>
          </cell>
          <cell r="J1008">
            <v>1</v>
          </cell>
          <cell r="K1008">
            <v>0</v>
          </cell>
          <cell r="L1008">
            <v>1</v>
          </cell>
          <cell r="M1008" t="str">
            <v>n/a</v>
          </cell>
          <cell r="N1008">
            <v>1</v>
          </cell>
          <cell r="O1008">
            <v>43617</v>
          </cell>
          <cell r="P1008">
            <v>0</v>
          </cell>
          <cell r="Q1008">
            <v>0</v>
          </cell>
          <cell r="R1008">
            <v>1</v>
          </cell>
          <cell r="S1008">
            <v>0</v>
          </cell>
          <cell r="T1008">
            <v>1</v>
          </cell>
          <cell r="U1008" t="str">
            <v>n/a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</row>
        <row r="1009">
          <cell r="D1009">
            <v>500630</v>
          </cell>
          <cell r="E1009" t="str">
            <v>San Antonio Integrated School</v>
          </cell>
          <cell r="F1009">
            <v>1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</row>
        <row r="1010">
          <cell r="D1010">
            <v>300874</v>
          </cell>
          <cell r="E1010" t="str">
            <v>Bahay Pare NHS</v>
          </cell>
          <cell r="F1010">
            <v>1</v>
          </cell>
          <cell r="G1010">
            <v>1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1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</row>
        <row r="1011">
          <cell r="D1011">
            <v>500510</v>
          </cell>
          <cell r="E1011" t="str">
            <v>Naugsol Integrated School</v>
          </cell>
          <cell r="F1011">
            <v>1</v>
          </cell>
          <cell r="G1011">
            <v>1</v>
          </cell>
          <cell r="H1011">
            <v>1</v>
          </cell>
          <cell r="I1011">
            <v>0</v>
          </cell>
          <cell r="J1011">
            <v>0</v>
          </cell>
          <cell r="K1011">
            <v>1</v>
          </cell>
          <cell r="L1011">
            <v>0</v>
          </cell>
          <cell r="M1011">
            <v>0</v>
          </cell>
          <cell r="N1011">
            <v>1</v>
          </cell>
          <cell r="O1011">
            <v>43672</v>
          </cell>
          <cell r="P1011" t="str">
            <v xml:space="preserve"> August 30, 2019</v>
          </cell>
          <cell r="Q1011">
            <v>0</v>
          </cell>
          <cell r="R1011">
            <v>0</v>
          </cell>
          <cell r="S1011">
            <v>1</v>
          </cell>
          <cell r="T1011">
            <v>0</v>
          </cell>
          <cell r="U1011">
            <v>0</v>
          </cell>
          <cell r="V1011">
            <v>1</v>
          </cell>
          <cell r="W1011">
            <v>2</v>
          </cell>
          <cell r="X1011">
            <v>0</v>
          </cell>
          <cell r="Y1011">
            <v>0</v>
          </cell>
        </row>
        <row r="1012">
          <cell r="D1012">
            <v>301002</v>
          </cell>
          <cell r="E1012" t="str">
            <v>Iba High School</v>
          </cell>
          <cell r="F1012">
            <v>1</v>
          </cell>
          <cell r="G1012">
            <v>1</v>
          </cell>
          <cell r="H1012">
            <v>1</v>
          </cell>
          <cell r="I1012">
            <v>0</v>
          </cell>
          <cell r="J1012">
            <v>1</v>
          </cell>
          <cell r="K1012">
            <v>0</v>
          </cell>
          <cell r="L1012">
            <v>0</v>
          </cell>
          <cell r="M1012">
            <v>0</v>
          </cell>
          <cell r="N1012">
            <v>1</v>
          </cell>
          <cell r="O1012">
            <v>0</v>
          </cell>
          <cell r="P1012">
            <v>0</v>
          </cell>
          <cell r="Q1012">
            <v>0</v>
          </cell>
          <cell r="R1012">
            <v>1</v>
          </cell>
          <cell r="S1012">
            <v>0</v>
          </cell>
          <cell r="T1012">
            <v>0</v>
          </cell>
          <cell r="U1012">
            <v>0</v>
          </cell>
          <cell r="V1012">
            <v>1</v>
          </cell>
          <cell r="W1012">
            <v>0</v>
          </cell>
          <cell r="X1012">
            <v>0</v>
          </cell>
          <cell r="Y1012">
            <v>0</v>
          </cell>
        </row>
        <row r="1013">
          <cell r="D1013">
            <v>300952</v>
          </cell>
          <cell r="E1013" t="str">
            <v>Bilad High School</v>
          </cell>
          <cell r="F1013">
            <v>1</v>
          </cell>
          <cell r="G1013">
            <v>1</v>
          </cell>
          <cell r="H1013">
            <v>1</v>
          </cell>
          <cell r="I1013">
            <v>0</v>
          </cell>
          <cell r="J1013">
            <v>0</v>
          </cell>
          <cell r="K1013">
            <v>1</v>
          </cell>
          <cell r="L1013">
            <v>0</v>
          </cell>
          <cell r="M1013">
            <v>0</v>
          </cell>
          <cell r="N1013">
            <v>1</v>
          </cell>
          <cell r="O1013">
            <v>43678</v>
          </cell>
          <cell r="P1013">
            <v>0</v>
          </cell>
          <cell r="Q1013">
            <v>0</v>
          </cell>
          <cell r="R1013">
            <v>1</v>
          </cell>
          <cell r="S1013">
            <v>0</v>
          </cell>
          <cell r="T1013">
            <v>0</v>
          </cell>
          <cell r="U1013">
            <v>0</v>
          </cell>
          <cell r="V1013">
            <v>1</v>
          </cell>
          <cell r="W1013">
            <v>0</v>
          </cell>
          <cell r="X1013">
            <v>0</v>
          </cell>
          <cell r="Y1013">
            <v>0</v>
          </cell>
        </row>
        <row r="1014">
          <cell r="D1014">
            <v>301028</v>
          </cell>
          <cell r="E1014" t="str">
            <v>Locloc National High School</v>
          </cell>
          <cell r="F1014">
            <v>1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</row>
        <row r="1015">
          <cell r="D1015">
            <v>307113</v>
          </cell>
          <cell r="E1015" t="str">
            <v>Sagpat High School</v>
          </cell>
          <cell r="F1015">
            <v>0</v>
          </cell>
          <cell r="G1015">
            <v>0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</row>
        <row r="1016">
          <cell r="D1016">
            <v>301029</v>
          </cell>
          <cell r="E1016" t="str">
            <v>San Guillermo National High School</v>
          </cell>
          <cell r="F1016">
            <v>1</v>
          </cell>
          <cell r="G1016">
            <v>1</v>
          </cell>
          <cell r="H1016">
            <v>1</v>
          </cell>
          <cell r="I1016">
            <v>0</v>
          </cell>
          <cell r="J1016">
            <v>1</v>
          </cell>
          <cell r="K1016">
            <v>0</v>
          </cell>
          <cell r="L1016">
            <v>0</v>
          </cell>
          <cell r="M1016">
            <v>0</v>
          </cell>
          <cell r="N1016">
            <v>1</v>
          </cell>
          <cell r="O1016">
            <v>0</v>
          </cell>
          <cell r="P1016">
            <v>0</v>
          </cell>
          <cell r="Q1016">
            <v>1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1</v>
          </cell>
          <cell r="W1016">
            <v>0</v>
          </cell>
          <cell r="X1016">
            <v>0</v>
          </cell>
          <cell r="Y1016">
            <v>0</v>
          </cell>
        </row>
        <row r="1017">
          <cell r="D1017">
            <v>300788</v>
          </cell>
          <cell r="E1017" t="str">
            <v>Batitang National High School</v>
          </cell>
          <cell r="F1017">
            <v>1</v>
          </cell>
          <cell r="G1017">
            <v>1</v>
          </cell>
          <cell r="H1017">
            <v>1</v>
          </cell>
          <cell r="I1017">
            <v>0</v>
          </cell>
          <cell r="J1017">
            <v>1</v>
          </cell>
          <cell r="K1017">
            <v>0</v>
          </cell>
          <cell r="L1017">
            <v>0</v>
          </cell>
          <cell r="M1017">
            <v>0</v>
          </cell>
          <cell r="N1017">
            <v>1</v>
          </cell>
          <cell r="O1017" t="str">
            <v>July, 2019</v>
          </cell>
          <cell r="P1017">
            <v>0</v>
          </cell>
          <cell r="Q1017">
            <v>0</v>
          </cell>
          <cell r="R1017">
            <v>0</v>
          </cell>
          <cell r="S1017">
            <v>1</v>
          </cell>
          <cell r="T1017">
            <v>0</v>
          </cell>
          <cell r="U1017">
            <v>0</v>
          </cell>
          <cell r="V1017">
            <v>1</v>
          </cell>
          <cell r="W1017">
            <v>5</v>
          </cell>
          <cell r="X1017">
            <v>1</v>
          </cell>
          <cell r="Y1017">
            <v>0</v>
          </cell>
        </row>
        <row r="1018">
          <cell r="D1018">
            <v>300971</v>
          </cell>
          <cell r="E1018" t="str">
            <v>Tibag HS</v>
          </cell>
          <cell r="F1018">
            <v>1</v>
          </cell>
          <cell r="G1018">
            <v>1</v>
          </cell>
          <cell r="H1018">
            <v>1</v>
          </cell>
          <cell r="I1018">
            <v>0</v>
          </cell>
          <cell r="J1018">
            <v>0</v>
          </cell>
          <cell r="K1018">
            <v>1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43744</v>
          </cell>
          <cell r="Q1018">
            <v>0</v>
          </cell>
          <cell r="R1018">
            <v>0</v>
          </cell>
          <cell r="S1018">
            <v>0</v>
          </cell>
          <cell r="T1018">
            <v>1</v>
          </cell>
          <cell r="U1018" t="str">
            <v>AS NEED ARISES</v>
          </cell>
          <cell r="V1018">
            <v>1</v>
          </cell>
          <cell r="W1018">
            <v>0</v>
          </cell>
          <cell r="X1018">
            <v>0</v>
          </cell>
          <cell r="Y1018">
            <v>0</v>
          </cell>
        </row>
        <row r="1019">
          <cell r="D1019">
            <v>300779</v>
          </cell>
          <cell r="E1019" t="str">
            <v>Taliptip National High Sschool</v>
          </cell>
          <cell r="F1019">
            <v>1</v>
          </cell>
          <cell r="G1019">
            <v>1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L1019">
            <v>1</v>
          </cell>
          <cell r="M1019" t="str">
            <v>Special cases</v>
          </cell>
          <cell r="N1019">
            <v>0</v>
          </cell>
          <cell r="O1019">
            <v>43555</v>
          </cell>
          <cell r="P1019">
            <v>43555</v>
          </cell>
          <cell r="Q1019">
            <v>0</v>
          </cell>
          <cell r="R1019">
            <v>0</v>
          </cell>
          <cell r="S1019">
            <v>0</v>
          </cell>
          <cell r="T1019">
            <v>1</v>
          </cell>
          <cell r="U1019">
            <v>0</v>
          </cell>
          <cell r="V1019">
            <v>1</v>
          </cell>
          <cell r="W1019">
            <v>2</v>
          </cell>
          <cell r="X1019">
            <v>2</v>
          </cell>
          <cell r="Y1019">
            <v>1</v>
          </cell>
        </row>
        <row r="1020">
          <cell r="D1020">
            <v>301033</v>
          </cell>
          <cell r="E1020" t="str">
            <v>Sta. Cruz National High School</v>
          </cell>
          <cell r="F1020">
            <v>1</v>
          </cell>
          <cell r="G1020">
            <v>1</v>
          </cell>
          <cell r="H1020">
            <v>1</v>
          </cell>
          <cell r="I1020">
            <v>0</v>
          </cell>
          <cell r="J1020">
            <v>1</v>
          </cell>
          <cell r="K1020">
            <v>0</v>
          </cell>
          <cell r="L1020">
            <v>0</v>
          </cell>
          <cell r="M1020">
            <v>0</v>
          </cell>
          <cell r="N1020">
            <v>1</v>
          </cell>
          <cell r="O1020" t="str">
            <v>JUNE 2019</v>
          </cell>
          <cell r="P1020" t="str">
            <v>JUNE 2019</v>
          </cell>
          <cell r="Q1020">
            <v>0</v>
          </cell>
          <cell r="R1020">
            <v>0</v>
          </cell>
          <cell r="S1020">
            <v>1</v>
          </cell>
          <cell r="T1020">
            <v>0</v>
          </cell>
          <cell r="U1020">
            <v>0</v>
          </cell>
          <cell r="V1020">
            <v>1</v>
          </cell>
          <cell r="W1020">
            <v>0</v>
          </cell>
          <cell r="X1020">
            <v>0</v>
          </cell>
          <cell r="Y1020">
            <v>0</v>
          </cell>
        </row>
        <row r="1021">
          <cell r="D1021">
            <v>301024</v>
          </cell>
          <cell r="E1021" t="str">
            <v>Panan National High School</v>
          </cell>
          <cell r="F1021">
            <v>1</v>
          </cell>
          <cell r="G1021">
            <v>1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1</v>
          </cell>
          <cell r="O1021" t="str">
            <v>06/20/2019</v>
          </cell>
          <cell r="P1021" t="str">
            <v>05/26/2019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1</v>
          </cell>
          <cell r="W1021">
            <v>0</v>
          </cell>
          <cell r="X1021">
            <v>0</v>
          </cell>
          <cell r="Y1021">
            <v>0</v>
          </cell>
        </row>
        <row r="1022">
          <cell r="D1022">
            <v>301018</v>
          </cell>
          <cell r="E1022" t="str">
            <v>Paite-Balincaguing National High School</v>
          </cell>
          <cell r="F1022">
            <v>1</v>
          </cell>
          <cell r="G1022">
            <v>1</v>
          </cell>
          <cell r="H1022">
            <v>1</v>
          </cell>
          <cell r="I1022">
            <v>0</v>
          </cell>
          <cell r="J1022">
            <v>1</v>
          </cell>
          <cell r="K1022">
            <v>0</v>
          </cell>
          <cell r="L1022">
            <v>0</v>
          </cell>
          <cell r="M1022">
            <v>0</v>
          </cell>
          <cell r="N1022">
            <v>1</v>
          </cell>
          <cell r="O1022">
            <v>43700</v>
          </cell>
          <cell r="P1022">
            <v>43693</v>
          </cell>
          <cell r="Q1022">
            <v>1</v>
          </cell>
          <cell r="R1022">
            <v>1</v>
          </cell>
          <cell r="S1022">
            <v>0</v>
          </cell>
          <cell r="T1022">
            <v>0</v>
          </cell>
          <cell r="U1022">
            <v>0</v>
          </cell>
          <cell r="V1022">
            <v>1</v>
          </cell>
          <cell r="W1022">
            <v>0</v>
          </cell>
          <cell r="X1022">
            <v>0</v>
          </cell>
          <cell r="Y1022">
            <v>0</v>
          </cell>
        </row>
        <row r="1023">
          <cell r="D1023">
            <v>300830</v>
          </cell>
          <cell r="E1023" t="str">
            <v>Pantabangan NHS</v>
          </cell>
          <cell r="F1023">
            <v>1</v>
          </cell>
          <cell r="G1023">
            <v>1</v>
          </cell>
          <cell r="H1023">
            <v>1</v>
          </cell>
          <cell r="I1023">
            <v>0</v>
          </cell>
          <cell r="J1023">
            <v>0</v>
          </cell>
          <cell r="K1023">
            <v>1</v>
          </cell>
          <cell r="L1023">
            <v>0</v>
          </cell>
          <cell r="M1023">
            <v>0</v>
          </cell>
          <cell r="N1023">
            <v>1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1</v>
          </cell>
          <cell r="T1023">
            <v>0</v>
          </cell>
          <cell r="U1023">
            <v>0</v>
          </cell>
          <cell r="V1023">
            <v>0</v>
          </cell>
          <cell r="W1023">
            <v>2</v>
          </cell>
          <cell r="X1023">
            <v>2</v>
          </cell>
          <cell r="Y1023">
            <v>0</v>
          </cell>
        </row>
        <row r="1024">
          <cell r="D1024">
            <v>300794</v>
          </cell>
          <cell r="E1024" t="str">
            <v>Calaba National High School</v>
          </cell>
          <cell r="F1024">
            <v>1</v>
          </cell>
          <cell r="G1024">
            <v>1</v>
          </cell>
          <cell r="H1024">
            <v>1</v>
          </cell>
          <cell r="I1024">
            <v>0</v>
          </cell>
          <cell r="J1024">
            <v>0</v>
          </cell>
          <cell r="K1024">
            <v>1</v>
          </cell>
          <cell r="L1024">
            <v>0</v>
          </cell>
          <cell r="M1024">
            <v>0</v>
          </cell>
          <cell r="N1024">
            <v>1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</row>
        <row r="1025">
          <cell r="D1025">
            <v>500508</v>
          </cell>
          <cell r="E1025" t="str">
            <v>Dojoc Balite IS</v>
          </cell>
          <cell r="F1025">
            <v>1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 t="str">
            <v>n/a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2</v>
          </cell>
          <cell r="X1025">
            <v>1</v>
          </cell>
          <cell r="Y1025">
            <v>0</v>
          </cell>
        </row>
        <row r="1026">
          <cell r="D1026">
            <v>300810</v>
          </cell>
          <cell r="E1026" t="str">
            <v>Hilario E. Hermosa Mem. HS</v>
          </cell>
          <cell r="F1026">
            <v>1</v>
          </cell>
          <cell r="G1026">
            <v>1</v>
          </cell>
          <cell r="H1026">
            <v>1</v>
          </cell>
          <cell r="I1026">
            <v>0</v>
          </cell>
          <cell r="J1026">
            <v>1</v>
          </cell>
          <cell r="K1026">
            <v>0</v>
          </cell>
          <cell r="L1026">
            <v>0</v>
          </cell>
          <cell r="M1026">
            <v>0</v>
          </cell>
          <cell r="N1026">
            <v>1</v>
          </cell>
          <cell r="O1026">
            <v>0</v>
          </cell>
          <cell r="P1026" t="str">
            <v>NONE</v>
          </cell>
          <cell r="Q1026">
            <v>1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1</v>
          </cell>
          <cell r="W1026">
            <v>0</v>
          </cell>
          <cell r="X1026">
            <v>0</v>
          </cell>
          <cell r="Y1026">
            <v>0</v>
          </cell>
        </row>
        <row r="1027">
          <cell r="D1027">
            <v>300843</v>
          </cell>
          <cell r="E1027" t="str">
            <v>San Andres HS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</row>
        <row r="1028">
          <cell r="D1028">
            <v>300721</v>
          </cell>
          <cell r="E1028" t="str">
            <v>Balagtas National Agricultural HS</v>
          </cell>
          <cell r="F1028">
            <v>1</v>
          </cell>
          <cell r="G1028">
            <v>0</v>
          </cell>
          <cell r="H1028">
            <v>1</v>
          </cell>
          <cell r="I1028">
            <v>0</v>
          </cell>
          <cell r="J1028">
            <v>1</v>
          </cell>
          <cell r="K1028">
            <v>0</v>
          </cell>
          <cell r="L1028">
            <v>0</v>
          </cell>
          <cell r="M1028">
            <v>0</v>
          </cell>
          <cell r="N1028">
            <v>1</v>
          </cell>
          <cell r="O1028">
            <v>0</v>
          </cell>
          <cell r="P1028">
            <v>0</v>
          </cell>
          <cell r="Q1028">
            <v>1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1</v>
          </cell>
          <cell r="W1028">
            <v>0</v>
          </cell>
          <cell r="X1028">
            <v>0</v>
          </cell>
          <cell r="Y1028">
            <v>0</v>
          </cell>
        </row>
        <row r="1029">
          <cell r="D1029">
            <v>301015</v>
          </cell>
          <cell r="E1029" t="str">
            <v>Castillejos National High School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</row>
        <row r="1030">
          <cell r="D1030">
            <v>307114</v>
          </cell>
          <cell r="E1030" t="str">
            <v>Sta Cruz South High School</v>
          </cell>
          <cell r="F1030">
            <v>1</v>
          </cell>
          <cell r="G1030">
            <v>1</v>
          </cell>
          <cell r="H1030">
            <v>1</v>
          </cell>
          <cell r="I1030">
            <v>0</v>
          </cell>
          <cell r="J1030">
            <v>1</v>
          </cell>
          <cell r="K1030">
            <v>0</v>
          </cell>
          <cell r="L1030">
            <v>0</v>
          </cell>
          <cell r="M1030">
            <v>0</v>
          </cell>
          <cell r="N1030">
            <v>1</v>
          </cell>
          <cell r="O1030">
            <v>0</v>
          </cell>
          <cell r="P1030">
            <v>43647</v>
          </cell>
          <cell r="Q1030">
            <v>1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1</v>
          </cell>
          <cell r="W1030">
            <v>0</v>
          </cell>
          <cell r="X1030">
            <v>0</v>
          </cell>
          <cell r="Y1030">
            <v>0</v>
          </cell>
        </row>
        <row r="1031">
          <cell r="D1031">
            <v>301059</v>
          </cell>
          <cell r="E1031" t="str">
            <v>Paradise Farms NHS</v>
          </cell>
          <cell r="F1031">
            <v>1</v>
          </cell>
          <cell r="G1031">
            <v>1</v>
          </cell>
          <cell r="H1031">
            <v>1</v>
          </cell>
          <cell r="I1031">
            <v>0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</row>
        <row r="1032">
          <cell r="D1032">
            <v>501226</v>
          </cell>
          <cell r="E1032" t="str">
            <v>Don Brigido Miraflor Integrated School</v>
          </cell>
          <cell r="F1032">
            <v>1</v>
          </cell>
          <cell r="G1032">
            <v>1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</row>
        <row r="1033">
          <cell r="D1033">
            <v>300682</v>
          </cell>
          <cell r="E1033" t="str">
            <v>Dilasag NHS</v>
          </cell>
          <cell r="F1033">
            <v>0</v>
          </cell>
          <cell r="G1033">
            <v>0</v>
          </cell>
          <cell r="H1033">
            <v>1</v>
          </cell>
          <cell r="I1033">
            <v>0</v>
          </cell>
          <cell r="J1033">
            <v>1</v>
          </cell>
          <cell r="K1033">
            <v>0</v>
          </cell>
          <cell r="L1033">
            <v>0</v>
          </cell>
          <cell r="M1033">
            <v>0</v>
          </cell>
          <cell r="N1033">
            <v>1</v>
          </cell>
          <cell r="O1033">
            <v>0</v>
          </cell>
          <cell r="P1033">
            <v>0</v>
          </cell>
          <cell r="Q1033">
            <v>0</v>
          </cell>
          <cell r="R1033">
            <v>1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</row>
        <row r="1034">
          <cell r="D1034">
            <v>307106</v>
          </cell>
          <cell r="E1034" t="str">
            <v>Jesus F. Magsaysay Technical Vocational High School</v>
          </cell>
          <cell r="F1034">
            <v>1</v>
          </cell>
          <cell r="G1034">
            <v>1</v>
          </cell>
          <cell r="H1034">
            <v>1</v>
          </cell>
          <cell r="I1034">
            <v>0</v>
          </cell>
          <cell r="J1034">
            <v>1</v>
          </cell>
          <cell r="K1034">
            <v>0</v>
          </cell>
          <cell r="L1034">
            <v>0</v>
          </cell>
          <cell r="M1034">
            <v>0</v>
          </cell>
          <cell r="N1034">
            <v>1</v>
          </cell>
          <cell r="O1034" t="str">
            <v>Aug. 23, 2019</v>
          </cell>
          <cell r="P1034" t="str">
            <v>Aug. 23, 2019</v>
          </cell>
          <cell r="Q1034">
            <v>1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1</v>
          </cell>
          <cell r="W1034">
            <v>0</v>
          </cell>
          <cell r="X1034">
            <v>0</v>
          </cell>
          <cell r="Y1034">
            <v>0</v>
          </cell>
        </row>
        <row r="1035">
          <cell r="D1035">
            <v>301026</v>
          </cell>
          <cell r="E1035" t="str">
            <v>New Taugtog National High School</v>
          </cell>
          <cell r="F1035">
            <v>1</v>
          </cell>
          <cell r="G1035">
            <v>1</v>
          </cell>
          <cell r="H1035">
            <v>1</v>
          </cell>
          <cell r="I1035">
            <v>0</v>
          </cell>
          <cell r="J1035">
            <v>0</v>
          </cell>
          <cell r="K1035">
            <v>1</v>
          </cell>
          <cell r="L1035">
            <v>0</v>
          </cell>
          <cell r="M1035">
            <v>0</v>
          </cell>
          <cell r="N1035">
            <v>1</v>
          </cell>
          <cell r="O1035">
            <v>0</v>
          </cell>
          <cell r="P1035">
            <v>0</v>
          </cell>
          <cell r="Q1035">
            <v>1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1</v>
          </cell>
          <cell r="W1035">
            <v>0</v>
          </cell>
          <cell r="X1035">
            <v>0</v>
          </cell>
          <cell r="Y1035">
            <v>0</v>
          </cell>
        </row>
        <row r="1036">
          <cell r="D1036">
            <v>307104</v>
          </cell>
          <cell r="E1036" t="str">
            <v>San Rafael Technical Vocational High School</v>
          </cell>
          <cell r="F1036">
            <v>1</v>
          </cell>
          <cell r="G1036">
            <v>1</v>
          </cell>
          <cell r="H1036">
            <v>1</v>
          </cell>
          <cell r="I1036">
            <v>0</v>
          </cell>
          <cell r="J1036">
            <v>0</v>
          </cell>
          <cell r="K1036">
            <v>1</v>
          </cell>
          <cell r="L1036">
            <v>0</v>
          </cell>
          <cell r="M1036">
            <v>0</v>
          </cell>
          <cell r="N1036">
            <v>1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1</v>
          </cell>
          <cell r="T1036">
            <v>0</v>
          </cell>
          <cell r="U1036">
            <v>0</v>
          </cell>
          <cell r="V1036">
            <v>1</v>
          </cell>
          <cell r="W1036">
            <v>0</v>
          </cell>
          <cell r="X1036">
            <v>0</v>
          </cell>
          <cell r="Y1036">
            <v>0</v>
          </cell>
        </row>
        <row r="1037">
          <cell r="D1037">
            <v>300855</v>
          </cell>
          <cell r="E1037" t="str">
            <v>Sta. Maria NHS</v>
          </cell>
          <cell r="F1037">
            <v>1</v>
          </cell>
          <cell r="G1037">
            <v>1</v>
          </cell>
          <cell r="H1037">
            <v>0</v>
          </cell>
          <cell r="I1037">
            <v>0</v>
          </cell>
          <cell r="J1037">
            <v>1</v>
          </cell>
          <cell r="K1037">
            <v>0</v>
          </cell>
          <cell r="L1037">
            <v>0</v>
          </cell>
          <cell r="M1037">
            <v>0</v>
          </cell>
          <cell r="N1037">
            <v>1</v>
          </cell>
          <cell r="O1037">
            <v>0</v>
          </cell>
          <cell r="P1037">
            <v>43641</v>
          </cell>
          <cell r="Q1037">
            <v>0</v>
          </cell>
          <cell r="R1037">
            <v>1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</row>
        <row r="1038">
          <cell r="D1038">
            <v>306807</v>
          </cell>
          <cell r="E1038" t="str">
            <v>San Carlos High School</v>
          </cell>
          <cell r="F1038">
            <v>1</v>
          </cell>
          <cell r="G1038">
            <v>1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1</v>
          </cell>
          <cell r="O1038" t="str">
            <v>June 11, 2019</v>
          </cell>
          <cell r="P1038" t="str">
            <v>Aug. 13, 2019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2</v>
          </cell>
          <cell r="X1038">
            <v>2</v>
          </cell>
          <cell r="Y1038">
            <v>0</v>
          </cell>
        </row>
        <row r="1039">
          <cell r="D1039">
            <v>300720</v>
          </cell>
          <cell r="E1039" t="str">
            <v>Alexis G. Santos National High School</v>
          </cell>
          <cell r="F1039">
            <v>1</v>
          </cell>
          <cell r="G1039">
            <v>1</v>
          </cell>
          <cell r="H1039">
            <v>1</v>
          </cell>
          <cell r="I1039">
            <v>0</v>
          </cell>
          <cell r="J1039">
            <v>1</v>
          </cell>
          <cell r="K1039">
            <v>0</v>
          </cell>
          <cell r="L1039">
            <v>0</v>
          </cell>
          <cell r="M1039">
            <v>0</v>
          </cell>
          <cell r="N1039">
            <v>1</v>
          </cell>
          <cell r="O1039" t="str">
            <v>September 16,2019</v>
          </cell>
          <cell r="P1039" t="str">
            <v>October 25,2019</v>
          </cell>
          <cell r="Q1039">
            <v>1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1</v>
          </cell>
          <cell r="W1039">
            <v>2</v>
          </cell>
          <cell r="X1039">
            <v>2</v>
          </cell>
          <cell r="Y1039">
            <v>0</v>
          </cell>
        </row>
        <row r="1040">
          <cell r="D1040">
            <v>300777</v>
          </cell>
          <cell r="E1040" t="str">
            <v>Sta. Maria National High School</v>
          </cell>
          <cell r="F1040">
            <v>1</v>
          </cell>
          <cell r="G1040">
            <v>1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</row>
        <row r="1041">
          <cell r="D1041">
            <v>301020</v>
          </cell>
          <cell r="E1041" t="str">
            <v>Loob Bunga High School  (Resettlement School)</v>
          </cell>
          <cell r="F1041">
            <v>1</v>
          </cell>
          <cell r="G1041">
            <v>1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1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1</v>
          </cell>
          <cell r="W1041">
            <v>0</v>
          </cell>
          <cell r="X1041">
            <v>0</v>
          </cell>
          <cell r="Y1041">
            <v>0</v>
          </cell>
        </row>
        <row r="1042">
          <cell r="D1042">
            <v>306802</v>
          </cell>
          <cell r="E1042" t="str">
            <v>San Felipe Integrated High School</v>
          </cell>
          <cell r="F1042">
            <v>1</v>
          </cell>
          <cell r="G1042">
            <v>1</v>
          </cell>
          <cell r="H1042">
            <v>1</v>
          </cell>
          <cell r="I1042">
            <v>0</v>
          </cell>
          <cell r="J1042">
            <v>0</v>
          </cell>
          <cell r="K1042">
            <v>1</v>
          </cell>
          <cell r="L1042">
            <v>0</v>
          </cell>
          <cell r="M1042">
            <v>0</v>
          </cell>
          <cell r="N1042">
            <v>1</v>
          </cell>
          <cell r="O1042">
            <v>0</v>
          </cell>
          <cell r="P1042">
            <v>0</v>
          </cell>
          <cell r="Q1042">
            <v>1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1</v>
          </cell>
          <cell r="W1042">
            <v>0</v>
          </cell>
          <cell r="X1042">
            <v>0</v>
          </cell>
          <cell r="Y1042">
            <v>0</v>
          </cell>
        </row>
        <row r="1043">
          <cell r="D1043">
            <v>300741</v>
          </cell>
          <cell r="E1043" t="str">
            <v>Felizardo C. Lipana NHS (Sta. Rita HS)</v>
          </cell>
          <cell r="F1043">
            <v>1</v>
          </cell>
          <cell r="G1043">
            <v>1</v>
          </cell>
          <cell r="H1043">
            <v>1</v>
          </cell>
          <cell r="I1043">
            <v>0</v>
          </cell>
          <cell r="J1043">
            <v>1</v>
          </cell>
          <cell r="K1043">
            <v>0</v>
          </cell>
          <cell r="L1043">
            <v>0</v>
          </cell>
          <cell r="M1043">
            <v>0</v>
          </cell>
          <cell r="N1043">
            <v>1</v>
          </cell>
          <cell r="O1043">
            <v>43644</v>
          </cell>
          <cell r="P1043">
            <v>43644</v>
          </cell>
          <cell r="Q1043">
            <v>0</v>
          </cell>
          <cell r="R1043">
            <v>0</v>
          </cell>
          <cell r="S1043">
            <v>1</v>
          </cell>
          <cell r="T1043">
            <v>0</v>
          </cell>
          <cell r="U1043">
            <v>0</v>
          </cell>
          <cell r="V1043">
            <v>1</v>
          </cell>
          <cell r="W1043">
            <v>0</v>
          </cell>
          <cell r="X1043">
            <v>0</v>
          </cell>
          <cell r="Y1043">
            <v>0</v>
          </cell>
        </row>
        <row r="1044">
          <cell r="D1044">
            <v>300755</v>
          </cell>
          <cell r="E1044" t="str">
            <v>San Pedro National High School</v>
          </cell>
          <cell r="F1044">
            <v>1</v>
          </cell>
          <cell r="G1044">
            <v>1</v>
          </cell>
          <cell r="H1044">
            <v>1</v>
          </cell>
          <cell r="I1044">
            <v>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1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1</v>
          </cell>
          <cell r="W1044">
            <v>0</v>
          </cell>
          <cell r="X1044">
            <v>0</v>
          </cell>
          <cell r="Y1044">
            <v>0</v>
          </cell>
        </row>
        <row r="1045">
          <cell r="D1045">
            <v>300733</v>
          </cell>
          <cell r="E1045" t="str">
            <v>Cambaog NHS</v>
          </cell>
          <cell r="F1045">
            <v>1</v>
          </cell>
          <cell r="G1045">
            <v>1</v>
          </cell>
          <cell r="H1045">
            <v>1</v>
          </cell>
          <cell r="I1045">
            <v>0</v>
          </cell>
          <cell r="J1045">
            <v>0</v>
          </cell>
          <cell r="K1045">
            <v>1</v>
          </cell>
          <cell r="L1045">
            <v>0</v>
          </cell>
          <cell r="M1045">
            <v>0</v>
          </cell>
          <cell r="N1045">
            <v>1</v>
          </cell>
          <cell r="O1045">
            <v>43612</v>
          </cell>
          <cell r="P1045">
            <v>43612</v>
          </cell>
          <cell r="Q1045">
            <v>0</v>
          </cell>
          <cell r="R1045">
            <v>0</v>
          </cell>
          <cell r="S1045">
            <v>1</v>
          </cell>
          <cell r="T1045">
            <v>0</v>
          </cell>
          <cell r="U1045">
            <v>0</v>
          </cell>
          <cell r="V1045">
            <v>1</v>
          </cell>
          <cell r="W1045">
            <v>0</v>
          </cell>
          <cell r="X1045">
            <v>0</v>
          </cell>
          <cell r="Y1045">
            <v>0</v>
          </cell>
        </row>
        <row r="1046">
          <cell r="D1046">
            <v>300717</v>
          </cell>
          <cell r="E1046" t="str">
            <v>Dr. Victoria B. Roman MHS</v>
          </cell>
          <cell r="F1046">
            <v>0</v>
          </cell>
          <cell r="G1046">
            <v>0</v>
          </cell>
          <cell r="H1046">
            <v>1</v>
          </cell>
          <cell r="I1046">
            <v>0</v>
          </cell>
          <cell r="J1046">
            <v>1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</row>
        <row r="1047">
          <cell r="D1047">
            <v>300744</v>
          </cell>
          <cell r="E1047" t="str">
            <v>Kapitangan National High School</v>
          </cell>
          <cell r="F1047">
            <v>1</v>
          </cell>
          <cell r="G1047">
            <v>1</v>
          </cell>
          <cell r="H1047">
            <v>0</v>
          </cell>
          <cell r="I1047">
            <v>0</v>
          </cell>
          <cell r="J1047">
            <v>1</v>
          </cell>
          <cell r="K1047">
            <v>0</v>
          </cell>
          <cell r="L1047">
            <v>0</v>
          </cell>
          <cell r="M1047">
            <v>0</v>
          </cell>
          <cell r="N1047">
            <v>1</v>
          </cell>
          <cell r="O1047">
            <v>43647</v>
          </cell>
          <cell r="P1047">
            <v>43678</v>
          </cell>
          <cell r="Q1047">
            <v>0</v>
          </cell>
          <cell r="R1047">
            <v>1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9</v>
          </cell>
          <cell r="X1047">
            <v>9</v>
          </cell>
          <cell r="Y1047">
            <v>9</v>
          </cell>
        </row>
        <row r="1048">
          <cell r="D1048">
            <v>300680</v>
          </cell>
          <cell r="E1048" t="str">
            <v>Casiguran NHS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</row>
        <row r="1049">
          <cell r="D1049">
            <v>345180</v>
          </cell>
          <cell r="E1049" t="str">
            <v>SHS within Luis Gravador Elementary School</v>
          </cell>
          <cell r="F1049">
            <v>1</v>
          </cell>
          <cell r="G1049">
            <v>1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1</v>
          </cell>
          <cell r="O1049">
            <v>0</v>
          </cell>
          <cell r="P1049">
            <v>0</v>
          </cell>
          <cell r="Q1049">
            <v>0</v>
          </cell>
          <cell r="R1049">
            <v>1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2</v>
          </cell>
          <cell r="X1049">
            <v>0</v>
          </cell>
          <cell r="Y1049">
            <v>0</v>
          </cell>
        </row>
        <row r="1050">
          <cell r="D1050">
            <v>300780</v>
          </cell>
          <cell r="E1050" t="str">
            <v>Tiaong NHS</v>
          </cell>
          <cell r="F1050">
            <v>1</v>
          </cell>
          <cell r="G1050">
            <v>1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</row>
        <row r="1051">
          <cell r="D1051">
            <v>300961</v>
          </cell>
          <cell r="E1051" t="str">
            <v>Comillas High School</v>
          </cell>
          <cell r="F1051">
            <v>1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</row>
        <row r="1052">
          <cell r="D1052">
            <v>300769</v>
          </cell>
          <cell r="E1052" t="str">
            <v>Caniogan High School</v>
          </cell>
          <cell r="F1052">
            <v>1</v>
          </cell>
          <cell r="G1052">
            <v>1</v>
          </cell>
          <cell r="H1052">
            <v>1</v>
          </cell>
          <cell r="I1052">
            <v>0</v>
          </cell>
          <cell r="J1052">
            <v>1</v>
          </cell>
          <cell r="K1052">
            <v>0</v>
          </cell>
          <cell r="L1052">
            <v>0</v>
          </cell>
          <cell r="M1052">
            <v>0</v>
          </cell>
          <cell r="N1052">
            <v>1</v>
          </cell>
          <cell r="O1052">
            <v>43621</v>
          </cell>
          <cell r="P1052">
            <v>43623</v>
          </cell>
          <cell r="Q1052">
            <v>0</v>
          </cell>
          <cell r="R1052">
            <v>1</v>
          </cell>
          <cell r="S1052">
            <v>0</v>
          </cell>
          <cell r="T1052">
            <v>0</v>
          </cell>
          <cell r="U1052">
            <v>0</v>
          </cell>
          <cell r="V1052">
            <v>1</v>
          </cell>
          <cell r="W1052">
            <v>0</v>
          </cell>
          <cell r="X1052">
            <v>0</v>
          </cell>
          <cell r="Y1052">
            <v>0</v>
          </cell>
        </row>
        <row r="1053">
          <cell r="D1053">
            <v>300748</v>
          </cell>
          <cell r="E1053" t="str">
            <v>Carlos F. Gonzales HS (Maguinao Cruz na Daan NHS)</v>
          </cell>
          <cell r="F1053">
            <v>1</v>
          </cell>
          <cell r="G1053">
            <v>0</v>
          </cell>
          <cell r="H1053">
            <v>1</v>
          </cell>
          <cell r="I1053">
            <v>0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1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1</v>
          </cell>
          <cell r="W1053">
            <v>0</v>
          </cell>
          <cell r="X1053">
            <v>0</v>
          </cell>
          <cell r="Y1053">
            <v>0</v>
          </cell>
        </row>
        <row r="1054">
          <cell r="D1054">
            <v>307117</v>
          </cell>
          <cell r="E1054" t="str">
            <v>Pundakit High School</v>
          </cell>
          <cell r="F1054">
            <v>1</v>
          </cell>
          <cell r="G1054">
            <v>1</v>
          </cell>
          <cell r="H1054">
            <v>1</v>
          </cell>
          <cell r="I1054">
            <v>0</v>
          </cell>
          <cell r="J1054">
            <v>1</v>
          </cell>
          <cell r="K1054">
            <v>0</v>
          </cell>
          <cell r="L1054">
            <v>0</v>
          </cell>
          <cell r="M1054">
            <v>0</v>
          </cell>
          <cell r="N1054">
            <v>1</v>
          </cell>
          <cell r="O1054">
            <v>43609</v>
          </cell>
          <cell r="P1054">
            <v>43623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1</v>
          </cell>
          <cell r="X1054">
            <v>1</v>
          </cell>
          <cell r="Y1054">
            <v>0</v>
          </cell>
        </row>
        <row r="1055">
          <cell r="D1055">
            <v>301014</v>
          </cell>
          <cell r="E1055" t="str">
            <v>Guisguis National High School</v>
          </cell>
          <cell r="F1055">
            <v>1</v>
          </cell>
          <cell r="G1055">
            <v>1</v>
          </cell>
          <cell r="H1055">
            <v>1</v>
          </cell>
          <cell r="I1055">
            <v>0</v>
          </cell>
          <cell r="J1055">
            <v>1</v>
          </cell>
          <cell r="K1055">
            <v>0</v>
          </cell>
          <cell r="L1055">
            <v>0</v>
          </cell>
          <cell r="M1055">
            <v>0</v>
          </cell>
          <cell r="N1055">
            <v>1</v>
          </cell>
          <cell r="O1055">
            <v>43647</v>
          </cell>
          <cell r="P1055">
            <v>43665</v>
          </cell>
          <cell r="Q1055">
            <v>0</v>
          </cell>
          <cell r="R1055">
            <v>0</v>
          </cell>
          <cell r="S1055">
            <v>1</v>
          </cell>
          <cell r="T1055">
            <v>0</v>
          </cell>
          <cell r="U1055">
            <v>0</v>
          </cell>
          <cell r="V1055">
            <v>0</v>
          </cell>
          <cell r="W1055">
            <v>5</v>
          </cell>
          <cell r="X1055">
            <v>3</v>
          </cell>
          <cell r="Y1055">
            <v>0</v>
          </cell>
        </row>
        <row r="1056">
          <cell r="D1056">
            <v>300764</v>
          </cell>
          <cell r="E1056" t="str">
            <v>Obando School of Fisheries</v>
          </cell>
          <cell r="F1056">
            <v>1</v>
          </cell>
          <cell r="G1056">
            <v>1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1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</row>
        <row r="1057">
          <cell r="D1057">
            <v>301027</v>
          </cell>
          <cell r="E1057" t="str">
            <v>Rofulo M. Landa HS (Salaza NHS)</v>
          </cell>
          <cell r="F1057">
            <v>1</v>
          </cell>
          <cell r="G1057">
            <v>1</v>
          </cell>
          <cell r="H1057">
            <v>1</v>
          </cell>
          <cell r="I1057">
            <v>0</v>
          </cell>
          <cell r="J1057">
            <v>1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1</v>
          </cell>
          <cell r="T1057">
            <v>0</v>
          </cell>
          <cell r="U1057">
            <v>0</v>
          </cell>
          <cell r="V1057">
            <v>1</v>
          </cell>
          <cell r="W1057">
            <v>0</v>
          </cell>
          <cell r="X1057">
            <v>0</v>
          </cell>
          <cell r="Y1057">
            <v>0</v>
          </cell>
        </row>
        <row r="1058">
          <cell r="D1058">
            <v>300844</v>
          </cell>
          <cell r="E1058" t="str">
            <v>San Anton NHS</v>
          </cell>
          <cell r="F1058">
            <v>1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1</v>
          </cell>
          <cell r="L1058">
            <v>0</v>
          </cell>
          <cell r="M1058">
            <v>0</v>
          </cell>
          <cell r="N1058">
            <v>1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1</v>
          </cell>
          <cell r="T1058">
            <v>0</v>
          </cell>
          <cell r="U1058">
            <v>0</v>
          </cell>
          <cell r="V1058">
            <v>1</v>
          </cell>
          <cell r="W1058">
            <v>0</v>
          </cell>
          <cell r="X1058">
            <v>0</v>
          </cell>
          <cell r="Y1058">
            <v>0</v>
          </cell>
        </row>
        <row r="1059">
          <cell r="D1059">
            <v>301021</v>
          </cell>
          <cell r="E1059" t="str">
            <v>Gov. Manuel D. Barretto National High School</v>
          </cell>
          <cell r="F1059">
            <v>1</v>
          </cell>
          <cell r="G1059">
            <v>1</v>
          </cell>
          <cell r="H1059">
            <v>1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1</v>
          </cell>
          <cell r="O1059">
            <v>43678</v>
          </cell>
          <cell r="P1059">
            <v>43678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4</v>
          </cell>
          <cell r="X1059">
            <v>4</v>
          </cell>
          <cell r="Y1059">
            <v>0</v>
          </cell>
        </row>
        <row r="1060">
          <cell r="D1060">
            <v>300731</v>
          </cell>
          <cell r="E1060" t="str">
            <v>Akle HS</v>
          </cell>
          <cell r="F1060">
            <v>1</v>
          </cell>
          <cell r="G1060">
            <v>0</v>
          </cell>
          <cell r="H1060">
            <v>1</v>
          </cell>
          <cell r="I1060">
            <v>0</v>
          </cell>
          <cell r="J1060">
            <v>1</v>
          </cell>
          <cell r="K1060">
            <v>0</v>
          </cell>
          <cell r="L1060">
            <v>0</v>
          </cell>
          <cell r="M1060">
            <v>0</v>
          </cell>
          <cell r="N1060">
            <v>1</v>
          </cell>
          <cell r="O1060">
            <v>0</v>
          </cell>
          <cell r="P1060">
            <v>0</v>
          </cell>
          <cell r="Q1060">
            <v>0</v>
          </cell>
          <cell r="R1060">
            <v>1</v>
          </cell>
          <cell r="S1060">
            <v>0</v>
          </cell>
          <cell r="T1060">
            <v>0</v>
          </cell>
          <cell r="U1060">
            <v>0</v>
          </cell>
          <cell r="V1060">
            <v>1</v>
          </cell>
          <cell r="W1060">
            <v>0</v>
          </cell>
          <cell r="X1060">
            <v>0</v>
          </cell>
          <cell r="Y1060">
            <v>0</v>
          </cell>
        </row>
        <row r="1061">
          <cell r="D1061">
            <v>306714</v>
          </cell>
          <cell r="E1061" t="str">
            <v>Catmon National High School</v>
          </cell>
          <cell r="F1061">
            <v>1</v>
          </cell>
          <cell r="G1061">
            <v>1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</row>
        <row r="1062">
          <cell r="D1062">
            <v>305191</v>
          </cell>
          <cell r="E1062" t="str">
            <v>Baler Stand Alone Senior High School</v>
          </cell>
          <cell r="F1062">
            <v>1</v>
          </cell>
          <cell r="G1062">
            <v>1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</row>
        <row r="1063">
          <cell r="D1063">
            <v>300726</v>
          </cell>
          <cell r="E1063" t="str">
            <v>Bintog HS (Jose J. Mariano MHS)</v>
          </cell>
          <cell r="F1063">
            <v>1</v>
          </cell>
          <cell r="G1063">
            <v>1</v>
          </cell>
          <cell r="H1063">
            <v>1</v>
          </cell>
          <cell r="I1063">
            <v>0</v>
          </cell>
          <cell r="J1063">
            <v>1</v>
          </cell>
          <cell r="K1063">
            <v>0</v>
          </cell>
          <cell r="L1063">
            <v>0</v>
          </cell>
          <cell r="M1063">
            <v>0</v>
          </cell>
          <cell r="N1063">
            <v>1</v>
          </cell>
          <cell r="O1063">
            <v>43754</v>
          </cell>
          <cell r="P1063" t="str">
            <v>NONE</v>
          </cell>
          <cell r="Q1063">
            <v>1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1</v>
          </cell>
          <cell r="W1063">
            <v>0</v>
          </cell>
          <cell r="X1063">
            <v>0</v>
          </cell>
          <cell r="Y1063">
            <v>0</v>
          </cell>
        </row>
        <row r="1064">
          <cell r="D1064">
            <v>301013</v>
          </cell>
          <cell r="E1064" t="str">
            <v>Agusuhin High School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</row>
        <row r="1065">
          <cell r="D1065">
            <v>300904</v>
          </cell>
          <cell r="E1065" t="str">
            <v>Pagyuruan NHS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</row>
        <row r="1066">
          <cell r="D1066">
            <v>301005</v>
          </cell>
          <cell r="E1066" t="str">
            <v>Bani National High School</v>
          </cell>
          <cell r="F1066">
            <v>1</v>
          </cell>
          <cell r="G1066">
            <v>1</v>
          </cell>
          <cell r="H1066">
            <v>1</v>
          </cell>
          <cell r="I1066">
            <v>0</v>
          </cell>
          <cell r="J1066">
            <v>0</v>
          </cell>
          <cell r="K1066">
            <v>1</v>
          </cell>
          <cell r="L1066">
            <v>0</v>
          </cell>
          <cell r="M1066">
            <v>0</v>
          </cell>
          <cell r="N1066">
            <v>1</v>
          </cell>
          <cell r="O1066">
            <v>43661</v>
          </cell>
          <cell r="P1066">
            <v>0</v>
          </cell>
          <cell r="Q1066">
            <v>0</v>
          </cell>
          <cell r="R1066">
            <v>1</v>
          </cell>
          <cell r="S1066">
            <v>0</v>
          </cell>
          <cell r="T1066">
            <v>0</v>
          </cell>
          <cell r="U1066">
            <v>0</v>
          </cell>
          <cell r="V1066">
            <v>1</v>
          </cell>
          <cell r="W1066">
            <v>0</v>
          </cell>
          <cell r="X1066">
            <v>0</v>
          </cell>
          <cell r="Y1066">
            <v>0</v>
          </cell>
        </row>
        <row r="1067">
          <cell r="D1067">
            <v>500509</v>
          </cell>
          <cell r="E1067" t="str">
            <v>Kinabuksan Integrated School</v>
          </cell>
          <cell r="F1067">
            <v>1</v>
          </cell>
          <cell r="G1067">
            <v>1</v>
          </cell>
          <cell r="H1067">
            <v>1</v>
          </cell>
          <cell r="I1067">
            <v>0</v>
          </cell>
          <cell r="J1067">
            <v>1</v>
          </cell>
          <cell r="K1067">
            <v>0</v>
          </cell>
          <cell r="L1067">
            <v>0</v>
          </cell>
          <cell r="M1067">
            <v>0</v>
          </cell>
          <cell r="N1067">
            <v>1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1</v>
          </cell>
          <cell r="T1067">
            <v>0</v>
          </cell>
          <cell r="U1067">
            <v>0</v>
          </cell>
          <cell r="V1067">
            <v>1</v>
          </cell>
          <cell r="W1067">
            <v>0</v>
          </cell>
          <cell r="X1067">
            <v>0</v>
          </cell>
          <cell r="Y1067">
            <v>0</v>
          </cell>
        </row>
        <row r="1068">
          <cell r="D1068">
            <v>300735</v>
          </cell>
          <cell r="E1068" t="str">
            <v>DAMPOL 2ND NATIONAL HIGH SCHOOL</v>
          </cell>
          <cell r="F1068">
            <v>1</v>
          </cell>
          <cell r="G1068">
            <v>0</v>
          </cell>
          <cell r="H1068">
            <v>1</v>
          </cell>
          <cell r="I1068">
            <v>0</v>
          </cell>
          <cell r="J1068">
            <v>1</v>
          </cell>
          <cell r="K1068">
            <v>0</v>
          </cell>
          <cell r="L1068">
            <v>0</v>
          </cell>
          <cell r="M1068">
            <v>0</v>
          </cell>
          <cell r="N1068">
            <v>1</v>
          </cell>
          <cell r="O1068">
            <v>43617</v>
          </cell>
          <cell r="P1068">
            <v>0</v>
          </cell>
          <cell r="Q1068">
            <v>0</v>
          </cell>
          <cell r="R1068">
            <v>0</v>
          </cell>
          <cell r="S1068">
            <v>1</v>
          </cell>
          <cell r="T1068">
            <v>0</v>
          </cell>
          <cell r="U1068">
            <v>0</v>
          </cell>
          <cell r="V1068">
            <v>1</v>
          </cell>
          <cell r="W1068">
            <v>0</v>
          </cell>
          <cell r="X1068">
            <v>0</v>
          </cell>
          <cell r="Y1068">
            <v>0</v>
          </cell>
        </row>
        <row r="1069">
          <cell r="D1069">
            <v>306730</v>
          </cell>
          <cell r="E1069" t="str">
            <v>Banga High School</v>
          </cell>
          <cell r="F1069">
            <v>1</v>
          </cell>
          <cell r="G1069">
            <v>1</v>
          </cell>
          <cell r="H1069">
            <v>1</v>
          </cell>
          <cell r="I1069">
            <v>0</v>
          </cell>
          <cell r="J1069">
            <v>1</v>
          </cell>
          <cell r="K1069">
            <v>0</v>
          </cell>
          <cell r="L1069">
            <v>0</v>
          </cell>
          <cell r="M1069">
            <v>0</v>
          </cell>
          <cell r="N1069">
            <v>1</v>
          </cell>
          <cell r="O1069" t="str">
            <v>8/27/2019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</row>
        <row r="1070">
          <cell r="D1070">
            <v>300697</v>
          </cell>
          <cell r="E1070" t="str">
            <v>B. Camacho NHS</v>
          </cell>
          <cell r="F1070">
            <v>1</v>
          </cell>
          <cell r="G1070">
            <v>1</v>
          </cell>
          <cell r="H1070">
            <v>1</v>
          </cell>
          <cell r="I1070">
            <v>0</v>
          </cell>
          <cell r="J1070">
            <v>1</v>
          </cell>
          <cell r="K1070">
            <v>0</v>
          </cell>
          <cell r="L1070">
            <v>0</v>
          </cell>
          <cell r="M1070">
            <v>0</v>
          </cell>
          <cell r="N1070">
            <v>1</v>
          </cell>
          <cell r="O1070">
            <v>43396</v>
          </cell>
          <cell r="P1070" t="str">
            <v>n/a</v>
          </cell>
          <cell r="Q1070">
            <v>0</v>
          </cell>
          <cell r="R1070">
            <v>0</v>
          </cell>
          <cell r="S1070">
            <v>1</v>
          </cell>
          <cell r="T1070">
            <v>0</v>
          </cell>
          <cell r="U1070">
            <v>0</v>
          </cell>
          <cell r="V1070">
            <v>1</v>
          </cell>
          <cell r="W1070">
            <v>0</v>
          </cell>
          <cell r="X1070">
            <v>0</v>
          </cell>
          <cell r="Y1070">
            <v>0</v>
          </cell>
        </row>
        <row r="1071">
          <cell r="D1071">
            <v>300766</v>
          </cell>
          <cell r="E1071" t="str">
            <v>Prenza NHS</v>
          </cell>
          <cell r="F1071">
            <v>1</v>
          </cell>
          <cell r="G1071">
            <v>1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L1071">
            <v>1</v>
          </cell>
          <cell r="M1071" t="str">
            <v>as needed</v>
          </cell>
          <cell r="N1071">
            <v>1</v>
          </cell>
          <cell r="O1071">
            <v>43647</v>
          </cell>
          <cell r="P1071" t="str">
            <v>N/A</v>
          </cell>
          <cell r="Q1071">
            <v>0</v>
          </cell>
          <cell r="R1071">
            <v>0</v>
          </cell>
          <cell r="S1071">
            <v>0</v>
          </cell>
          <cell r="T1071">
            <v>1</v>
          </cell>
          <cell r="U1071" t="str">
            <v>as needed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</row>
        <row r="1072">
          <cell r="D1072">
            <v>345213</v>
          </cell>
          <cell r="E1072" t="str">
            <v>SHS within V Delas Flores ES</v>
          </cell>
          <cell r="F1072">
            <v>1</v>
          </cell>
          <cell r="G1072">
            <v>1</v>
          </cell>
          <cell r="H1072">
            <v>1</v>
          </cell>
          <cell r="I1072">
            <v>0</v>
          </cell>
          <cell r="J1072">
            <v>1</v>
          </cell>
          <cell r="K1072">
            <v>0</v>
          </cell>
          <cell r="L1072">
            <v>0</v>
          </cell>
          <cell r="M1072">
            <v>0</v>
          </cell>
          <cell r="N1072">
            <v>1</v>
          </cell>
          <cell r="O1072">
            <v>43644</v>
          </cell>
          <cell r="P1072">
            <v>43644</v>
          </cell>
          <cell r="Q1072">
            <v>0</v>
          </cell>
          <cell r="R1072">
            <v>1</v>
          </cell>
          <cell r="S1072">
            <v>0</v>
          </cell>
          <cell r="T1072">
            <v>0</v>
          </cell>
          <cell r="U1072">
            <v>0</v>
          </cell>
          <cell r="V1072">
            <v>1</v>
          </cell>
          <cell r="W1072">
            <v>1</v>
          </cell>
          <cell r="X1072">
            <v>1</v>
          </cell>
          <cell r="Y1072">
            <v>1</v>
          </cell>
        </row>
        <row r="1073">
          <cell r="D1073">
            <v>300728</v>
          </cell>
          <cell r="E1073" t="str">
            <v>Bunsuran NHS</v>
          </cell>
          <cell r="F1073">
            <v>1</v>
          </cell>
          <cell r="G1073">
            <v>0</v>
          </cell>
          <cell r="H1073">
            <v>0</v>
          </cell>
          <cell r="I1073">
            <v>0</v>
          </cell>
          <cell r="J1073">
            <v>1</v>
          </cell>
          <cell r="K1073">
            <v>0</v>
          </cell>
          <cell r="L1073">
            <v>0</v>
          </cell>
          <cell r="M1073">
            <v>0</v>
          </cell>
          <cell r="N1073">
            <v>1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</row>
        <row r="1074">
          <cell r="D1074">
            <v>306504</v>
          </cell>
          <cell r="E1074" t="str">
            <v>Diagyan NHS</v>
          </cell>
          <cell r="F1074">
            <v>1</v>
          </cell>
          <cell r="G1074">
            <v>0</v>
          </cell>
          <cell r="H1074">
            <v>1</v>
          </cell>
          <cell r="I1074">
            <v>0</v>
          </cell>
          <cell r="J1074">
            <v>1</v>
          </cell>
          <cell r="K1074">
            <v>0</v>
          </cell>
          <cell r="L1074">
            <v>0</v>
          </cell>
          <cell r="M1074">
            <v>0</v>
          </cell>
          <cell r="N1074">
            <v>1</v>
          </cell>
          <cell r="O1074" t="str">
            <v>09/25/2019</v>
          </cell>
          <cell r="P1074" t="str">
            <v>09/26/2019</v>
          </cell>
          <cell r="Q1074">
            <v>0</v>
          </cell>
          <cell r="R1074">
            <v>1</v>
          </cell>
          <cell r="S1074">
            <v>0</v>
          </cell>
          <cell r="T1074">
            <v>0</v>
          </cell>
          <cell r="U1074">
            <v>0</v>
          </cell>
          <cell r="V1074">
            <v>1</v>
          </cell>
          <cell r="W1074">
            <v>0</v>
          </cell>
          <cell r="X1074">
            <v>0</v>
          </cell>
          <cell r="Y1074">
            <v>0</v>
          </cell>
        </row>
        <row r="1075">
          <cell r="D1075">
            <v>306707</v>
          </cell>
          <cell r="E1075" t="str">
            <v>Angel M. del Rosario HS</v>
          </cell>
          <cell r="F1075">
            <v>1</v>
          </cell>
          <cell r="G1075">
            <v>1</v>
          </cell>
          <cell r="H1075">
            <v>1</v>
          </cell>
          <cell r="I1075">
            <v>0</v>
          </cell>
          <cell r="J1075">
            <v>1</v>
          </cell>
          <cell r="K1075">
            <v>0</v>
          </cell>
          <cell r="L1075">
            <v>0</v>
          </cell>
          <cell r="M1075">
            <v>0</v>
          </cell>
          <cell r="N1075">
            <v>1</v>
          </cell>
          <cell r="O1075">
            <v>43623</v>
          </cell>
          <cell r="P1075">
            <v>0</v>
          </cell>
          <cell r="Q1075">
            <v>0</v>
          </cell>
          <cell r="R1075">
            <v>1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</row>
        <row r="1076">
          <cell r="D1076">
            <v>300738</v>
          </cell>
          <cell r="E1076" t="str">
            <v>Doña Candelaria Meneses Duque National High School</v>
          </cell>
          <cell r="F1076">
            <v>1</v>
          </cell>
          <cell r="G1076">
            <v>1</v>
          </cell>
          <cell r="H1076">
            <v>1</v>
          </cell>
          <cell r="I1076">
            <v>0</v>
          </cell>
          <cell r="J1076">
            <v>0</v>
          </cell>
          <cell r="K1076">
            <v>1</v>
          </cell>
          <cell r="L1076">
            <v>0</v>
          </cell>
          <cell r="M1076">
            <v>0</v>
          </cell>
          <cell r="N1076">
            <v>1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</row>
        <row r="1077">
          <cell r="D1077">
            <v>300746</v>
          </cell>
          <cell r="E1077" t="str">
            <v>Lolomboy National NHS</v>
          </cell>
          <cell r="F1077">
            <v>1</v>
          </cell>
          <cell r="G1077">
            <v>1</v>
          </cell>
          <cell r="H1077">
            <v>1</v>
          </cell>
          <cell r="I1077">
            <v>0</v>
          </cell>
          <cell r="J1077">
            <v>1</v>
          </cell>
          <cell r="K1077">
            <v>0</v>
          </cell>
          <cell r="L1077">
            <v>0</v>
          </cell>
          <cell r="M1077">
            <v>0</v>
          </cell>
          <cell r="N1077">
            <v>1</v>
          </cell>
          <cell r="O1077">
            <v>43776</v>
          </cell>
          <cell r="P1077">
            <v>43707</v>
          </cell>
          <cell r="Q1077">
            <v>0</v>
          </cell>
          <cell r="R1077">
            <v>0</v>
          </cell>
          <cell r="S1077">
            <v>1</v>
          </cell>
          <cell r="T1077">
            <v>0</v>
          </cell>
          <cell r="U1077">
            <v>0</v>
          </cell>
          <cell r="V1077">
            <v>1</v>
          </cell>
          <cell r="W1077">
            <v>0</v>
          </cell>
          <cell r="X1077">
            <v>0</v>
          </cell>
          <cell r="Y1077">
            <v>0</v>
          </cell>
        </row>
        <row r="1078">
          <cell r="D1078">
            <v>301009</v>
          </cell>
          <cell r="E1078" t="str">
            <v>Beneg National High School</v>
          </cell>
          <cell r="F1078">
            <v>1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</row>
        <row r="1079">
          <cell r="D1079">
            <v>306826</v>
          </cell>
          <cell r="E1079" t="str">
            <v>Emilia Belmonte Acosta National High Shool</v>
          </cell>
          <cell r="F1079">
            <v>1</v>
          </cell>
          <cell r="G1079">
            <v>1</v>
          </cell>
          <cell r="H1079">
            <v>1</v>
          </cell>
          <cell r="I1079">
            <v>0</v>
          </cell>
          <cell r="J1079">
            <v>1</v>
          </cell>
          <cell r="K1079">
            <v>0</v>
          </cell>
          <cell r="L1079">
            <v>0</v>
          </cell>
          <cell r="M1079">
            <v>0</v>
          </cell>
          <cell r="N1079">
            <v>1</v>
          </cell>
          <cell r="O1079">
            <v>43652</v>
          </cell>
          <cell r="P1079">
            <v>0</v>
          </cell>
          <cell r="Q1079">
            <v>0</v>
          </cell>
          <cell r="R1079">
            <v>1</v>
          </cell>
          <cell r="S1079">
            <v>0</v>
          </cell>
          <cell r="T1079">
            <v>0</v>
          </cell>
          <cell r="U1079">
            <v>0</v>
          </cell>
          <cell r="V1079">
            <v>1</v>
          </cell>
          <cell r="W1079">
            <v>0</v>
          </cell>
          <cell r="X1079">
            <v>0</v>
          </cell>
          <cell r="Y1079">
            <v>0</v>
          </cell>
        </row>
        <row r="1080">
          <cell r="D1080">
            <v>300739</v>
          </cell>
          <cell r="E1080" t="str">
            <v>F. F. Halili Nat'l. Agr'l. School</v>
          </cell>
          <cell r="F1080">
            <v>1</v>
          </cell>
          <cell r="G1080">
            <v>1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20</v>
          </cell>
          <cell r="X1080">
            <v>20</v>
          </cell>
          <cell r="Y1080">
            <v>20</v>
          </cell>
        </row>
        <row r="1081">
          <cell r="D1081">
            <v>307512</v>
          </cell>
          <cell r="E1081" t="str">
            <v>Muzon Harmony Hills High School</v>
          </cell>
          <cell r="F1081">
            <v>1</v>
          </cell>
          <cell r="G1081">
            <v>0</v>
          </cell>
          <cell r="H1081">
            <v>1</v>
          </cell>
          <cell r="I1081">
            <v>0</v>
          </cell>
          <cell r="J1081">
            <v>1</v>
          </cell>
          <cell r="K1081">
            <v>0</v>
          </cell>
          <cell r="L1081">
            <v>0</v>
          </cell>
          <cell r="M1081">
            <v>0</v>
          </cell>
          <cell r="N1081">
            <v>1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1</v>
          </cell>
          <cell r="U1081" t="str">
            <v>SOMETIMES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</row>
        <row r="1082">
          <cell r="D1082">
            <v>300743</v>
          </cell>
          <cell r="E1082" t="str">
            <v>Iba National High School</v>
          </cell>
          <cell r="F1082">
            <v>0</v>
          </cell>
          <cell r="G1082">
            <v>0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L1082">
            <v>1</v>
          </cell>
          <cell r="M1082" t="str">
            <v>SEMI-ANNUAL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</row>
        <row r="1083">
          <cell r="D1083">
            <v>301003</v>
          </cell>
          <cell r="E1083" t="str">
            <v>Acoje National High School</v>
          </cell>
          <cell r="F1083">
            <v>1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1</v>
          </cell>
          <cell r="L1083">
            <v>0</v>
          </cell>
          <cell r="M1083">
            <v>0</v>
          </cell>
          <cell r="N1083">
            <v>0</v>
          </cell>
          <cell r="O1083" t="str">
            <v>never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1</v>
          </cell>
          <cell r="U1083" t="str">
            <v>none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</row>
        <row r="1084">
          <cell r="D1084">
            <v>300772</v>
          </cell>
          <cell r="E1084" t="str">
            <v>Partida HS (San Miguel NHS - Partida HS)</v>
          </cell>
          <cell r="F1084">
            <v>1</v>
          </cell>
          <cell r="G1084">
            <v>0</v>
          </cell>
          <cell r="H1084">
            <v>1</v>
          </cell>
          <cell r="I1084">
            <v>0</v>
          </cell>
          <cell r="J1084">
            <v>1</v>
          </cell>
          <cell r="K1084">
            <v>0</v>
          </cell>
          <cell r="L1084">
            <v>0</v>
          </cell>
          <cell r="M1084">
            <v>0</v>
          </cell>
          <cell r="N1084">
            <v>1</v>
          </cell>
          <cell r="O1084">
            <v>43661</v>
          </cell>
          <cell r="P1084">
            <v>43640</v>
          </cell>
          <cell r="Q1084">
            <v>0</v>
          </cell>
          <cell r="R1084">
            <v>1</v>
          </cell>
          <cell r="S1084">
            <v>0</v>
          </cell>
          <cell r="T1084">
            <v>0</v>
          </cell>
          <cell r="U1084">
            <v>0</v>
          </cell>
          <cell r="V1084">
            <v>1</v>
          </cell>
          <cell r="W1084">
            <v>0</v>
          </cell>
          <cell r="X1084">
            <v>0</v>
          </cell>
          <cell r="Y1084">
            <v>0</v>
          </cell>
        </row>
        <row r="1085">
          <cell r="D1085">
            <v>300773</v>
          </cell>
          <cell r="E1085" t="str">
            <v>San Rafael Nat'l Trade School</v>
          </cell>
          <cell r="F1085">
            <v>1</v>
          </cell>
          <cell r="G1085">
            <v>0</v>
          </cell>
          <cell r="H1085">
            <v>1</v>
          </cell>
          <cell r="I1085">
            <v>0</v>
          </cell>
          <cell r="J1085">
            <v>0</v>
          </cell>
          <cell r="K1085">
            <v>1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43753</v>
          </cell>
          <cell r="Q1085">
            <v>1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1</v>
          </cell>
          <cell r="W1085">
            <v>0</v>
          </cell>
          <cell r="X1085">
            <v>0</v>
          </cell>
          <cell r="Y1085">
            <v>0</v>
          </cell>
        </row>
        <row r="1086">
          <cell r="D1086">
            <v>345214</v>
          </cell>
          <cell r="E1086" t="str">
            <v>SHS in Obando, Bulacan</v>
          </cell>
          <cell r="F1086">
            <v>1</v>
          </cell>
          <cell r="G1086">
            <v>1</v>
          </cell>
          <cell r="H1086">
            <v>1</v>
          </cell>
          <cell r="I1086">
            <v>1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1</v>
          </cell>
          <cell r="O1086">
            <v>0</v>
          </cell>
          <cell r="P1086">
            <v>0</v>
          </cell>
          <cell r="Q1086">
            <v>0</v>
          </cell>
          <cell r="R1086">
            <v>1</v>
          </cell>
          <cell r="S1086">
            <v>0</v>
          </cell>
          <cell r="T1086">
            <v>0</v>
          </cell>
          <cell r="U1086">
            <v>0</v>
          </cell>
          <cell r="V1086">
            <v>1</v>
          </cell>
          <cell r="W1086">
            <v>1</v>
          </cell>
          <cell r="X1086">
            <v>1</v>
          </cell>
          <cell r="Y1086">
            <v>3</v>
          </cell>
        </row>
        <row r="1087">
          <cell r="D1087">
            <v>300842</v>
          </cell>
          <cell r="E1087" t="str">
            <v>Salagusog National High School</v>
          </cell>
          <cell r="F1087">
            <v>1</v>
          </cell>
          <cell r="G1087">
            <v>1</v>
          </cell>
          <cell r="H1087">
            <v>1</v>
          </cell>
          <cell r="I1087">
            <v>0</v>
          </cell>
          <cell r="J1087">
            <v>1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43652</v>
          </cell>
          <cell r="P1087">
            <v>43683</v>
          </cell>
          <cell r="Q1087">
            <v>1</v>
          </cell>
          <cell r="R1087">
            <v>0</v>
          </cell>
          <cell r="S1087">
            <v>0</v>
          </cell>
          <cell r="T1087">
            <v>1</v>
          </cell>
          <cell r="U1087" t="str">
            <v>Weekly</v>
          </cell>
          <cell r="V1087">
            <v>1</v>
          </cell>
          <cell r="W1087">
            <v>0</v>
          </cell>
          <cell r="X1087">
            <v>0</v>
          </cell>
          <cell r="Y1087">
            <v>0</v>
          </cell>
        </row>
        <row r="1088">
          <cell r="D1088">
            <v>300925</v>
          </cell>
          <cell r="E1088" t="str">
            <v>San Pablo 2nd National High School</v>
          </cell>
          <cell r="F1088">
            <v>1</v>
          </cell>
          <cell r="G1088">
            <v>1</v>
          </cell>
          <cell r="H1088">
            <v>0</v>
          </cell>
          <cell r="I1088">
            <v>0</v>
          </cell>
          <cell r="J1088">
            <v>0</v>
          </cell>
          <cell r="K1088">
            <v>1</v>
          </cell>
          <cell r="L1088">
            <v>0</v>
          </cell>
          <cell r="M1088">
            <v>0</v>
          </cell>
          <cell r="N1088">
            <v>1</v>
          </cell>
          <cell r="O1088">
            <v>43592</v>
          </cell>
          <cell r="P1088">
            <v>43382</v>
          </cell>
          <cell r="Q1088">
            <v>0</v>
          </cell>
          <cell r="R1088">
            <v>0</v>
          </cell>
          <cell r="S1088">
            <v>1</v>
          </cell>
          <cell r="T1088">
            <v>0</v>
          </cell>
          <cell r="U1088">
            <v>0</v>
          </cell>
          <cell r="V1088">
            <v>1</v>
          </cell>
          <cell r="W1088">
            <v>0</v>
          </cell>
          <cell r="X1088">
            <v>0</v>
          </cell>
          <cell r="Y1088">
            <v>0</v>
          </cell>
        </row>
        <row r="1089">
          <cell r="D1089">
            <v>307112</v>
          </cell>
          <cell r="E1089" t="str">
            <v>Nagyantok HS</v>
          </cell>
          <cell r="F1089">
            <v>1</v>
          </cell>
          <cell r="G1089">
            <v>1</v>
          </cell>
          <cell r="H1089">
            <v>1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</row>
        <row r="1090">
          <cell r="D1090">
            <v>306713</v>
          </cell>
          <cell r="E1090" t="str">
            <v>Bajet-Castillo High School</v>
          </cell>
          <cell r="F1090">
            <v>1</v>
          </cell>
          <cell r="G1090">
            <v>1</v>
          </cell>
          <cell r="H1090">
            <v>1</v>
          </cell>
          <cell r="I1090">
            <v>0</v>
          </cell>
          <cell r="J1090">
            <v>0</v>
          </cell>
          <cell r="K1090">
            <v>1</v>
          </cell>
          <cell r="L1090">
            <v>0</v>
          </cell>
          <cell r="M1090">
            <v>0</v>
          </cell>
          <cell r="N1090">
            <v>1</v>
          </cell>
          <cell r="O1090">
            <v>0</v>
          </cell>
          <cell r="P1090">
            <v>0</v>
          </cell>
          <cell r="Q1090">
            <v>0</v>
          </cell>
          <cell r="R1090">
            <v>1</v>
          </cell>
          <cell r="S1090">
            <v>0</v>
          </cell>
          <cell r="T1090">
            <v>0</v>
          </cell>
          <cell r="U1090">
            <v>0</v>
          </cell>
          <cell r="V1090">
            <v>1</v>
          </cell>
          <cell r="W1090">
            <v>1</v>
          </cell>
          <cell r="X1090">
            <v>1</v>
          </cell>
          <cell r="Y1090">
            <v>1</v>
          </cell>
        </row>
        <row r="1091">
          <cell r="D1091">
            <v>300758</v>
          </cell>
          <cell r="E1091" t="str">
            <v>MINUYAN NATIONAL HIGH SCHOOL</v>
          </cell>
          <cell r="F1091">
            <v>1</v>
          </cell>
          <cell r="G1091">
            <v>1</v>
          </cell>
          <cell r="H1091">
            <v>1</v>
          </cell>
          <cell r="I1091">
            <v>0</v>
          </cell>
          <cell r="J1091">
            <v>1</v>
          </cell>
          <cell r="K1091">
            <v>0</v>
          </cell>
          <cell r="L1091">
            <v>0</v>
          </cell>
          <cell r="M1091">
            <v>0</v>
          </cell>
          <cell r="N1091">
            <v>1</v>
          </cell>
          <cell r="O1091" t="str">
            <v>September 18,2019</v>
          </cell>
          <cell r="P1091" t="str">
            <v>October 15, 2019</v>
          </cell>
          <cell r="Q1091">
            <v>0</v>
          </cell>
          <cell r="R1091">
            <v>1</v>
          </cell>
          <cell r="S1091">
            <v>0</v>
          </cell>
          <cell r="T1091">
            <v>0</v>
          </cell>
          <cell r="U1091">
            <v>0</v>
          </cell>
          <cell r="V1091">
            <v>1</v>
          </cell>
          <cell r="W1091">
            <v>4</v>
          </cell>
          <cell r="X1091">
            <v>1</v>
          </cell>
          <cell r="Y1091">
            <v>1</v>
          </cell>
        </row>
        <row r="1092">
          <cell r="D1092">
            <v>300749</v>
          </cell>
          <cell r="E1092" t="str">
            <v>Salapungan NHS</v>
          </cell>
          <cell r="F1092">
            <v>1</v>
          </cell>
          <cell r="G1092">
            <v>1</v>
          </cell>
          <cell r="H1092">
            <v>1</v>
          </cell>
          <cell r="I1092">
            <v>0</v>
          </cell>
          <cell r="J1092">
            <v>1</v>
          </cell>
          <cell r="K1092">
            <v>0</v>
          </cell>
          <cell r="L1092">
            <v>0</v>
          </cell>
          <cell r="M1092">
            <v>0</v>
          </cell>
          <cell r="N1092">
            <v>1</v>
          </cell>
          <cell r="O1092">
            <v>0</v>
          </cell>
          <cell r="P1092">
            <v>43762</v>
          </cell>
          <cell r="Q1092">
            <v>0</v>
          </cell>
          <cell r="R1092">
            <v>0</v>
          </cell>
          <cell r="S1092">
            <v>1</v>
          </cell>
          <cell r="T1092">
            <v>0</v>
          </cell>
          <cell r="U1092">
            <v>0</v>
          </cell>
          <cell r="V1092">
            <v>1</v>
          </cell>
          <cell r="W1092">
            <v>0</v>
          </cell>
          <cell r="X1092">
            <v>0</v>
          </cell>
          <cell r="Y1092">
            <v>0</v>
          </cell>
        </row>
        <row r="1093">
          <cell r="D1093">
            <v>300839</v>
          </cell>
          <cell r="E1093" t="str">
            <v>Restituto B. Peria HS</v>
          </cell>
          <cell r="F1093">
            <v>1</v>
          </cell>
          <cell r="G1093">
            <v>0</v>
          </cell>
          <cell r="H1093">
            <v>1</v>
          </cell>
          <cell r="I1093">
            <v>0</v>
          </cell>
          <cell r="J1093">
            <v>1</v>
          </cell>
          <cell r="K1093">
            <v>0</v>
          </cell>
          <cell r="L1093">
            <v>0</v>
          </cell>
          <cell r="M1093">
            <v>0</v>
          </cell>
          <cell r="N1093">
            <v>1</v>
          </cell>
          <cell r="O1093">
            <v>0</v>
          </cell>
          <cell r="P1093">
            <v>43636</v>
          </cell>
          <cell r="Q1093">
            <v>0</v>
          </cell>
          <cell r="R1093">
            <v>1</v>
          </cell>
          <cell r="S1093">
            <v>0</v>
          </cell>
          <cell r="T1093">
            <v>0</v>
          </cell>
          <cell r="U1093">
            <v>0</v>
          </cell>
          <cell r="V1093">
            <v>1</v>
          </cell>
          <cell r="W1093">
            <v>0</v>
          </cell>
          <cell r="X1093">
            <v>0</v>
          </cell>
          <cell r="Y1093">
            <v>0</v>
          </cell>
        </row>
        <row r="1094">
          <cell r="D1094">
            <v>307131</v>
          </cell>
          <cell r="E1094" t="str">
            <v>Lakas High School</v>
          </cell>
          <cell r="F1094">
            <v>1</v>
          </cell>
          <cell r="G1094">
            <v>1</v>
          </cell>
          <cell r="H1094">
            <v>1</v>
          </cell>
          <cell r="I1094">
            <v>1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43720</v>
          </cell>
          <cell r="P1094">
            <v>0</v>
          </cell>
          <cell r="Q1094">
            <v>0</v>
          </cell>
          <cell r="R1094">
            <v>0</v>
          </cell>
          <cell r="S1094">
            <v>1</v>
          </cell>
          <cell r="T1094">
            <v>0</v>
          </cell>
          <cell r="U1094">
            <v>0</v>
          </cell>
          <cell r="V1094">
            <v>1</v>
          </cell>
          <cell r="W1094">
            <v>0</v>
          </cell>
          <cell r="X1094">
            <v>0</v>
          </cell>
          <cell r="Y1094">
            <v>0</v>
          </cell>
        </row>
        <row r="1095">
          <cell r="D1095">
            <v>300754</v>
          </cell>
          <cell r="E1095" t="str">
            <v>Ramona S. Trillana HS (Mayor Ramon Trillana Mem. HS (Iba NHS))</v>
          </cell>
          <cell r="F1095">
            <v>0</v>
          </cell>
          <cell r="G1095">
            <v>0</v>
          </cell>
          <cell r="H1095">
            <v>1</v>
          </cell>
          <cell r="I1095">
            <v>0</v>
          </cell>
          <cell r="J1095">
            <v>1</v>
          </cell>
          <cell r="K1095">
            <v>0</v>
          </cell>
          <cell r="L1095">
            <v>0</v>
          </cell>
          <cell r="M1095">
            <v>0</v>
          </cell>
          <cell r="N1095">
            <v>1</v>
          </cell>
          <cell r="O1095">
            <v>43617</v>
          </cell>
          <cell r="P1095">
            <v>43617</v>
          </cell>
          <cell r="Q1095">
            <v>0</v>
          </cell>
          <cell r="R1095">
            <v>1</v>
          </cell>
          <cell r="S1095">
            <v>0</v>
          </cell>
          <cell r="T1095">
            <v>0</v>
          </cell>
          <cell r="U1095">
            <v>0</v>
          </cell>
          <cell r="V1095">
            <v>1</v>
          </cell>
          <cell r="W1095">
            <v>0</v>
          </cell>
          <cell r="X1095">
            <v>0</v>
          </cell>
          <cell r="Y1095">
            <v>0</v>
          </cell>
        </row>
        <row r="1096">
          <cell r="D1096">
            <v>306712</v>
          </cell>
          <cell r="E1096" t="str">
            <v>Sto. Nino High School</v>
          </cell>
          <cell r="F1096">
            <v>1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</row>
        <row r="1097">
          <cell r="D1097">
            <v>301019</v>
          </cell>
          <cell r="E1097" t="str">
            <v>Lauis National High School</v>
          </cell>
          <cell r="F1097">
            <v>1</v>
          </cell>
          <cell r="G1097">
            <v>1</v>
          </cell>
          <cell r="H1097">
            <v>1</v>
          </cell>
          <cell r="I1097">
            <v>0</v>
          </cell>
          <cell r="J1097">
            <v>0</v>
          </cell>
          <cell r="K1097">
            <v>1</v>
          </cell>
          <cell r="L1097">
            <v>0</v>
          </cell>
          <cell r="M1097">
            <v>0</v>
          </cell>
          <cell r="N1097">
            <v>1</v>
          </cell>
          <cell r="O1097">
            <v>0</v>
          </cell>
          <cell r="P1097">
            <v>43396</v>
          </cell>
          <cell r="Q1097">
            <v>0</v>
          </cell>
          <cell r="R1097">
            <v>0</v>
          </cell>
          <cell r="S1097">
            <v>1</v>
          </cell>
          <cell r="T1097">
            <v>0</v>
          </cell>
          <cell r="U1097">
            <v>0</v>
          </cell>
          <cell r="V1097">
            <v>1</v>
          </cell>
          <cell r="W1097">
            <v>0</v>
          </cell>
          <cell r="X1097">
            <v>0</v>
          </cell>
          <cell r="Y1097">
            <v>0</v>
          </cell>
        </row>
        <row r="1098">
          <cell r="D1098">
            <v>500126</v>
          </cell>
          <cell r="E1098" t="str">
            <v>Batiawan-I Integrated School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1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1</v>
          </cell>
          <cell r="W1098">
            <v>0</v>
          </cell>
          <cell r="X1098">
            <v>0</v>
          </cell>
          <cell r="Y1098">
            <v>0</v>
          </cell>
        </row>
        <row r="1099">
          <cell r="D1099">
            <v>300770</v>
          </cell>
          <cell r="E1099" t="str">
            <v>Frances National High School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</row>
        <row r="1100">
          <cell r="D1100">
            <v>301030</v>
          </cell>
          <cell r="E1100" t="str">
            <v>San Marcelino National HS</v>
          </cell>
          <cell r="F1100">
            <v>1</v>
          </cell>
          <cell r="G1100">
            <v>1</v>
          </cell>
          <cell r="H1100">
            <v>1</v>
          </cell>
          <cell r="I1100">
            <v>0</v>
          </cell>
          <cell r="J1100">
            <v>1</v>
          </cell>
          <cell r="K1100">
            <v>0</v>
          </cell>
          <cell r="L1100">
            <v>0</v>
          </cell>
          <cell r="M1100">
            <v>0</v>
          </cell>
          <cell r="N1100">
            <v>1</v>
          </cell>
          <cell r="O1100">
            <v>0</v>
          </cell>
          <cell r="P1100">
            <v>0</v>
          </cell>
          <cell r="Q1100">
            <v>0</v>
          </cell>
          <cell r="R1100">
            <v>1</v>
          </cell>
          <cell r="S1100">
            <v>0</v>
          </cell>
          <cell r="T1100">
            <v>0</v>
          </cell>
          <cell r="U1100">
            <v>0</v>
          </cell>
          <cell r="V1100">
            <v>1</v>
          </cell>
          <cell r="W1100">
            <v>0</v>
          </cell>
          <cell r="X1100">
            <v>0</v>
          </cell>
          <cell r="Y1100">
            <v>0</v>
          </cell>
        </row>
        <row r="1101">
          <cell r="D1101">
            <v>300806</v>
          </cell>
          <cell r="E1101" t="str">
            <v>Galvan National High School</v>
          </cell>
          <cell r="F1101">
            <v>1</v>
          </cell>
          <cell r="G1101">
            <v>1</v>
          </cell>
          <cell r="H1101">
            <v>1</v>
          </cell>
          <cell r="I1101">
            <v>1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1</v>
          </cell>
          <cell r="O1101">
            <v>43617</v>
          </cell>
          <cell r="P1101">
            <v>43617</v>
          </cell>
          <cell r="Q1101">
            <v>0</v>
          </cell>
          <cell r="R1101">
            <v>1</v>
          </cell>
          <cell r="S1101">
            <v>0</v>
          </cell>
          <cell r="T1101">
            <v>0</v>
          </cell>
          <cell r="U1101">
            <v>0</v>
          </cell>
          <cell r="V1101">
            <v>1</v>
          </cell>
          <cell r="W1101">
            <v>0</v>
          </cell>
          <cell r="X1101">
            <v>0</v>
          </cell>
          <cell r="Y1101">
            <v>0</v>
          </cell>
        </row>
        <row r="1102">
          <cell r="D1102">
            <v>306833</v>
          </cell>
          <cell r="E1102" t="str">
            <v>San Leonardo NHS</v>
          </cell>
          <cell r="F1102">
            <v>1</v>
          </cell>
          <cell r="G1102">
            <v>1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</row>
        <row r="1103">
          <cell r="D1103">
            <v>300781</v>
          </cell>
          <cell r="E1103" t="str">
            <v>Tibagan National High School</v>
          </cell>
          <cell r="F1103">
            <v>1</v>
          </cell>
          <cell r="G1103">
            <v>1</v>
          </cell>
          <cell r="H1103">
            <v>1</v>
          </cell>
          <cell r="I1103">
            <v>0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1</v>
          </cell>
          <cell r="O1103">
            <v>43619</v>
          </cell>
          <cell r="P1103">
            <v>43619</v>
          </cell>
          <cell r="Q1103">
            <v>0</v>
          </cell>
          <cell r="R1103">
            <v>1</v>
          </cell>
          <cell r="S1103">
            <v>0</v>
          </cell>
          <cell r="T1103">
            <v>0</v>
          </cell>
          <cell r="U1103">
            <v>0</v>
          </cell>
          <cell r="V1103">
            <v>1</v>
          </cell>
          <cell r="W1103">
            <v>0</v>
          </cell>
          <cell r="X1103">
            <v>0</v>
          </cell>
          <cell r="Y1103">
            <v>0</v>
          </cell>
        </row>
        <row r="1104">
          <cell r="D1104">
            <v>301017</v>
          </cell>
          <cell r="E1104" t="str">
            <v>La Paz National High School</v>
          </cell>
          <cell r="F1104">
            <v>1</v>
          </cell>
          <cell r="G1104">
            <v>0</v>
          </cell>
          <cell r="H1104">
            <v>1</v>
          </cell>
          <cell r="I1104">
            <v>0</v>
          </cell>
          <cell r="J1104">
            <v>0</v>
          </cell>
          <cell r="K1104">
            <v>0</v>
          </cell>
          <cell r="L1104">
            <v>1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1</v>
          </cell>
          <cell r="U1104" t="str">
            <v>none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</row>
        <row r="1105">
          <cell r="D1105">
            <v>500771</v>
          </cell>
          <cell r="E1105" t="str">
            <v>San Juan Integrated School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</row>
        <row r="1106">
          <cell r="D1106">
            <v>500398</v>
          </cell>
          <cell r="E1106" t="str">
            <v>Palusapis IS</v>
          </cell>
          <cell r="F1106">
            <v>1</v>
          </cell>
          <cell r="G1106">
            <v>1</v>
          </cell>
          <cell r="H1106">
            <v>1</v>
          </cell>
          <cell r="I1106">
            <v>0</v>
          </cell>
          <cell r="J1106">
            <v>1</v>
          </cell>
          <cell r="K1106">
            <v>0</v>
          </cell>
          <cell r="L1106">
            <v>0</v>
          </cell>
          <cell r="M1106">
            <v>0</v>
          </cell>
          <cell r="N1106">
            <v>1</v>
          </cell>
          <cell r="O1106" t="str">
            <v>JUNE 5, 2019</v>
          </cell>
          <cell r="P1106">
            <v>43475</v>
          </cell>
          <cell r="Q1106">
            <v>1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1</v>
          </cell>
          <cell r="W1106">
            <v>5</v>
          </cell>
          <cell r="X1106">
            <v>5</v>
          </cell>
          <cell r="Y1106">
            <v>5</v>
          </cell>
        </row>
        <row r="1107">
          <cell r="D1107">
            <v>322801</v>
          </cell>
          <cell r="E1107" t="str">
            <v>Munoz National High School (Annex)</v>
          </cell>
          <cell r="F1107">
            <v>1</v>
          </cell>
          <cell r="G1107">
            <v>1</v>
          </cell>
          <cell r="H1107">
            <v>1</v>
          </cell>
          <cell r="I1107">
            <v>0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1</v>
          </cell>
          <cell r="O1107">
            <v>43656</v>
          </cell>
          <cell r="P1107">
            <v>43678</v>
          </cell>
          <cell r="Q1107">
            <v>1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4</v>
          </cell>
          <cell r="X1107">
            <v>2</v>
          </cell>
          <cell r="Y1107">
            <v>4</v>
          </cell>
        </row>
        <row r="1108">
          <cell r="D1108">
            <v>300723</v>
          </cell>
          <cell r="E1108" t="str">
            <v>DoÃ±a Remedios Trinidad High School</v>
          </cell>
          <cell r="F1108">
            <v>1</v>
          </cell>
          <cell r="G1108">
            <v>1</v>
          </cell>
          <cell r="H1108">
            <v>1</v>
          </cell>
          <cell r="I1108">
            <v>1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1</v>
          </cell>
          <cell r="O1108" t="str">
            <v>06/14/2019</v>
          </cell>
          <cell r="P1108" t="str">
            <v>09/20/2019</v>
          </cell>
          <cell r="Q1108">
            <v>0</v>
          </cell>
          <cell r="R1108">
            <v>1</v>
          </cell>
          <cell r="S1108">
            <v>0</v>
          </cell>
          <cell r="T1108">
            <v>0</v>
          </cell>
          <cell r="U1108">
            <v>0</v>
          </cell>
          <cell r="V1108">
            <v>1</v>
          </cell>
          <cell r="W1108">
            <v>2</v>
          </cell>
          <cell r="X1108">
            <v>1</v>
          </cell>
          <cell r="Y1108">
            <v>2</v>
          </cell>
        </row>
        <row r="1109">
          <cell r="D1109">
            <v>307103</v>
          </cell>
          <cell r="E1109" t="str">
            <v>San Salvador High School</v>
          </cell>
          <cell r="F1109">
            <v>1</v>
          </cell>
          <cell r="G1109">
            <v>1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</row>
        <row r="1110">
          <cell r="D1110">
            <v>306711</v>
          </cell>
          <cell r="E1110" t="str">
            <v>San Francisco Xavier High School</v>
          </cell>
          <cell r="F1110">
            <v>1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</row>
        <row r="1111">
          <cell r="D1111">
            <v>300859</v>
          </cell>
          <cell r="E1111" t="str">
            <v>Sto. Rosario NHS, Sto. Domingo</v>
          </cell>
          <cell r="F1111">
            <v>1</v>
          </cell>
          <cell r="G1111">
            <v>1</v>
          </cell>
          <cell r="H1111">
            <v>1</v>
          </cell>
          <cell r="I1111">
            <v>0</v>
          </cell>
          <cell r="J1111">
            <v>1</v>
          </cell>
          <cell r="K1111">
            <v>0</v>
          </cell>
          <cell r="L1111">
            <v>0</v>
          </cell>
          <cell r="M1111">
            <v>0</v>
          </cell>
          <cell r="N1111">
            <v>1</v>
          </cell>
          <cell r="O1111">
            <v>0</v>
          </cell>
          <cell r="P1111">
            <v>0</v>
          </cell>
          <cell r="Q1111">
            <v>0</v>
          </cell>
          <cell r="R1111">
            <v>1</v>
          </cell>
          <cell r="S1111">
            <v>0</v>
          </cell>
          <cell r="T1111">
            <v>0</v>
          </cell>
          <cell r="U1111">
            <v>0</v>
          </cell>
          <cell r="V1111">
            <v>1</v>
          </cell>
          <cell r="W1111">
            <v>0</v>
          </cell>
          <cell r="X1111">
            <v>0</v>
          </cell>
          <cell r="Y1111">
            <v>0</v>
          </cell>
        </row>
        <row r="1112">
          <cell r="D1112">
            <v>300831</v>
          </cell>
          <cell r="E1112" t="str">
            <v>Pantabangan NHS - Annex, Cadaclan IS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</row>
        <row r="1113">
          <cell r="D1113">
            <v>306721</v>
          </cell>
          <cell r="E1113" t="str">
            <v>EMILIA PEREZ LIGON HIGH SCHOOL</v>
          </cell>
          <cell r="F1113">
            <v>1</v>
          </cell>
          <cell r="G1113">
            <v>1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</row>
        <row r="1114">
          <cell r="D1114">
            <v>306728</v>
          </cell>
          <cell r="E1114" t="str">
            <v>Sta. Catalina Bata National High School</v>
          </cell>
          <cell r="F1114">
            <v>1</v>
          </cell>
          <cell r="G1114">
            <v>1</v>
          </cell>
          <cell r="H1114">
            <v>1</v>
          </cell>
          <cell r="I1114">
            <v>0</v>
          </cell>
          <cell r="J1114">
            <v>1</v>
          </cell>
          <cell r="K1114">
            <v>0</v>
          </cell>
          <cell r="L1114">
            <v>0</v>
          </cell>
          <cell r="M1114">
            <v>0</v>
          </cell>
          <cell r="N1114">
            <v>1</v>
          </cell>
          <cell r="O1114" t="str">
            <v>Aug. 23, 2019</v>
          </cell>
          <cell r="P1114" t="str">
            <v>Aug. 25, 2019</v>
          </cell>
          <cell r="Q1114">
            <v>1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1</v>
          </cell>
          <cell r="W1114">
            <v>0</v>
          </cell>
          <cell r="X1114">
            <v>0</v>
          </cell>
          <cell r="Y1114">
            <v>0</v>
          </cell>
        </row>
        <row r="1115">
          <cell r="D1115">
            <v>306715</v>
          </cell>
          <cell r="E1115" t="str">
            <v>Iluminada Mendoza-Roxas Memorial High School (Bambang NHS)</v>
          </cell>
          <cell r="F1115">
            <v>1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</row>
        <row r="1116">
          <cell r="D1116">
            <v>306718</v>
          </cell>
          <cell r="E1116" t="str">
            <v>Lydia D. Villangca Trade School</v>
          </cell>
          <cell r="F1116">
            <v>1</v>
          </cell>
          <cell r="G1116">
            <v>0</v>
          </cell>
          <cell r="H1116">
            <v>1</v>
          </cell>
          <cell r="I1116">
            <v>0</v>
          </cell>
          <cell r="J1116">
            <v>0</v>
          </cell>
          <cell r="K1116">
            <v>1</v>
          </cell>
          <cell r="L1116">
            <v>0</v>
          </cell>
          <cell r="M1116">
            <v>0</v>
          </cell>
          <cell r="N1116">
            <v>1</v>
          </cell>
          <cell r="O1116">
            <v>43630</v>
          </cell>
          <cell r="P1116">
            <v>0</v>
          </cell>
          <cell r="Q1116">
            <v>0</v>
          </cell>
          <cell r="R1116">
            <v>0</v>
          </cell>
          <cell r="S1116">
            <v>1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</row>
        <row r="1117">
          <cell r="D1117">
            <v>306708</v>
          </cell>
          <cell r="E1117" t="str">
            <v>Maronquillo National High School</v>
          </cell>
          <cell r="F1117">
            <v>1</v>
          </cell>
          <cell r="G1117">
            <v>0</v>
          </cell>
          <cell r="H1117">
            <v>1</v>
          </cell>
          <cell r="I1117">
            <v>0</v>
          </cell>
          <cell r="J1117">
            <v>0</v>
          </cell>
          <cell r="K1117">
            <v>1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2</v>
          </cell>
          <cell r="X1117">
            <v>0</v>
          </cell>
          <cell r="Y1117">
            <v>0</v>
          </cell>
        </row>
        <row r="1118">
          <cell r="D1118">
            <v>300867</v>
          </cell>
          <cell r="E1118" t="str">
            <v>Teodoro A. Dionisio NHS</v>
          </cell>
          <cell r="F1118">
            <v>1</v>
          </cell>
          <cell r="G1118">
            <v>1</v>
          </cell>
          <cell r="H1118">
            <v>1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43622</v>
          </cell>
          <cell r="Q1118">
            <v>0</v>
          </cell>
          <cell r="R1118">
            <v>1</v>
          </cell>
          <cell r="S1118">
            <v>0</v>
          </cell>
          <cell r="T1118">
            <v>0</v>
          </cell>
          <cell r="U1118">
            <v>0</v>
          </cell>
          <cell r="V1118">
            <v>1</v>
          </cell>
          <cell r="W1118">
            <v>0</v>
          </cell>
          <cell r="X1118">
            <v>0</v>
          </cell>
          <cell r="Y1118">
            <v>0</v>
          </cell>
        </row>
        <row r="1119">
          <cell r="D1119">
            <v>306727</v>
          </cell>
          <cell r="E1119" t="str">
            <v>Dr. Pablito V. Mendoza, Sr. High Schoo</v>
          </cell>
          <cell r="F1119">
            <v>1</v>
          </cell>
          <cell r="G1119">
            <v>1</v>
          </cell>
          <cell r="H1119">
            <v>1</v>
          </cell>
          <cell r="I1119">
            <v>0</v>
          </cell>
          <cell r="J1119">
            <v>1</v>
          </cell>
          <cell r="K1119">
            <v>0</v>
          </cell>
          <cell r="L1119">
            <v>0</v>
          </cell>
          <cell r="M1119">
            <v>0</v>
          </cell>
          <cell r="N1119">
            <v>1</v>
          </cell>
          <cell r="O1119">
            <v>43620</v>
          </cell>
          <cell r="P1119">
            <v>43650</v>
          </cell>
          <cell r="Q1119">
            <v>0</v>
          </cell>
          <cell r="R1119">
            <v>1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2</v>
          </cell>
          <cell r="X1119">
            <v>2</v>
          </cell>
          <cell r="Y1119">
            <v>2</v>
          </cell>
        </row>
        <row r="1120">
          <cell r="D1120">
            <v>300778</v>
          </cell>
          <cell r="E1120" t="str">
            <v>Sulivan National High School</v>
          </cell>
          <cell r="F1120">
            <v>1</v>
          </cell>
          <cell r="G1120">
            <v>1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 t="str">
            <v>Oct. 20, 2019</v>
          </cell>
          <cell r="Q1120">
            <v>0</v>
          </cell>
          <cell r="R1120">
            <v>1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5</v>
          </cell>
          <cell r="X1120">
            <v>5</v>
          </cell>
          <cell r="Y1120">
            <v>0</v>
          </cell>
        </row>
        <row r="1121">
          <cell r="D1121">
            <v>300722</v>
          </cell>
          <cell r="E1121" t="str">
            <v>Binagbag NHS</v>
          </cell>
          <cell r="F1121">
            <v>1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1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1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</row>
        <row r="1122">
          <cell r="D1122">
            <v>307510</v>
          </cell>
          <cell r="E1122" t="str">
            <v>Kaypian National High School</v>
          </cell>
          <cell r="F1122">
            <v>1</v>
          </cell>
          <cell r="G1122">
            <v>1</v>
          </cell>
          <cell r="H1122">
            <v>1</v>
          </cell>
          <cell r="I1122">
            <v>0</v>
          </cell>
          <cell r="J1122">
            <v>1</v>
          </cell>
          <cell r="K1122">
            <v>0</v>
          </cell>
          <cell r="L1122">
            <v>0</v>
          </cell>
          <cell r="M1122">
            <v>0</v>
          </cell>
          <cell r="N1122">
            <v>1</v>
          </cell>
          <cell r="O1122">
            <v>0</v>
          </cell>
          <cell r="P1122">
            <v>0</v>
          </cell>
          <cell r="Q1122">
            <v>0</v>
          </cell>
          <cell r="R1122">
            <v>1</v>
          </cell>
          <cell r="S1122">
            <v>0</v>
          </cell>
          <cell r="T1122">
            <v>0</v>
          </cell>
          <cell r="U1122">
            <v>0</v>
          </cell>
          <cell r="V1122">
            <v>1</v>
          </cell>
          <cell r="W1122">
            <v>0</v>
          </cell>
          <cell r="X1122">
            <v>0</v>
          </cell>
          <cell r="Y1122">
            <v>0</v>
          </cell>
        </row>
        <row r="1123">
          <cell r="D1123">
            <v>300734</v>
          </cell>
          <cell r="E1123" t="str">
            <v>Dampol 1st National High School</v>
          </cell>
          <cell r="F1123">
            <v>1</v>
          </cell>
          <cell r="G1123">
            <v>1</v>
          </cell>
          <cell r="H1123">
            <v>1</v>
          </cell>
          <cell r="I1123">
            <v>0</v>
          </cell>
          <cell r="J1123">
            <v>1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</row>
        <row r="1124">
          <cell r="D1124">
            <v>300824</v>
          </cell>
          <cell r="E1124" t="str">
            <v>Munoz National HS-Main</v>
          </cell>
          <cell r="F1124">
            <v>1</v>
          </cell>
          <cell r="G1124">
            <v>1</v>
          </cell>
          <cell r="H1124">
            <v>1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1</v>
          </cell>
          <cell r="W1124">
            <v>2</v>
          </cell>
          <cell r="X1124">
            <v>2</v>
          </cell>
          <cell r="Y1124">
            <v>2</v>
          </cell>
        </row>
        <row r="1125">
          <cell r="D1125">
            <v>300732</v>
          </cell>
          <cell r="E1125" t="str">
            <v>San Ildefonso National High School</v>
          </cell>
          <cell r="F1125">
            <v>1</v>
          </cell>
          <cell r="G1125">
            <v>1</v>
          </cell>
          <cell r="H1125">
            <v>1</v>
          </cell>
          <cell r="I1125">
            <v>0</v>
          </cell>
          <cell r="J1125">
            <v>1</v>
          </cell>
          <cell r="K1125">
            <v>0</v>
          </cell>
          <cell r="L1125">
            <v>0</v>
          </cell>
          <cell r="M1125">
            <v>0</v>
          </cell>
          <cell r="N1125">
            <v>1</v>
          </cell>
          <cell r="O1125">
            <v>43706</v>
          </cell>
          <cell r="P1125">
            <v>43706</v>
          </cell>
          <cell r="Q1125">
            <v>0</v>
          </cell>
          <cell r="R1125">
            <v>1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</row>
        <row r="1126">
          <cell r="D1126">
            <v>306703</v>
          </cell>
          <cell r="E1126" t="str">
            <v>Julian B. Sumbillo High School</v>
          </cell>
          <cell r="F1126">
            <v>1</v>
          </cell>
          <cell r="G1126">
            <v>0</v>
          </cell>
          <cell r="H1126">
            <v>1</v>
          </cell>
          <cell r="I1126">
            <v>0</v>
          </cell>
          <cell r="J1126">
            <v>1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1</v>
          </cell>
          <cell r="S1126">
            <v>0</v>
          </cell>
          <cell r="T1126">
            <v>0</v>
          </cell>
          <cell r="U1126">
            <v>0</v>
          </cell>
          <cell r="V1126">
            <v>1</v>
          </cell>
          <cell r="W1126">
            <v>0</v>
          </cell>
          <cell r="X1126">
            <v>0</v>
          </cell>
          <cell r="Y1126">
            <v>0</v>
          </cell>
        </row>
        <row r="1127">
          <cell r="D1127">
            <v>300774</v>
          </cell>
          <cell r="E1127" t="str">
            <v>John J. Russell MHS (Sibul NHS)</v>
          </cell>
          <cell r="F1127">
            <v>1</v>
          </cell>
          <cell r="G1127">
            <v>1</v>
          </cell>
          <cell r="H1127">
            <v>1</v>
          </cell>
          <cell r="I1127">
            <v>0</v>
          </cell>
          <cell r="J1127">
            <v>1</v>
          </cell>
          <cell r="K1127">
            <v>0</v>
          </cell>
          <cell r="L1127">
            <v>0</v>
          </cell>
          <cell r="M1127">
            <v>0</v>
          </cell>
          <cell r="N1127">
            <v>1</v>
          </cell>
          <cell r="O1127">
            <v>43472</v>
          </cell>
          <cell r="P1127">
            <v>0</v>
          </cell>
          <cell r="Q1127">
            <v>1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1</v>
          </cell>
          <cell r="W1127">
            <v>0</v>
          </cell>
          <cell r="X1127">
            <v>0</v>
          </cell>
          <cell r="Y1127">
            <v>0</v>
          </cell>
        </row>
        <row r="1128">
          <cell r="D1128">
            <v>300760</v>
          </cell>
          <cell r="E1128" t="str">
            <v>Norzagaray National High School</v>
          </cell>
          <cell r="F1128">
            <v>1</v>
          </cell>
          <cell r="G1128">
            <v>1</v>
          </cell>
          <cell r="H1128">
            <v>1</v>
          </cell>
          <cell r="I1128">
            <v>0</v>
          </cell>
          <cell r="J1128">
            <v>0</v>
          </cell>
          <cell r="K1128">
            <v>1</v>
          </cell>
          <cell r="L1128">
            <v>0</v>
          </cell>
          <cell r="M1128">
            <v>0</v>
          </cell>
          <cell r="N1128">
            <v>1</v>
          </cell>
          <cell r="O1128">
            <v>43662</v>
          </cell>
          <cell r="P1128">
            <v>0</v>
          </cell>
          <cell r="Q1128">
            <v>0</v>
          </cell>
          <cell r="R1128">
            <v>1</v>
          </cell>
          <cell r="S1128">
            <v>1</v>
          </cell>
          <cell r="T1128">
            <v>0</v>
          </cell>
          <cell r="U1128">
            <v>0</v>
          </cell>
          <cell r="V1128">
            <v>1</v>
          </cell>
          <cell r="W1128">
            <v>0</v>
          </cell>
          <cell r="X1128">
            <v>0</v>
          </cell>
          <cell r="Y1128">
            <v>0</v>
          </cell>
        </row>
        <row r="1129">
          <cell r="D1129">
            <v>300725</v>
          </cell>
          <cell r="E1129" t="str">
            <v>Talbak High School</v>
          </cell>
          <cell r="F1129">
            <v>1</v>
          </cell>
          <cell r="G1129">
            <v>0</v>
          </cell>
          <cell r="H1129">
            <v>0</v>
          </cell>
          <cell r="I1129">
            <v>0</v>
          </cell>
          <cell r="J1129">
            <v>1</v>
          </cell>
          <cell r="K1129">
            <v>0</v>
          </cell>
          <cell r="L1129">
            <v>0</v>
          </cell>
          <cell r="M1129">
            <v>0</v>
          </cell>
          <cell r="N1129">
            <v>1</v>
          </cell>
          <cell r="O1129">
            <v>43497</v>
          </cell>
          <cell r="P1129">
            <v>42948</v>
          </cell>
          <cell r="Q1129">
            <v>0</v>
          </cell>
          <cell r="R1129">
            <v>1</v>
          </cell>
          <cell r="S1129">
            <v>0</v>
          </cell>
          <cell r="T1129">
            <v>0</v>
          </cell>
          <cell r="U1129">
            <v>0</v>
          </cell>
          <cell r="V1129">
            <v>1</v>
          </cell>
          <cell r="W1129">
            <v>0</v>
          </cell>
          <cell r="X1129">
            <v>0</v>
          </cell>
          <cell r="Y1129">
            <v>0</v>
          </cell>
        </row>
        <row r="1130">
          <cell r="D1130">
            <v>300689</v>
          </cell>
          <cell r="E1130" t="str">
            <v>Juan C. Angara Memorial NHS</v>
          </cell>
          <cell r="F1130">
            <v>1</v>
          </cell>
          <cell r="G1130">
            <v>0</v>
          </cell>
          <cell r="H1130">
            <v>1</v>
          </cell>
          <cell r="I1130">
            <v>0</v>
          </cell>
          <cell r="J1130">
            <v>0</v>
          </cell>
          <cell r="K1130">
            <v>0</v>
          </cell>
          <cell r="L1130">
            <v>1</v>
          </cell>
          <cell r="M1130" t="str">
            <v>as needs arise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</row>
        <row r="1131">
          <cell r="D1131">
            <v>300817</v>
          </cell>
          <cell r="E1131" t="str">
            <v>Magpapalayok NHS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1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1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</row>
        <row r="1132">
          <cell r="D1132">
            <v>300729</v>
          </cell>
          <cell r="E1132" t="str">
            <v>Masagana HS</v>
          </cell>
          <cell r="F1132">
            <v>1</v>
          </cell>
          <cell r="G1132">
            <v>1</v>
          </cell>
          <cell r="H1132">
            <v>1</v>
          </cell>
          <cell r="I1132">
            <v>1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1</v>
          </cell>
          <cell r="O1132" t="str">
            <v>SEPTEMBER</v>
          </cell>
          <cell r="P1132" t="str">
            <v>SEPTEMBER</v>
          </cell>
          <cell r="Q1132">
            <v>1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1</v>
          </cell>
          <cell r="W1132">
            <v>0</v>
          </cell>
          <cell r="X1132">
            <v>0</v>
          </cell>
          <cell r="Y1132">
            <v>0</v>
          </cell>
        </row>
        <row r="1133">
          <cell r="D1133">
            <v>300765</v>
          </cell>
          <cell r="E1133" t="str">
            <v>Parada NHS</v>
          </cell>
          <cell r="F1133">
            <v>1</v>
          </cell>
          <cell r="G1133">
            <v>1</v>
          </cell>
          <cell r="H1133">
            <v>0</v>
          </cell>
          <cell r="I1133">
            <v>0</v>
          </cell>
          <cell r="J1133">
            <v>0</v>
          </cell>
          <cell r="K1133">
            <v>1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</row>
        <row r="1134">
          <cell r="D1134">
            <v>300767</v>
          </cell>
          <cell r="E1134" t="str">
            <v>Pulong Buhangin NHS</v>
          </cell>
          <cell r="F1134">
            <v>1</v>
          </cell>
          <cell r="G1134">
            <v>1</v>
          </cell>
          <cell r="H1134">
            <v>1</v>
          </cell>
          <cell r="I1134">
            <v>0</v>
          </cell>
          <cell r="J1134">
            <v>1</v>
          </cell>
          <cell r="K1134">
            <v>0</v>
          </cell>
          <cell r="L1134">
            <v>0</v>
          </cell>
          <cell r="M1134">
            <v>0</v>
          </cell>
          <cell r="N1134">
            <v>1</v>
          </cell>
          <cell r="O1134">
            <v>0</v>
          </cell>
          <cell r="P1134">
            <v>0</v>
          </cell>
          <cell r="Q1134">
            <v>0</v>
          </cell>
          <cell r="R1134">
            <v>1</v>
          </cell>
          <cell r="S1134">
            <v>0</v>
          </cell>
          <cell r="T1134">
            <v>0</v>
          </cell>
          <cell r="U1134">
            <v>0</v>
          </cell>
          <cell r="V1134">
            <v>1</v>
          </cell>
          <cell r="W1134">
            <v>0</v>
          </cell>
          <cell r="X1134">
            <v>0</v>
          </cell>
          <cell r="Y1134">
            <v>0</v>
          </cell>
        </row>
        <row r="1135">
          <cell r="D1135">
            <v>300979</v>
          </cell>
          <cell r="E1135" t="str">
            <v>Pilpila High School</v>
          </cell>
          <cell r="F1135">
            <v>1</v>
          </cell>
          <cell r="G1135">
            <v>0</v>
          </cell>
          <cell r="H1135">
            <v>1</v>
          </cell>
          <cell r="I1135">
            <v>0</v>
          </cell>
          <cell r="J1135">
            <v>1</v>
          </cell>
          <cell r="K1135">
            <v>0</v>
          </cell>
          <cell r="L1135">
            <v>0</v>
          </cell>
          <cell r="M1135">
            <v>0</v>
          </cell>
          <cell r="N1135">
            <v>1</v>
          </cell>
          <cell r="O1135">
            <v>43678</v>
          </cell>
          <cell r="P1135" t="str">
            <v>Agusut 2019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1</v>
          </cell>
          <cell r="W1135">
            <v>3</v>
          </cell>
          <cell r="X1135">
            <v>2</v>
          </cell>
          <cell r="Y1135">
            <v>0</v>
          </cell>
        </row>
        <row r="1136">
          <cell r="D1136">
            <v>300745</v>
          </cell>
          <cell r="E1136" t="str">
            <v>San Roque National HS</v>
          </cell>
          <cell r="F1136">
            <v>1</v>
          </cell>
          <cell r="G1136">
            <v>1</v>
          </cell>
          <cell r="H1136">
            <v>1</v>
          </cell>
          <cell r="I1136">
            <v>0</v>
          </cell>
          <cell r="J1136">
            <v>1</v>
          </cell>
          <cell r="K1136">
            <v>0</v>
          </cell>
          <cell r="L1136">
            <v>0</v>
          </cell>
          <cell r="M1136">
            <v>0</v>
          </cell>
          <cell r="N1136">
            <v>1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</row>
        <row r="1137">
          <cell r="D1137">
            <v>300756</v>
          </cell>
          <cell r="E1137" t="str">
            <v>Sta. Monica National High School</v>
          </cell>
          <cell r="F1137">
            <v>1</v>
          </cell>
          <cell r="G1137">
            <v>1</v>
          </cell>
          <cell r="H1137">
            <v>1</v>
          </cell>
          <cell r="I1137">
            <v>0</v>
          </cell>
          <cell r="J1137">
            <v>1</v>
          </cell>
          <cell r="K1137">
            <v>0</v>
          </cell>
          <cell r="L1137">
            <v>0</v>
          </cell>
          <cell r="M1137">
            <v>0</v>
          </cell>
          <cell r="N1137">
            <v>1</v>
          </cell>
          <cell r="O1137">
            <v>0</v>
          </cell>
          <cell r="P1137">
            <v>43617</v>
          </cell>
          <cell r="Q1137">
            <v>0</v>
          </cell>
          <cell r="R1137">
            <v>1</v>
          </cell>
          <cell r="S1137">
            <v>0</v>
          </cell>
          <cell r="T1137">
            <v>0</v>
          </cell>
          <cell r="U1137">
            <v>0</v>
          </cell>
          <cell r="V1137">
            <v>1</v>
          </cell>
          <cell r="W1137">
            <v>5</v>
          </cell>
          <cell r="X1137">
            <v>5</v>
          </cell>
          <cell r="Y1137">
            <v>5</v>
          </cell>
        </row>
        <row r="1138">
          <cell r="D1138">
            <v>300724</v>
          </cell>
          <cell r="E1138" t="str">
            <v>Sapang Bulac High School</v>
          </cell>
          <cell r="F1138">
            <v>1</v>
          </cell>
          <cell r="G1138">
            <v>1</v>
          </cell>
          <cell r="H1138">
            <v>1</v>
          </cell>
          <cell r="I1138">
            <v>0</v>
          </cell>
          <cell r="J1138">
            <v>0</v>
          </cell>
          <cell r="K1138">
            <v>1</v>
          </cell>
          <cell r="L1138">
            <v>0</v>
          </cell>
          <cell r="M1138">
            <v>0</v>
          </cell>
          <cell r="N1138">
            <v>1</v>
          </cell>
          <cell r="O1138">
            <v>0</v>
          </cell>
          <cell r="P1138">
            <v>0</v>
          </cell>
          <cell r="Q1138">
            <v>0</v>
          </cell>
          <cell r="R1138">
            <v>1</v>
          </cell>
          <cell r="S1138">
            <v>0</v>
          </cell>
          <cell r="T1138">
            <v>0</v>
          </cell>
          <cell r="U1138">
            <v>0</v>
          </cell>
          <cell r="V1138">
            <v>1</v>
          </cell>
          <cell r="W1138">
            <v>0</v>
          </cell>
          <cell r="X1138">
            <v>0</v>
          </cell>
          <cell r="Y1138">
            <v>0</v>
          </cell>
        </row>
        <row r="1139">
          <cell r="D1139">
            <v>300771</v>
          </cell>
          <cell r="E1139" t="str">
            <v>San Miguel NHS</v>
          </cell>
          <cell r="F1139">
            <v>0</v>
          </cell>
          <cell r="G1139">
            <v>0</v>
          </cell>
          <cell r="H1139">
            <v>1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</row>
        <row r="1140">
          <cell r="D1140">
            <v>306704</v>
          </cell>
          <cell r="E1140" t="str">
            <v>Vedasto R. Santiago HS</v>
          </cell>
          <cell r="F1140">
            <v>1</v>
          </cell>
          <cell r="G1140">
            <v>1</v>
          </cell>
          <cell r="H1140">
            <v>1</v>
          </cell>
          <cell r="I1140">
            <v>0</v>
          </cell>
          <cell r="J1140">
            <v>0</v>
          </cell>
          <cell r="K1140">
            <v>1</v>
          </cell>
          <cell r="L1140">
            <v>0</v>
          </cell>
          <cell r="M1140">
            <v>0</v>
          </cell>
          <cell r="N1140">
            <v>1</v>
          </cell>
          <cell r="O1140">
            <v>43252</v>
          </cell>
          <cell r="P1140">
            <v>0</v>
          </cell>
          <cell r="Q1140">
            <v>0</v>
          </cell>
          <cell r="R1140">
            <v>0</v>
          </cell>
          <cell r="S1140">
            <v>1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</row>
        <row r="1141">
          <cell r="D1141">
            <v>300747</v>
          </cell>
          <cell r="E1141" t="str">
            <v>Taal High School</v>
          </cell>
          <cell r="F1141">
            <v>0</v>
          </cell>
          <cell r="G1141">
            <v>0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1</v>
          </cell>
          <cell r="M1141" t="str">
            <v>as needed</v>
          </cell>
          <cell r="N1141">
            <v>1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 t="str">
            <v>Seldom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</row>
        <row r="1142">
          <cell r="D1142">
            <v>300929</v>
          </cell>
          <cell r="E1142" t="str">
            <v>San Vicente NHS, Lubao</v>
          </cell>
          <cell r="F1142">
            <v>1</v>
          </cell>
          <cell r="G1142">
            <v>1</v>
          </cell>
          <cell r="H1142">
            <v>1</v>
          </cell>
          <cell r="I1142">
            <v>0</v>
          </cell>
          <cell r="J1142">
            <v>1</v>
          </cell>
          <cell r="K1142">
            <v>0</v>
          </cell>
          <cell r="L1142">
            <v>0</v>
          </cell>
          <cell r="M1142">
            <v>0</v>
          </cell>
          <cell r="N1142">
            <v>1</v>
          </cell>
          <cell r="O1142">
            <v>0</v>
          </cell>
          <cell r="P1142">
            <v>0</v>
          </cell>
          <cell r="Q1142">
            <v>0</v>
          </cell>
          <cell r="R1142">
            <v>1</v>
          </cell>
          <cell r="S1142">
            <v>0</v>
          </cell>
          <cell r="T1142">
            <v>0</v>
          </cell>
          <cell r="U1142">
            <v>0</v>
          </cell>
          <cell r="V1142">
            <v>1</v>
          </cell>
          <cell r="W1142">
            <v>15</v>
          </cell>
          <cell r="X1142">
            <v>0</v>
          </cell>
          <cell r="Y1142">
            <v>15</v>
          </cell>
        </row>
        <row r="1143">
          <cell r="D1143">
            <v>306720</v>
          </cell>
          <cell r="E1143" t="str">
            <v>Esteban Paulino HS</v>
          </cell>
          <cell r="F1143">
            <v>0</v>
          </cell>
          <cell r="G1143">
            <v>0</v>
          </cell>
          <cell r="H1143">
            <v>1</v>
          </cell>
          <cell r="I1143">
            <v>0</v>
          </cell>
          <cell r="J1143">
            <v>1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</row>
        <row r="1144">
          <cell r="D1144">
            <v>301022</v>
          </cell>
          <cell r="E1144" t="str">
            <v>Mena Mem. National High School  (Bolitoc NHS)</v>
          </cell>
          <cell r="F1144">
            <v>1</v>
          </cell>
          <cell r="G1144">
            <v>0</v>
          </cell>
          <cell r="H1144">
            <v>1</v>
          </cell>
          <cell r="I1144">
            <v>0</v>
          </cell>
          <cell r="J1144">
            <v>0</v>
          </cell>
          <cell r="K1144">
            <v>1</v>
          </cell>
          <cell r="L1144">
            <v>0</v>
          </cell>
          <cell r="M1144">
            <v>0</v>
          </cell>
          <cell r="N1144">
            <v>1</v>
          </cell>
          <cell r="O1144">
            <v>0</v>
          </cell>
          <cell r="P1144" t="str">
            <v>N/A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</row>
        <row r="1145">
          <cell r="D1145">
            <v>300740</v>
          </cell>
          <cell r="E1145" t="str">
            <v>ASSEMBLYWOMAN FELICITA G. BERNARDINO MEMORIAL TRADE SCHOOL</v>
          </cell>
          <cell r="F1145">
            <v>0</v>
          </cell>
          <cell r="G1145">
            <v>1</v>
          </cell>
          <cell r="H1145">
            <v>0</v>
          </cell>
          <cell r="I1145">
            <v>0</v>
          </cell>
          <cell r="J1145">
            <v>1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1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</row>
        <row r="1146">
          <cell r="D1146">
            <v>300986</v>
          </cell>
          <cell r="E1146" t="str">
            <v>San Jose NHS</v>
          </cell>
          <cell r="F1146">
            <v>1</v>
          </cell>
          <cell r="G1146">
            <v>1</v>
          </cell>
          <cell r="H1146">
            <v>1</v>
          </cell>
          <cell r="I1146">
            <v>0</v>
          </cell>
          <cell r="J1146">
            <v>1</v>
          </cell>
          <cell r="K1146">
            <v>0</v>
          </cell>
          <cell r="L1146">
            <v>0</v>
          </cell>
          <cell r="M1146">
            <v>0</v>
          </cell>
          <cell r="N1146">
            <v>1</v>
          </cell>
          <cell r="O1146">
            <v>43685</v>
          </cell>
          <cell r="P1146">
            <v>43475</v>
          </cell>
          <cell r="Q1146">
            <v>0</v>
          </cell>
          <cell r="R1146">
            <v>1</v>
          </cell>
          <cell r="S1146">
            <v>0</v>
          </cell>
          <cell r="T1146">
            <v>0</v>
          </cell>
          <cell r="U1146">
            <v>0</v>
          </cell>
          <cell r="V1146">
            <v>1</v>
          </cell>
          <cell r="W1146">
            <v>1</v>
          </cell>
          <cell r="X1146">
            <v>0</v>
          </cell>
          <cell r="Y1146">
            <v>0</v>
          </cell>
        </row>
        <row r="1147">
          <cell r="D1147">
            <v>300768</v>
          </cell>
          <cell r="E1147" t="str">
            <v>Calumpit NHS (San Marcos NHS)</v>
          </cell>
          <cell r="F1147">
            <v>1</v>
          </cell>
          <cell r="G1147">
            <v>1</v>
          </cell>
          <cell r="H1147">
            <v>1</v>
          </cell>
          <cell r="I1147">
            <v>0</v>
          </cell>
          <cell r="J1147">
            <v>0</v>
          </cell>
          <cell r="K1147">
            <v>1</v>
          </cell>
          <cell r="L1147">
            <v>0</v>
          </cell>
          <cell r="M1147">
            <v>0</v>
          </cell>
          <cell r="N1147">
            <v>1</v>
          </cell>
          <cell r="O1147">
            <v>43616</v>
          </cell>
          <cell r="P1147">
            <v>0</v>
          </cell>
          <cell r="Q1147">
            <v>0</v>
          </cell>
          <cell r="R1147">
            <v>0</v>
          </cell>
          <cell r="S1147">
            <v>1</v>
          </cell>
          <cell r="T1147">
            <v>0</v>
          </cell>
          <cell r="U1147">
            <v>0</v>
          </cell>
          <cell r="V1147">
            <v>1</v>
          </cell>
          <cell r="W1147">
            <v>0</v>
          </cell>
          <cell r="X1147">
            <v>0</v>
          </cell>
          <cell r="Y1147">
            <v>0</v>
          </cell>
        </row>
        <row r="1148">
          <cell r="D1148">
            <v>300693</v>
          </cell>
          <cell r="E1148" t="str">
            <v>Dipaculao NHS</v>
          </cell>
          <cell r="F1148">
            <v>1</v>
          </cell>
          <cell r="G1148">
            <v>1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</row>
        <row r="1149">
          <cell r="D1149">
            <v>300736</v>
          </cell>
          <cell r="E1149" t="str">
            <v>Sta. Lucia National High School</v>
          </cell>
          <cell r="F1149">
            <v>0</v>
          </cell>
          <cell r="G1149">
            <v>1</v>
          </cell>
          <cell r="H1149">
            <v>1</v>
          </cell>
          <cell r="I1149">
            <v>0</v>
          </cell>
          <cell r="J1149">
            <v>1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</row>
        <row r="1150">
          <cell r="D1150">
            <v>300982</v>
          </cell>
          <cell r="E1150" t="str">
            <v>Ramos National High School</v>
          </cell>
          <cell r="F1150">
            <v>1</v>
          </cell>
          <cell r="G1150">
            <v>1</v>
          </cell>
          <cell r="H1150">
            <v>0</v>
          </cell>
          <cell r="I1150">
            <v>0</v>
          </cell>
          <cell r="J1150">
            <v>0</v>
          </cell>
          <cell r="K1150">
            <v>1</v>
          </cell>
          <cell r="L1150">
            <v>0</v>
          </cell>
          <cell r="M1150">
            <v>0</v>
          </cell>
          <cell r="N1150">
            <v>1</v>
          </cell>
          <cell r="O1150">
            <v>0</v>
          </cell>
          <cell r="P1150">
            <v>0</v>
          </cell>
          <cell r="Q1150">
            <v>1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</row>
        <row r="1151">
          <cell r="D1151">
            <v>300882</v>
          </cell>
          <cell r="E1151" t="str">
            <v>Betis NHS</v>
          </cell>
          <cell r="F1151">
            <v>1</v>
          </cell>
          <cell r="G1151">
            <v>1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1</v>
          </cell>
          <cell r="O1151" t="str">
            <v>June 5,2019</v>
          </cell>
          <cell r="P1151">
            <v>43646</v>
          </cell>
          <cell r="Q1151">
            <v>1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1</v>
          </cell>
          <cell r="W1151">
            <v>6</v>
          </cell>
          <cell r="X1151">
            <v>6</v>
          </cell>
          <cell r="Y1151">
            <v>6</v>
          </cell>
        </row>
        <row r="1152">
          <cell r="D1152">
            <v>300905</v>
          </cell>
          <cell r="E1152" t="str">
            <v>Don Jesus Gonzales High School</v>
          </cell>
          <cell r="F1152">
            <v>1</v>
          </cell>
          <cell r="G1152">
            <v>1</v>
          </cell>
          <cell r="H1152">
            <v>1</v>
          </cell>
          <cell r="I1152">
            <v>0</v>
          </cell>
          <cell r="J1152">
            <v>1</v>
          </cell>
          <cell r="K1152">
            <v>0</v>
          </cell>
          <cell r="L1152">
            <v>0</v>
          </cell>
          <cell r="M1152">
            <v>0</v>
          </cell>
          <cell r="N1152">
            <v>1</v>
          </cell>
          <cell r="O1152">
            <v>0</v>
          </cell>
          <cell r="P1152">
            <v>0</v>
          </cell>
          <cell r="Q1152">
            <v>1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1</v>
          </cell>
          <cell r="W1152">
            <v>0</v>
          </cell>
          <cell r="X1152">
            <v>0</v>
          </cell>
          <cell r="Y1152">
            <v>0</v>
          </cell>
        </row>
        <row r="1153">
          <cell r="D1153">
            <v>307506</v>
          </cell>
          <cell r="E1153" t="str">
            <v>City of San Jose del Monte National Science High School</v>
          </cell>
          <cell r="F1153">
            <v>1</v>
          </cell>
          <cell r="G1153">
            <v>1</v>
          </cell>
          <cell r="H1153">
            <v>1</v>
          </cell>
          <cell r="I1153">
            <v>0</v>
          </cell>
          <cell r="J1153">
            <v>0</v>
          </cell>
          <cell r="K1153">
            <v>1</v>
          </cell>
          <cell r="L1153">
            <v>0</v>
          </cell>
          <cell r="M1153">
            <v>0</v>
          </cell>
          <cell r="N1153">
            <v>1</v>
          </cell>
          <cell r="O1153">
            <v>0</v>
          </cell>
          <cell r="P1153">
            <v>43619</v>
          </cell>
          <cell r="Q1153">
            <v>0</v>
          </cell>
          <cell r="R1153">
            <v>0</v>
          </cell>
          <cell r="S1153">
            <v>1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</row>
        <row r="1154">
          <cell r="D1154">
            <v>500145</v>
          </cell>
          <cell r="E1154" t="str">
            <v>Maimpis Integrated High School</v>
          </cell>
          <cell r="F1154">
            <v>1</v>
          </cell>
          <cell r="G1154">
            <v>0</v>
          </cell>
          <cell r="H1154">
            <v>1</v>
          </cell>
          <cell r="I1154">
            <v>0</v>
          </cell>
          <cell r="J1154">
            <v>0</v>
          </cell>
          <cell r="K1154">
            <v>1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43664</v>
          </cell>
          <cell r="Q1154">
            <v>0</v>
          </cell>
          <cell r="R1154">
            <v>0</v>
          </cell>
          <cell r="S1154">
            <v>1</v>
          </cell>
          <cell r="T1154">
            <v>0</v>
          </cell>
          <cell r="U1154">
            <v>0</v>
          </cell>
          <cell r="V1154">
            <v>0</v>
          </cell>
          <cell r="W1154">
            <v>4</v>
          </cell>
          <cell r="X1154">
            <v>0</v>
          </cell>
          <cell r="Y1154">
            <v>0</v>
          </cell>
        </row>
        <row r="1155">
          <cell r="D1155">
            <v>300737</v>
          </cell>
          <cell r="E1155" t="str">
            <v>Sta. Peregrina HS</v>
          </cell>
          <cell r="F1155">
            <v>1</v>
          </cell>
          <cell r="G1155">
            <v>1</v>
          </cell>
          <cell r="H1155">
            <v>1</v>
          </cell>
          <cell r="I1155">
            <v>0</v>
          </cell>
          <cell r="J1155">
            <v>1</v>
          </cell>
          <cell r="K1155">
            <v>0</v>
          </cell>
          <cell r="L1155">
            <v>0</v>
          </cell>
          <cell r="M1155">
            <v>0</v>
          </cell>
          <cell r="N1155">
            <v>1</v>
          </cell>
          <cell r="O1155">
            <v>43663</v>
          </cell>
          <cell r="P1155">
            <v>43687</v>
          </cell>
          <cell r="Q1155">
            <v>0</v>
          </cell>
          <cell r="R1155">
            <v>1</v>
          </cell>
          <cell r="S1155">
            <v>0</v>
          </cell>
          <cell r="T1155">
            <v>0</v>
          </cell>
          <cell r="U1155">
            <v>0</v>
          </cell>
          <cell r="V1155">
            <v>1</v>
          </cell>
          <cell r="W1155">
            <v>2</v>
          </cell>
          <cell r="X1155">
            <v>1</v>
          </cell>
          <cell r="Y1155">
            <v>0</v>
          </cell>
        </row>
        <row r="1156">
          <cell r="D1156">
            <v>300895</v>
          </cell>
          <cell r="E1156" t="str">
            <v>Mabalacat NHS</v>
          </cell>
          <cell r="F1156">
            <v>1</v>
          </cell>
          <cell r="G1156">
            <v>1</v>
          </cell>
          <cell r="H1156">
            <v>1</v>
          </cell>
          <cell r="I1156">
            <v>0</v>
          </cell>
          <cell r="J1156">
            <v>1</v>
          </cell>
          <cell r="K1156">
            <v>0</v>
          </cell>
          <cell r="L1156">
            <v>0</v>
          </cell>
          <cell r="M1156">
            <v>0</v>
          </cell>
          <cell r="N1156">
            <v>1</v>
          </cell>
          <cell r="O1156" t="str">
            <v>SEPTEMBER 6, 2019</v>
          </cell>
          <cell r="P1156" t="str">
            <v>N/A</v>
          </cell>
          <cell r="Q1156">
            <v>0</v>
          </cell>
          <cell r="R1156">
            <v>0</v>
          </cell>
          <cell r="S1156">
            <v>0</v>
          </cell>
          <cell r="T1156">
            <v>1</v>
          </cell>
          <cell r="U1156" t="str">
            <v>N/A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</row>
        <row r="1157">
          <cell r="D1157">
            <v>300776</v>
          </cell>
          <cell r="E1157" t="str">
            <v>Sta. Cruz NHS</v>
          </cell>
          <cell r="F1157">
            <v>1</v>
          </cell>
          <cell r="G1157">
            <v>1</v>
          </cell>
          <cell r="H1157">
            <v>1</v>
          </cell>
          <cell r="I1157">
            <v>0</v>
          </cell>
          <cell r="J1157">
            <v>1</v>
          </cell>
          <cell r="K1157">
            <v>0</v>
          </cell>
          <cell r="L1157">
            <v>0</v>
          </cell>
          <cell r="M1157">
            <v>0</v>
          </cell>
          <cell r="N1157">
            <v>1</v>
          </cell>
          <cell r="O1157">
            <v>0</v>
          </cell>
          <cell r="P1157">
            <v>0</v>
          </cell>
          <cell r="Q1157">
            <v>0</v>
          </cell>
          <cell r="R1157">
            <v>1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</row>
        <row r="1158">
          <cell r="D1158">
            <v>301062</v>
          </cell>
          <cell r="E1158" t="str">
            <v>Sapang Palay National High School</v>
          </cell>
          <cell r="F1158">
            <v>1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</row>
        <row r="1159">
          <cell r="D1159">
            <v>300880</v>
          </cell>
          <cell r="E1159" t="str">
            <v>Becuran National High School</v>
          </cell>
          <cell r="F1159">
            <v>1</v>
          </cell>
          <cell r="G1159">
            <v>1</v>
          </cell>
          <cell r="H1159">
            <v>1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1</v>
          </cell>
          <cell r="O1159">
            <v>43313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4</v>
          </cell>
          <cell r="X1159">
            <v>0</v>
          </cell>
          <cell r="Y1159">
            <v>0</v>
          </cell>
        </row>
        <row r="1160">
          <cell r="D1160">
            <v>301049</v>
          </cell>
          <cell r="E1160" t="str">
            <v>Eastern Cabu NHS</v>
          </cell>
          <cell r="F1160">
            <v>1</v>
          </cell>
          <cell r="G1160">
            <v>1</v>
          </cell>
          <cell r="H1160">
            <v>1</v>
          </cell>
          <cell r="I1160">
            <v>0</v>
          </cell>
          <cell r="J1160">
            <v>1</v>
          </cell>
          <cell r="K1160">
            <v>0</v>
          </cell>
          <cell r="L1160">
            <v>0</v>
          </cell>
          <cell r="M1160">
            <v>0</v>
          </cell>
          <cell r="N1160">
            <v>1</v>
          </cell>
          <cell r="O1160">
            <v>0</v>
          </cell>
          <cell r="P1160">
            <v>0</v>
          </cell>
          <cell r="Q1160">
            <v>1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1</v>
          </cell>
          <cell r="W1160">
            <v>1</v>
          </cell>
          <cell r="X1160">
            <v>0</v>
          </cell>
          <cell r="Y1160">
            <v>0</v>
          </cell>
        </row>
        <row r="1161">
          <cell r="D1161">
            <v>500140</v>
          </cell>
          <cell r="E1161" t="str">
            <v>Baliti IS</v>
          </cell>
          <cell r="F1161">
            <v>1</v>
          </cell>
          <cell r="G1161">
            <v>1</v>
          </cell>
          <cell r="H1161">
            <v>1</v>
          </cell>
          <cell r="I1161">
            <v>0</v>
          </cell>
          <cell r="J1161">
            <v>1</v>
          </cell>
          <cell r="K1161">
            <v>0</v>
          </cell>
          <cell r="L1161">
            <v>0</v>
          </cell>
          <cell r="M1161">
            <v>0</v>
          </cell>
          <cell r="N1161">
            <v>1</v>
          </cell>
          <cell r="O1161">
            <v>43638</v>
          </cell>
          <cell r="P1161">
            <v>43681</v>
          </cell>
          <cell r="Q1161">
            <v>0</v>
          </cell>
          <cell r="R1161">
            <v>0</v>
          </cell>
          <cell r="S1161">
            <v>1</v>
          </cell>
          <cell r="T1161">
            <v>0</v>
          </cell>
          <cell r="U1161">
            <v>0</v>
          </cell>
          <cell r="V1161">
            <v>1</v>
          </cell>
          <cell r="W1161">
            <v>5</v>
          </cell>
          <cell r="X1161">
            <v>5</v>
          </cell>
          <cell r="Y1161">
            <v>5</v>
          </cell>
        </row>
        <row r="1162">
          <cell r="D1162">
            <v>300955</v>
          </cell>
          <cell r="E1162" t="str">
            <v>Caanamongan High School</v>
          </cell>
          <cell r="F1162">
            <v>1</v>
          </cell>
          <cell r="G1162">
            <v>1</v>
          </cell>
          <cell r="H1162">
            <v>1</v>
          </cell>
          <cell r="I1162">
            <v>0</v>
          </cell>
          <cell r="J1162">
            <v>1</v>
          </cell>
          <cell r="K1162">
            <v>0</v>
          </cell>
          <cell r="L1162">
            <v>0</v>
          </cell>
          <cell r="M1162">
            <v>0</v>
          </cell>
          <cell r="N1162">
            <v>1</v>
          </cell>
          <cell r="O1162">
            <v>0</v>
          </cell>
          <cell r="P1162" t="str">
            <v>Sept.6,2019</v>
          </cell>
          <cell r="Q1162">
            <v>0</v>
          </cell>
          <cell r="R1162">
            <v>1</v>
          </cell>
          <cell r="S1162">
            <v>0</v>
          </cell>
          <cell r="T1162">
            <v>0</v>
          </cell>
          <cell r="U1162">
            <v>0</v>
          </cell>
          <cell r="V1162">
            <v>1</v>
          </cell>
          <cell r="W1162">
            <v>1</v>
          </cell>
          <cell r="X1162">
            <v>1</v>
          </cell>
          <cell r="Y1162">
            <v>1</v>
          </cell>
        </row>
        <row r="1163">
          <cell r="D1163">
            <v>300932</v>
          </cell>
          <cell r="E1163" t="str">
            <v>Sta. Ana NHS</v>
          </cell>
          <cell r="F1163">
            <v>1</v>
          </cell>
          <cell r="G1163">
            <v>0</v>
          </cell>
          <cell r="H1163">
            <v>1</v>
          </cell>
          <cell r="I1163">
            <v>0</v>
          </cell>
          <cell r="J1163">
            <v>0</v>
          </cell>
          <cell r="K1163">
            <v>1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1</v>
          </cell>
          <cell r="T1163">
            <v>0</v>
          </cell>
          <cell r="U1163">
            <v>0</v>
          </cell>
          <cell r="V1163">
            <v>1</v>
          </cell>
          <cell r="W1163">
            <v>10</v>
          </cell>
          <cell r="X1163">
            <v>10</v>
          </cell>
          <cell r="Y1163">
            <v>10</v>
          </cell>
        </row>
        <row r="1164">
          <cell r="D1164">
            <v>300809</v>
          </cell>
          <cell r="E1164" t="str">
            <v>Bartolome R Sangalang National High School</v>
          </cell>
          <cell r="F1164">
            <v>1</v>
          </cell>
          <cell r="G1164">
            <v>1</v>
          </cell>
          <cell r="H1164">
            <v>1</v>
          </cell>
          <cell r="I1164">
            <v>0</v>
          </cell>
          <cell r="J1164">
            <v>1</v>
          </cell>
          <cell r="K1164">
            <v>0</v>
          </cell>
          <cell r="L1164">
            <v>0</v>
          </cell>
          <cell r="M1164">
            <v>0</v>
          </cell>
          <cell r="N1164">
            <v>1</v>
          </cell>
          <cell r="O1164">
            <v>43679</v>
          </cell>
          <cell r="P1164" t="str">
            <v>07/20/19</v>
          </cell>
          <cell r="Q1164">
            <v>1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1</v>
          </cell>
          <cell r="W1164">
            <v>5</v>
          </cell>
          <cell r="X1164">
            <v>3</v>
          </cell>
          <cell r="Y1164">
            <v>3</v>
          </cell>
        </row>
        <row r="1165">
          <cell r="D1165">
            <v>300787</v>
          </cell>
          <cell r="E1165" t="str">
            <v>Fort Magsaysay NHS (formerly Barangay Militar HS)</v>
          </cell>
          <cell r="F1165">
            <v>1</v>
          </cell>
          <cell r="G1165">
            <v>0</v>
          </cell>
          <cell r="H1165">
            <v>1</v>
          </cell>
          <cell r="I1165">
            <v>1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 t="str">
            <v>N/A</v>
          </cell>
          <cell r="Q1165">
            <v>0</v>
          </cell>
          <cell r="R1165">
            <v>0</v>
          </cell>
          <cell r="S1165">
            <v>0</v>
          </cell>
          <cell r="T1165">
            <v>1</v>
          </cell>
          <cell r="U1165" t="str">
            <v>NOT AT ALL</v>
          </cell>
          <cell r="V1165">
            <v>0</v>
          </cell>
          <cell r="W1165">
            <v>1</v>
          </cell>
          <cell r="X1165">
            <v>0</v>
          </cell>
          <cell r="Y1165">
            <v>0</v>
          </cell>
        </row>
        <row r="1166">
          <cell r="D1166">
            <v>307004</v>
          </cell>
          <cell r="E1166" t="str">
            <v>Ventinilla HS</v>
          </cell>
          <cell r="F1166">
            <v>1</v>
          </cell>
          <cell r="G1166">
            <v>1</v>
          </cell>
          <cell r="H1166">
            <v>1</v>
          </cell>
          <cell r="I1166">
            <v>0</v>
          </cell>
          <cell r="J1166">
            <v>0</v>
          </cell>
          <cell r="K1166">
            <v>1</v>
          </cell>
          <cell r="L1166">
            <v>0</v>
          </cell>
          <cell r="M1166">
            <v>0</v>
          </cell>
          <cell r="N1166">
            <v>1</v>
          </cell>
          <cell r="O1166">
            <v>0</v>
          </cell>
          <cell r="P1166" t="str">
            <v>May 24, 2019</v>
          </cell>
          <cell r="Q1166">
            <v>0</v>
          </cell>
          <cell r="R1166">
            <v>0</v>
          </cell>
          <cell r="S1166">
            <v>1</v>
          </cell>
          <cell r="T1166">
            <v>0</v>
          </cell>
          <cell r="U1166">
            <v>0</v>
          </cell>
          <cell r="V1166">
            <v>1</v>
          </cell>
          <cell r="W1166">
            <v>0</v>
          </cell>
          <cell r="X1166">
            <v>0</v>
          </cell>
          <cell r="Y1166">
            <v>0</v>
          </cell>
        </row>
        <row r="1167">
          <cell r="D1167">
            <v>306723</v>
          </cell>
          <cell r="E1167" t="str">
            <v>San Miguel-Meysulao High School</v>
          </cell>
          <cell r="F1167">
            <v>1</v>
          </cell>
          <cell r="G1167">
            <v>0</v>
          </cell>
          <cell r="H1167">
            <v>1</v>
          </cell>
          <cell r="I1167">
            <v>0</v>
          </cell>
          <cell r="J1167">
            <v>1</v>
          </cell>
          <cell r="K1167">
            <v>0</v>
          </cell>
          <cell r="L1167">
            <v>0</v>
          </cell>
          <cell r="M1167">
            <v>0</v>
          </cell>
          <cell r="N1167">
            <v>1</v>
          </cell>
          <cell r="O1167">
            <v>0</v>
          </cell>
          <cell r="P1167">
            <v>43682</v>
          </cell>
          <cell r="Q1167">
            <v>0</v>
          </cell>
          <cell r="R1167">
            <v>1</v>
          </cell>
          <cell r="S1167">
            <v>0</v>
          </cell>
          <cell r="T1167">
            <v>0</v>
          </cell>
          <cell r="U1167">
            <v>0</v>
          </cell>
          <cell r="V1167">
            <v>1</v>
          </cell>
          <cell r="W1167">
            <v>0</v>
          </cell>
          <cell r="X1167">
            <v>0</v>
          </cell>
          <cell r="Y1167">
            <v>0</v>
          </cell>
        </row>
        <row r="1168">
          <cell r="D1168">
            <v>300716</v>
          </cell>
          <cell r="E1168" t="str">
            <v>P. Roman NHS</v>
          </cell>
          <cell r="F1168">
            <v>1</v>
          </cell>
          <cell r="G1168">
            <v>1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1</v>
          </cell>
          <cell r="O1168">
            <v>43770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2</v>
          </cell>
          <cell r="X1168">
            <v>1</v>
          </cell>
          <cell r="Y1168">
            <v>1</v>
          </cell>
        </row>
        <row r="1169">
          <cell r="D1169">
            <v>300943</v>
          </cell>
          <cell r="E1169" t="str">
            <v>Tinajero NHS - Sta. Lucia HS Annex</v>
          </cell>
          <cell r="F1169">
            <v>1</v>
          </cell>
          <cell r="G1169">
            <v>1</v>
          </cell>
          <cell r="H1169">
            <v>1</v>
          </cell>
          <cell r="I1169">
            <v>1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1</v>
          </cell>
          <cell r="O1169">
            <v>0</v>
          </cell>
          <cell r="P1169">
            <v>0</v>
          </cell>
          <cell r="Q1169">
            <v>0</v>
          </cell>
          <cell r="R1169">
            <v>1</v>
          </cell>
          <cell r="S1169">
            <v>0</v>
          </cell>
          <cell r="T1169">
            <v>0</v>
          </cell>
          <cell r="U1169">
            <v>0</v>
          </cell>
          <cell r="V1169">
            <v>1</v>
          </cell>
          <cell r="W1169">
            <v>0</v>
          </cell>
          <cell r="X1169">
            <v>0</v>
          </cell>
          <cell r="Y1169">
            <v>0</v>
          </cell>
        </row>
        <row r="1170">
          <cell r="D1170">
            <v>301025</v>
          </cell>
          <cell r="E1170" t="str">
            <v>Botolan National High School</v>
          </cell>
          <cell r="F1170">
            <v>1</v>
          </cell>
          <cell r="G1170">
            <v>1</v>
          </cell>
          <cell r="H1170">
            <v>1</v>
          </cell>
          <cell r="I1170">
            <v>0</v>
          </cell>
          <cell r="J1170">
            <v>1</v>
          </cell>
          <cell r="K1170">
            <v>0</v>
          </cell>
          <cell r="L1170">
            <v>0</v>
          </cell>
          <cell r="M1170">
            <v>0</v>
          </cell>
          <cell r="N1170">
            <v>1</v>
          </cell>
          <cell r="O1170">
            <v>43624</v>
          </cell>
          <cell r="P1170">
            <v>43622</v>
          </cell>
          <cell r="Q1170">
            <v>0</v>
          </cell>
          <cell r="R1170">
            <v>1</v>
          </cell>
          <cell r="S1170">
            <v>0</v>
          </cell>
          <cell r="T1170">
            <v>0</v>
          </cell>
          <cell r="U1170">
            <v>0</v>
          </cell>
          <cell r="V1170">
            <v>1</v>
          </cell>
          <cell r="W1170">
            <v>0</v>
          </cell>
          <cell r="X1170">
            <v>0</v>
          </cell>
          <cell r="Y1170">
            <v>0</v>
          </cell>
        </row>
        <row r="1171">
          <cell r="D1171">
            <v>306938</v>
          </cell>
          <cell r="E1171" t="str">
            <v>AYALA HIGH SCHOOL</v>
          </cell>
          <cell r="F1171">
            <v>1</v>
          </cell>
          <cell r="G1171">
            <v>1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1</v>
          </cell>
          <cell r="O1171" t="str">
            <v>JULY 26, 2018</v>
          </cell>
          <cell r="P1171" t="str">
            <v>N/A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</row>
        <row r="1172">
          <cell r="D1172">
            <v>300964</v>
          </cell>
          <cell r="E1172" t="str">
            <v>Estipona NHS</v>
          </cell>
          <cell r="F1172">
            <v>0</v>
          </cell>
          <cell r="G1172">
            <v>0</v>
          </cell>
          <cell r="H1172">
            <v>1</v>
          </cell>
          <cell r="I1172">
            <v>0</v>
          </cell>
          <cell r="J1172">
            <v>0</v>
          </cell>
          <cell r="K1172">
            <v>1</v>
          </cell>
          <cell r="L1172">
            <v>0</v>
          </cell>
          <cell r="M1172">
            <v>0</v>
          </cell>
          <cell r="N1172">
            <v>1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</row>
        <row r="1173">
          <cell r="D1173">
            <v>301004</v>
          </cell>
          <cell r="E1173" t="str">
            <v>Amungan National High School</v>
          </cell>
          <cell r="F1173">
            <v>1</v>
          </cell>
          <cell r="G1173">
            <v>1</v>
          </cell>
          <cell r="H1173">
            <v>1</v>
          </cell>
          <cell r="I1173">
            <v>0</v>
          </cell>
          <cell r="J1173">
            <v>1</v>
          </cell>
          <cell r="K1173">
            <v>0</v>
          </cell>
          <cell r="L1173">
            <v>0</v>
          </cell>
          <cell r="M1173">
            <v>0</v>
          </cell>
          <cell r="N1173">
            <v>1</v>
          </cell>
          <cell r="O1173" t="str">
            <v>JUNE 3, 2019</v>
          </cell>
          <cell r="P1173" t="str">
            <v>JULY 18, 2019</v>
          </cell>
          <cell r="Q1173">
            <v>0</v>
          </cell>
          <cell r="R1173">
            <v>1</v>
          </cell>
          <cell r="S1173">
            <v>0</v>
          </cell>
          <cell r="T1173">
            <v>0</v>
          </cell>
          <cell r="U1173">
            <v>0</v>
          </cell>
          <cell r="V1173">
            <v>1</v>
          </cell>
          <cell r="W1173">
            <v>0</v>
          </cell>
          <cell r="X1173">
            <v>0</v>
          </cell>
          <cell r="Y1173">
            <v>0</v>
          </cell>
        </row>
        <row r="1174">
          <cell r="D1174">
            <v>306501</v>
          </cell>
          <cell r="E1174" t="str">
            <v>Mariano D. Marquez Memorial NHS</v>
          </cell>
          <cell r="F1174">
            <v>1</v>
          </cell>
          <cell r="G1174">
            <v>0</v>
          </cell>
          <cell r="H1174">
            <v>1</v>
          </cell>
          <cell r="I1174">
            <v>0</v>
          </cell>
          <cell r="J1174">
            <v>1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43626</v>
          </cell>
          <cell r="Q1174">
            <v>0</v>
          </cell>
          <cell r="R1174">
            <v>1</v>
          </cell>
          <cell r="S1174">
            <v>0</v>
          </cell>
          <cell r="T1174">
            <v>0</v>
          </cell>
          <cell r="U1174">
            <v>0</v>
          </cell>
          <cell r="V1174">
            <v>1</v>
          </cell>
          <cell r="W1174">
            <v>0</v>
          </cell>
          <cell r="X1174">
            <v>0</v>
          </cell>
          <cell r="Y1174">
            <v>0</v>
          </cell>
        </row>
        <row r="1175">
          <cell r="D1175">
            <v>300875</v>
          </cell>
          <cell r="E1175" t="str">
            <v>Balitucan National High School</v>
          </cell>
          <cell r="F1175">
            <v>1</v>
          </cell>
          <cell r="G1175">
            <v>1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 t="str">
            <v>July 5, 2019</v>
          </cell>
          <cell r="P1175">
            <v>0</v>
          </cell>
          <cell r="Q1175">
            <v>0</v>
          </cell>
          <cell r="R1175">
            <v>1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</row>
        <row r="1176">
          <cell r="D1176">
            <v>300995</v>
          </cell>
          <cell r="E1176" t="str">
            <v>Tagumbao NHS</v>
          </cell>
          <cell r="F1176">
            <v>0</v>
          </cell>
          <cell r="G1176">
            <v>0</v>
          </cell>
          <cell r="H1176">
            <v>1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1</v>
          </cell>
          <cell r="O1176" t="str">
            <v>0/25/2019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</row>
        <row r="1177">
          <cell r="D1177">
            <v>300928</v>
          </cell>
          <cell r="E1177" t="str">
            <v>San Roque Dau NHS</v>
          </cell>
          <cell r="F1177">
            <v>1</v>
          </cell>
          <cell r="G1177">
            <v>0</v>
          </cell>
          <cell r="H1177">
            <v>1</v>
          </cell>
          <cell r="I1177">
            <v>0</v>
          </cell>
          <cell r="J1177">
            <v>1</v>
          </cell>
          <cell r="K1177">
            <v>0</v>
          </cell>
          <cell r="L1177">
            <v>0</v>
          </cell>
          <cell r="M1177">
            <v>0</v>
          </cell>
          <cell r="N1177">
            <v>1</v>
          </cell>
          <cell r="O1177">
            <v>0</v>
          </cell>
          <cell r="P1177">
            <v>0</v>
          </cell>
          <cell r="Q1177">
            <v>0</v>
          </cell>
          <cell r="R1177">
            <v>1</v>
          </cell>
          <cell r="S1177">
            <v>0</v>
          </cell>
          <cell r="T1177">
            <v>0</v>
          </cell>
          <cell r="U1177">
            <v>0</v>
          </cell>
          <cell r="V1177">
            <v>1</v>
          </cell>
          <cell r="W1177">
            <v>0</v>
          </cell>
          <cell r="X1177">
            <v>0</v>
          </cell>
          <cell r="Y1177">
            <v>0</v>
          </cell>
        </row>
        <row r="1178">
          <cell r="D1178">
            <v>345224</v>
          </cell>
          <cell r="E1178" t="str">
            <v>Mabayuan Senior High School Stand Alone 2</v>
          </cell>
          <cell r="F1178">
            <v>1</v>
          </cell>
          <cell r="G1178">
            <v>1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</row>
        <row r="1179">
          <cell r="D1179">
            <v>307502</v>
          </cell>
          <cell r="E1179" t="str">
            <v>Kakawate National HS</v>
          </cell>
          <cell r="F1179">
            <v>1</v>
          </cell>
          <cell r="G1179">
            <v>1</v>
          </cell>
          <cell r="H1179">
            <v>1</v>
          </cell>
          <cell r="I1179">
            <v>0</v>
          </cell>
          <cell r="J1179">
            <v>1</v>
          </cell>
          <cell r="K1179">
            <v>0</v>
          </cell>
          <cell r="L1179">
            <v>0</v>
          </cell>
          <cell r="M1179">
            <v>0</v>
          </cell>
          <cell r="N1179">
            <v>1</v>
          </cell>
          <cell r="O1179">
            <v>0</v>
          </cell>
          <cell r="P1179">
            <v>43619</v>
          </cell>
          <cell r="Q1179">
            <v>1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1</v>
          </cell>
          <cell r="W1179">
            <v>25</v>
          </cell>
          <cell r="X1179">
            <v>25</v>
          </cell>
          <cell r="Y1179">
            <v>25</v>
          </cell>
        </row>
        <row r="1180">
          <cell r="D1180">
            <v>300957</v>
          </cell>
          <cell r="E1180" t="str">
            <v>Caluluan HS</v>
          </cell>
          <cell r="F1180">
            <v>1</v>
          </cell>
          <cell r="G1180">
            <v>0</v>
          </cell>
          <cell r="H1180">
            <v>1</v>
          </cell>
          <cell r="I1180">
            <v>0</v>
          </cell>
          <cell r="J1180">
            <v>1</v>
          </cell>
          <cell r="K1180">
            <v>0</v>
          </cell>
          <cell r="L1180">
            <v>0</v>
          </cell>
          <cell r="M1180">
            <v>0</v>
          </cell>
          <cell r="N1180">
            <v>1</v>
          </cell>
          <cell r="O1180">
            <v>0</v>
          </cell>
          <cell r="P1180">
            <v>43652</v>
          </cell>
          <cell r="Q1180">
            <v>0</v>
          </cell>
          <cell r="R1180">
            <v>1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</row>
        <row r="1181">
          <cell r="D1181">
            <v>300884</v>
          </cell>
          <cell r="E1181" t="str">
            <v>Camba NHS</v>
          </cell>
          <cell r="F1181">
            <v>1</v>
          </cell>
          <cell r="G1181">
            <v>1</v>
          </cell>
          <cell r="H1181">
            <v>1</v>
          </cell>
          <cell r="I1181">
            <v>0</v>
          </cell>
          <cell r="J1181">
            <v>0</v>
          </cell>
          <cell r="K1181">
            <v>1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</row>
        <row r="1182">
          <cell r="D1182">
            <v>300912</v>
          </cell>
          <cell r="E1182" t="str">
            <v>Remedios NHS</v>
          </cell>
          <cell r="F1182">
            <v>1</v>
          </cell>
          <cell r="G1182">
            <v>1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</row>
        <row r="1183">
          <cell r="D1183">
            <v>306926</v>
          </cell>
          <cell r="E1183" t="str">
            <v>Malauli High School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</row>
        <row r="1184">
          <cell r="D1184">
            <v>306809</v>
          </cell>
          <cell r="E1184" t="str">
            <v>LEONOR M. BAUTISTA HS (Pias Campus Annex)</v>
          </cell>
          <cell r="F1184">
            <v>1</v>
          </cell>
          <cell r="G1184">
            <v>1</v>
          </cell>
          <cell r="H1184">
            <v>1</v>
          </cell>
          <cell r="I1184">
            <v>1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1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1</v>
          </cell>
          <cell r="U1184">
            <v>0</v>
          </cell>
          <cell r="V1184">
            <v>1</v>
          </cell>
          <cell r="W1184">
            <v>0</v>
          </cell>
          <cell r="X1184">
            <v>0</v>
          </cell>
          <cell r="Y1184">
            <v>0</v>
          </cell>
        </row>
        <row r="1185">
          <cell r="D1185">
            <v>300947</v>
          </cell>
          <cell r="E1185" t="str">
            <v>Aringin NHS</v>
          </cell>
          <cell r="F1185">
            <v>1</v>
          </cell>
          <cell r="G1185">
            <v>0</v>
          </cell>
          <cell r="H1185">
            <v>1</v>
          </cell>
          <cell r="I1185">
            <v>0</v>
          </cell>
          <cell r="J1185">
            <v>1</v>
          </cell>
          <cell r="K1185">
            <v>0</v>
          </cell>
          <cell r="L1185">
            <v>0</v>
          </cell>
          <cell r="M1185">
            <v>0</v>
          </cell>
          <cell r="N1185">
            <v>1</v>
          </cell>
          <cell r="O1185">
            <v>43623</v>
          </cell>
          <cell r="P1185">
            <v>43739</v>
          </cell>
          <cell r="Q1185">
            <v>0</v>
          </cell>
          <cell r="R1185">
            <v>1</v>
          </cell>
          <cell r="S1185">
            <v>0</v>
          </cell>
          <cell r="T1185">
            <v>0</v>
          </cell>
          <cell r="U1185">
            <v>0</v>
          </cell>
          <cell r="V1185">
            <v>1</v>
          </cell>
          <cell r="W1185">
            <v>0</v>
          </cell>
          <cell r="X1185">
            <v>0</v>
          </cell>
          <cell r="Y1185">
            <v>0</v>
          </cell>
        </row>
        <row r="1186">
          <cell r="D1186">
            <v>301057</v>
          </cell>
          <cell r="E1186" t="str">
            <v>New Cabalan National High School</v>
          </cell>
          <cell r="F1186">
            <v>0</v>
          </cell>
          <cell r="G1186">
            <v>0</v>
          </cell>
          <cell r="H1186">
            <v>1</v>
          </cell>
          <cell r="I1186">
            <v>0</v>
          </cell>
          <cell r="J1186">
            <v>1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</row>
        <row r="1187">
          <cell r="D1187">
            <v>361079</v>
          </cell>
          <cell r="E1187" t="str">
            <v>SHS within Tapinac ES</v>
          </cell>
          <cell r="F1187">
            <v>1</v>
          </cell>
          <cell r="G1187">
            <v>1</v>
          </cell>
          <cell r="H1187">
            <v>1</v>
          </cell>
          <cell r="I1187">
            <v>0</v>
          </cell>
          <cell r="J1187">
            <v>1</v>
          </cell>
          <cell r="K1187">
            <v>0</v>
          </cell>
          <cell r="L1187">
            <v>0</v>
          </cell>
          <cell r="M1187">
            <v>0</v>
          </cell>
          <cell r="N1187">
            <v>1</v>
          </cell>
          <cell r="O1187">
            <v>43282</v>
          </cell>
          <cell r="P1187">
            <v>0</v>
          </cell>
          <cell r="Q1187">
            <v>0</v>
          </cell>
          <cell r="R1187">
            <v>1</v>
          </cell>
          <cell r="S1187">
            <v>0</v>
          </cell>
          <cell r="T1187">
            <v>0</v>
          </cell>
          <cell r="U1187">
            <v>0</v>
          </cell>
          <cell r="V1187">
            <v>1</v>
          </cell>
          <cell r="W1187">
            <v>2</v>
          </cell>
          <cell r="X1187">
            <v>1</v>
          </cell>
          <cell r="Y1187">
            <v>1</v>
          </cell>
        </row>
        <row r="1188">
          <cell r="D1188">
            <v>300933</v>
          </cell>
          <cell r="E1188" t="str">
            <v>Masantol HS (Sta. Lucia NHS, Masantol)</v>
          </cell>
          <cell r="F1188">
            <v>1</v>
          </cell>
          <cell r="G1188">
            <v>1</v>
          </cell>
          <cell r="H1188">
            <v>1</v>
          </cell>
          <cell r="I1188">
            <v>0</v>
          </cell>
          <cell r="J1188">
            <v>1</v>
          </cell>
          <cell r="K1188">
            <v>0</v>
          </cell>
          <cell r="L1188">
            <v>0</v>
          </cell>
          <cell r="M1188">
            <v>0</v>
          </cell>
          <cell r="N1188">
            <v>1</v>
          </cell>
          <cell r="O1188">
            <v>43658</v>
          </cell>
          <cell r="P1188">
            <v>43665</v>
          </cell>
          <cell r="Q1188">
            <v>1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1</v>
          </cell>
          <cell r="W1188">
            <v>0</v>
          </cell>
          <cell r="X1188">
            <v>0</v>
          </cell>
          <cell r="Y1188">
            <v>0</v>
          </cell>
        </row>
        <row r="1189">
          <cell r="D1189">
            <v>300944</v>
          </cell>
          <cell r="E1189" t="str">
            <v>Alvindia-Aguso High School</v>
          </cell>
          <cell r="F1189">
            <v>1</v>
          </cell>
          <cell r="G1189">
            <v>1</v>
          </cell>
          <cell r="H1189">
            <v>1</v>
          </cell>
          <cell r="I1189">
            <v>0</v>
          </cell>
          <cell r="J1189">
            <v>1</v>
          </cell>
          <cell r="K1189">
            <v>0</v>
          </cell>
          <cell r="L1189">
            <v>0</v>
          </cell>
          <cell r="M1189">
            <v>0</v>
          </cell>
          <cell r="N1189">
            <v>1</v>
          </cell>
          <cell r="O1189">
            <v>43663</v>
          </cell>
          <cell r="P1189">
            <v>43663</v>
          </cell>
          <cell r="Q1189">
            <v>0</v>
          </cell>
          <cell r="R1189">
            <v>0</v>
          </cell>
          <cell r="S1189">
            <v>1</v>
          </cell>
          <cell r="T1189">
            <v>0</v>
          </cell>
          <cell r="U1189">
            <v>0</v>
          </cell>
          <cell r="V1189">
            <v>1</v>
          </cell>
          <cell r="W1189">
            <v>2</v>
          </cell>
          <cell r="X1189">
            <v>2</v>
          </cell>
          <cell r="Y1189">
            <v>2</v>
          </cell>
        </row>
        <row r="1190">
          <cell r="D1190">
            <v>345223</v>
          </cell>
          <cell r="E1190" t="str">
            <v>SHS within Barretto 1 ES</v>
          </cell>
          <cell r="F1190">
            <v>1</v>
          </cell>
          <cell r="G1190">
            <v>1</v>
          </cell>
          <cell r="H1190">
            <v>1</v>
          </cell>
          <cell r="I1190">
            <v>0</v>
          </cell>
          <cell r="J1190">
            <v>1</v>
          </cell>
          <cell r="K1190">
            <v>0</v>
          </cell>
          <cell r="L1190">
            <v>0</v>
          </cell>
          <cell r="M1190">
            <v>0</v>
          </cell>
          <cell r="N1190">
            <v>1</v>
          </cell>
          <cell r="O1190">
            <v>43688</v>
          </cell>
          <cell r="P1190">
            <v>43688</v>
          </cell>
          <cell r="Q1190">
            <v>1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1</v>
          </cell>
          <cell r="W1190">
            <v>0</v>
          </cell>
          <cell r="X1190">
            <v>0</v>
          </cell>
          <cell r="Y1190">
            <v>0</v>
          </cell>
        </row>
        <row r="1191">
          <cell r="D1191">
            <v>301058</v>
          </cell>
          <cell r="E1191" t="str">
            <v>Regional Science High School</v>
          </cell>
          <cell r="F1191">
            <v>1</v>
          </cell>
          <cell r="G1191">
            <v>1</v>
          </cell>
          <cell r="H1191">
            <v>1</v>
          </cell>
          <cell r="I1191">
            <v>0</v>
          </cell>
          <cell r="J1191">
            <v>1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 t="str">
            <v>07/30/2019</v>
          </cell>
          <cell r="P1191" t="str">
            <v>07/30/2019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</row>
        <row r="1192">
          <cell r="D1192">
            <v>301056</v>
          </cell>
          <cell r="E1192" t="str">
            <v>Kalalake NHS</v>
          </cell>
          <cell r="F1192">
            <v>1</v>
          </cell>
          <cell r="G1192">
            <v>1</v>
          </cell>
          <cell r="H1192">
            <v>1</v>
          </cell>
          <cell r="I1192">
            <v>0</v>
          </cell>
          <cell r="J1192">
            <v>1</v>
          </cell>
          <cell r="K1192">
            <v>0</v>
          </cell>
          <cell r="L1192">
            <v>0</v>
          </cell>
          <cell r="M1192">
            <v>0</v>
          </cell>
          <cell r="N1192">
            <v>1</v>
          </cell>
          <cell r="O1192" t="str">
            <v>07/30/2019</v>
          </cell>
          <cell r="P1192" t="str">
            <v>07/30/2019</v>
          </cell>
          <cell r="Q1192">
            <v>0</v>
          </cell>
          <cell r="R1192">
            <v>1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1</v>
          </cell>
          <cell r="X1192">
            <v>1</v>
          </cell>
          <cell r="Y1192">
            <v>1</v>
          </cell>
        </row>
        <row r="1193">
          <cell r="D1193">
            <v>306726</v>
          </cell>
          <cell r="E1193" t="str">
            <v>Sta. Cruz  High School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</row>
        <row r="1194">
          <cell r="D1194">
            <v>300679</v>
          </cell>
          <cell r="E1194" t="str">
            <v>Canili Area NHS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</row>
        <row r="1195">
          <cell r="D1195">
            <v>500137</v>
          </cell>
          <cell r="E1195" t="str">
            <v>Nuestra Senora Del Pilar IS</v>
          </cell>
          <cell r="F1195">
            <v>1</v>
          </cell>
          <cell r="G1195">
            <v>1</v>
          </cell>
          <cell r="H1195">
            <v>1</v>
          </cell>
          <cell r="I1195">
            <v>0</v>
          </cell>
          <cell r="J1195">
            <v>0</v>
          </cell>
          <cell r="K1195">
            <v>1</v>
          </cell>
          <cell r="L1195">
            <v>1</v>
          </cell>
          <cell r="M1195">
            <v>0</v>
          </cell>
          <cell r="N1195">
            <v>1</v>
          </cell>
          <cell r="O1195">
            <v>0</v>
          </cell>
          <cell r="P1195">
            <v>43623</v>
          </cell>
          <cell r="Q1195">
            <v>0</v>
          </cell>
          <cell r="R1195">
            <v>1</v>
          </cell>
          <cell r="S1195">
            <v>0</v>
          </cell>
          <cell r="T1195">
            <v>0</v>
          </cell>
          <cell r="U1195">
            <v>0</v>
          </cell>
          <cell r="V1195">
            <v>1</v>
          </cell>
          <cell r="W1195">
            <v>2</v>
          </cell>
          <cell r="X1195">
            <v>0</v>
          </cell>
          <cell r="Y1195">
            <v>0</v>
          </cell>
        </row>
        <row r="1196">
          <cell r="D1196">
            <v>300706</v>
          </cell>
          <cell r="E1196" t="str">
            <v>Lamao NHS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</row>
        <row r="1197">
          <cell r="D1197">
            <v>301064</v>
          </cell>
          <cell r="E1197" t="str">
            <v>Pampanga High School</v>
          </cell>
          <cell r="F1197">
            <v>0</v>
          </cell>
          <cell r="G1197">
            <v>0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L1197">
            <v>1</v>
          </cell>
          <cell r="M1197" t="str">
            <v>if needed</v>
          </cell>
          <cell r="N1197">
            <v>0</v>
          </cell>
          <cell r="O1197">
            <v>0</v>
          </cell>
          <cell r="P1197">
            <v>43313</v>
          </cell>
          <cell r="Q1197">
            <v>0</v>
          </cell>
          <cell r="R1197">
            <v>0</v>
          </cell>
          <cell r="S1197">
            <v>0</v>
          </cell>
          <cell r="T1197">
            <v>1</v>
          </cell>
          <cell r="U1197" t="str">
            <v>as needed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</row>
        <row r="1198">
          <cell r="D1198">
            <v>300894</v>
          </cell>
          <cell r="E1198" t="str">
            <v>Lubao NHS (Lubao Vocational School)</v>
          </cell>
          <cell r="F1198">
            <v>1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</row>
        <row r="1199">
          <cell r="D1199">
            <v>500144</v>
          </cell>
          <cell r="E1199" t="str">
            <v>Telabastagan IS</v>
          </cell>
          <cell r="F1199">
            <v>1</v>
          </cell>
          <cell r="G1199">
            <v>1</v>
          </cell>
          <cell r="H1199">
            <v>1</v>
          </cell>
          <cell r="I1199">
            <v>0</v>
          </cell>
          <cell r="J1199">
            <v>1</v>
          </cell>
          <cell r="K1199">
            <v>0</v>
          </cell>
          <cell r="L1199">
            <v>0</v>
          </cell>
          <cell r="M1199">
            <v>0</v>
          </cell>
          <cell r="N1199">
            <v>1</v>
          </cell>
          <cell r="O1199">
            <v>0</v>
          </cell>
          <cell r="P1199">
            <v>43727</v>
          </cell>
          <cell r="Q1199">
            <v>0</v>
          </cell>
          <cell r="R1199">
            <v>1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5</v>
          </cell>
          <cell r="X1199">
            <v>5</v>
          </cell>
          <cell r="Y1199">
            <v>0</v>
          </cell>
        </row>
        <row r="1200">
          <cell r="D1200">
            <v>306601</v>
          </cell>
          <cell r="E1200" t="str">
            <v>Justice E.A.Gancayco MHS</v>
          </cell>
          <cell r="F1200">
            <v>1</v>
          </cell>
          <cell r="G1200">
            <v>1</v>
          </cell>
          <cell r="H1200">
            <v>1</v>
          </cell>
          <cell r="I1200">
            <v>0</v>
          </cell>
          <cell r="J1200">
            <v>0</v>
          </cell>
          <cell r="K1200">
            <v>1</v>
          </cell>
          <cell r="L1200">
            <v>0</v>
          </cell>
          <cell r="M1200">
            <v>0</v>
          </cell>
          <cell r="N1200">
            <v>1</v>
          </cell>
          <cell r="O1200">
            <v>0</v>
          </cell>
          <cell r="P1200">
            <v>0</v>
          </cell>
          <cell r="Q1200">
            <v>1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1</v>
          </cell>
          <cell r="W1200">
            <v>0</v>
          </cell>
          <cell r="X1200">
            <v>2</v>
          </cell>
          <cell r="Y1200">
            <v>0</v>
          </cell>
        </row>
        <row r="1201">
          <cell r="D1201">
            <v>301048</v>
          </cell>
          <cell r="E1201" t="str">
            <v>San Josef National High School</v>
          </cell>
          <cell r="F1201">
            <v>1</v>
          </cell>
          <cell r="G1201">
            <v>1</v>
          </cell>
          <cell r="H1201">
            <v>1</v>
          </cell>
          <cell r="I1201">
            <v>0</v>
          </cell>
          <cell r="J1201">
            <v>1</v>
          </cell>
          <cell r="K1201">
            <v>0</v>
          </cell>
          <cell r="L1201">
            <v>0</v>
          </cell>
          <cell r="M1201">
            <v>0</v>
          </cell>
          <cell r="N1201">
            <v>1</v>
          </cell>
          <cell r="O1201" t="str">
            <v>May,2019</v>
          </cell>
          <cell r="P1201">
            <v>0</v>
          </cell>
          <cell r="Q1201">
            <v>1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1</v>
          </cell>
          <cell r="W1201">
            <v>0</v>
          </cell>
          <cell r="X1201">
            <v>0</v>
          </cell>
          <cell r="Y1201">
            <v>0</v>
          </cell>
        </row>
        <row r="1202">
          <cell r="D1202">
            <v>300702</v>
          </cell>
          <cell r="E1202" t="str">
            <v>Bataan National High School</v>
          </cell>
          <cell r="F1202">
            <v>1</v>
          </cell>
          <cell r="G1202">
            <v>1</v>
          </cell>
          <cell r="H1202">
            <v>1</v>
          </cell>
          <cell r="I1202">
            <v>0</v>
          </cell>
          <cell r="J1202">
            <v>0</v>
          </cell>
          <cell r="K1202">
            <v>0</v>
          </cell>
          <cell r="L1202">
            <v>1</v>
          </cell>
          <cell r="M1202" t="str">
            <v>FREQUENTLY AS NEEDED</v>
          </cell>
          <cell r="N1202">
            <v>1</v>
          </cell>
          <cell r="O1202">
            <v>43735</v>
          </cell>
          <cell r="P1202">
            <v>43729</v>
          </cell>
          <cell r="Q1202">
            <v>1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1</v>
          </cell>
          <cell r="W1202">
            <v>7</v>
          </cell>
          <cell r="X1202">
            <v>3</v>
          </cell>
          <cell r="Y1202">
            <v>3</v>
          </cell>
        </row>
        <row r="1203">
          <cell r="D1203">
            <v>321402</v>
          </cell>
          <cell r="E1203" t="str">
            <v>Baras Baras HS</v>
          </cell>
          <cell r="F1203">
            <v>1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1</v>
          </cell>
          <cell r="X1203">
            <v>1</v>
          </cell>
          <cell r="Y1203">
            <v>1</v>
          </cell>
        </row>
        <row r="1204">
          <cell r="D1204">
            <v>300692</v>
          </cell>
          <cell r="E1204" t="str">
            <v>Manggitahan NHS</v>
          </cell>
          <cell r="F1204">
            <v>1</v>
          </cell>
          <cell r="G1204">
            <v>0</v>
          </cell>
          <cell r="H1204">
            <v>1</v>
          </cell>
          <cell r="I1204">
            <v>0</v>
          </cell>
          <cell r="J1204">
            <v>0</v>
          </cell>
          <cell r="K1204">
            <v>1</v>
          </cell>
          <cell r="L1204">
            <v>0</v>
          </cell>
          <cell r="M1204">
            <v>0</v>
          </cell>
          <cell r="N1204">
            <v>1</v>
          </cell>
          <cell r="O1204">
            <v>0</v>
          </cell>
          <cell r="P1204">
            <v>0</v>
          </cell>
          <cell r="Q1204">
            <v>1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1</v>
          </cell>
          <cell r="W1204">
            <v>0</v>
          </cell>
          <cell r="X1204">
            <v>0</v>
          </cell>
          <cell r="Y1204">
            <v>0</v>
          </cell>
        </row>
        <row r="1205">
          <cell r="D1205">
            <v>300673</v>
          </cell>
          <cell r="E1205" t="str">
            <v>Aurora NHS</v>
          </cell>
          <cell r="F1205">
            <v>1</v>
          </cell>
          <cell r="G1205">
            <v>0</v>
          </cell>
          <cell r="H1205">
            <v>1</v>
          </cell>
          <cell r="I1205">
            <v>0</v>
          </cell>
          <cell r="J1205">
            <v>1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 t="str">
            <v>October 30, 2019</v>
          </cell>
          <cell r="Q1205">
            <v>0</v>
          </cell>
          <cell r="R1205">
            <v>1</v>
          </cell>
          <cell r="S1205">
            <v>0</v>
          </cell>
          <cell r="T1205">
            <v>0</v>
          </cell>
          <cell r="U1205">
            <v>0</v>
          </cell>
          <cell r="V1205">
            <v>1</v>
          </cell>
          <cell r="W1205">
            <v>0</v>
          </cell>
          <cell r="X1205">
            <v>0</v>
          </cell>
          <cell r="Y1205">
            <v>0</v>
          </cell>
        </row>
        <row r="1206">
          <cell r="D1206">
            <v>300705</v>
          </cell>
          <cell r="E1206" t="str">
            <v>Hermosa NHS</v>
          </cell>
          <cell r="F1206">
            <v>1</v>
          </cell>
          <cell r="G1206">
            <v>1</v>
          </cell>
          <cell r="H1206">
            <v>1</v>
          </cell>
          <cell r="I1206">
            <v>0</v>
          </cell>
          <cell r="J1206">
            <v>1</v>
          </cell>
          <cell r="K1206">
            <v>0</v>
          </cell>
          <cell r="L1206">
            <v>0</v>
          </cell>
          <cell r="M1206">
            <v>0</v>
          </cell>
          <cell r="N1206">
            <v>1</v>
          </cell>
          <cell r="O1206">
            <v>43671</v>
          </cell>
          <cell r="P1206">
            <v>43661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1</v>
          </cell>
          <cell r="W1206">
            <v>4</v>
          </cell>
          <cell r="X1206">
            <v>4</v>
          </cell>
          <cell r="Y1206">
            <v>2</v>
          </cell>
        </row>
        <row r="1207">
          <cell r="D1207">
            <v>300970</v>
          </cell>
          <cell r="E1207" t="str">
            <v>Maliwalo NHS</v>
          </cell>
          <cell r="F1207">
            <v>1</v>
          </cell>
          <cell r="G1207">
            <v>0</v>
          </cell>
          <cell r="H1207">
            <v>1</v>
          </cell>
          <cell r="I1207">
            <v>0</v>
          </cell>
          <cell r="J1207">
            <v>0</v>
          </cell>
          <cell r="K1207">
            <v>0</v>
          </cell>
          <cell r="L1207">
            <v>1</v>
          </cell>
          <cell r="M1207" t="str">
            <v>AS THE NEEDARISES</v>
          </cell>
          <cell r="N1207">
            <v>0</v>
          </cell>
          <cell r="O1207" t="str">
            <v>JULY 2019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1</v>
          </cell>
          <cell r="U1207" t="str">
            <v>AS THE NEEDARISES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</row>
        <row r="1208">
          <cell r="D1208">
            <v>306945</v>
          </cell>
          <cell r="E1208" t="str">
            <v>Telesforo Natividad NHS</v>
          </cell>
          <cell r="F1208">
            <v>1</v>
          </cell>
          <cell r="G1208">
            <v>0</v>
          </cell>
          <cell r="H1208">
            <v>1</v>
          </cell>
          <cell r="I1208">
            <v>0</v>
          </cell>
          <cell r="J1208">
            <v>0</v>
          </cell>
          <cell r="K1208">
            <v>1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1</v>
          </cell>
          <cell r="S1208">
            <v>0</v>
          </cell>
          <cell r="T1208">
            <v>0</v>
          </cell>
          <cell r="U1208">
            <v>0</v>
          </cell>
          <cell r="V1208">
            <v>1</v>
          </cell>
          <cell r="W1208">
            <v>0</v>
          </cell>
          <cell r="X1208">
            <v>0</v>
          </cell>
          <cell r="Y1208">
            <v>0</v>
          </cell>
        </row>
        <row r="1209">
          <cell r="D1209">
            <v>300978</v>
          </cell>
          <cell r="E1209" t="str">
            <v>Padapada NHS</v>
          </cell>
          <cell r="F1209">
            <v>1</v>
          </cell>
          <cell r="G1209">
            <v>0</v>
          </cell>
          <cell r="H1209">
            <v>1</v>
          </cell>
          <cell r="I1209">
            <v>0</v>
          </cell>
          <cell r="J1209">
            <v>1</v>
          </cell>
          <cell r="K1209">
            <v>0</v>
          </cell>
          <cell r="L1209">
            <v>0</v>
          </cell>
          <cell r="M1209">
            <v>0</v>
          </cell>
          <cell r="N1209">
            <v>1</v>
          </cell>
          <cell r="O1209">
            <v>43616</v>
          </cell>
          <cell r="P1209">
            <v>43616</v>
          </cell>
          <cell r="Q1209">
            <v>1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1</v>
          </cell>
          <cell r="W1209">
            <v>1</v>
          </cell>
          <cell r="X1209">
            <v>1</v>
          </cell>
          <cell r="Y1209">
            <v>1</v>
          </cell>
        </row>
        <row r="1210">
          <cell r="D1210">
            <v>500389</v>
          </cell>
          <cell r="E1210" t="str">
            <v>Balibago Primero IS</v>
          </cell>
          <cell r="F1210">
            <v>1</v>
          </cell>
          <cell r="G1210">
            <v>1</v>
          </cell>
          <cell r="H1210">
            <v>1</v>
          </cell>
          <cell r="I1210">
            <v>0</v>
          </cell>
          <cell r="J1210">
            <v>1</v>
          </cell>
          <cell r="K1210">
            <v>0</v>
          </cell>
          <cell r="L1210">
            <v>0</v>
          </cell>
          <cell r="M1210">
            <v>0</v>
          </cell>
          <cell r="N1210">
            <v>1</v>
          </cell>
          <cell r="O1210" t="str">
            <v>05/23/2019</v>
          </cell>
          <cell r="P1210" t="str">
            <v>07/17/2019</v>
          </cell>
          <cell r="Q1210">
            <v>0</v>
          </cell>
          <cell r="R1210">
            <v>1</v>
          </cell>
          <cell r="S1210">
            <v>0</v>
          </cell>
          <cell r="T1210">
            <v>0</v>
          </cell>
          <cell r="U1210">
            <v>0</v>
          </cell>
          <cell r="V1210">
            <v>1</v>
          </cell>
          <cell r="W1210">
            <v>4</v>
          </cell>
          <cell r="X1210">
            <v>1</v>
          </cell>
          <cell r="Y1210">
            <v>1</v>
          </cell>
        </row>
        <row r="1211">
          <cell r="D1211">
            <v>300899</v>
          </cell>
          <cell r="E1211" t="str">
            <v>Mapaniqui NHS</v>
          </cell>
          <cell r="F1211">
            <v>1</v>
          </cell>
          <cell r="G1211">
            <v>1</v>
          </cell>
          <cell r="H1211">
            <v>1</v>
          </cell>
          <cell r="I1211">
            <v>0</v>
          </cell>
          <cell r="J1211">
            <v>1</v>
          </cell>
          <cell r="K1211">
            <v>0</v>
          </cell>
          <cell r="L1211">
            <v>0</v>
          </cell>
          <cell r="M1211">
            <v>0</v>
          </cell>
          <cell r="N1211">
            <v>1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1</v>
          </cell>
          <cell r="T1211">
            <v>0</v>
          </cell>
          <cell r="U1211">
            <v>0</v>
          </cell>
          <cell r="V1211">
            <v>1</v>
          </cell>
          <cell r="W1211">
            <v>0</v>
          </cell>
          <cell r="X1211">
            <v>0</v>
          </cell>
          <cell r="Y1211">
            <v>0</v>
          </cell>
        </row>
        <row r="1212">
          <cell r="D1212">
            <v>306924</v>
          </cell>
          <cell r="E1212" t="str">
            <v>Gerry Rodriguez HS</v>
          </cell>
          <cell r="F1212">
            <v>1</v>
          </cell>
          <cell r="G1212">
            <v>0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1</v>
          </cell>
          <cell r="O1212">
            <v>0</v>
          </cell>
          <cell r="P1212">
            <v>0</v>
          </cell>
          <cell r="Q1212">
            <v>1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1</v>
          </cell>
          <cell r="W1212">
            <v>0</v>
          </cell>
          <cell r="X1212">
            <v>0</v>
          </cell>
          <cell r="Y1212">
            <v>0</v>
          </cell>
        </row>
        <row r="1213">
          <cell r="D1213">
            <v>300750</v>
          </cell>
          <cell r="E1213" t="str">
            <v>Malolos Marine Fishery School &amp; Laboratory</v>
          </cell>
          <cell r="F1213">
            <v>1</v>
          </cell>
          <cell r="G1213">
            <v>1</v>
          </cell>
          <cell r="H1213">
            <v>1</v>
          </cell>
          <cell r="I1213">
            <v>0</v>
          </cell>
          <cell r="J1213">
            <v>1</v>
          </cell>
          <cell r="K1213">
            <v>0</v>
          </cell>
          <cell r="L1213">
            <v>0</v>
          </cell>
          <cell r="M1213">
            <v>0</v>
          </cell>
          <cell r="N1213">
            <v>1</v>
          </cell>
          <cell r="O1213">
            <v>43678</v>
          </cell>
          <cell r="P1213">
            <v>0</v>
          </cell>
          <cell r="Q1213">
            <v>0</v>
          </cell>
          <cell r="R1213">
            <v>1</v>
          </cell>
          <cell r="S1213">
            <v>0</v>
          </cell>
          <cell r="T1213">
            <v>0</v>
          </cell>
          <cell r="U1213">
            <v>0</v>
          </cell>
          <cell r="V1213">
            <v>1</v>
          </cell>
          <cell r="W1213">
            <v>0</v>
          </cell>
          <cell r="X1213">
            <v>0</v>
          </cell>
          <cell r="Y1213">
            <v>0</v>
          </cell>
        </row>
        <row r="1214">
          <cell r="D1214">
            <v>323601</v>
          </cell>
          <cell r="E1214" t="str">
            <v>Bulihan NHS</v>
          </cell>
          <cell r="F1214">
            <v>1</v>
          </cell>
          <cell r="G1214">
            <v>1</v>
          </cell>
          <cell r="H1214">
            <v>1</v>
          </cell>
          <cell r="I1214">
            <v>0</v>
          </cell>
          <cell r="J1214">
            <v>1</v>
          </cell>
          <cell r="K1214">
            <v>0</v>
          </cell>
          <cell r="L1214">
            <v>0</v>
          </cell>
          <cell r="M1214">
            <v>0</v>
          </cell>
          <cell r="N1214">
            <v>1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1</v>
          </cell>
          <cell r="W1214">
            <v>0</v>
          </cell>
          <cell r="X1214">
            <v>0</v>
          </cell>
          <cell r="Y1214">
            <v>0</v>
          </cell>
        </row>
        <row r="1215">
          <cell r="D1215">
            <v>300903</v>
          </cell>
          <cell r="E1215" t="str">
            <v>Pulungmasle NHS (Natividad NHS - PulungMasle HS Annex)</v>
          </cell>
          <cell r="F1215">
            <v>1</v>
          </cell>
          <cell r="G1215">
            <v>0</v>
          </cell>
          <cell r="H1215">
            <v>1</v>
          </cell>
          <cell r="I1215">
            <v>0</v>
          </cell>
          <cell r="J1215">
            <v>1</v>
          </cell>
          <cell r="K1215">
            <v>0</v>
          </cell>
          <cell r="L1215">
            <v>0</v>
          </cell>
          <cell r="M1215">
            <v>0</v>
          </cell>
          <cell r="N1215">
            <v>1</v>
          </cell>
          <cell r="O1215">
            <v>43103</v>
          </cell>
          <cell r="P1215">
            <v>43103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1</v>
          </cell>
          <cell r="W1215">
            <v>0</v>
          </cell>
          <cell r="X1215">
            <v>0</v>
          </cell>
          <cell r="Y1215">
            <v>0</v>
          </cell>
        </row>
        <row r="1216">
          <cell r="D1216">
            <v>306915</v>
          </cell>
          <cell r="E1216" t="str">
            <v>Apalit HS</v>
          </cell>
          <cell r="F1216">
            <v>1</v>
          </cell>
          <cell r="G1216">
            <v>1</v>
          </cell>
          <cell r="H1216">
            <v>1</v>
          </cell>
          <cell r="I1216">
            <v>1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1</v>
          </cell>
          <cell r="O1216">
            <v>43617</v>
          </cell>
          <cell r="P1216">
            <v>0</v>
          </cell>
          <cell r="Q1216">
            <v>1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1</v>
          </cell>
          <cell r="W1216">
            <v>2</v>
          </cell>
          <cell r="X1216">
            <v>0</v>
          </cell>
          <cell r="Y1216">
            <v>0</v>
          </cell>
        </row>
        <row r="1217">
          <cell r="D1217">
            <v>300959</v>
          </cell>
          <cell r="E1217" t="str">
            <v>Cardona NHS</v>
          </cell>
          <cell r="F1217">
            <v>1</v>
          </cell>
          <cell r="G1217">
            <v>0</v>
          </cell>
          <cell r="H1217">
            <v>1</v>
          </cell>
          <cell r="I1217">
            <v>0</v>
          </cell>
          <cell r="J1217">
            <v>0</v>
          </cell>
          <cell r="K1217">
            <v>1</v>
          </cell>
          <cell r="L1217">
            <v>0</v>
          </cell>
          <cell r="M1217">
            <v>0</v>
          </cell>
          <cell r="N1217">
            <v>0</v>
          </cell>
          <cell r="O1217">
            <v>43619</v>
          </cell>
          <cell r="P1217">
            <v>40332</v>
          </cell>
          <cell r="Q1217">
            <v>0</v>
          </cell>
          <cell r="R1217">
            <v>0</v>
          </cell>
          <cell r="S1217">
            <v>1</v>
          </cell>
          <cell r="T1217">
            <v>0</v>
          </cell>
          <cell r="U1217">
            <v>0</v>
          </cell>
          <cell r="V1217">
            <v>1</v>
          </cell>
          <cell r="W1217">
            <v>2</v>
          </cell>
          <cell r="X1217">
            <v>0</v>
          </cell>
          <cell r="Y1217">
            <v>0</v>
          </cell>
        </row>
        <row r="1218">
          <cell r="D1218">
            <v>307008</v>
          </cell>
          <cell r="E1218" t="str">
            <v>Carabaoan-Caocaoayan High School</v>
          </cell>
          <cell r="F1218">
            <v>1</v>
          </cell>
          <cell r="G1218">
            <v>1</v>
          </cell>
          <cell r="H1218">
            <v>1</v>
          </cell>
          <cell r="I1218">
            <v>1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1</v>
          </cell>
          <cell r="O1218">
            <v>43685</v>
          </cell>
          <cell r="P1218">
            <v>43685</v>
          </cell>
          <cell r="Q1218">
            <v>1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1</v>
          </cell>
          <cell r="W1218">
            <v>4</v>
          </cell>
          <cell r="X1218">
            <v>0</v>
          </cell>
          <cell r="Y1218">
            <v>0</v>
          </cell>
        </row>
        <row r="1219">
          <cell r="D1219">
            <v>300829</v>
          </cell>
          <cell r="E1219" t="str">
            <v>Pambuan National High School</v>
          </cell>
          <cell r="F1219">
            <v>1</v>
          </cell>
          <cell r="G1219">
            <v>1</v>
          </cell>
          <cell r="H1219">
            <v>1</v>
          </cell>
          <cell r="I1219">
            <v>0</v>
          </cell>
          <cell r="J1219">
            <v>1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</row>
        <row r="1220">
          <cell r="D1220">
            <v>322901</v>
          </cell>
          <cell r="E1220" t="str">
            <v>City of Balanga National High School</v>
          </cell>
          <cell r="F1220">
            <v>1</v>
          </cell>
          <cell r="G1220">
            <v>1</v>
          </cell>
          <cell r="H1220">
            <v>0</v>
          </cell>
          <cell r="I1220">
            <v>0</v>
          </cell>
          <cell r="J1220">
            <v>0</v>
          </cell>
          <cell r="K1220">
            <v>1</v>
          </cell>
          <cell r="L1220">
            <v>0</v>
          </cell>
          <cell r="M1220">
            <v>0</v>
          </cell>
          <cell r="N1220">
            <v>1</v>
          </cell>
          <cell r="O1220" t="str">
            <v>June 10, 2019</v>
          </cell>
          <cell r="P1220" t="str">
            <v>June 10, 2019</v>
          </cell>
          <cell r="Q1220">
            <v>0</v>
          </cell>
          <cell r="R1220">
            <v>0</v>
          </cell>
          <cell r="S1220">
            <v>1</v>
          </cell>
          <cell r="T1220">
            <v>0</v>
          </cell>
          <cell r="U1220">
            <v>0</v>
          </cell>
          <cell r="V1220">
            <v>1</v>
          </cell>
          <cell r="W1220">
            <v>2</v>
          </cell>
          <cell r="X1220">
            <v>0</v>
          </cell>
          <cell r="Y1220">
            <v>0</v>
          </cell>
        </row>
        <row r="1221">
          <cell r="D1221">
            <v>306607</v>
          </cell>
          <cell r="E1221" t="str">
            <v>Mariveles NHS Cab. Annex- New Alion</v>
          </cell>
          <cell r="F1221">
            <v>1</v>
          </cell>
          <cell r="G1221">
            <v>0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1</v>
          </cell>
          <cell r="O1221">
            <v>0</v>
          </cell>
          <cell r="P1221" t="str">
            <v>n/a</v>
          </cell>
          <cell r="Q1221">
            <v>0</v>
          </cell>
          <cell r="R1221">
            <v>0</v>
          </cell>
          <cell r="S1221">
            <v>0</v>
          </cell>
          <cell r="T1221">
            <v>1</v>
          </cell>
          <cell r="U1221" t="str">
            <v>no monitoring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</row>
        <row r="1222">
          <cell r="D1222">
            <v>500147</v>
          </cell>
          <cell r="E1222" t="str">
            <v>Del Carmen Int. HS</v>
          </cell>
          <cell r="F1222">
            <v>1</v>
          </cell>
          <cell r="G1222">
            <v>1</v>
          </cell>
          <cell r="H1222">
            <v>1</v>
          </cell>
          <cell r="I1222">
            <v>0</v>
          </cell>
          <cell r="J1222">
            <v>0</v>
          </cell>
          <cell r="K1222">
            <v>1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</row>
        <row r="1223">
          <cell r="D1223">
            <v>345531</v>
          </cell>
          <cell r="E1223" t="str">
            <v>SHS in Magalang, Pampanga</v>
          </cell>
          <cell r="F1223">
            <v>1</v>
          </cell>
          <cell r="G1223">
            <v>1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1</v>
          </cell>
          <cell r="M1223" t="str">
            <v>n/a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1</v>
          </cell>
          <cell r="U1223" t="str">
            <v>n/a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</row>
        <row r="1224">
          <cell r="D1224">
            <v>300950</v>
          </cell>
          <cell r="E1224" t="str">
            <v>Bamban NHS</v>
          </cell>
          <cell r="F1224">
            <v>1</v>
          </cell>
          <cell r="G1224">
            <v>1</v>
          </cell>
          <cell r="H1224">
            <v>1</v>
          </cell>
          <cell r="I1224">
            <v>0</v>
          </cell>
          <cell r="J1224">
            <v>0</v>
          </cell>
          <cell r="K1224">
            <v>1</v>
          </cell>
          <cell r="L1224">
            <v>0</v>
          </cell>
          <cell r="M1224">
            <v>0</v>
          </cell>
          <cell r="N1224">
            <v>1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1</v>
          </cell>
          <cell r="T1224">
            <v>0</v>
          </cell>
          <cell r="U1224">
            <v>0</v>
          </cell>
          <cell r="V1224">
            <v>1</v>
          </cell>
          <cell r="W1224">
            <v>10</v>
          </cell>
          <cell r="X1224">
            <v>9</v>
          </cell>
          <cell r="Y1224">
            <v>9</v>
          </cell>
        </row>
        <row r="1225">
          <cell r="D1225">
            <v>307202</v>
          </cell>
          <cell r="E1225" t="str">
            <v>Angeles City Science HS</v>
          </cell>
          <cell r="F1225">
            <v>1</v>
          </cell>
          <cell r="G1225">
            <v>1</v>
          </cell>
          <cell r="H1225">
            <v>1</v>
          </cell>
          <cell r="I1225">
            <v>0</v>
          </cell>
          <cell r="J1225">
            <v>0</v>
          </cell>
          <cell r="K1225">
            <v>1</v>
          </cell>
          <cell r="L1225">
            <v>0</v>
          </cell>
          <cell r="M1225">
            <v>0</v>
          </cell>
          <cell r="N1225">
            <v>1</v>
          </cell>
          <cell r="O1225" t="str">
            <v>June 3, 2019</v>
          </cell>
          <cell r="P1225">
            <v>0</v>
          </cell>
          <cell r="Q1225">
            <v>1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1</v>
          </cell>
          <cell r="W1225">
            <v>0</v>
          </cell>
          <cell r="X1225">
            <v>0</v>
          </cell>
          <cell r="Y1225">
            <v>0</v>
          </cell>
        </row>
        <row r="1226">
          <cell r="D1226">
            <v>300812</v>
          </cell>
          <cell r="E1226" t="str">
            <v>Juan R. Liwag Mem. NHS</v>
          </cell>
          <cell r="F1226">
            <v>1</v>
          </cell>
          <cell r="G1226">
            <v>1</v>
          </cell>
          <cell r="H1226">
            <v>1</v>
          </cell>
          <cell r="I1226">
            <v>1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1</v>
          </cell>
          <cell r="O1226">
            <v>43638</v>
          </cell>
          <cell r="P1226">
            <v>0</v>
          </cell>
          <cell r="Q1226">
            <v>1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1</v>
          </cell>
          <cell r="W1226">
            <v>0</v>
          </cell>
          <cell r="X1226">
            <v>0</v>
          </cell>
          <cell r="Y1226">
            <v>0</v>
          </cell>
        </row>
        <row r="1227">
          <cell r="D1227">
            <v>300672</v>
          </cell>
          <cell r="E1227" t="str">
            <v>Aurora National Science HS</v>
          </cell>
          <cell r="F1227">
            <v>1</v>
          </cell>
          <cell r="G1227">
            <v>0</v>
          </cell>
          <cell r="H1227">
            <v>1</v>
          </cell>
          <cell r="I1227">
            <v>0</v>
          </cell>
          <cell r="J1227">
            <v>1</v>
          </cell>
          <cell r="K1227">
            <v>0</v>
          </cell>
          <cell r="L1227">
            <v>0</v>
          </cell>
          <cell r="M1227">
            <v>0</v>
          </cell>
          <cell r="N1227">
            <v>1</v>
          </cell>
          <cell r="O1227" t="str">
            <v>May 1, 2019</v>
          </cell>
          <cell r="P1227" t="str">
            <v>October 17, 2019</v>
          </cell>
          <cell r="Q1227">
            <v>0</v>
          </cell>
          <cell r="R1227">
            <v>1</v>
          </cell>
          <cell r="S1227">
            <v>0</v>
          </cell>
          <cell r="T1227">
            <v>0</v>
          </cell>
          <cell r="U1227">
            <v>0</v>
          </cell>
          <cell r="V1227">
            <v>1</v>
          </cell>
          <cell r="W1227">
            <v>0</v>
          </cell>
          <cell r="X1227">
            <v>0</v>
          </cell>
          <cell r="Y1227">
            <v>0</v>
          </cell>
        </row>
        <row r="1228">
          <cell r="D1228">
            <v>306719</v>
          </cell>
          <cell r="E1228" t="str">
            <v>Ubihan High School</v>
          </cell>
          <cell r="F1228">
            <v>1</v>
          </cell>
          <cell r="G1228">
            <v>0</v>
          </cell>
          <cell r="H1228">
            <v>1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1</v>
          </cell>
          <cell r="O1228">
            <v>0</v>
          </cell>
          <cell r="P1228" t="str">
            <v>NEVER</v>
          </cell>
          <cell r="Q1228">
            <v>0</v>
          </cell>
          <cell r="R1228">
            <v>0</v>
          </cell>
          <cell r="S1228">
            <v>0</v>
          </cell>
          <cell r="T1228">
            <v>1</v>
          </cell>
          <cell r="U1228" t="str">
            <v>NEVER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</row>
        <row r="1229">
          <cell r="D1229">
            <v>321301</v>
          </cell>
          <cell r="E1229" t="str">
            <v>Herminio G. Nicolas High School</v>
          </cell>
          <cell r="F1229">
            <v>1</v>
          </cell>
          <cell r="G1229">
            <v>0</v>
          </cell>
          <cell r="H1229">
            <v>1</v>
          </cell>
          <cell r="I1229">
            <v>0</v>
          </cell>
          <cell r="J1229">
            <v>0</v>
          </cell>
          <cell r="K1229">
            <v>1</v>
          </cell>
          <cell r="L1229">
            <v>0</v>
          </cell>
          <cell r="M1229">
            <v>0</v>
          </cell>
          <cell r="N1229">
            <v>1</v>
          </cell>
          <cell r="O1229" t="str">
            <v>June 18, 2019</v>
          </cell>
          <cell r="P1229">
            <v>0</v>
          </cell>
          <cell r="Q1229">
            <v>0</v>
          </cell>
          <cell r="R1229">
            <v>1</v>
          </cell>
          <cell r="S1229">
            <v>0</v>
          </cell>
          <cell r="T1229">
            <v>0</v>
          </cell>
          <cell r="U1229">
            <v>0</v>
          </cell>
          <cell r="V1229">
            <v>1</v>
          </cell>
          <cell r="W1229">
            <v>0</v>
          </cell>
          <cell r="X1229">
            <v>0</v>
          </cell>
          <cell r="Y1229">
            <v>0</v>
          </cell>
        </row>
        <row r="1230">
          <cell r="D1230">
            <v>307509</v>
          </cell>
          <cell r="E1230" t="str">
            <v>Sto. Cristo National HS</v>
          </cell>
          <cell r="F1230">
            <v>1</v>
          </cell>
          <cell r="G1230">
            <v>1</v>
          </cell>
          <cell r="H1230">
            <v>1</v>
          </cell>
          <cell r="I1230">
            <v>1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1</v>
          </cell>
          <cell r="O1230">
            <v>0</v>
          </cell>
          <cell r="P1230">
            <v>0</v>
          </cell>
          <cell r="Q1230">
            <v>1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1</v>
          </cell>
          <cell r="W1230">
            <v>0</v>
          </cell>
          <cell r="X1230">
            <v>0</v>
          </cell>
          <cell r="Y1230">
            <v>0</v>
          </cell>
        </row>
        <row r="1231">
          <cell r="D1231">
            <v>300941</v>
          </cell>
          <cell r="E1231" t="str">
            <v>Telacsan NHS</v>
          </cell>
          <cell r="F1231">
            <v>1</v>
          </cell>
          <cell r="G1231">
            <v>0</v>
          </cell>
          <cell r="H1231">
            <v>1</v>
          </cell>
          <cell r="I1231">
            <v>0</v>
          </cell>
          <cell r="J1231">
            <v>0</v>
          </cell>
          <cell r="K1231">
            <v>1</v>
          </cell>
          <cell r="L1231">
            <v>0</v>
          </cell>
          <cell r="M1231">
            <v>0</v>
          </cell>
          <cell r="N1231">
            <v>0</v>
          </cell>
          <cell r="O1231" t="str">
            <v>None</v>
          </cell>
          <cell r="P1231" t="str">
            <v>None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</row>
        <row r="1232">
          <cell r="D1232">
            <v>345345</v>
          </cell>
          <cell r="E1232" t="str">
            <v>SHS in Malolos City</v>
          </cell>
          <cell r="F1232">
            <v>1</v>
          </cell>
          <cell r="G1232">
            <v>0</v>
          </cell>
          <cell r="H1232">
            <v>1</v>
          </cell>
          <cell r="I1232">
            <v>0</v>
          </cell>
          <cell r="J1232">
            <v>1</v>
          </cell>
          <cell r="K1232">
            <v>0</v>
          </cell>
          <cell r="L1232">
            <v>0</v>
          </cell>
          <cell r="M1232">
            <v>0</v>
          </cell>
          <cell r="N1232">
            <v>1</v>
          </cell>
          <cell r="O1232">
            <v>43692</v>
          </cell>
          <cell r="P1232">
            <v>0</v>
          </cell>
          <cell r="Q1232">
            <v>0</v>
          </cell>
          <cell r="R1232">
            <v>1</v>
          </cell>
          <cell r="S1232">
            <v>0</v>
          </cell>
          <cell r="T1232">
            <v>0</v>
          </cell>
          <cell r="U1232">
            <v>0</v>
          </cell>
          <cell r="V1232">
            <v>1</v>
          </cell>
          <cell r="W1232">
            <v>0</v>
          </cell>
          <cell r="X1232">
            <v>0</v>
          </cell>
          <cell r="Y1232">
            <v>0</v>
          </cell>
        </row>
        <row r="1233">
          <cell r="D1233">
            <v>300980</v>
          </cell>
          <cell r="E1233" t="str">
            <v>Pitombayog NHS</v>
          </cell>
          <cell r="F1233">
            <v>1</v>
          </cell>
          <cell r="G1233">
            <v>0</v>
          </cell>
          <cell r="H1233">
            <v>1</v>
          </cell>
          <cell r="I1233">
            <v>1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1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1</v>
          </cell>
          <cell r="W1233">
            <v>0</v>
          </cell>
          <cell r="X1233">
            <v>0</v>
          </cell>
          <cell r="Y1233">
            <v>0</v>
          </cell>
        </row>
        <row r="1234">
          <cell r="D1234">
            <v>300992</v>
          </cell>
          <cell r="E1234" t="str">
            <v>Sta. Ines NHS</v>
          </cell>
          <cell r="F1234">
            <v>1</v>
          </cell>
          <cell r="G1234">
            <v>1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1</v>
          </cell>
          <cell r="M1234" t="str">
            <v>n/a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1</v>
          </cell>
          <cell r="U1234" t="str">
            <v>no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</row>
        <row r="1235">
          <cell r="D1235">
            <v>307014</v>
          </cell>
          <cell r="E1235" t="str">
            <v>Calibungan HS</v>
          </cell>
          <cell r="F1235">
            <v>1</v>
          </cell>
          <cell r="G1235">
            <v>1</v>
          </cell>
          <cell r="H1235">
            <v>1</v>
          </cell>
          <cell r="I1235">
            <v>0</v>
          </cell>
          <cell r="J1235">
            <v>1</v>
          </cell>
          <cell r="K1235">
            <v>0</v>
          </cell>
          <cell r="L1235">
            <v>0</v>
          </cell>
          <cell r="M1235">
            <v>0</v>
          </cell>
          <cell r="N1235">
            <v>1</v>
          </cell>
          <cell r="O1235" t="str">
            <v>June 17, 2019</v>
          </cell>
          <cell r="P1235">
            <v>0</v>
          </cell>
          <cell r="Q1235">
            <v>0</v>
          </cell>
          <cell r="R1235">
            <v>1</v>
          </cell>
          <cell r="S1235">
            <v>0</v>
          </cell>
          <cell r="T1235">
            <v>0</v>
          </cell>
          <cell r="U1235">
            <v>0</v>
          </cell>
          <cell r="V1235">
            <v>1</v>
          </cell>
          <cell r="W1235">
            <v>0</v>
          </cell>
          <cell r="X1235">
            <v>0</v>
          </cell>
          <cell r="Y1235">
            <v>0</v>
          </cell>
        </row>
        <row r="1236">
          <cell r="D1236">
            <v>300991</v>
          </cell>
          <cell r="E1236" t="str">
            <v>Sapang High School</v>
          </cell>
          <cell r="F1236">
            <v>1</v>
          </cell>
          <cell r="G1236">
            <v>1</v>
          </cell>
          <cell r="H1236">
            <v>1</v>
          </cell>
          <cell r="I1236">
            <v>0</v>
          </cell>
          <cell r="J1236">
            <v>1</v>
          </cell>
          <cell r="K1236">
            <v>0</v>
          </cell>
          <cell r="L1236">
            <v>0</v>
          </cell>
          <cell r="M1236">
            <v>0</v>
          </cell>
          <cell r="N1236">
            <v>1</v>
          </cell>
          <cell r="O1236">
            <v>0</v>
          </cell>
          <cell r="P1236">
            <v>0</v>
          </cell>
          <cell r="Q1236">
            <v>0</v>
          </cell>
          <cell r="R1236">
            <v>1</v>
          </cell>
          <cell r="S1236">
            <v>0</v>
          </cell>
          <cell r="T1236">
            <v>0</v>
          </cell>
          <cell r="U1236">
            <v>0</v>
          </cell>
          <cell r="V1236">
            <v>1</v>
          </cell>
          <cell r="W1236">
            <v>0</v>
          </cell>
          <cell r="X1236">
            <v>0</v>
          </cell>
          <cell r="Y1236">
            <v>0</v>
          </cell>
        </row>
        <row r="1237">
          <cell r="D1237">
            <v>300975</v>
          </cell>
          <cell r="E1237" t="str">
            <v>Nambalan NHS</v>
          </cell>
          <cell r="F1237">
            <v>1</v>
          </cell>
          <cell r="G1237">
            <v>1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1</v>
          </cell>
          <cell r="O1237">
            <v>0</v>
          </cell>
          <cell r="P1237">
            <v>0</v>
          </cell>
          <cell r="Q1237">
            <v>1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1</v>
          </cell>
          <cell r="W1237">
            <v>0</v>
          </cell>
          <cell r="X1237">
            <v>0</v>
          </cell>
          <cell r="Y1237">
            <v>0</v>
          </cell>
        </row>
        <row r="1238">
          <cell r="D1238">
            <v>306944</v>
          </cell>
          <cell r="E1238" t="str">
            <v>San Luis NHS</v>
          </cell>
          <cell r="F1238">
            <v>1</v>
          </cell>
          <cell r="G1238">
            <v>1</v>
          </cell>
          <cell r="H1238">
            <v>1</v>
          </cell>
          <cell r="I1238">
            <v>0</v>
          </cell>
          <cell r="J1238">
            <v>0</v>
          </cell>
          <cell r="K1238">
            <v>1</v>
          </cell>
          <cell r="L1238">
            <v>1</v>
          </cell>
          <cell r="M1238">
            <v>0</v>
          </cell>
          <cell r="N1238">
            <v>1</v>
          </cell>
          <cell r="O1238">
            <v>0</v>
          </cell>
          <cell r="P1238">
            <v>43592</v>
          </cell>
          <cell r="Q1238">
            <v>1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1</v>
          </cell>
          <cell r="W1238">
            <v>7</v>
          </cell>
          <cell r="X1238">
            <v>2</v>
          </cell>
          <cell r="Y1238">
            <v>1</v>
          </cell>
        </row>
        <row r="1239">
          <cell r="D1239">
            <v>307508</v>
          </cell>
          <cell r="E1239" t="str">
            <v>Citrus National HS</v>
          </cell>
          <cell r="F1239">
            <v>1</v>
          </cell>
          <cell r="G1239">
            <v>1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1</v>
          </cell>
          <cell r="S1239">
            <v>0</v>
          </cell>
          <cell r="T1239">
            <v>0</v>
          </cell>
          <cell r="U1239">
            <v>0</v>
          </cell>
          <cell r="V1239">
            <v>1</v>
          </cell>
          <cell r="W1239">
            <v>0</v>
          </cell>
          <cell r="X1239">
            <v>0</v>
          </cell>
          <cell r="Y1239">
            <v>0</v>
          </cell>
        </row>
        <row r="1240">
          <cell r="D1240">
            <v>500479</v>
          </cell>
          <cell r="E1240" t="str">
            <v>Maguisguis Integrated School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</row>
        <row r="1241">
          <cell r="D1241">
            <v>300997</v>
          </cell>
          <cell r="E1241" t="str">
            <v>Tarlac National High School - Annex</v>
          </cell>
          <cell r="F1241">
            <v>1</v>
          </cell>
          <cell r="G1241">
            <v>1</v>
          </cell>
          <cell r="H1241">
            <v>0</v>
          </cell>
          <cell r="I1241">
            <v>1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1</v>
          </cell>
          <cell r="W1241">
            <v>0</v>
          </cell>
          <cell r="X1241">
            <v>0</v>
          </cell>
          <cell r="Y1241">
            <v>0</v>
          </cell>
        </row>
        <row r="1242">
          <cell r="D1242">
            <v>500124</v>
          </cell>
          <cell r="E1242" t="str">
            <v>Aranguren Integrated School</v>
          </cell>
          <cell r="F1242">
            <v>1</v>
          </cell>
          <cell r="G1242">
            <v>1</v>
          </cell>
          <cell r="H1242">
            <v>1</v>
          </cell>
          <cell r="I1242">
            <v>0</v>
          </cell>
          <cell r="J1242">
            <v>1</v>
          </cell>
          <cell r="K1242">
            <v>0</v>
          </cell>
          <cell r="L1242">
            <v>0</v>
          </cell>
          <cell r="M1242">
            <v>0</v>
          </cell>
          <cell r="N1242">
            <v>1</v>
          </cell>
          <cell r="O1242" t="str">
            <v>6/21/19</v>
          </cell>
          <cell r="P1242" t="str">
            <v>6/21/19</v>
          </cell>
          <cell r="Q1242">
            <v>0</v>
          </cell>
          <cell r="R1242">
            <v>1</v>
          </cell>
          <cell r="S1242">
            <v>0</v>
          </cell>
          <cell r="T1242">
            <v>0</v>
          </cell>
          <cell r="U1242">
            <v>0</v>
          </cell>
          <cell r="V1242">
            <v>1</v>
          </cell>
          <cell r="W1242">
            <v>5</v>
          </cell>
          <cell r="X1242">
            <v>1</v>
          </cell>
          <cell r="Y1242">
            <v>0</v>
          </cell>
        </row>
        <row r="1243">
          <cell r="D1243">
            <v>300700</v>
          </cell>
          <cell r="E1243" t="str">
            <v>Saysain NHS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</row>
        <row r="1244">
          <cell r="D1244">
            <v>300699</v>
          </cell>
          <cell r="E1244" t="str">
            <v>E. C. Bernabe National High School</v>
          </cell>
          <cell r="F1244">
            <v>1</v>
          </cell>
          <cell r="G1244">
            <v>1</v>
          </cell>
          <cell r="H1244">
            <v>1</v>
          </cell>
          <cell r="I1244">
            <v>0</v>
          </cell>
          <cell r="J1244">
            <v>1</v>
          </cell>
          <cell r="K1244">
            <v>0</v>
          </cell>
          <cell r="L1244">
            <v>0</v>
          </cell>
          <cell r="M1244">
            <v>0</v>
          </cell>
          <cell r="N1244">
            <v>1</v>
          </cell>
          <cell r="O1244">
            <v>43695</v>
          </cell>
          <cell r="P1244">
            <v>43664</v>
          </cell>
          <cell r="Q1244">
            <v>0</v>
          </cell>
          <cell r="R1244">
            <v>1</v>
          </cell>
          <cell r="S1244">
            <v>0</v>
          </cell>
          <cell r="T1244">
            <v>0</v>
          </cell>
          <cell r="U1244">
            <v>0</v>
          </cell>
          <cell r="V1244">
            <v>1</v>
          </cell>
          <cell r="W1244">
            <v>2</v>
          </cell>
          <cell r="X1244">
            <v>2</v>
          </cell>
          <cell r="Y1244">
            <v>2</v>
          </cell>
        </row>
        <row r="1245">
          <cell r="D1245">
            <v>300851</v>
          </cell>
          <cell r="E1245" t="str">
            <v>San Roque NHS</v>
          </cell>
          <cell r="F1245">
            <v>1</v>
          </cell>
          <cell r="G1245">
            <v>1</v>
          </cell>
          <cell r="H1245">
            <v>1</v>
          </cell>
          <cell r="I1245">
            <v>0</v>
          </cell>
          <cell r="J1245">
            <v>1</v>
          </cell>
          <cell r="K1245">
            <v>0</v>
          </cell>
          <cell r="L1245">
            <v>0</v>
          </cell>
          <cell r="M1245">
            <v>0</v>
          </cell>
          <cell r="N1245">
            <v>1</v>
          </cell>
          <cell r="O1245">
            <v>0</v>
          </cell>
          <cell r="P1245">
            <v>0</v>
          </cell>
          <cell r="Q1245">
            <v>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1</v>
          </cell>
          <cell r="W1245">
            <v>1</v>
          </cell>
          <cell r="X1245">
            <v>1</v>
          </cell>
          <cell r="Y1245">
            <v>1</v>
          </cell>
        </row>
        <row r="1246">
          <cell r="D1246">
            <v>300917</v>
          </cell>
          <cell r="E1246" t="str">
            <v>San Isidro NHS (Bacolor)</v>
          </cell>
          <cell r="F1246">
            <v>1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</row>
        <row r="1247">
          <cell r="D1247">
            <v>300993</v>
          </cell>
          <cell r="E1247" t="str">
            <v>Sta. Lucia NHS</v>
          </cell>
          <cell r="F1247">
            <v>0</v>
          </cell>
          <cell r="G1247">
            <v>0</v>
          </cell>
          <cell r="H1247">
            <v>1</v>
          </cell>
          <cell r="I1247">
            <v>0</v>
          </cell>
          <cell r="J1247">
            <v>1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43636</v>
          </cell>
          <cell r="Q1247">
            <v>0</v>
          </cell>
          <cell r="R1247">
            <v>1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</row>
        <row r="1248">
          <cell r="D1248">
            <v>307021</v>
          </cell>
          <cell r="E1248" t="str">
            <v>Balayang HS</v>
          </cell>
          <cell r="F1248">
            <v>1</v>
          </cell>
          <cell r="G1248">
            <v>0</v>
          </cell>
          <cell r="H1248">
            <v>1</v>
          </cell>
          <cell r="I1248">
            <v>0</v>
          </cell>
          <cell r="J1248">
            <v>0</v>
          </cell>
          <cell r="K1248">
            <v>1</v>
          </cell>
          <cell r="L1248">
            <v>0</v>
          </cell>
          <cell r="M1248">
            <v>0</v>
          </cell>
          <cell r="N1248">
            <v>1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</row>
        <row r="1249">
          <cell r="D1249">
            <v>306934</v>
          </cell>
          <cell r="E1249" t="str">
            <v>Emigdio A. Bondoc High School</v>
          </cell>
          <cell r="F1249">
            <v>1</v>
          </cell>
          <cell r="G1249">
            <v>1</v>
          </cell>
          <cell r="H1249">
            <v>1</v>
          </cell>
          <cell r="I1249">
            <v>0</v>
          </cell>
          <cell r="J1249">
            <v>0</v>
          </cell>
          <cell r="K1249">
            <v>1</v>
          </cell>
          <cell r="L1249">
            <v>0</v>
          </cell>
          <cell r="M1249">
            <v>0</v>
          </cell>
          <cell r="N1249">
            <v>0</v>
          </cell>
          <cell r="O1249">
            <v>43530</v>
          </cell>
          <cell r="P1249">
            <v>43530</v>
          </cell>
          <cell r="Q1249">
            <v>0</v>
          </cell>
          <cell r="R1249">
            <v>0</v>
          </cell>
          <cell r="S1249">
            <v>1</v>
          </cell>
          <cell r="T1249">
            <v>0</v>
          </cell>
          <cell r="U1249">
            <v>0</v>
          </cell>
          <cell r="V1249">
            <v>1</v>
          </cell>
          <cell r="W1249">
            <v>0</v>
          </cell>
          <cell r="X1249">
            <v>0</v>
          </cell>
          <cell r="Y1249">
            <v>0</v>
          </cell>
        </row>
        <row r="1250">
          <cell r="D1250">
            <v>307019</v>
          </cell>
          <cell r="E1250" t="str">
            <v>Josephine M. Cojuangco National TechnicalVocationalHigh School</v>
          </cell>
          <cell r="F1250">
            <v>1</v>
          </cell>
          <cell r="G1250">
            <v>1</v>
          </cell>
          <cell r="H1250">
            <v>1</v>
          </cell>
          <cell r="I1250">
            <v>0</v>
          </cell>
          <cell r="J1250">
            <v>1</v>
          </cell>
          <cell r="K1250">
            <v>0</v>
          </cell>
          <cell r="L1250">
            <v>0</v>
          </cell>
          <cell r="M1250">
            <v>0</v>
          </cell>
          <cell r="N1250">
            <v>1</v>
          </cell>
          <cell r="O1250">
            <v>43745</v>
          </cell>
          <cell r="P1250">
            <v>43745</v>
          </cell>
          <cell r="Q1250">
            <v>1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1</v>
          </cell>
          <cell r="W1250">
            <v>3</v>
          </cell>
          <cell r="X1250">
            <v>3</v>
          </cell>
          <cell r="Y1250">
            <v>3</v>
          </cell>
        </row>
        <row r="1251">
          <cell r="D1251">
            <v>300984</v>
          </cell>
          <cell r="E1251" t="str">
            <v>San Bartolome NHS</v>
          </cell>
          <cell r="F1251">
            <v>1</v>
          </cell>
          <cell r="G1251">
            <v>1</v>
          </cell>
          <cell r="H1251">
            <v>1</v>
          </cell>
          <cell r="I1251">
            <v>0</v>
          </cell>
          <cell r="J1251">
            <v>1</v>
          </cell>
          <cell r="K1251">
            <v>0</v>
          </cell>
          <cell r="L1251">
            <v>0</v>
          </cell>
          <cell r="M1251">
            <v>0</v>
          </cell>
          <cell r="N1251">
            <v>1</v>
          </cell>
          <cell r="O1251" t="str">
            <v>08/20/2019</v>
          </cell>
          <cell r="P1251">
            <v>0</v>
          </cell>
          <cell r="Q1251">
            <v>0</v>
          </cell>
          <cell r="R1251">
            <v>1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2</v>
          </cell>
          <cell r="X1251">
            <v>1</v>
          </cell>
          <cell r="Y1251">
            <v>2</v>
          </cell>
        </row>
        <row r="1252">
          <cell r="D1252">
            <v>300703</v>
          </cell>
          <cell r="E1252" t="str">
            <v>Bataan School of Fisheries</v>
          </cell>
          <cell r="F1252">
            <v>1</v>
          </cell>
          <cell r="G1252">
            <v>0</v>
          </cell>
          <cell r="H1252">
            <v>1</v>
          </cell>
          <cell r="I1252">
            <v>0</v>
          </cell>
          <cell r="J1252">
            <v>1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</row>
        <row r="1253">
          <cell r="D1253">
            <v>300968</v>
          </cell>
          <cell r="E1253" t="str">
            <v>Lawy NHS</v>
          </cell>
          <cell r="F1253">
            <v>1</v>
          </cell>
          <cell r="G1253">
            <v>1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1</v>
          </cell>
          <cell r="O1253">
            <v>0</v>
          </cell>
          <cell r="P1253">
            <v>0</v>
          </cell>
          <cell r="Q1253">
            <v>1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1</v>
          </cell>
          <cell r="W1253">
            <v>0</v>
          </cell>
          <cell r="X1253">
            <v>0</v>
          </cell>
          <cell r="Y1253">
            <v>0</v>
          </cell>
        </row>
        <row r="1254">
          <cell r="D1254">
            <v>300999</v>
          </cell>
          <cell r="E1254" t="str">
            <v>Vargas High School</v>
          </cell>
          <cell r="F1254">
            <v>1</v>
          </cell>
          <cell r="G1254">
            <v>1</v>
          </cell>
          <cell r="H1254">
            <v>0</v>
          </cell>
          <cell r="I1254">
            <v>0</v>
          </cell>
          <cell r="J1254">
            <v>0</v>
          </cell>
          <cell r="K1254">
            <v>1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</row>
        <row r="1255">
          <cell r="D1255">
            <v>300972</v>
          </cell>
          <cell r="E1255" t="str">
            <v>Marawi National High School</v>
          </cell>
          <cell r="F1255">
            <v>1</v>
          </cell>
          <cell r="G1255">
            <v>1</v>
          </cell>
          <cell r="H1255">
            <v>1</v>
          </cell>
          <cell r="I1255">
            <v>0</v>
          </cell>
          <cell r="J1255">
            <v>1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</row>
        <row r="1256">
          <cell r="D1256">
            <v>307020</v>
          </cell>
          <cell r="E1256" t="str">
            <v>Sta. Rosa Integrated School</v>
          </cell>
          <cell r="F1256">
            <v>0</v>
          </cell>
          <cell r="G1256">
            <v>0</v>
          </cell>
          <cell r="H1256">
            <v>1</v>
          </cell>
          <cell r="I1256">
            <v>0</v>
          </cell>
          <cell r="J1256">
            <v>0</v>
          </cell>
          <cell r="K1256">
            <v>1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2</v>
          </cell>
          <cell r="X1256">
            <v>0</v>
          </cell>
          <cell r="Y1256">
            <v>0</v>
          </cell>
        </row>
        <row r="1257">
          <cell r="D1257">
            <v>306908</v>
          </cell>
          <cell r="E1257" t="str">
            <v>Diosdado Macapagal HS</v>
          </cell>
          <cell r="F1257">
            <v>1</v>
          </cell>
          <cell r="G1257">
            <v>1</v>
          </cell>
          <cell r="H1257">
            <v>1</v>
          </cell>
          <cell r="I1257">
            <v>1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1</v>
          </cell>
          <cell r="O1257">
            <v>43641</v>
          </cell>
          <cell r="P1257">
            <v>43621</v>
          </cell>
          <cell r="Q1257">
            <v>1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1</v>
          </cell>
          <cell r="W1257">
            <v>4</v>
          </cell>
          <cell r="X1257">
            <v>2</v>
          </cell>
          <cell r="Y1257">
            <v>2</v>
          </cell>
        </row>
        <row r="1258">
          <cell r="D1258">
            <v>301066</v>
          </cell>
          <cell r="E1258" t="str">
            <v>Sindalan NHS</v>
          </cell>
          <cell r="F1258">
            <v>1</v>
          </cell>
          <cell r="G1258">
            <v>1</v>
          </cell>
          <cell r="H1258">
            <v>1</v>
          </cell>
          <cell r="I1258">
            <v>0</v>
          </cell>
          <cell r="J1258">
            <v>0</v>
          </cell>
          <cell r="K1258">
            <v>1</v>
          </cell>
          <cell r="L1258">
            <v>0</v>
          </cell>
          <cell r="M1258">
            <v>0</v>
          </cell>
          <cell r="N1258">
            <v>0</v>
          </cell>
          <cell r="O1258" t="str">
            <v>N/A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3</v>
          </cell>
          <cell r="X1258">
            <v>3</v>
          </cell>
          <cell r="Y1258">
            <v>1</v>
          </cell>
        </row>
        <row r="1259">
          <cell r="D1259">
            <v>307001</v>
          </cell>
          <cell r="E1259" t="str">
            <v>Moriones High School</v>
          </cell>
          <cell r="F1259">
            <v>1</v>
          </cell>
          <cell r="G1259">
            <v>1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</row>
        <row r="1260">
          <cell r="D1260">
            <v>300813</v>
          </cell>
          <cell r="E1260" t="str">
            <v>Sta. Cruz NHS</v>
          </cell>
          <cell r="F1260">
            <v>1</v>
          </cell>
          <cell r="G1260">
            <v>0</v>
          </cell>
          <cell r="H1260">
            <v>1</v>
          </cell>
          <cell r="I1260">
            <v>0</v>
          </cell>
          <cell r="J1260">
            <v>1</v>
          </cell>
          <cell r="K1260">
            <v>0</v>
          </cell>
          <cell r="L1260">
            <v>0</v>
          </cell>
          <cell r="M1260">
            <v>0</v>
          </cell>
          <cell r="N1260">
            <v>1</v>
          </cell>
          <cell r="O1260">
            <v>43752</v>
          </cell>
          <cell r="P1260">
            <v>43619</v>
          </cell>
          <cell r="Q1260">
            <v>0</v>
          </cell>
          <cell r="R1260">
            <v>0</v>
          </cell>
          <cell r="S1260">
            <v>1</v>
          </cell>
          <cell r="T1260">
            <v>0</v>
          </cell>
          <cell r="U1260">
            <v>0</v>
          </cell>
          <cell r="V1260">
            <v>1</v>
          </cell>
          <cell r="W1260">
            <v>0</v>
          </cell>
          <cell r="X1260">
            <v>0</v>
          </cell>
          <cell r="Y1260">
            <v>0</v>
          </cell>
        </row>
        <row r="1261">
          <cell r="D1261">
            <v>307603</v>
          </cell>
          <cell r="E1261" t="str">
            <v>Panipuan High School</v>
          </cell>
          <cell r="F1261">
            <v>1</v>
          </cell>
          <cell r="G1261">
            <v>1</v>
          </cell>
          <cell r="H1261">
            <v>1</v>
          </cell>
          <cell r="I1261">
            <v>0</v>
          </cell>
          <cell r="J1261">
            <v>0</v>
          </cell>
          <cell r="K1261">
            <v>1</v>
          </cell>
          <cell r="L1261">
            <v>0</v>
          </cell>
          <cell r="M1261">
            <v>0</v>
          </cell>
          <cell r="N1261">
            <v>1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1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</row>
        <row r="1262">
          <cell r="D1262">
            <v>300946</v>
          </cell>
          <cell r="E1262" t="str">
            <v>Anao NHS</v>
          </cell>
          <cell r="F1262">
            <v>1</v>
          </cell>
          <cell r="G1262">
            <v>1</v>
          </cell>
          <cell r="H1262">
            <v>1</v>
          </cell>
          <cell r="I1262">
            <v>0</v>
          </cell>
          <cell r="J1262">
            <v>1</v>
          </cell>
          <cell r="K1262">
            <v>0</v>
          </cell>
          <cell r="L1262">
            <v>0</v>
          </cell>
          <cell r="M1262">
            <v>0</v>
          </cell>
          <cell r="N1262">
            <v>1</v>
          </cell>
          <cell r="O1262">
            <v>43806</v>
          </cell>
          <cell r="P1262">
            <v>43806</v>
          </cell>
          <cell r="Q1262">
            <v>0</v>
          </cell>
          <cell r="R1262">
            <v>0</v>
          </cell>
          <cell r="S1262">
            <v>1</v>
          </cell>
          <cell r="T1262">
            <v>0</v>
          </cell>
          <cell r="U1262">
            <v>0</v>
          </cell>
          <cell r="V1262">
            <v>1</v>
          </cell>
          <cell r="W1262">
            <v>0</v>
          </cell>
          <cell r="X1262">
            <v>0</v>
          </cell>
          <cell r="Y1262">
            <v>0</v>
          </cell>
        </row>
        <row r="1263">
          <cell r="D1263">
            <v>300990</v>
          </cell>
          <cell r="E1263" t="str">
            <v>San Roque NHS</v>
          </cell>
          <cell r="F1263">
            <v>1</v>
          </cell>
          <cell r="G1263">
            <v>1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1</v>
          </cell>
          <cell r="O1263" t="str">
            <v>9/23/19</v>
          </cell>
          <cell r="P1263">
            <v>0</v>
          </cell>
          <cell r="Q1263">
            <v>0</v>
          </cell>
          <cell r="R1263">
            <v>0</v>
          </cell>
          <cell r="S1263">
            <v>1</v>
          </cell>
          <cell r="T1263">
            <v>0</v>
          </cell>
          <cell r="U1263">
            <v>0</v>
          </cell>
          <cell r="V1263">
            <v>1</v>
          </cell>
          <cell r="W1263">
            <v>0</v>
          </cell>
          <cell r="X1263">
            <v>0</v>
          </cell>
          <cell r="Y1263">
            <v>0</v>
          </cell>
        </row>
        <row r="1264">
          <cell r="D1264">
            <v>300901</v>
          </cell>
          <cell r="E1264" t="str">
            <v>Mexico National High School</v>
          </cell>
          <cell r="F1264">
            <v>1</v>
          </cell>
          <cell r="G1264">
            <v>1</v>
          </cell>
          <cell r="H1264">
            <v>1</v>
          </cell>
          <cell r="I1264">
            <v>0</v>
          </cell>
          <cell r="J1264">
            <v>1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1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</row>
        <row r="1265">
          <cell r="D1265">
            <v>300935</v>
          </cell>
          <cell r="E1265" t="str">
            <v>Sta. Maria NHS, Minalin</v>
          </cell>
          <cell r="F1265">
            <v>1</v>
          </cell>
          <cell r="G1265">
            <v>0</v>
          </cell>
          <cell r="H1265">
            <v>1</v>
          </cell>
          <cell r="I1265">
            <v>0</v>
          </cell>
          <cell r="J1265">
            <v>1</v>
          </cell>
          <cell r="K1265">
            <v>0</v>
          </cell>
          <cell r="L1265">
            <v>0</v>
          </cell>
          <cell r="M1265">
            <v>0</v>
          </cell>
          <cell r="N1265">
            <v>1</v>
          </cell>
          <cell r="O1265">
            <v>43586</v>
          </cell>
          <cell r="P1265">
            <v>0</v>
          </cell>
          <cell r="Q1265">
            <v>0</v>
          </cell>
          <cell r="R1265">
            <v>1</v>
          </cell>
          <cell r="S1265">
            <v>0</v>
          </cell>
          <cell r="T1265">
            <v>0</v>
          </cell>
          <cell r="U1265">
            <v>0</v>
          </cell>
          <cell r="V1265">
            <v>1</v>
          </cell>
          <cell r="W1265">
            <v>0</v>
          </cell>
          <cell r="X1265">
            <v>0</v>
          </cell>
          <cell r="Y1265">
            <v>0</v>
          </cell>
        </row>
        <row r="1266">
          <cell r="D1266">
            <v>300962</v>
          </cell>
          <cell r="E1266" t="str">
            <v>Dapdap HS</v>
          </cell>
          <cell r="F1266">
            <v>1</v>
          </cell>
          <cell r="G1266">
            <v>1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</row>
        <row r="1267">
          <cell r="D1267">
            <v>301001</v>
          </cell>
          <cell r="E1267" t="str">
            <v>Villa Aglipay NHS</v>
          </cell>
          <cell r="F1267">
            <v>1</v>
          </cell>
          <cell r="G1267">
            <v>1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2</v>
          </cell>
          <cell r="X1267">
            <v>0</v>
          </cell>
          <cell r="Y1267">
            <v>0</v>
          </cell>
        </row>
        <row r="1268">
          <cell r="D1268">
            <v>300967</v>
          </cell>
          <cell r="E1268" t="str">
            <v>La Paz NHS</v>
          </cell>
          <cell r="F1268">
            <v>1</v>
          </cell>
          <cell r="G1268">
            <v>1</v>
          </cell>
          <cell r="H1268">
            <v>1</v>
          </cell>
          <cell r="I1268">
            <v>0</v>
          </cell>
          <cell r="J1268">
            <v>1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1</v>
          </cell>
          <cell r="S1268">
            <v>0</v>
          </cell>
          <cell r="T1268">
            <v>0</v>
          </cell>
          <cell r="U1268">
            <v>0</v>
          </cell>
          <cell r="V1268">
            <v>1</v>
          </cell>
          <cell r="W1268">
            <v>0</v>
          </cell>
          <cell r="X1268">
            <v>0</v>
          </cell>
          <cell r="Y1268">
            <v>0</v>
          </cell>
        </row>
        <row r="1269">
          <cell r="D1269">
            <v>300898</v>
          </cell>
          <cell r="E1269" t="str">
            <v>Justino Sevilla High School</v>
          </cell>
          <cell r="F1269">
            <v>1</v>
          </cell>
          <cell r="G1269">
            <v>1</v>
          </cell>
          <cell r="H1269">
            <v>1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</row>
        <row r="1270">
          <cell r="D1270">
            <v>300996</v>
          </cell>
          <cell r="E1270" t="str">
            <v>Tarlac National High School</v>
          </cell>
          <cell r="F1270">
            <v>1</v>
          </cell>
          <cell r="G1270">
            <v>0</v>
          </cell>
          <cell r="H1270">
            <v>1</v>
          </cell>
          <cell r="I1270">
            <v>0</v>
          </cell>
          <cell r="J1270">
            <v>0</v>
          </cell>
          <cell r="K1270">
            <v>1</v>
          </cell>
          <cell r="L1270">
            <v>0</v>
          </cell>
          <cell r="M1270">
            <v>0</v>
          </cell>
          <cell r="N1270">
            <v>0</v>
          </cell>
          <cell r="O1270" t="str">
            <v>N/A</v>
          </cell>
          <cell r="P1270" t="str">
            <v>NONE</v>
          </cell>
          <cell r="Q1270">
            <v>0</v>
          </cell>
          <cell r="R1270">
            <v>0</v>
          </cell>
          <cell r="S1270">
            <v>0</v>
          </cell>
          <cell r="T1270">
            <v>1</v>
          </cell>
          <cell r="U1270" t="str">
            <v>N/A</v>
          </cell>
          <cell r="V1270">
            <v>0</v>
          </cell>
          <cell r="W1270">
            <v>3</v>
          </cell>
          <cell r="X1270">
            <v>0</v>
          </cell>
          <cell r="Y1270">
            <v>0</v>
          </cell>
        </row>
        <row r="1271">
          <cell r="D1271">
            <v>300965</v>
          </cell>
          <cell r="E1271" t="str">
            <v>Gerona Western National  High School</v>
          </cell>
          <cell r="F1271">
            <v>1</v>
          </cell>
          <cell r="G1271">
            <v>1</v>
          </cell>
          <cell r="H1271">
            <v>0</v>
          </cell>
          <cell r="I1271">
            <v>0</v>
          </cell>
          <cell r="J1271">
            <v>1</v>
          </cell>
          <cell r="K1271">
            <v>0</v>
          </cell>
          <cell r="L1271">
            <v>0</v>
          </cell>
          <cell r="M1271">
            <v>0</v>
          </cell>
          <cell r="N1271">
            <v>1</v>
          </cell>
          <cell r="O1271">
            <v>0</v>
          </cell>
          <cell r="P1271">
            <v>43748</v>
          </cell>
          <cell r="Q1271">
            <v>1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</row>
        <row r="1272">
          <cell r="D1272">
            <v>300958</v>
          </cell>
          <cell r="E1272" t="str">
            <v>Camiling School of Home Industries</v>
          </cell>
          <cell r="F1272">
            <v>1</v>
          </cell>
          <cell r="G1272">
            <v>1</v>
          </cell>
          <cell r="H1272">
            <v>1</v>
          </cell>
          <cell r="I1272">
            <v>0</v>
          </cell>
          <cell r="J1272">
            <v>0</v>
          </cell>
          <cell r="K1272">
            <v>1</v>
          </cell>
          <cell r="L1272">
            <v>0</v>
          </cell>
          <cell r="M1272">
            <v>0</v>
          </cell>
          <cell r="N1272">
            <v>0</v>
          </cell>
          <cell r="O1272">
            <v>43476</v>
          </cell>
          <cell r="P1272">
            <v>0</v>
          </cell>
          <cell r="Q1272">
            <v>0</v>
          </cell>
          <cell r="R1272">
            <v>0</v>
          </cell>
          <cell r="S1272">
            <v>1</v>
          </cell>
          <cell r="T1272">
            <v>0</v>
          </cell>
          <cell r="U1272">
            <v>0</v>
          </cell>
          <cell r="V1272">
            <v>0</v>
          </cell>
          <cell r="W1272">
            <v>2</v>
          </cell>
          <cell r="X1272">
            <v>2</v>
          </cell>
          <cell r="Y1272">
            <v>0</v>
          </cell>
        </row>
        <row r="1273">
          <cell r="D1273">
            <v>300822</v>
          </cell>
          <cell r="E1273" t="str">
            <v>Maruhat NHS</v>
          </cell>
          <cell r="F1273">
            <v>1</v>
          </cell>
          <cell r="G1273">
            <v>1</v>
          </cell>
          <cell r="H1273">
            <v>1</v>
          </cell>
          <cell r="I1273">
            <v>0</v>
          </cell>
          <cell r="J1273">
            <v>0</v>
          </cell>
          <cell r="K1273">
            <v>1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</row>
        <row r="1274">
          <cell r="D1274">
            <v>300953</v>
          </cell>
          <cell r="E1274" t="str">
            <v>Buenavista High School</v>
          </cell>
          <cell r="F1274">
            <v>1</v>
          </cell>
          <cell r="G1274">
            <v>1</v>
          </cell>
          <cell r="H1274">
            <v>1</v>
          </cell>
          <cell r="I1274">
            <v>0</v>
          </cell>
          <cell r="J1274">
            <v>0</v>
          </cell>
          <cell r="K1274">
            <v>1</v>
          </cell>
          <cell r="L1274">
            <v>0</v>
          </cell>
          <cell r="M1274">
            <v>0</v>
          </cell>
          <cell r="N1274">
            <v>1</v>
          </cell>
          <cell r="O1274" t="str">
            <v>AUG. 2019</v>
          </cell>
          <cell r="P1274" t="str">
            <v>AUG. 2019</v>
          </cell>
          <cell r="Q1274">
            <v>0</v>
          </cell>
          <cell r="R1274">
            <v>1</v>
          </cell>
          <cell r="S1274">
            <v>0</v>
          </cell>
          <cell r="T1274">
            <v>0</v>
          </cell>
          <cell r="U1274">
            <v>0</v>
          </cell>
          <cell r="V1274">
            <v>1</v>
          </cell>
          <cell r="W1274">
            <v>1</v>
          </cell>
          <cell r="X1274">
            <v>1</v>
          </cell>
          <cell r="Y1274">
            <v>1</v>
          </cell>
        </row>
        <row r="1275">
          <cell r="D1275">
            <v>300973</v>
          </cell>
          <cell r="E1275" t="str">
            <v>Birbira High School</v>
          </cell>
          <cell r="F1275">
            <v>1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</row>
        <row r="1276">
          <cell r="D1276">
            <v>300956</v>
          </cell>
          <cell r="E1276" t="str">
            <v>Calangitan HS (Resettlement School)</v>
          </cell>
          <cell r="F1276">
            <v>1</v>
          </cell>
          <cell r="G1276">
            <v>1</v>
          </cell>
          <cell r="H1276">
            <v>1</v>
          </cell>
          <cell r="I1276">
            <v>0</v>
          </cell>
          <cell r="J1276">
            <v>1</v>
          </cell>
          <cell r="K1276">
            <v>0</v>
          </cell>
          <cell r="L1276">
            <v>1</v>
          </cell>
          <cell r="M1276">
            <v>0</v>
          </cell>
          <cell r="N1276">
            <v>1</v>
          </cell>
          <cell r="O1276" t="str">
            <v>AUG 17 2019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1</v>
          </cell>
          <cell r="X1276">
            <v>0</v>
          </cell>
          <cell r="Y1276">
            <v>0</v>
          </cell>
        </row>
        <row r="1277">
          <cell r="D1277">
            <v>307005</v>
          </cell>
          <cell r="E1277" t="str">
            <v>Sta. Juliana High School (O'Donnell HS Annex)</v>
          </cell>
          <cell r="F1277">
            <v>1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</row>
        <row r="1278">
          <cell r="D1278">
            <v>300948</v>
          </cell>
          <cell r="E1278" t="str">
            <v>Balaoang NHS</v>
          </cell>
          <cell r="F1278">
            <v>0</v>
          </cell>
          <cell r="G1278">
            <v>0</v>
          </cell>
          <cell r="H1278">
            <v>1</v>
          </cell>
          <cell r="I1278">
            <v>0</v>
          </cell>
          <cell r="J1278">
            <v>1</v>
          </cell>
          <cell r="K1278">
            <v>0</v>
          </cell>
          <cell r="L1278">
            <v>0</v>
          </cell>
          <cell r="M1278">
            <v>0</v>
          </cell>
          <cell r="N1278">
            <v>1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</row>
        <row r="1279">
          <cell r="D1279">
            <v>300883</v>
          </cell>
          <cell r="E1279" t="str">
            <v>Caduang Tete HS</v>
          </cell>
          <cell r="F1279">
            <v>1</v>
          </cell>
          <cell r="G1279">
            <v>1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L1279">
            <v>1</v>
          </cell>
          <cell r="M1279" t="str">
            <v>AS THE NEED ARISES</v>
          </cell>
          <cell r="N1279">
            <v>1</v>
          </cell>
          <cell r="O1279" t="str">
            <v>NONE</v>
          </cell>
          <cell r="P1279" t="str">
            <v>NONE</v>
          </cell>
          <cell r="Q1279">
            <v>0</v>
          </cell>
          <cell r="R1279">
            <v>0</v>
          </cell>
          <cell r="S1279">
            <v>0</v>
          </cell>
          <cell r="T1279">
            <v>1</v>
          </cell>
          <cell r="U1279" t="str">
            <v>AS THE NEED ARISES</v>
          </cell>
          <cell r="V1279">
            <v>1</v>
          </cell>
          <cell r="W1279">
            <v>0</v>
          </cell>
          <cell r="X1279">
            <v>0</v>
          </cell>
          <cell r="Y1279">
            <v>0</v>
          </cell>
        </row>
        <row r="1280">
          <cell r="D1280">
            <v>307003</v>
          </cell>
          <cell r="E1280" t="str">
            <v>Pura Central High School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</row>
        <row r="1281">
          <cell r="D1281">
            <v>500139</v>
          </cell>
          <cell r="E1281" t="str">
            <v>St. Vincent of Quebiawan IS</v>
          </cell>
          <cell r="F1281">
            <v>1</v>
          </cell>
          <cell r="G1281">
            <v>1</v>
          </cell>
          <cell r="H1281">
            <v>1</v>
          </cell>
          <cell r="I1281">
            <v>0</v>
          </cell>
          <cell r="J1281">
            <v>1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43675</v>
          </cell>
          <cell r="P1281">
            <v>43718</v>
          </cell>
          <cell r="Q1281">
            <v>0</v>
          </cell>
          <cell r="R1281">
            <v>1</v>
          </cell>
          <cell r="S1281">
            <v>0</v>
          </cell>
          <cell r="T1281">
            <v>0</v>
          </cell>
          <cell r="U1281">
            <v>0</v>
          </cell>
          <cell r="V1281">
            <v>1</v>
          </cell>
          <cell r="W1281">
            <v>0</v>
          </cell>
          <cell r="X1281">
            <v>0</v>
          </cell>
          <cell r="Y1281">
            <v>0</v>
          </cell>
        </row>
        <row r="1282">
          <cell r="D1282">
            <v>300891</v>
          </cell>
          <cell r="E1282" t="str">
            <v>Guillermo D. Mendoza NHS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</row>
        <row r="1283">
          <cell r="D1283">
            <v>306606</v>
          </cell>
          <cell r="E1283" t="str">
            <v>Orani NHS - Parang-Parang</v>
          </cell>
          <cell r="F1283">
            <v>1</v>
          </cell>
          <cell r="G1283">
            <v>0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1</v>
          </cell>
          <cell r="O1283">
            <v>0</v>
          </cell>
          <cell r="P1283">
            <v>0</v>
          </cell>
          <cell r="Q1283">
            <v>0</v>
          </cell>
          <cell r="R1283">
            <v>1</v>
          </cell>
          <cell r="S1283">
            <v>0</v>
          </cell>
          <cell r="T1283">
            <v>0</v>
          </cell>
          <cell r="U1283">
            <v>0</v>
          </cell>
          <cell r="V1283">
            <v>1</v>
          </cell>
          <cell r="W1283">
            <v>2</v>
          </cell>
          <cell r="X1283">
            <v>2</v>
          </cell>
          <cell r="Y1283">
            <v>2</v>
          </cell>
        </row>
        <row r="1284">
          <cell r="D1284">
            <v>300937</v>
          </cell>
          <cell r="E1284" t="str">
            <v>Sto. Tomas NHS, Sasmuan</v>
          </cell>
          <cell r="F1284">
            <v>1</v>
          </cell>
          <cell r="G1284">
            <v>1</v>
          </cell>
          <cell r="H1284">
            <v>1</v>
          </cell>
          <cell r="I1284">
            <v>0</v>
          </cell>
          <cell r="J1284">
            <v>1</v>
          </cell>
          <cell r="K1284">
            <v>0</v>
          </cell>
          <cell r="L1284">
            <v>0</v>
          </cell>
          <cell r="M1284">
            <v>0</v>
          </cell>
          <cell r="N1284">
            <v>1</v>
          </cell>
          <cell r="O1284">
            <v>0</v>
          </cell>
          <cell r="P1284">
            <v>0</v>
          </cell>
          <cell r="Q1284">
            <v>0</v>
          </cell>
          <cell r="R1284">
            <v>1</v>
          </cell>
          <cell r="S1284">
            <v>0</v>
          </cell>
          <cell r="T1284">
            <v>0</v>
          </cell>
          <cell r="U1284">
            <v>0</v>
          </cell>
          <cell r="V1284">
            <v>1</v>
          </cell>
          <cell r="W1284">
            <v>0</v>
          </cell>
          <cell r="X1284">
            <v>0</v>
          </cell>
          <cell r="Y1284">
            <v>0</v>
          </cell>
        </row>
        <row r="1285">
          <cell r="D1285">
            <v>500404</v>
          </cell>
          <cell r="E1285" t="str">
            <v>CITY OF MALOLOS INTEGRATED SCHOOL - ATLAG</v>
          </cell>
          <cell r="F1285">
            <v>1</v>
          </cell>
          <cell r="G1285">
            <v>1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1</v>
          </cell>
          <cell r="M1285" t="str">
            <v>None</v>
          </cell>
          <cell r="N1285">
            <v>0</v>
          </cell>
          <cell r="O1285" t="str">
            <v>None</v>
          </cell>
          <cell r="P1285" t="str">
            <v>None</v>
          </cell>
          <cell r="Q1285">
            <v>0</v>
          </cell>
          <cell r="R1285">
            <v>0</v>
          </cell>
          <cell r="S1285">
            <v>0</v>
          </cell>
          <cell r="T1285">
            <v>1</v>
          </cell>
          <cell r="U1285" t="str">
            <v>None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</row>
        <row r="1286">
          <cell r="D1286">
            <v>301038</v>
          </cell>
          <cell r="E1286" t="str">
            <v>Angeles City Nat'l. Trade School</v>
          </cell>
          <cell r="F1286">
            <v>1</v>
          </cell>
          <cell r="G1286">
            <v>1</v>
          </cell>
          <cell r="H1286">
            <v>0</v>
          </cell>
          <cell r="I1286">
            <v>0</v>
          </cell>
          <cell r="J1286">
            <v>1</v>
          </cell>
          <cell r="K1286">
            <v>0</v>
          </cell>
          <cell r="L1286">
            <v>0</v>
          </cell>
          <cell r="M1286">
            <v>0</v>
          </cell>
          <cell r="N1286">
            <v>1</v>
          </cell>
          <cell r="O1286">
            <v>43622</v>
          </cell>
          <cell r="P1286">
            <v>43699</v>
          </cell>
          <cell r="Q1286">
            <v>0</v>
          </cell>
          <cell r="R1286">
            <v>0</v>
          </cell>
          <cell r="S1286">
            <v>0</v>
          </cell>
          <cell r="T1286">
            <v>1</v>
          </cell>
          <cell r="U1286" t="str">
            <v>WEEKLY</v>
          </cell>
          <cell r="V1286">
            <v>1</v>
          </cell>
          <cell r="W1286">
            <v>2</v>
          </cell>
          <cell r="X1286">
            <v>0</v>
          </cell>
          <cell r="Y1286">
            <v>0</v>
          </cell>
        </row>
        <row r="1287">
          <cell r="D1287">
            <v>301039</v>
          </cell>
          <cell r="E1287" t="str">
            <v>Angeles City NHS</v>
          </cell>
          <cell r="F1287">
            <v>1</v>
          </cell>
          <cell r="G1287">
            <v>0</v>
          </cell>
          <cell r="H1287">
            <v>1</v>
          </cell>
          <cell r="I1287">
            <v>0</v>
          </cell>
          <cell r="J1287">
            <v>1</v>
          </cell>
          <cell r="K1287">
            <v>0</v>
          </cell>
          <cell r="L1287">
            <v>0</v>
          </cell>
          <cell r="M1287">
            <v>0</v>
          </cell>
          <cell r="N1287">
            <v>1</v>
          </cell>
          <cell r="O1287">
            <v>43747</v>
          </cell>
          <cell r="P1287">
            <v>0</v>
          </cell>
          <cell r="Q1287">
            <v>0</v>
          </cell>
          <cell r="R1287">
            <v>0</v>
          </cell>
          <cell r="S1287">
            <v>1</v>
          </cell>
          <cell r="T1287">
            <v>0</v>
          </cell>
          <cell r="U1287">
            <v>0</v>
          </cell>
          <cell r="V1287">
            <v>1</v>
          </cell>
          <cell r="W1287">
            <v>0</v>
          </cell>
          <cell r="X1287">
            <v>0</v>
          </cell>
          <cell r="Y1287">
            <v>0</v>
          </cell>
        </row>
        <row r="1288">
          <cell r="D1288">
            <v>500131</v>
          </cell>
          <cell r="E1288" t="str">
            <v>Amsic IS</v>
          </cell>
          <cell r="F1288">
            <v>1</v>
          </cell>
          <cell r="G1288">
            <v>1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L1288">
            <v>1</v>
          </cell>
          <cell r="M1288">
            <v>0</v>
          </cell>
          <cell r="N1288">
            <v>1</v>
          </cell>
          <cell r="O1288">
            <v>0</v>
          </cell>
          <cell r="P1288" t="str">
            <v>AUGUST 31, 2019</v>
          </cell>
          <cell r="Q1288">
            <v>1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1</v>
          </cell>
          <cell r="W1288">
            <v>0</v>
          </cell>
          <cell r="X1288">
            <v>0</v>
          </cell>
          <cell r="Y1288">
            <v>0</v>
          </cell>
        </row>
        <row r="1289">
          <cell r="D1289">
            <v>301042</v>
          </cell>
          <cell r="E1289" t="str">
            <v>Bonifacio V. Romero HS</v>
          </cell>
          <cell r="F1289">
            <v>1</v>
          </cell>
          <cell r="G1289">
            <v>1</v>
          </cell>
          <cell r="H1289">
            <v>1</v>
          </cell>
          <cell r="I1289">
            <v>0</v>
          </cell>
          <cell r="J1289">
            <v>1</v>
          </cell>
          <cell r="K1289">
            <v>0</v>
          </cell>
          <cell r="L1289">
            <v>1</v>
          </cell>
          <cell r="M1289">
            <v>0</v>
          </cell>
          <cell r="N1289">
            <v>1</v>
          </cell>
          <cell r="O1289">
            <v>43685</v>
          </cell>
          <cell r="P1289" t="str">
            <v>08-23-2019</v>
          </cell>
          <cell r="Q1289">
            <v>1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1</v>
          </cell>
          <cell r="W1289">
            <v>5</v>
          </cell>
          <cell r="X1289">
            <v>5</v>
          </cell>
          <cell r="Y1289">
            <v>5</v>
          </cell>
        </row>
        <row r="1290">
          <cell r="D1290">
            <v>300989</v>
          </cell>
          <cell r="E1290" t="str">
            <v>San Pedro National High School</v>
          </cell>
          <cell r="F1290">
            <v>1</v>
          </cell>
          <cell r="G1290">
            <v>1</v>
          </cell>
          <cell r="H1290">
            <v>1</v>
          </cell>
          <cell r="I1290">
            <v>0</v>
          </cell>
          <cell r="J1290">
            <v>1</v>
          </cell>
          <cell r="K1290">
            <v>0</v>
          </cell>
          <cell r="L1290">
            <v>0</v>
          </cell>
          <cell r="M1290">
            <v>0</v>
          </cell>
          <cell r="N1290">
            <v>1</v>
          </cell>
          <cell r="O1290">
            <v>0</v>
          </cell>
          <cell r="P1290">
            <v>0</v>
          </cell>
          <cell r="Q1290">
            <v>0</v>
          </cell>
          <cell r="R1290">
            <v>1</v>
          </cell>
          <cell r="S1290">
            <v>0</v>
          </cell>
          <cell r="T1290">
            <v>0</v>
          </cell>
          <cell r="U1290">
            <v>0</v>
          </cell>
          <cell r="V1290">
            <v>1</v>
          </cell>
          <cell r="W1290">
            <v>0</v>
          </cell>
          <cell r="X1290">
            <v>0</v>
          </cell>
          <cell r="Y1290">
            <v>0</v>
          </cell>
        </row>
        <row r="1291">
          <cell r="D1291">
            <v>345279</v>
          </cell>
          <cell r="E1291" t="str">
            <v>Angeles City Senior High School</v>
          </cell>
          <cell r="F1291">
            <v>0</v>
          </cell>
          <cell r="G1291">
            <v>0</v>
          </cell>
          <cell r="H1291">
            <v>1</v>
          </cell>
          <cell r="I1291">
            <v>0</v>
          </cell>
          <cell r="J1291">
            <v>0</v>
          </cell>
          <cell r="K1291">
            <v>1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1</v>
          </cell>
          <cell r="S1291">
            <v>0</v>
          </cell>
          <cell r="T1291">
            <v>0</v>
          </cell>
          <cell r="U1291">
            <v>0</v>
          </cell>
          <cell r="V1291">
            <v>1</v>
          </cell>
          <cell r="W1291">
            <v>0</v>
          </cell>
          <cell r="X1291">
            <v>0</v>
          </cell>
          <cell r="Y1291">
            <v>0</v>
          </cell>
        </row>
        <row r="1292">
          <cell r="D1292">
            <v>500133</v>
          </cell>
          <cell r="E1292" t="str">
            <v>Sto. Domingo Integrated School</v>
          </cell>
          <cell r="F1292">
            <v>1</v>
          </cell>
          <cell r="G1292">
            <v>0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1</v>
          </cell>
          <cell r="M1292" t="str">
            <v>AS NEEDED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</row>
        <row r="1293">
          <cell r="D1293">
            <v>306618</v>
          </cell>
          <cell r="E1293" t="str">
            <v>Mariveles NHS - Camaya Campus</v>
          </cell>
          <cell r="F1293">
            <v>1</v>
          </cell>
          <cell r="G1293">
            <v>1</v>
          </cell>
          <cell r="H1293">
            <v>1</v>
          </cell>
          <cell r="I1293">
            <v>1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1</v>
          </cell>
          <cell r="O1293" t="str">
            <v>06/28/2019</v>
          </cell>
          <cell r="P1293" t="str">
            <v>NONE</v>
          </cell>
          <cell r="Q1293">
            <v>0</v>
          </cell>
          <cell r="R1293">
            <v>1</v>
          </cell>
          <cell r="S1293">
            <v>0</v>
          </cell>
          <cell r="T1293">
            <v>0</v>
          </cell>
          <cell r="U1293">
            <v>0</v>
          </cell>
          <cell r="V1293">
            <v>1</v>
          </cell>
          <cell r="W1293">
            <v>2</v>
          </cell>
          <cell r="X1293">
            <v>1</v>
          </cell>
          <cell r="Y1293">
            <v>1</v>
          </cell>
        </row>
        <row r="1294">
          <cell r="D1294">
            <v>300757</v>
          </cell>
          <cell r="E1294" t="str">
            <v>Meycauayan NHS</v>
          </cell>
          <cell r="F1294">
            <v>1</v>
          </cell>
          <cell r="G1294">
            <v>1</v>
          </cell>
          <cell r="H1294">
            <v>1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1</v>
          </cell>
          <cell r="O1294">
            <v>43616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1</v>
          </cell>
          <cell r="W1294">
            <v>0</v>
          </cell>
          <cell r="X1294">
            <v>0</v>
          </cell>
          <cell r="Y1294">
            <v>0</v>
          </cell>
        </row>
        <row r="1295">
          <cell r="D1295">
            <v>307201</v>
          </cell>
          <cell r="E1295" t="str">
            <v>Rafael L. Lazatin Mem. HS</v>
          </cell>
          <cell r="F1295">
            <v>1</v>
          </cell>
          <cell r="G1295">
            <v>0</v>
          </cell>
          <cell r="H1295">
            <v>1</v>
          </cell>
          <cell r="I1295">
            <v>0</v>
          </cell>
          <cell r="J1295">
            <v>1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1</v>
          </cell>
          <cell r="S1295">
            <v>0</v>
          </cell>
          <cell r="T1295">
            <v>0</v>
          </cell>
          <cell r="U1295">
            <v>0</v>
          </cell>
          <cell r="V1295">
            <v>1</v>
          </cell>
          <cell r="W1295">
            <v>5</v>
          </cell>
          <cell r="X1295">
            <v>5</v>
          </cell>
          <cell r="Y1295">
            <v>5</v>
          </cell>
        </row>
        <row r="1296">
          <cell r="D1296">
            <v>500129</v>
          </cell>
          <cell r="E1296" t="str">
            <v>Gov. Rafael L. Lazatin IS</v>
          </cell>
          <cell r="F1296">
            <v>1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</row>
        <row r="1297">
          <cell r="D1297">
            <v>300977</v>
          </cell>
          <cell r="E1297" t="str">
            <v>O'Donnell High School</v>
          </cell>
          <cell r="F1297">
            <v>1</v>
          </cell>
          <cell r="G1297">
            <v>0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1</v>
          </cell>
          <cell r="O1297" t="str">
            <v>June 3, 2019</v>
          </cell>
          <cell r="P1297" t="str">
            <v>Sept 2, 2019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1</v>
          </cell>
          <cell r="W1297">
            <v>0</v>
          </cell>
          <cell r="X1297">
            <v>0</v>
          </cell>
          <cell r="Y1297">
            <v>0</v>
          </cell>
        </row>
        <row r="1298">
          <cell r="D1298">
            <v>301040</v>
          </cell>
          <cell r="E1298" t="str">
            <v>Francisco G. Nepomuceno Mem. HS</v>
          </cell>
          <cell r="F1298">
            <v>1</v>
          </cell>
          <cell r="G1298">
            <v>1</v>
          </cell>
          <cell r="H1298">
            <v>1</v>
          </cell>
          <cell r="I1298">
            <v>0</v>
          </cell>
          <cell r="J1298">
            <v>1</v>
          </cell>
          <cell r="K1298">
            <v>0</v>
          </cell>
          <cell r="L1298">
            <v>0</v>
          </cell>
          <cell r="M1298">
            <v>0</v>
          </cell>
          <cell r="N1298">
            <v>1</v>
          </cell>
          <cell r="O1298">
            <v>43617</v>
          </cell>
          <cell r="P1298">
            <v>43707</v>
          </cell>
          <cell r="Q1298">
            <v>1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1</v>
          </cell>
          <cell r="W1298">
            <v>0</v>
          </cell>
          <cell r="X1298">
            <v>0</v>
          </cell>
          <cell r="Y1298">
            <v>0</v>
          </cell>
        </row>
        <row r="1299">
          <cell r="D1299">
            <v>500132</v>
          </cell>
          <cell r="E1299" t="str">
            <v>Malabanias IS</v>
          </cell>
          <cell r="F1299">
            <v>1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</row>
        <row r="1300">
          <cell r="D1300">
            <v>300987</v>
          </cell>
          <cell r="E1300" t="str">
            <v>San Julian-Sta. Maria NHS</v>
          </cell>
          <cell r="F1300">
            <v>1</v>
          </cell>
          <cell r="G1300">
            <v>1</v>
          </cell>
          <cell r="H1300">
            <v>1</v>
          </cell>
          <cell r="I1300">
            <v>1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1</v>
          </cell>
          <cell r="O1300">
            <v>0</v>
          </cell>
          <cell r="P1300">
            <v>0</v>
          </cell>
          <cell r="Q1300">
            <v>1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1</v>
          </cell>
          <cell r="W1300">
            <v>0</v>
          </cell>
          <cell r="X1300">
            <v>0</v>
          </cell>
          <cell r="Y1300">
            <v>0</v>
          </cell>
        </row>
        <row r="1301">
          <cell r="D1301">
            <v>301043</v>
          </cell>
          <cell r="E1301" t="str">
            <v>Sapang Bato National High School</v>
          </cell>
          <cell r="F1301">
            <v>1</v>
          </cell>
          <cell r="G1301">
            <v>0</v>
          </cell>
          <cell r="H1301">
            <v>1</v>
          </cell>
          <cell r="I1301">
            <v>0</v>
          </cell>
          <cell r="J1301">
            <v>1</v>
          </cell>
          <cell r="K1301">
            <v>0</v>
          </cell>
          <cell r="L1301">
            <v>0</v>
          </cell>
          <cell r="M1301">
            <v>0</v>
          </cell>
          <cell r="N1301">
            <v>1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</row>
        <row r="1302">
          <cell r="D1302">
            <v>307007</v>
          </cell>
          <cell r="E1302" t="str">
            <v>Corazon C. Aquino High School</v>
          </cell>
          <cell r="F1302">
            <v>1</v>
          </cell>
          <cell r="G1302">
            <v>1</v>
          </cell>
          <cell r="H1302">
            <v>1</v>
          </cell>
          <cell r="I1302">
            <v>1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1</v>
          </cell>
          <cell r="O1302">
            <v>43779</v>
          </cell>
          <cell r="P1302" t="str">
            <v>8-23-2019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1</v>
          </cell>
          <cell r="W1302">
            <v>2</v>
          </cell>
          <cell r="X1302">
            <v>1</v>
          </cell>
          <cell r="Y1302">
            <v>1</v>
          </cell>
        </row>
        <row r="1303">
          <cell r="D1303">
            <v>307611</v>
          </cell>
          <cell r="E1303" t="str">
            <v>Northville High School</v>
          </cell>
          <cell r="F1303">
            <v>1</v>
          </cell>
          <cell r="G1303">
            <v>1</v>
          </cell>
          <cell r="H1303">
            <v>1</v>
          </cell>
          <cell r="I1303">
            <v>0</v>
          </cell>
          <cell r="J1303">
            <v>1</v>
          </cell>
          <cell r="K1303">
            <v>0</v>
          </cell>
          <cell r="L1303">
            <v>0</v>
          </cell>
          <cell r="M1303">
            <v>0</v>
          </cell>
          <cell r="N1303">
            <v>1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</row>
        <row r="1304">
          <cell r="D1304">
            <v>500125</v>
          </cell>
          <cell r="E1304" t="str">
            <v>San Juan de Valdez IS</v>
          </cell>
          <cell r="F1304">
            <v>1</v>
          </cell>
          <cell r="G1304">
            <v>1</v>
          </cell>
          <cell r="H1304">
            <v>1</v>
          </cell>
          <cell r="I1304">
            <v>0</v>
          </cell>
          <cell r="J1304">
            <v>0</v>
          </cell>
          <cell r="K1304">
            <v>1</v>
          </cell>
          <cell r="L1304">
            <v>0</v>
          </cell>
          <cell r="M1304">
            <v>0</v>
          </cell>
          <cell r="N1304">
            <v>1</v>
          </cell>
          <cell r="O1304">
            <v>43610</v>
          </cell>
          <cell r="P1304">
            <v>43610</v>
          </cell>
          <cell r="Q1304">
            <v>0</v>
          </cell>
          <cell r="R1304">
            <v>0</v>
          </cell>
          <cell r="S1304">
            <v>1</v>
          </cell>
          <cell r="T1304">
            <v>0</v>
          </cell>
          <cell r="U1304">
            <v>0</v>
          </cell>
          <cell r="V1304">
            <v>1</v>
          </cell>
          <cell r="W1304">
            <v>0</v>
          </cell>
          <cell r="X1304">
            <v>0</v>
          </cell>
          <cell r="Y1304">
            <v>0</v>
          </cell>
        </row>
        <row r="1305">
          <cell r="D1305">
            <v>306604</v>
          </cell>
          <cell r="E1305" t="str">
            <v>Magsaysay NHS</v>
          </cell>
          <cell r="F1305">
            <v>1</v>
          </cell>
          <cell r="G1305">
            <v>1</v>
          </cell>
          <cell r="H1305">
            <v>1</v>
          </cell>
          <cell r="I1305">
            <v>0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1</v>
          </cell>
          <cell r="O1305">
            <v>43245</v>
          </cell>
          <cell r="P1305">
            <v>43245</v>
          </cell>
          <cell r="Q1305">
            <v>0</v>
          </cell>
          <cell r="R1305">
            <v>1</v>
          </cell>
          <cell r="S1305">
            <v>0</v>
          </cell>
          <cell r="T1305">
            <v>0</v>
          </cell>
          <cell r="U1305">
            <v>0</v>
          </cell>
          <cell r="V1305">
            <v>1</v>
          </cell>
          <cell r="W1305">
            <v>0</v>
          </cell>
          <cell r="X1305">
            <v>0</v>
          </cell>
          <cell r="Y1305">
            <v>0</v>
          </cell>
        </row>
        <row r="1306">
          <cell r="D1306">
            <v>300681</v>
          </cell>
          <cell r="E1306" t="str">
            <v>Dikapinisan NHS</v>
          </cell>
          <cell r="F1306">
            <v>1</v>
          </cell>
          <cell r="G1306">
            <v>1</v>
          </cell>
          <cell r="H1306">
            <v>0</v>
          </cell>
          <cell r="I1306">
            <v>0</v>
          </cell>
          <cell r="J1306">
            <v>1</v>
          </cell>
          <cell r="K1306">
            <v>0</v>
          </cell>
          <cell r="L1306">
            <v>0</v>
          </cell>
          <cell r="M1306">
            <v>0</v>
          </cell>
          <cell r="N1306">
            <v>1</v>
          </cell>
          <cell r="O1306">
            <v>0</v>
          </cell>
          <cell r="P1306">
            <v>0</v>
          </cell>
          <cell r="Q1306">
            <v>0</v>
          </cell>
          <cell r="R1306">
            <v>1</v>
          </cell>
          <cell r="S1306">
            <v>0</v>
          </cell>
          <cell r="T1306">
            <v>0</v>
          </cell>
          <cell r="U1306">
            <v>0</v>
          </cell>
          <cell r="V1306">
            <v>1</v>
          </cell>
          <cell r="W1306">
            <v>3</v>
          </cell>
          <cell r="X1306">
            <v>2</v>
          </cell>
          <cell r="Y1306">
            <v>0</v>
          </cell>
        </row>
        <row r="1307">
          <cell r="D1307">
            <v>345268</v>
          </cell>
          <cell r="E1307" t="str">
            <v>Dolores Stand Alone Senior High School</v>
          </cell>
          <cell r="F1307">
            <v>1</v>
          </cell>
          <cell r="G1307">
            <v>1</v>
          </cell>
          <cell r="H1307">
            <v>1</v>
          </cell>
          <cell r="I1307">
            <v>0</v>
          </cell>
          <cell r="J1307">
            <v>0</v>
          </cell>
          <cell r="K1307">
            <v>1</v>
          </cell>
          <cell r="L1307">
            <v>0</v>
          </cell>
          <cell r="M1307">
            <v>0</v>
          </cell>
          <cell r="N1307">
            <v>1</v>
          </cell>
          <cell r="O1307">
            <v>43678</v>
          </cell>
          <cell r="P1307">
            <v>43779</v>
          </cell>
          <cell r="Q1307">
            <v>0</v>
          </cell>
          <cell r="R1307">
            <v>0</v>
          </cell>
          <cell r="S1307">
            <v>1</v>
          </cell>
          <cell r="T1307">
            <v>0</v>
          </cell>
          <cell r="U1307">
            <v>0</v>
          </cell>
          <cell r="V1307">
            <v>1</v>
          </cell>
          <cell r="W1307">
            <v>0</v>
          </cell>
          <cell r="X1307">
            <v>0</v>
          </cell>
          <cell r="Y1307">
            <v>0</v>
          </cell>
        </row>
        <row r="1308">
          <cell r="D1308">
            <v>300704</v>
          </cell>
          <cell r="E1308" t="str">
            <v>Jose C. Payumo Jr. MHS</v>
          </cell>
          <cell r="F1308">
            <v>1</v>
          </cell>
          <cell r="G1308">
            <v>1</v>
          </cell>
          <cell r="H1308">
            <v>1</v>
          </cell>
          <cell r="I1308">
            <v>0</v>
          </cell>
          <cell r="J1308">
            <v>0</v>
          </cell>
          <cell r="K1308">
            <v>1</v>
          </cell>
          <cell r="L1308">
            <v>0</v>
          </cell>
          <cell r="M1308">
            <v>0</v>
          </cell>
          <cell r="N1308">
            <v>1</v>
          </cell>
          <cell r="O1308">
            <v>43669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1</v>
          </cell>
          <cell r="W1308">
            <v>0</v>
          </cell>
          <cell r="X1308">
            <v>0</v>
          </cell>
          <cell r="Y1308">
            <v>0</v>
          </cell>
        </row>
        <row r="1309">
          <cell r="D1309">
            <v>300713</v>
          </cell>
          <cell r="E1309" t="str">
            <v>Morong NHS</v>
          </cell>
          <cell r="F1309">
            <v>1</v>
          </cell>
          <cell r="G1309">
            <v>1</v>
          </cell>
          <cell r="H1309">
            <v>0</v>
          </cell>
          <cell r="I1309">
            <v>0</v>
          </cell>
          <cell r="J1309">
            <v>0</v>
          </cell>
          <cell r="K1309">
            <v>1</v>
          </cell>
          <cell r="L1309">
            <v>0</v>
          </cell>
          <cell r="M1309">
            <v>0</v>
          </cell>
          <cell r="N1309">
            <v>1</v>
          </cell>
          <cell r="O1309">
            <v>0</v>
          </cell>
          <cell r="P1309">
            <v>0</v>
          </cell>
          <cell r="Q1309">
            <v>1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1</v>
          </cell>
          <cell r="W1309">
            <v>0</v>
          </cell>
          <cell r="X1309">
            <v>0</v>
          </cell>
          <cell r="Y1309">
            <v>0</v>
          </cell>
        </row>
        <row r="1310">
          <cell r="D1310">
            <v>300913</v>
          </cell>
          <cell r="E1310" t="str">
            <v>Salapungan NHS</v>
          </cell>
          <cell r="F1310">
            <v>1</v>
          </cell>
          <cell r="G1310">
            <v>0</v>
          </cell>
          <cell r="H1310">
            <v>1</v>
          </cell>
          <cell r="I1310">
            <v>0</v>
          </cell>
          <cell r="J1310">
            <v>1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3</v>
          </cell>
          <cell r="X1310">
            <v>3</v>
          </cell>
          <cell r="Y1310">
            <v>1</v>
          </cell>
        </row>
        <row r="1311">
          <cell r="D1311">
            <v>300886</v>
          </cell>
          <cell r="E1311" t="str">
            <v>Del Carmen National High School</v>
          </cell>
          <cell r="F1311">
            <v>1</v>
          </cell>
          <cell r="G1311">
            <v>0</v>
          </cell>
          <cell r="H1311">
            <v>1</v>
          </cell>
          <cell r="I1311">
            <v>0</v>
          </cell>
          <cell r="J1311">
            <v>0</v>
          </cell>
          <cell r="K1311">
            <v>1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 t="str">
            <v>06/08/2018</v>
          </cell>
          <cell r="Q1311">
            <v>0</v>
          </cell>
          <cell r="R1311">
            <v>0</v>
          </cell>
          <cell r="S1311">
            <v>1</v>
          </cell>
          <cell r="T1311">
            <v>0</v>
          </cell>
          <cell r="U1311">
            <v>0</v>
          </cell>
          <cell r="V1311">
            <v>1</v>
          </cell>
          <cell r="W1311">
            <v>0</v>
          </cell>
          <cell r="X1311">
            <v>0</v>
          </cell>
          <cell r="Y1311">
            <v>0</v>
          </cell>
        </row>
        <row r="1312">
          <cell r="D1312">
            <v>300684</v>
          </cell>
          <cell r="E1312" t="str">
            <v>Dinadiawan NHS</v>
          </cell>
          <cell r="F1312">
            <v>1</v>
          </cell>
          <cell r="G1312">
            <v>1</v>
          </cell>
          <cell r="H1312">
            <v>1</v>
          </cell>
          <cell r="I1312">
            <v>1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1</v>
          </cell>
          <cell r="O1312">
            <v>43631</v>
          </cell>
          <cell r="P1312">
            <v>43666</v>
          </cell>
          <cell r="Q1312">
            <v>0</v>
          </cell>
          <cell r="R1312">
            <v>1</v>
          </cell>
          <cell r="S1312">
            <v>0</v>
          </cell>
          <cell r="T1312">
            <v>0</v>
          </cell>
          <cell r="U1312">
            <v>0</v>
          </cell>
          <cell r="V1312">
            <v>1</v>
          </cell>
          <cell r="W1312">
            <v>10</v>
          </cell>
          <cell r="X1312">
            <v>5</v>
          </cell>
          <cell r="Y1312">
            <v>2</v>
          </cell>
        </row>
        <row r="1313">
          <cell r="D1313">
            <v>300926</v>
          </cell>
          <cell r="E1313" t="str">
            <v>San Pedro NHS</v>
          </cell>
          <cell r="F1313">
            <v>1</v>
          </cell>
          <cell r="G1313">
            <v>1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1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</row>
        <row r="1314">
          <cell r="D1314">
            <v>500146</v>
          </cell>
          <cell r="E1314" t="str">
            <v>Calulut IS</v>
          </cell>
          <cell r="F1314">
            <v>1</v>
          </cell>
          <cell r="G1314">
            <v>1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43718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 t="str">
            <v>Weekly</v>
          </cell>
          <cell r="V1314">
            <v>1</v>
          </cell>
          <cell r="W1314">
            <v>0</v>
          </cell>
          <cell r="X1314">
            <v>0</v>
          </cell>
          <cell r="Y1314">
            <v>0</v>
          </cell>
        </row>
        <row r="1315">
          <cell r="D1315">
            <v>300690</v>
          </cell>
          <cell r="E1315" t="str">
            <v>Lual NHS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</row>
        <row r="1316">
          <cell r="D1316">
            <v>300685</v>
          </cell>
          <cell r="E1316" t="str">
            <v>Dingalan NHS</v>
          </cell>
          <cell r="F1316">
            <v>1</v>
          </cell>
          <cell r="G1316">
            <v>1</v>
          </cell>
          <cell r="H1316">
            <v>1</v>
          </cell>
          <cell r="I1316">
            <v>0</v>
          </cell>
          <cell r="J1316">
            <v>1</v>
          </cell>
          <cell r="K1316">
            <v>0</v>
          </cell>
          <cell r="L1316">
            <v>0</v>
          </cell>
          <cell r="M1316">
            <v>0</v>
          </cell>
          <cell r="N1316">
            <v>1</v>
          </cell>
          <cell r="O1316">
            <v>0</v>
          </cell>
          <cell r="P1316">
            <v>0</v>
          </cell>
          <cell r="Q1316">
            <v>0</v>
          </cell>
          <cell r="R1316">
            <v>1</v>
          </cell>
          <cell r="S1316">
            <v>0</v>
          </cell>
          <cell r="T1316">
            <v>0</v>
          </cell>
          <cell r="U1316">
            <v>0</v>
          </cell>
          <cell r="V1316">
            <v>1</v>
          </cell>
          <cell r="W1316">
            <v>0</v>
          </cell>
          <cell r="X1316">
            <v>0</v>
          </cell>
          <cell r="Y1316">
            <v>0</v>
          </cell>
        </row>
        <row r="1317">
          <cell r="D1317">
            <v>345350</v>
          </cell>
          <cell r="E1317" t="str">
            <v>Academic Senior High School of the City of Meycauayan</v>
          </cell>
          <cell r="F1317">
            <v>1</v>
          </cell>
          <cell r="G1317">
            <v>1</v>
          </cell>
          <cell r="H1317">
            <v>0</v>
          </cell>
          <cell r="I1317">
            <v>0</v>
          </cell>
          <cell r="J1317">
            <v>1</v>
          </cell>
          <cell r="K1317">
            <v>0</v>
          </cell>
          <cell r="L1317">
            <v>0</v>
          </cell>
          <cell r="M1317">
            <v>0</v>
          </cell>
          <cell r="N1317">
            <v>1</v>
          </cell>
          <cell r="O1317">
            <v>43784</v>
          </cell>
          <cell r="P1317">
            <v>0</v>
          </cell>
          <cell r="Q1317">
            <v>0</v>
          </cell>
          <cell r="R1317">
            <v>1</v>
          </cell>
          <cell r="S1317">
            <v>0</v>
          </cell>
          <cell r="T1317">
            <v>0</v>
          </cell>
          <cell r="U1317">
            <v>0</v>
          </cell>
          <cell r="V1317">
            <v>1</v>
          </cell>
          <cell r="W1317">
            <v>2</v>
          </cell>
          <cell r="X1317">
            <v>2</v>
          </cell>
          <cell r="Y1317">
            <v>0</v>
          </cell>
        </row>
        <row r="1318">
          <cell r="D1318">
            <v>306603</v>
          </cell>
          <cell r="E1318" t="str">
            <v>Sta. Lucia HS</v>
          </cell>
          <cell r="F1318">
            <v>1</v>
          </cell>
          <cell r="G1318">
            <v>1</v>
          </cell>
          <cell r="H1318">
            <v>1</v>
          </cell>
          <cell r="I1318">
            <v>1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1</v>
          </cell>
          <cell r="O1318">
            <v>0</v>
          </cell>
          <cell r="P1318">
            <v>0</v>
          </cell>
          <cell r="Q1318">
            <v>0</v>
          </cell>
          <cell r="R1318">
            <v>1</v>
          </cell>
          <cell r="S1318">
            <v>0</v>
          </cell>
          <cell r="T1318">
            <v>0</v>
          </cell>
          <cell r="U1318">
            <v>0</v>
          </cell>
          <cell r="V1318">
            <v>1</v>
          </cell>
          <cell r="W1318">
            <v>2</v>
          </cell>
          <cell r="X1318">
            <v>0</v>
          </cell>
          <cell r="Y1318">
            <v>0</v>
          </cell>
        </row>
        <row r="1319">
          <cell r="D1319">
            <v>300687</v>
          </cell>
          <cell r="E1319" t="str">
            <v>Eliseo C. Ronquillo Sr.  Memorial NHS</v>
          </cell>
          <cell r="F1319">
            <v>1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1</v>
          </cell>
          <cell r="M1319" t="str">
            <v>N/A</v>
          </cell>
          <cell r="N1319">
            <v>0</v>
          </cell>
          <cell r="O1319">
            <v>0</v>
          </cell>
          <cell r="P1319" t="str">
            <v>N/A</v>
          </cell>
          <cell r="Q1319">
            <v>0</v>
          </cell>
          <cell r="R1319">
            <v>0</v>
          </cell>
          <cell r="S1319">
            <v>0</v>
          </cell>
          <cell r="T1319">
            <v>1</v>
          </cell>
          <cell r="U1319" t="str">
            <v>N/A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</row>
        <row r="1320">
          <cell r="D1320">
            <v>306608</v>
          </cell>
          <cell r="E1320" t="str">
            <v>Orani NHS - Pagasa</v>
          </cell>
          <cell r="F1320">
            <v>1</v>
          </cell>
          <cell r="G1320">
            <v>1</v>
          </cell>
          <cell r="H1320">
            <v>1</v>
          </cell>
          <cell r="I1320">
            <v>0</v>
          </cell>
          <cell r="J1320">
            <v>0</v>
          </cell>
          <cell r="K1320">
            <v>0</v>
          </cell>
          <cell r="L1320">
            <v>1</v>
          </cell>
          <cell r="M1320" t="str">
            <v>AS THE PROBLEM ARISES</v>
          </cell>
          <cell r="N1320">
            <v>0</v>
          </cell>
          <cell r="O1320">
            <v>0</v>
          </cell>
          <cell r="P1320" t="str">
            <v>AUGUST 13, 2018</v>
          </cell>
          <cell r="Q1320">
            <v>1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</row>
        <row r="1321">
          <cell r="D1321">
            <v>300709</v>
          </cell>
          <cell r="E1321" t="str">
            <v>Mabatang NHS</v>
          </cell>
          <cell r="F1321">
            <v>1</v>
          </cell>
          <cell r="G1321">
            <v>1</v>
          </cell>
          <cell r="H1321">
            <v>1</v>
          </cell>
          <cell r="I1321">
            <v>0</v>
          </cell>
          <cell r="J1321">
            <v>1</v>
          </cell>
          <cell r="K1321">
            <v>0</v>
          </cell>
          <cell r="L1321">
            <v>0</v>
          </cell>
          <cell r="M1321">
            <v>0</v>
          </cell>
          <cell r="N1321">
            <v>1</v>
          </cell>
          <cell r="O1321" t="str">
            <v>09/28/2019</v>
          </cell>
          <cell r="P1321" t="str">
            <v>09/28/2019</v>
          </cell>
          <cell r="Q1321">
            <v>0</v>
          </cell>
          <cell r="R1321">
            <v>1</v>
          </cell>
          <cell r="S1321">
            <v>0</v>
          </cell>
          <cell r="T1321">
            <v>0</v>
          </cell>
          <cell r="U1321">
            <v>0</v>
          </cell>
          <cell r="V1321">
            <v>1</v>
          </cell>
          <cell r="W1321">
            <v>1</v>
          </cell>
          <cell r="X1321">
            <v>1</v>
          </cell>
          <cell r="Y1321">
            <v>1</v>
          </cell>
        </row>
        <row r="1322">
          <cell r="D1322">
            <v>300902</v>
          </cell>
          <cell r="E1322" t="str">
            <v>Natividad NHS</v>
          </cell>
          <cell r="F1322">
            <v>1</v>
          </cell>
          <cell r="G1322">
            <v>1</v>
          </cell>
          <cell r="H1322">
            <v>1</v>
          </cell>
          <cell r="I1322">
            <v>0</v>
          </cell>
          <cell r="J1322">
            <v>1</v>
          </cell>
          <cell r="K1322">
            <v>0</v>
          </cell>
          <cell r="L1322">
            <v>0</v>
          </cell>
          <cell r="M1322">
            <v>0</v>
          </cell>
          <cell r="N1322">
            <v>1</v>
          </cell>
          <cell r="O1322">
            <v>0</v>
          </cell>
          <cell r="P1322">
            <v>43670</v>
          </cell>
          <cell r="Q1322">
            <v>0</v>
          </cell>
          <cell r="R1322">
            <v>1</v>
          </cell>
          <cell r="S1322">
            <v>0</v>
          </cell>
          <cell r="T1322">
            <v>0</v>
          </cell>
          <cell r="U1322">
            <v>0</v>
          </cell>
          <cell r="V1322">
            <v>1</v>
          </cell>
          <cell r="W1322">
            <v>0</v>
          </cell>
          <cell r="X1322">
            <v>0</v>
          </cell>
          <cell r="Y1322">
            <v>0</v>
          </cell>
        </row>
        <row r="1323">
          <cell r="D1323">
            <v>300906</v>
          </cell>
          <cell r="E1323" t="str">
            <v>Pasig NHS</v>
          </cell>
          <cell r="F1323">
            <v>1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</row>
        <row r="1324">
          <cell r="D1324">
            <v>500119</v>
          </cell>
          <cell r="E1324" t="str">
            <v>Biaan Aeta IS</v>
          </cell>
          <cell r="F1324">
            <v>1</v>
          </cell>
          <cell r="G1324">
            <v>1</v>
          </cell>
          <cell r="H1324">
            <v>1</v>
          </cell>
          <cell r="I1324">
            <v>0</v>
          </cell>
          <cell r="J1324">
            <v>1</v>
          </cell>
          <cell r="K1324">
            <v>0</v>
          </cell>
          <cell r="L1324">
            <v>0</v>
          </cell>
          <cell r="M1324">
            <v>0</v>
          </cell>
          <cell r="N1324">
            <v>1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</row>
        <row r="1325">
          <cell r="D1325">
            <v>300988</v>
          </cell>
          <cell r="E1325" t="str">
            <v>San Manuel HS</v>
          </cell>
          <cell r="F1325">
            <v>1</v>
          </cell>
          <cell r="G1325">
            <v>1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1</v>
          </cell>
          <cell r="O1325">
            <v>43557</v>
          </cell>
          <cell r="P1325">
            <v>43691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2</v>
          </cell>
          <cell r="X1325">
            <v>2</v>
          </cell>
          <cell r="Y1325">
            <v>2</v>
          </cell>
        </row>
        <row r="1326">
          <cell r="D1326">
            <v>300887</v>
          </cell>
          <cell r="E1326" t="str">
            <v>Dela Paz Libutad NHS</v>
          </cell>
          <cell r="F1326">
            <v>1</v>
          </cell>
          <cell r="G1326">
            <v>1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1</v>
          </cell>
          <cell r="O1326">
            <v>0</v>
          </cell>
          <cell r="P1326" t="str">
            <v>END OF JUNE 2019</v>
          </cell>
          <cell r="Q1326">
            <v>1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1</v>
          </cell>
          <cell r="W1326">
            <v>1</v>
          </cell>
          <cell r="X1326">
            <v>0</v>
          </cell>
          <cell r="Y1326">
            <v>0</v>
          </cell>
        </row>
        <row r="1327">
          <cell r="D1327">
            <v>500130</v>
          </cell>
          <cell r="E1327" t="str">
            <v>Northville 15 IS</v>
          </cell>
          <cell r="F1327">
            <v>1</v>
          </cell>
          <cell r="G1327">
            <v>1</v>
          </cell>
          <cell r="H1327">
            <v>1</v>
          </cell>
          <cell r="I1327">
            <v>0</v>
          </cell>
          <cell r="J1327">
            <v>1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1</v>
          </cell>
          <cell r="T1327">
            <v>0</v>
          </cell>
          <cell r="U1327">
            <v>0</v>
          </cell>
          <cell r="V1327">
            <v>1</v>
          </cell>
          <cell r="W1327">
            <v>0</v>
          </cell>
          <cell r="X1327">
            <v>0</v>
          </cell>
          <cell r="Y1327">
            <v>0</v>
          </cell>
        </row>
        <row r="1328">
          <cell r="D1328">
            <v>300730</v>
          </cell>
          <cell r="E1328" t="str">
            <v>Calawitan NHS</v>
          </cell>
          <cell r="F1328">
            <v>1</v>
          </cell>
          <cell r="G1328">
            <v>1</v>
          </cell>
          <cell r="H1328">
            <v>1</v>
          </cell>
          <cell r="I1328">
            <v>0</v>
          </cell>
          <cell r="J1328">
            <v>1</v>
          </cell>
          <cell r="K1328">
            <v>0</v>
          </cell>
          <cell r="L1328">
            <v>0</v>
          </cell>
          <cell r="M1328">
            <v>0</v>
          </cell>
          <cell r="N1328">
            <v>1</v>
          </cell>
          <cell r="O1328">
            <v>43196</v>
          </cell>
          <cell r="P1328">
            <v>0</v>
          </cell>
          <cell r="Q1328">
            <v>0</v>
          </cell>
          <cell r="R1328">
            <v>1</v>
          </cell>
          <cell r="S1328">
            <v>0</v>
          </cell>
          <cell r="T1328">
            <v>0</v>
          </cell>
          <cell r="U1328">
            <v>0</v>
          </cell>
          <cell r="V1328">
            <v>1</v>
          </cell>
          <cell r="W1328">
            <v>0</v>
          </cell>
          <cell r="X1328">
            <v>0</v>
          </cell>
          <cell r="Y1328">
            <v>0</v>
          </cell>
        </row>
        <row r="1329">
          <cell r="D1329">
            <v>306508</v>
          </cell>
          <cell r="E1329" t="str">
            <v>Rosauro R. Tangson, Sr. NHS</v>
          </cell>
          <cell r="F1329">
            <v>1</v>
          </cell>
          <cell r="G1329">
            <v>0</v>
          </cell>
          <cell r="H1329">
            <v>1</v>
          </cell>
          <cell r="I1329">
            <v>0</v>
          </cell>
          <cell r="J1329">
            <v>1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</row>
        <row r="1330">
          <cell r="D1330">
            <v>300923</v>
          </cell>
          <cell r="E1330" t="str">
            <v>San Juan-San Luis National High School Annex (San Carlos)</v>
          </cell>
          <cell r="F1330">
            <v>1</v>
          </cell>
          <cell r="G1330">
            <v>1</v>
          </cell>
          <cell r="H1330">
            <v>1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1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</row>
        <row r="1331">
          <cell r="D1331">
            <v>305570</v>
          </cell>
          <cell r="E1331" t="str">
            <v>City of San Fernando Tech-Voc Senior High School</v>
          </cell>
          <cell r="F1331">
            <v>1</v>
          </cell>
          <cell r="G1331">
            <v>1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 t="str">
            <v>09/01/2019</v>
          </cell>
          <cell r="Q1331">
            <v>1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</row>
        <row r="1332">
          <cell r="D1332">
            <v>300707</v>
          </cell>
          <cell r="E1332" t="str">
            <v>Limay NHS</v>
          </cell>
          <cell r="F1332">
            <v>1</v>
          </cell>
          <cell r="G1332">
            <v>1</v>
          </cell>
          <cell r="H1332">
            <v>1</v>
          </cell>
          <cell r="I1332">
            <v>0</v>
          </cell>
          <cell r="J1332">
            <v>1</v>
          </cell>
          <cell r="K1332">
            <v>0</v>
          </cell>
          <cell r="L1332">
            <v>0</v>
          </cell>
          <cell r="M1332">
            <v>0</v>
          </cell>
          <cell r="N1332">
            <v>1</v>
          </cell>
          <cell r="O1332">
            <v>43692</v>
          </cell>
          <cell r="P1332">
            <v>43749</v>
          </cell>
          <cell r="Q1332">
            <v>1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1</v>
          </cell>
          <cell r="W1332">
            <v>4</v>
          </cell>
          <cell r="X1332">
            <v>4</v>
          </cell>
          <cell r="Y1332">
            <v>4</v>
          </cell>
        </row>
        <row r="1333">
          <cell r="D1333">
            <v>300879</v>
          </cell>
          <cell r="E1333" t="str">
            <v>Basa Air Base High School</v>
          </cell>
          <cell r="F1333">
            <v>1</v>
          </cell>
          <cell r="G1333">
            <v>1</v>
          </cell>
          <cell r="H1333">
            <v>1</v>
          </cell>
          <cell r="I1333">
            <v>0</v>
          </cell>
          <cell r="J1333">
            <v>1</v>
          </cell>
          <cell r="K1333">
            <v>0</v>
          </cell>
          <cell r="L1333">
            <v>0</v>
          </cell>
          <cell r="M1333">
            <v>0</v>
          </cell>
          <cell r="N1333">
            <v>1</v>
          </cell>
          <cell r="O1333" t="str">
            <v>JULY 19,2019</v>
          </cell>
          <cell r="P1333" t="str">
            <v>JULY 19,2019</v>
          </cell>
          <cell r="Q1333">
            <v>0</v>
          </cell>
          <cell r="R1333">
            <v>1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</row>
        <row r="1334">
          <cell r="D1334">
            <v>307107</v>
          </cell>
          <cell r="E1334" t="str">
            <v>San Antonio National High School</v>
          </cell>
          <cell r="F1334">
            <v>1</v>
          </cell>
          <cell r="G1334">
            <v>0</v>
          </cell>
          <cell r="H1334">
            <v>1</v>
          </cell>
          <cell r="I1334">
            <v>0</v>
          </cell>
          <cell r="J1334">
            <v>1</v>
          </cell>
          <cell r="K1334">
            <v>0</v>
          </cell>
          <cell r="L1334">
            <v>0</v>
          </cell>
          <cell r="M1334">
            <v>0</v>
          </cell>
          <cell r="N1334">
            <v>1</v>
          </cell>
          <cell r="O1334" t="str">
            <v>05/29/2019</v>
          </cell>
          <cell r="P1334" t="str">
            <v>n/a</v>
          </cell>
          <cell r="Q1334">
            <v>1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1</v>
          </cell>
          <cell r="W1334">
            <v>0</v>
          </cell>
          <cell r="X1334">
            <v>0</v>
          </cell>
          <cell r="Y1334">
            <v>0</v>
          </cell>
        </row>
        <row r="1335">
          <cell r="D1335">
            <v>300815</v>
          </cell>
          <cell r="E1335" t="str">
            <v>Kapalangan NHS</v>
          </cell>
          <cell r="F1335">
            <v>1</v>
          </cell>
          <cell r="G1335">
            <v>0</v>
          </cell>
          <cell r="H1335">
            <v>1</v>
          </cell>
          <cell r="I1335">
            <v>0</v>
          </cell>
          <cell r="J1335">
            <v>1</v>
          </cell>
          <cell r="K1335">
            <v>0</v>
          </cell>
          <cell r="L1335">
            <v>0</v>
          </cell>
          <cell r="M1335">
            <v>0</v>
          </cell>
          <cell r="N1335">
            <v>1</v>
          </cell>
          <cell r="O1335">
            <v>0</v>
          </cell>
          <cell r="P1335" t="str">
            <v>November 15, 2019</v>
          </cell>
          <cell r="Q1335">
            <v>1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1</v>
          </cell>
          <cell r="W1335">
            <v>3</v>
          </cell>
          <cell r="X1335">
            <v>0</v>
          </cell>
          <cell r="Y1335">
            <v>0</v>
          </cell>
        </row>
        <row r="1336">
          <cell r="D1336">
            <v>500636</v>
          </cell>
          <cell r="E1336" t="str">
            <v>City of Malolos Integrated School - Sto. Rosario</v>
          </cell>
          <cell r="F1336">
            <v>1</v>
          </cell>
          <cell r="G1336">
            <v>0</v>
          </cell>
          <cell r="H1336">
            <v>1</v>
          </cell>
          <cell r="I1336">
            <v>0</v>
          </cell>
          <cell r="J1336">
            <v>1</v>
          </cell>
          <cell r="K1336">
            <v>0</v>
          </cell>
          <cell r="L1336">
            <v>0</v>
          </cell>
          <cell r="M1336">
            <v>0</v>
          </cell>
          <cell r="N1336">
            <v>1</v>
          </cell>
          <cell r="O1336">
            <v>43670</v>
          </cell>
          <cell r="P1336" t="str">
            <v>-</v>
          </cell>
          <cell r="Q1336">
            <v>0</v>
          </cell>
          <cell r="R1336">
            <v>0</v>
          </cell>
          <cell r="S1336">
            <v>1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</row>
        <row r="1337">
          <cell r="D1337">
            <v>300691</v>
          </cell>
          <cell r="E1337" t="str">
            <v>Maria Aurora NHS</v>
          </cell>
          <cell r="F1337">
            <v>0</v>
          </cell>
          <cell r="G1337">
            <v>0</v>
          </cell>
          <cell r="H1337">
            <v>1</v>
          </cell>
          <cell r="I1337">
            <v>0</v>
          </cell>
          <cell r="J1337">
            <v>1</v>
          </cell>
          <cell r="K1337">
            <v>0</v>
          </cell>
          <cell r="L1337">
            <v>0</v>
          </cell>
          <cell r="M1337">
            <v>0</v>
          </cell>
          <cell r="N1337">
            <v>1</v>
          </cell>
          <cell r="O1337" t="str">
            <v>n/a</v>
          </cell>
          <cell r="P1337" t="str">
            <v>n/a</v>
          </cell>
          <cell r="Q1337">
            <v>1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1</v>
          </cell>
          <cell r="W1337">
            <v>0</v>
          </cell>
          <cell r="X1337">
            <v>0</v>
          </cell>
          <cell r="Y1337">
            <v>0</v>
          </cell>
        </row>
        <row r="1338">
          <cell r="D1338">
            <v>300688</v>
          </cell>
          <cell r="E1338" t="str">
            <v>Ibona NHS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</row>
        <row r="1339">
          <cell r="D1339">
            <v>300922</v>
          </cell>
          <cell r="E1339" t="str">
            <v>San Juan-San Luis NHS</v>
          </cell>
          <cell r="F1339">
            <v>1</v>
          </cell>
          <cell r="G1339">
            <v>1</v>
          </cell>
          <cell r="H1339">
            <v>1</v>
          </cell>
          <cell r="I1339">
            <v>0</v>
          </cell>
          <cell r="J1339">
            <v>1</v>
          </cell>
          <cell r="K1339">
            <v>0</v>
          </cell>
          <cell r="L1339">
            <v>0</v>
          </cell>
          <cell r="M1339">
            <v>0</v>
          </cell>
          <cell r="N1339">
            <v>1</v>
          </cell>
          <cell r="O1339">
            <v>0</v>
          </cell>
          <cell r="P1339">
            <v>0</v>
          </cell>
          <cell r="Q1339">
            <v>0</v>
          </cell>
          <cell r="R1339">
            <v>1</v>
          </cell>
          <cell r="S1339">
            <v>0</v>
          </cell>
          <cell r="T1339">
            <v>0</v>
          </cell>
          <cell r="U1339">
            <v>0</v>
          </cell>
          <cell r="V1339">
            <v>1</v>
          </cell>
          <cell r="W1339">
            <v>4</v>
          </cell>
          <cell r="X1339">
            <v>2</v>
          </cell>
          <cell r="Y1339">
            <v>0</v>
          </cell>
        </row>
        <row r="1340">
          <cell r="D1340">
            <v>300909</v>
          </cell>
          <cell r="E1340" t="str">
            <v>Pulung Santol National High School</v>
          </cell>
          <cell r="F1340">
            <v>1</v>
          </cell>
          <cell r="G1340">
            <v>1</v>
          </cell>
          <cell r="H1340">
            <v>0</v>
          </cell>
          <cell r="I1340">
            <v>0</v>
          </cell>
          <cell r="J1340">
            <v>1</v>
          </cell>
          <cell r="K1340">
            <v>0</v>
          </cell>
          <cell r="L1340">
            <v>0</v>
          </cell>
          <cell r="M1340">
            <v>0</v>
          </cell>
          <cell r="N1340">
            <v>1</v>
          </cell>
          <cell r="O1340" t="str">
            <v>July 24, 2019</v>
          </cell>
          <cell r="P1340">
            <v>0</v>
          </cell>
          <cell r="Q1340">
            <v>0</v>
          </cell>
          <cell r="R1340">
            <v>1</v>
          </cell>
          <cell r="S1340">
            <v>0</v>
          </cell>
          <cell r="T1340">
            <v>0</v>
          </cell>
          <cell r="U1340">
            <v>0</v>
          </cell>
          <cell r="V1340">
            <v>1</v>
          </cell>
          <cell r="W1340">
            <v>2</v>
          </cell>
          <cell r="X1340">
            <v>0</v>
          </cell>
          <cell r="Y1340">
            <v>0</v>
          </cell>
        </row>
        <row r="1341">
          <cell r="D1341">
            <v>345342</v>
          </cell>
          <cell r="E1341" t="str">
            <v>SHS within Sapang Biabas Resettlement ES</v>
          </cell>
          <cell r="F1341">
            <v>1</v>
          </cell>
          <cell r="G1341">
            <v>0</v>
          </cell>
          <cell r="H1341">
            <v>1</v>
          </cell>
          <cell r="I1341">
            <v>0</v>
          </cell>
          <cell r="J1341">
            <v>1</v>
          </cell>
          <cell r="K1341">
            <v>0</v>
          </cell>
          <cell r="L1341">
            <v>0</v>
          </cell>
          <cell r="M1341">
            <v>0</v>
          </cell>
          <cell r="N1341">
            <v>1</v>
          </cell>
          <cell r="O1341" t="str">
            <v>06/28/2019</v>
          </cell>
          <cell r="P1341" t="str">
            <v>07/18/2019</v>
          </cell>
          <cell r="Q1341">
            <v>0</v>
          </cell>
          <cell r="R1341">
            <v>1</v>
          </cell>
          <cell r="S1341">
            <v>0</v>
          </cell>
          <cell r="T1341">
            <v>0</v>
          </cell>
          <cell r="U1341">
            <v>0</v>
          </cell>
          <cell r="V1341">
            <v>1</v>
          </cell>
          <cell r="W1341">
            <v>1</v>
          </cell>
          <cell r="X1341">
            <v>0</v>
          </cell>
          <cell r="Y1341">
            <v>0</v>
          </cell>
        </row>
        <row r="1342">
          <cell r="D1342">
            <v>300686</v>
          </cell>
          <cell r="E1342" t="str">
            <v>Ditumabo NHS</v>
          </cell>
          <cell r="F1342">
            <v>1</v>
          </cell>
          <cell r="G1342">
            <v>0</v>
          </cell>
          <cell r="H1342">
            <v>1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</row>
        <row r="1343">
          <cell r="D1343">
            <v>307601</v>
          </cell>
          <cell r="E1343" t="str">
            <v>Information and Communication Technology High School</v>
          </cell>
          <cell r="F1343">
            <v>1</v>
          </cell>
          <cell r="G1343">
            <v>1</v>
          </cell>
          <cell r="H1343">
            <v>1</v>
          </cell>
          <cell r="I1343">
            <v>0</v>
          </cell>
          <cell r="J1343">
            <v>0</v>
          </cell>
          <cell r="K1343">
            <v>1</v>
          </cell>
          <cell r="L1343">
            <v>0</v>
          </cell>
          <cell r="M1343">
            <v>0</v>
          </cell>
          <cell r="N1343">
            <v>1</v>
          </cell>
          <cell r="O1343">
            <v>0</v>
          </cell>
          <cell r="P1343" t="str">
            <v>SEPTEM,BER 12, 2019</v>
          </cell>
          <cell r="Q1343">
            <v>0</v>
          </cell>
          <cell r="R1343">
            <v>1</v>
          </cell>
          <cell r="S1343">
            <v>0</v>
          </cell>
          <cell r="T1343">
            <v>0</v>
          </cell>
          <cell r="U1343">
            <v>0</v>
          </cell>
          <cell r="V1343">
            <v>1</v>
          </cell>
          <cell r="W1343">
            <v>0</v>
          </cell>
          <cell r="X1343">
            <v>0</v>
          </cell>
          <cell r="Y1343">
            <v>0</v>
          </cell>
        </row>
        <row r="1344">
          <cell r="D1344">
            <v>307503</v>
          </cell>
          <cell r="E1344" t="str">
            <v>Towerville HS</v>
          </cell>
          <cell r="F1344">
            <v>1</v>
          </cell>
          <cell r="G1344">
            <v>1</v>
          </cell>
          <cell r="H1344">
            <v>1</v>
          </cell>
          <cell r="I1344">
            <v>0</v>
          </cell>
          <cell r="J1344">
            <v>1</v>
          </cell>
          <cell r="K1344">
            <v>0</v>
          </cell>
          <cell r="L1344">
            <v>0</v>
          </cell>
          <cell r="M1344">
            <v>0</v>
          </cell>
          <cell r="N1344">
            <v>1</v>
          </cell>
          <cell r="O1344">
            <v>43630</v>
          </cell>
          <cell r="P1344">
            <v>0</v>
          </cell>
          <cell r="Q1344">
            <v>0</v>
          </cell>
          <cell r="R1344">
            <v>1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23</v>
          </cell>
          <cell r="X1344">
            <v>23</v>
          </cell>
          <cell r="Y1344">
            <v>23</v>
          </cell>
        </row>
        <row r="1345">
          <cell r="D1345">
            <v>306610</v>
          </cell>
          <cell r="E1345" t="str">
            <v>Mariveles NHS Cab.-Annex-Batangas II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</row>
        <row r="1346">
          <cell r="D1346">
            <v>301031</v>
          </cell>
          <cell r="E1346" t="str">
            <v>Buhawen National High School</v>
          </cell>
          <cell r="F1346">
            <v>1</v>
          </cell>
          <cell r="G1346">
            <v>1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1</v>
          </cell>
          <cell r="O1346">
            <v>0</v>
          </cell>
          <cell r="P1346" t="str">
            <v>7/30/2019</v>
          </cell>
          <cell r="Q1346">
            <v>0</v>
          </cell>
          <cell r="R1346">
            <v>1</v>
          </cell>
          <cell r="S1346">
            <v>0</v>
          </cell>
          <cell r="T1346">
            <v>0</v>
          </cell>
          <cell r="U1346">
            <v>0</v>
          </cell>
          <cell r="V1346">
            <v>1</v>
          </cell>
          <cell r="W1346">
            <v>0</v>
          </cell>
          <cell r="X1346">
            <v>0</v>
          </cell>
          <cell r="Y1346">
            <v>0</v>
          </cell>
        </row>
        <row r="1347">
          <cell r="D1347">
            <v>300945</v>
          </cell>
          <cell r="E1347" t="str">
            <v>Amucao NHS</v>
          </cell>
          <cell r="F1347">
            <v>1</v>
          </cell>
          <cell r="G1347">
            <v>0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1</v>
          </cell>
          <cell r="M1347" t="str">
            <v>as the need arises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1</v>
          </cell>
          <cell r="U1347" t="str">
            <v>as the need arises</v>
          </cell>
          <cell r="V1347">
            <v>1</v>
          </cell>
          <cell r="W1347">
            <v>0</v>
          </cell>
          <cell r="X1347">
            <v>0</v>
          </cell>
          <cell r="Y1347">
            <v>0</v>
          </cell>
        </row>
        <row r="1348">
          <cell r="D1348">
            <v>306917</v>
          </cell>
          <cell r="E1348" t="str">
            <v>Sta. Monica High School</v>
          </cell>
          <cell r="F1348">
            <v>1</v>
          </cell>
          <cell r="G1348">
            <v>1</v>
          </cell>
          <cell r="H1348">
            <v>1</v>
          </cell>
          <cell r="I1348">
            <v>0</v>
          </cell>
          <cell r="J1348">
            <v>0</v>
          </cell>
          <cell r="K1348">
            <v>1</v>
          </cell>
          <cell r="L1348">
            <v>0</v>
          </cell>
          <cell r="M1348">
            <v>0</v>
          </cell>
          <cell r="N1348">
            <v>1</v>
          </cell>
          <cell r="O1348">
            <v>0</v>
          </cell>
          <cell r="P1348">
            <v>43619</v>
          </cell>
          <cell r="Q1348">
            <v>0</v>
          </cell>
          <cell r="R1348">
            <v>0</v>
          </cell>
          <cell r="S1348">
            <v>1</v>
          </cell>
          <cell r="T1348">
            <v>0</v>
          </cell>
          <cell r="U1348">
            <v>0</v>
          </cell>
          <cell r="V1348">
            <v>1</v>
          </cell>
          <cell r="W1348">
            <v>2</v>
          </cell>
          <cell r="X1348">
            <v>2</v>
          </cell>
          <cell r="Y1348">
            <v>2</v>
          </cell>
        </row>
        <row r="1349">
          <cell r="D1349">
            <v>301047</v>
          </cell>
          <cell r="E1349" t="str">
            <v>Marciano del Rosario Memorial  NHS</v>
          </cell>
          <cell r="F1349">
            <v>1</v>
          </cell>
          <cell r="G1349">
            <v>1</v>
          </cell>
          <cell r="H1349">
            <v>1</v>
          </cell>
          <cell r="I1349">
            <v>1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1</v>
          </cell>
          <cell r="O1349">
            <v>43784</v>
          </cell>
          <cell r="P1349">
            <v>43633</v>
          </cell>
          <cell r="Q1349">
            <v>0</v>
          </cell>
          <cell r="R1349">
            <v>1</v>
          </cell>
          <cell r="S1349">
            <v>0</v>
          </cell>
          <cell r="T1349">
            <v>1</v>
          </cell>
          <cell r="U1349" t="str">
            <v>as needs arise</v>
          </cell>
          <cell r="V1349">
            <v>1</v>
          </cell>
          <cell r="W1349">
            <v>0</v>
          </cell>
          <cell r="X1349">
            <v>0</v>
          </cell>
          <cell r="Y1349">
            <v>0</v>
          </cell>
        </row>
        <row r="1350">
          <cell r="D1350">
            <v>500557</v>
          </cell>
          <cell r="E1350" t="str">
            <v>Sto. Cristo IS</v>
          </cell>
          <cell r="F1350">
            <v>1</v>
          </cell>
          <cell r="G1350">
            <v>1</v>
          </cell>
          <cell r="H1350">
            <v>1</v>
          </cell>
          <cell r="I1350">
            <v>0</v>
          </cell>
          <cell r="J1350">
            <v>0</v>
          </cell>
          <cell r="K1350">
            <v>1</v>
          </cell>
          <cell r="L1350">
            <v>0</v>
          </cell>
          <cell r="M1350">
            <v>0</v>
          </cell>
          <cell r="N1350">
            <v>1</v>
          </cell>
          <cell r="O1350" t="str">
            <v>During general orientation</v>
          </cell>
          <cell r="P1350" t="str">
            <v>Not Applicable</v>
          </cell>
          <cell r="Q1350">
            <v>0</v>
          </cell>
          <cell r="R1350">
            <v>0</v>
          </cell>
          <cell r="S1350">
            <v>0</v>
          </cell>
          <cell r="T1350">
            <v>1</v>
          </cell>
          <cell r="U1350" t="str">
            <v>As needed</v>
          </cell>
          <cell r="V1350">
            <v>1</v>
          </cell>
          <cell r="W1350">
            <v>0</v>
          </cell>
          <cell r="X1350">
            <v>0</v>
          </cell>
          <cell r="Y1350">
            <v>0</v>
          </cell>
        </row>
        <row r="1351">
          <cell r="D1351">
            <v>300752</v>
          </cell>
          <cell r="E1351" t="str">
            <v>PAMARAWAN HIGH SCHOOL</v>
          </cell>
          <cell r="F1351">
            <v>1</v>
          </cell>
          <cell r="G1351">
            <v>0</v>
          </cell>
          <cell r="H1351">
            <v>1</v>
          </cell>
          <cell r="I1351">
            <v>0</v>
          </cell>
          <cell r="J1351">
            <v>1</v>
          </cell>
          <cell r="K1351">
            <v>0</v>
          </cell>
          <cell r="L1351">
            <v>0</v>
          </cell>
          <cell r="M1351">
            <v>0</v>
          </cell>
          <cell r="N1351">
            <v>1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</row>
        <row r="1352">
          <cell r="D1352">
            <v>300908</v>
          </cell>
          <cell r="E1352" t="str">
            <v>Villa Maria IS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</row>
        <row r="1353">
          <cell r="D1353">
            <v>300701</v>
          </cell>
          <cell r="E1353" t="str">
            <v>Balsik NHS</v>
          </cell>
          <cell r="F1353">
            <v>1</v>
          </cell>
          <cell r="G1353">
            <v>1</v>
          </cell>
          <cell r="H1353">
            <v>1</v>
          </cell>
          <cell r="I1353">
            <v>0</v>
          </cell>
          <cell r="J1353">
            <v>0</v>
          </cell>
          <cell r="K1353">
            <v>1</v>
          </cell>
          <cell r="L1353">
            <v>0</v>
          </cell>
          <cell r="M1353">
            <v>0</v>
          </cell>
          <cell r="N1353">
            <v>1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1</v>
          </cell>
          <cell r="T1353">
            <v>0</v>
          </cell>
          <cell r="U1353">
            <v>0</v>
          </cell>
          <cell r="V1353">
            <v>1</v>
          </cell>
          <cell r="W1353">
            <v>0</v>
          </cell>
          <cell r="X1353">
            <v>0</v>
          </cell>
          <cell r="Y1353">
            <v>0</v>
          </cell>
        </row>
        <row r="1354">
          <cell r="D1354">
            <v>300889</v>
          </cell>
          <cell r="E1354" t="str">
            <v>Madapdap Resettlement HS</v>
          </cell>
          <cell r="F1354">
            <v>1</v>
          </cell>
          <cell r="G1354">
            <v>1</v>
          </cell>
          <cell r="H1354">
            <v>1</v>
          </cell>
          <cell r="I1354">
            <v>0</v>
          </cell>
          <cell r="J1354">
            <v>1</v>
          </cell>
          <cell r="K1354">
            <v>0</v>
          </cell>
          <cell r="L1354">
            <v>0</v>
          </cell>
          <cell r="M1354">
            <v>0</v>
          </cell>
          <cell r="N1354">
            <v>1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1</v>
          </cell>
          <cell r="T1354">
            <v>0</v>
          </cell>
          <cell r="U1354">
            <v>0</v>
          </cell>
          <cell r="V1354">
            <v>1</v>
          </cell>
          <cell r="W1354">
            <v>3</v>
          </cell>
          <cell r="X1354">
            <v>3</v>
          </cell>
          <cell r="Y1354">
            <v>3</v>
          </cell>
        </row>
        <row r="1355">
          <cell r="D1355">
            <v>300698</v>
          </cell>
          <cell r="E1355" t="str">
            <v>Bagac NHS-Parang</v>
          </cell>
          <cell r="F1355">
            <v>1</v>
          </cell>
          <cell r="G1355">
            <v>1</v>
          </cell>
          <cell r="H1355">
            <v>1</v>
          </cell>
          <cell r="I1355">
            <v>0</v>
          </cell>
          <cell r="J1355">
            <v>1</v>
          </cell>
          <cell r="K1355">
            <v>0</v>
          </cell>
          <cell r="L1355">
            <v>0</v>
          </cell>
          <cell r="M1355">
            <v>0</v>
          </cell>
          <cell r="N1355">
            <v>1</v>
          </cell>
          <cell r="O1355">
            <v>0</v>
          </cell>
          <cell r="P1355">
            <v>43680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1</v>
          </cell>
          <cell r="W1355">
            <v>0</v>
          </cell>
          <cell r="X1355">
            <v>0</v>
          </cell>
          <cell r="Y1355">
            <v>0</v>
          </cell>
        </row>
        <row r="1356">
          <cell r="D1356">
            <v>300861</v>
          </cell>
          <cell r="E1356" t="str">
            <v>Talabutab Norte National High School</v>
          </cell>
          <cell r="F1356">
            <v>0</v>
          </cell>
          <cell r="G1356">
            <v>0</v>
          </cell>
          <cell r="H1356">
            <v>1</v>
          </cell>
          <cell r="I1356">
            <v>0</v>
          </cell>
          <cell r="J1356">
            <v>0</v>
          </cell>
          <cell r="K1356">
            <v>1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43617</v>
          </cell>
          <cell r="Q1356">
            <v>0</v>
          </cell>
          <cell r="R1356">
            <v>1</v>
          </cell>
          <cell r="S1356">
            <v>0</v>
          </cell>
          <cell r="T1356">
            <v>0</v>
          </cell>
          <cell r="U1356">
            <v>0</v>
          </cell>
          <cell r="V1356">
            <v>1</v>
          </cell>
          <cell r="W1356">
            <v>0</v>
          </cell>
          <cell r="X1356">
            <v>0</v>
          </cell>
          <cell r="Y1356">
            <v>0</v>
          </cell>
        </row>
        <row r="1357">
          <cell r="D1357">
            <v>300890</v>
          </cell>
          <cell r="E1357" t="str">
            <v>Floridablanca Nat'l. Agr'l. School</v>
          </cell>
          <cell r="F1357">
            <v>1</v>
          </cell>
          <cell r="G1357">
            <v>1</v>
          </cell>
          <cell r="H1357">
            <v>1</v>
          </cell>
          <cell r="I1357">
            <v>0</v>
          </cell>
          <cell r="J1357">
            <v>1</v>
          </cell>
          <cell r="K1357">
            <v>0</v>
          </cell>
          <cell r="L1357">
            <v>0</v>
          </cell>
          <cell r="M1357">
            <v>0</v>
          </cell>
          <cell r="N1357">
            <v>1</v>
          </cell>
          <cell r="O1357">
            <v>43651</v>
          </cell>
          <cell r="P1357" t="str">
            <v>none to report</v>
          </cell>
          <cell r="Q1357">
            <v>1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1</v>
          </cell>
          <cell r="W1357">
            <v>0</v>
          </cell>
          <cell r="X1357">
            <v>0</v>
          </cell>
          <cell r="Y1357">
            <v>5</v>
          </cell>
        </row>
        <row r="1358">
          <cell r="D1358">
            <v>300916</v>
          </cell>
          <cell r="E1358" t="str">
            <v>San Esteban NHS - Consuelo</v>
          </cell>
          <cell r="F1358">
            <v>1</v>
          </cell>
          <cell r="G1358">
            <v>1</v>
          </cell>
          <cell r="H1358">
            <v>0</v>
          </cell>
          <cell r="I1358">
            <v>0</v>
          </cell>
          <cell r="J1358">
            <v>1</v>
          </cell>
          <cell r="K1358">
            <v>0</v>
          </cell>
          <cell r="L1358">
            <v>0</v>
          </cell>
          <cell r="M1358">
            <v>0</v>
          </cell>
          <cell r="N1358">
            <v>1</v>
          </cell>
          <cell r="O1358" t="str">
            <v>JULY 11, 2019</v>
          </cell>
          <cell r="P1358" t="str">
            <v>N/A</v>
          </cell>
          <cell r="Q1358">
            <v>0</v>
          </cell>
          <cell r="R1358">
            <v>1</v>
          </cell>
          <cell r="S1358">
            <v>0</v>
          </cell>
          <cell r="T1358">
            <v>0</v>
          </cell>
          <cell r="U1358">
            <v>0</v>
          </cell>
          <cell r="V1358">
            <v>1</v>
          </cell>
          <cell r="W1358">
            <v>0</v>
          </cell>
          <cell r="X1358">
            <v>0</v>
          </cell>
          <cell r="Y1358">
            <v>0</v>
          </cell>
        </row>
        <row r="1359">
          <cell r="D1359">
            <v>306911</v>
          </cell>
          <cell r="E1359" t="str">
            <v>AMBROCIO S.SIMPAO EDUCATIONAL AND TRADET CENTER OF LEARNING</v>
          </cell>
          <cell r="F1359">
            <v>1</v>
          </cell>
          <cell r="G1359">
            <v>1</v>
          </cell>
          <cell r="H1359">
            <v>1</v>
          </cell>
          <cell r="I1359">
            <v>0</v>
          </cell>
          <cell r="J1359">
            <v>1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 t="str">
            <v>july 19,2019</v>
          </cell>
          <cell r="P1359" t="str">
            <v>june 21,2019</v>
          </cell>
          <cell r="Q1359">
            <v>0</v>
          </cell>
          <cell r="R1359">
            <v>1</v>
          </cell>
          <cell r="S1359">
            <v>0</v>
          </cell>
          <cell r="T1359">
            <v>0</v>
          </cell>
          <cell r="U1359">
            <v>0</v>
          </cell>
          <cell r="V1359">
            <v>1</v>
          </cell>
          <cell r="W1359">
            <v>0</v>
          </cell>
          <cell r="X1359">
            <v>0</v>
          </cell>
          <cell r="Y1359">
            <v>0</v>
          </cell>
        </row>
        <row r="1360">
          <cell r="D1360">
            <v>306913</v>
          </cell>
          <cell r="E1360" t="str">
            <v>Camias High School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</row>
        <row r="1361">
          <cell r="D1361">
            <v>300919</v>
          </cell>
          <cell r="E1361" t="str">
            <v>San Isidro NHS (Sta. Ana)</v>
          </cell>
          <cell r="F1361">
            <v>1</v>
          </cell>
          <cell r="G1361">
            <v>1</v>
          </cell>
          <cell r="H1361">
            <v>1</v>
          </cell>
          <cell r="I1361">
            <v>0</v>
          </cell>
          <cell r="J1361">
            <v>0</v>
          </cell>
          <cell r="K1361">
            <v>1</v>
          </cell>
          <cell r="L1361">
            <v>0</v>
          </cell>
          <cell r="M1361">
            <v>0</v>
          </cell>
          <cell r="N1361">
            <v>1</v>
          </cell>
          <cell r="O1361">
            <v>43630</v>
          </cell>
          <cell r="P1361">
            <v>43768</v>
          </cell>
          <cell r="Q1361">
            <v>1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1</v>
          </cell>
          <cell r="W1361">
            <v>2</v>
          </cell>
          <cell r="X1361">
            <v>2</v>
          </cell>
          <cell r="Y1361">
            <v>2</v>
          </cell>
        </row>
        <row r="1362">
          <cell r="D1362">
            <v>300872</v>
          </cell>
          <cell r="E1362" t="str">
            <v>Nicanor David Vergara HS (Anao NHS)</v>
          </cell>
          <cell r="F1362">
            <v>1</v>
          </cell>
          <cell r="G1362">
            <v>1</v>
          </cell>
          <cell r="H1362">
            <v>1</v>
          </cell>
          <cell r="I1362">
            <v>0</v>
          </cell>
          <cell r="J1362">
            <v>1</v>
          </cell>
          <cell r="K1362">
            <v>0</v>
          </cell>
          <cell r="L1362">
            <v>0</v>
          </cell>
          <cell r="M1362">
            <v>0</v>
          </cell>
          <cell r="N1362">
            <v>1</v>
          </cell>
          <cell r="O1362">
            <v>0</v>
          </cell>
          <cell r="P1362">
            <v>43647</v>
          </cell>
          <cell r="Q1362">
            <v>1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1</v>
          </cell>
          <cell r="W1362">
            <v>3</v>
          </cell>
          <cell r="X1362">
            <v>1</v>
          </cell>
          <cell r="Y1362">
            <v>1</v>
          </cell>
        </row>
        <row r="1363">
          <cell r="D1363">
            <v>306939</v>
          </cell>
          <cell r="E1363" t="str">
            <v>BULAC HIGH SCHOOL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</row>
        <row r="1364">
          <cell r="D1364">
            <v>300816</v>
          </cell>
          <cell r="E1364" t="str">
            <v>Macabaclay National High School</v>
          </cell>
          <cell r="F1364">
            <v>1</v>
          </cell>
          <cell r="G1364">
            <v>1</v>
          </cell>
          <cell r="H1364">
            <v>1</v>
          </cell>
          <cell r="I1364">
            <v>1</v>
          </cell>
          <cell r="J1364">
            <v>0</v>
          </cell>
          <cell r="K1364">
            <v>1</v>
          </cell>
          <cell r="L1364">
            <v>0</v>
          </cell>
          <cell r="M1364">
            <v>0</v>
          </cell>
          <cell r="N1364">
            <v>1</v>
          </cell>
          <cell r="O1364">
            <v>43633</v>
          </cell>
          <cell r="P1364">
            <v>0</v>
          </cell>
          <cell r="Q1364">
            <v>1</v>
          </cell>
          <cell r="R1364">
            <v>1</v>
          </cell>
          <cell r="S1364">
            <v>0</v>
          </cell>
          <cell r="T1364">
            <v>0</v>
          </cell>
          <cell r="U1364">
            <v>0</v>
          </cell>
          <cell r="V1364">
            <v>1</v>
          </cell>
          <cell r="W1364">
            <v>7</v>
          </cell>
          <cell r="X1364">
            <v>7</v>
          </cell>
          <cell r="Y1364">
            <v>7</v>
          </cell>
        </row>
        <row r="1365">
          <cell r="D1365">
            <v>300915</v>
          </cell>
          <cell r="E1365" t="str">
            <v>San Esteban NHS</v>
          </cell>
          <cell r="F1365">
            <v>1</v>
          </cell>
          <cell r="G1365">
            <v>1</v>
          </cell>
          <cell r="H1365">
            <v>1</v>
          </cell>
          <cell r="I1365">
            <v>0</v>
          </cell>
          <cell r="J1365">
            <v>0</v>
          </cell>
          <cell r="K1365">
            <v>1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</row>
        <row r="1366">
          <cell r="D1366">
            <v>300893</v>
          </cell>
          <cell r="E1366" t="str">
            <v>DIOSDADO MACAPAGAL MEMORIAL HIGH SCHOOL</v>
          </cell>
          <cell r="F1366">
            <v>1</v>
          </cell>
          <cell r="G1366">
            <v>1</v>
          </cell>
          <cell r="H1366">
            <v>1</v>
          </cell>
          <cell r="I1366">
            <v>0</v>
          </cell>
          <cell r="J1366">
            <v>0</v>
          </cell>
          <cell r="K1366">
            <v>1</v>
          </cell>
          <cell r="L1366">
            <v>0</v>
          </cell>
          <cell r="M1366">
            <v>0</v>
          </cell>
          <cell r="N1366">
            <v>1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1</v>
          </cell>
          <cell r="T1366">
            <v>0</v>
          </cell>
          <cell r="U1366">
            <v>0</v>
          </cell>
          <cell r="V1366">
            <v>1</v>
          </cell>
          <cell r="W1366">
            <v>0</v>
          </cell>
          <cell r="X1366">
            <v>0</v>
          </cell>
          <cell r="Y1366">
            <v>0</v>
          </cell>
        </row>
        <row r="1367">
          <cell r="D1367">
            <v>306936</v>
          </cell>
          <cell r="E1367" t="str">
            <v>Sucad National High School</v>
          </cell>
          <cell r="F1367">
            <v>1</v>
          </cell>
          <cell r="G1367">
            <v>1</v>
          </cell>
          <cell r="H1367">
            <v>1</v>
          </cell>
          <cell r="I1367">
            <v>0</v>
          </cell>
          <cell r="J1367">
            <v>1</v>
          </cell>
          <cell r="K1367">
            <v>0</v>
          </cell>
          <cell r="L1367">
            <v>0</v>
          </cell>
          <cell r="M1367">
            <v>0</v>
          </cell>
          <cell r="N1367">
            <v>1</v>
          </cell>
          <cell r="O1367">
            <v>43670</v>
          </cell>
          <cell r="P1367">
            <v>43641</v>
          </cell>
          <cell r="Q1367">
            <v>0</v>
          </cell>
          <cell r="R1367">
            <v>1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2</v>
          </cell>
          <cell r="X1367">
            <v>0</v>
          </cell>
          <cell r="Y1367">
            <v>0</v>
          </cell>
        </row>
        <row r="1368">
          <cell r="D1368">
            <v>300939</v>
          </cell>
          <cell r="E1368" t="str">
            <v>Tagulod High School</v>
          </cell>
          <cell r="F1368">
            <v>1</v>
          </cell>
          <cell r="G1368">
            <v>1</v>
          </cell>
          <cell r="H1368">
            <v>0</v>
          </cell>
          <cell r="I1368">
            <v>0</v>
          </cell>
          <cell r="J1368">
            <v>1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1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</row>
        <row r="1369">
          <cell r="D1369">
            <v>500026</v>
          </cell>
          <cell r="E1369" t="str">
            <v>CONCEPCION INTEGRATED SCHOOL</v>
          </cell>
          <cell r="F1369">
            <v>1</v>
          </cell>
          <cell r="G1369">
            <v>0</v>
          </cell>
          <cell r="H1369">
            <v>1</v>
          </cell>
          <cell r="I1369">
            <v>0</v>
          </cell>
          <cell r="J1369">
            <v>1</v>
          </cell>
          <cell r="K1369">
            <v>0</v>
          </cell>
          <cell r="L1369">
            <v>0</v>
          </cell>
          <cell r="M1369">
            <v>0</v>
          </cell>
          <cell r="N1369">
            <v>1</v>
          </cell>
          <cell r="O1369">
            <v>43654</v>
          </cell>
          <cell r="P1369">
            <v>43661</v>
          </cell>
          <cell r="Q1369">
            <v>1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1</v>
          </cell>
          <cell r="W1369">
            <v>0</v>
          </cell>
          <cell r="X1369">
            <v>0</v>
          </cell>
          <cell r="Y1369">
            <v>0</v>
          </cell>
        </row>
        <row r="1370">
          <cell r="D1370">
            <v>500148</v>
          </cell>
          <cell r="E1370" t="str">
            <v>Magliman IS</v>
          </cell>
          <cell r="F1370">
            <v>1</v>
          </cell>
          <cell r="G1370">
            <v>1</v>
          </cell>
          <cell r="H1370">
            <v>1</v>
          </cell>
          <cell r="I1370">
            <v>0</v>
          </cell>
          <cell r="J1370">
            <v>0</v>
          </cell>
          <cell r="K1370">
            <v>1</v>
          </cell>
          <cell r="L1370">
            <v>0</v>
          </cell>
          <cell r="M1370">
            <v>0</v>
          </cell>
          <cell r="N1370">
            <v>1</v>
          </cell>
          <cell r="O1370" t="str">
            <v>October 14,2019</v>
          </cell>
          <cell r="P1370" t="str">
            <v>none</v>
          </cell>
          <cell r="Q1370">
            <v>0</v>
          </cell>
          <cell r="R1370">
            <v>1</v>
          </cell>
          <cell r="S1370">
            <v>0</v>
          </cell>
          <cell r="T1370">
            <v>0</v>
          </cell>
          <cell r="U1370">
            <v>0</v>
          </cell>
          <cell r="V1370">
            <v>1</v>
          </cell>
          <cell r="W1370">
            <v>0</v>
          </cell>
          <cell r="X1370">
            <v>0</v>
          </cell>
          <cell r="Y1370">
            <v>0</v>
          </cell>
        </row>
        <row r="1371">
          <cell r="D1371">
            <v>300783</v>
          </cell>
          <cell r="E1371" t="str">
            <v>Aliaga National High School</v>
          </cell>
          <cell r="F1371">
            <v>1</v>
          </cell>
          <cell r="G1371">
            <v>1</v>
          </cell>
          <cell r="H1371">
            <v>1</v>
          </cell>
          <cell r="I1371">
            <v>0</v>
          </cell>
          <cell r="J1371">
            <v>0</v>
          </cell>
          <cell r="K1371">
            <v>0</v>
          </cell>
          <cell r="L1371">
            <v>1</v>
          </cell>
          <cell r="M1371" t="str">
            <v>as needed</v>
          </cell>
          <cell r="N1371">
            <v>0</v>
          </cell>
          <cell r="O1371">
            <v>0</v>
          </cell>
          <cell r="P1371" t="str">
            <v>n/a</v>
          </cell>
          <cell r="Q1371">
            <v>0</v>
          </cell>
          <cell r="R1371">
            <v>0</v>
          </cell>
          <cell r="S1371">
            <v>0</v>
          </cell>
          <cell r="T1371">
            <v>1</v>
          </cell>
          <cell r="U1371" t="str">
            <v>n/a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</row>
        <row r="1372">
          <cell r="D1372">
            <v>500150</v>
          </cell>
          <cell r="E1372" t="str">
            <v>Sta. Lucia Integrated School</v>
          </cell>
          <cell r="F1372">
            <v>1</v>
          </cell>
          <cell r="G1372">
            <v>0</v>
          </cell>
          <cell r="H1372">
            <v>1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 t="str">
            <v>N/A</v>
          </cell>
          <cell r="N1372">
            <v>0</v>
          </cell>
          <cell r="O1372">
            <v>43617</v>
          </cell>
          <cell r="P1372" t="str">
            <v>N/A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 t="str">
            <v>N/A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</row>
        <row r="1373">
          <cell r="D1373">
            <v>301011</v>
          </cell>
          <cell r="E1373" t="str">
            <v>Candelaria School of Fisheries</v>
          </cell>
          <cell r="F1373">
            <v>1</v>
          </cell>
          <cell r="G1373">
            <v>1</v>
          </cell>
          <cell r="H1373">
            <v>1</v>
          </cell>
          <cell r="I1373">
            <v>0</v>
          </cell>
          <cell r="J1373">
            <v>0</v>
          </cell>
          <cell r="K1373">
            <v>1</v>
          </cell>
          <cell r="L1373">
            <v>0</v>
          </cell>
          <cell r="M1373">
            <v>0</v>
          </cell>
          <cell r="N1373">
            <v>1</v>
          </cell>
          <cell r="O1373" t="str">
            <v>JUNE 19, 2019</v>
          </cell>
          <cell r="P1373" t="str">
            <v>JUNE 3, 2019</v>
          </cell>
          <cell r="Q1373">
            <v>0</v>
          </cell>
          <cell r="R1373">
            <v>0</v>
          </cell>
          <cell r="S1373">
            <v>1</v>
          </cell>
          <cell r="T1373">
            <v>0</v>
          </cell>
          <cell r="U1373">
            <v>0</v>
          </cell>
          <cell r="V1373">
            <v>1</v>
          </cell>
          <cell r="W1373">
            <v>0</v>
          </cell>
          <cell r="X1373">
            <v>0</v>
          </cell>
          <cell r="Y1373">
            <v>0</v>
          </cell>
        </row>
        <row r="1374">
          <cell r="D1374">
            <v>300708</v>
          </cell>
          <cell r="E1374" t="str">
            <v>Luakan NHS</v>
          </cell>
          <cell r="F1374">
            <v>1</v>
          </cell>
          <cell r="G1374">
            <v>1</v>
          </cell>
          <cell r="H1374">
            <v>1</v>
          </cell>
          <cell r="I1374">
            <v>1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1</v>
          </cell>
          <cell r="O1374">
            <v>0</v>
          </cell>
          <cell r="P1374" t="str">
            <v>09/2018</v>
          </cell>
          <cell r="Q1374">
            <v>1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1</v>
          </cell>
          <cell r="W1374">
            <v>5</v>
          </cell>
          <cell r="X1374">
            <v>2</v>
          </cell>
          <cell r="Y1374">
            <v>2</v>
          </cell>
        </row>
        <row r="1375">
          <cell r="D1375">
            <v>306942</v>
          </cell>
          <cell r="E1375" t="str">
            <v>Santos Ventura National High School</v>
          </cell>
          <cell r="F1375">
            <v>1</v>
          </cell>
          <cell r="G1375">
            <v>1</v>
          </cell>
          <cell r="H1375">
            <v>1</v>
          </cell>
          <cell r="I1375">
            <v>0</v>
          </cell>
          <cell r="J1375">
            <v>1</v>
          </cell>
          <cell r="K1375">
            <v>0</v>
          </cell>
          <cell r="L1375">
            <v>0</v>
          </cell>
          <cell r="M1375">
            <v>0</v>
          </cell>
          <cell r="N1375">
            <v>1</v>
          </cell>
          <cell r="O1375">
            <v>0</v>
          </cell>
          <cell r="P1375">
            <v>0</v>
          </cell>
          <cell r="Q1375">
            <v>0</v>
          </cell>
          <cell r="R1375">
            <v>1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</row>
        <row r="1376">
          <cell r="D1376">
            <v>301008</v>
          </cell>
          <cell r="E1376" t="str">
            <v>Baquilan Resettlement High School</v>
          </cell>
          <cell r="F1376">
            <v>1</v>
          </cell>
          <cell r="G1376">
            <v>1</v>
          </cell>
          <cell r="H1376">
            <v>1</v>
          </cell>
          <cell r="I1376">
            <v>1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1</v>
          </cell>
          <cell r="O1376">
            <v>0</v>
          </cell>
          <cell r="P1376">
            <v>0</v>
          </cell>
          <cell r="Q1376">
            <v>1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1</v>
          </cell>
          <cell r="W1376">
            <v>0</v>
          </cell>
          <cell r="X1376">
            <v>0</v>
          </cell>
          <cell r="Y1376">
            <v>0</v>
          </cell>
        </row>
        <row r="1377">
          <cell r="D1377">
            <v>500390</v>
          </cell>
          <cell r="E1377" t="str">
            <v>Armenia IS</v>
          </cell>
          <cell r="F1377">
            <v>1</v>
          </cell>
          <cell r="G1377">
            <v>1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</row>
        <row r="1378">
          <cell r="D1378">
            <v>500556</v>
          </cell>
          <cell r="E1378" t="str">
            <v>BUROT INTEGRATED SCHOOL</v>
          </cell>
          <cell r="F1378">
            <v>1</v>
          </cell>
          <cell r="G1378">
            <v>1</v>
          </cell>
          <cell r="H1378">
            <v>1</v>
          </cell>
          <cell r="I1378">
            <v>0</v>
          </cell>
          <cell r="J1378">
            <v>1</v>
          </cell>
          <cell r="K1378">
            <v>0</v>
          </cell>
          <cell r="L1378">
            <v>0</v>
          </cell>
          <cell r="M1378">
            <v>0</v>
          </cell>
          <cell r="N1378">
            <v>1</v>
          </cell>
          <cell r="O1378">
            <v>43758</v>
          </cell>
          <cell r="P1378">
            <v>43758</v>
          </cell>
          <cell r="Q1378">
            <v>0</v>
          </cell>
          <cell r="R1378">
            <v>1</v>
          </cell>
          <cell r="S1378">
            <v>0</v>
          </cell>
          <cell r="T1378">
            <v>0</v>
          </cell>
          <cell r="U1378">
            <v>0</v>
          </cell>
          <cell r="V1378">
            <v>1</v>
          </cell>
          <cell r="W1378">
            <v>0</v>
          </cell>
          <cell r="X1378">
            <v>0</v>
          </cell>
          <cell r="Y1378">
            <v>0</v>
          </cell>
        </row>
        <row r="1379">
          <cell r="D1379">
            <v>306937</v>
          </cell>
          <cell r="E1379" t="str">
            <v>Dalayap High School</v>
          </cell>
          <cell r="F1379">
            <v>1</v>
          </cell>
          <cell r="G1379">
            <v>1</v>
          </cell>
          <cell r="H1379">
            <v>1</v>
          </cell>
          <cell r="I1379">
            <v>0</v>
          </cell>
          <cell r="J1379">
            <v>1</v>
          </cell>
          <cell r="K1379">
            <v>0</v>
          </cell>
          <cell r="L1379">
            <v>0</v>
          </cell>
          <cell r="M1379">
            <v>0</v>
          </cell>
          <cell r="N1379">
            <v>1</v>
          </cell>
          <cell r="O1379" t="str">
            <v>07/19/2019</v>
          </cell>
          <cell r="P1379" t="str">
            <v>07/18/2019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</row>
        <row r="1380">
          <cell r="D1380">
            <v>307511</v>
          </cell>
          <cell r="E1380" t="str">
            <v>Marangal National High School</v>
          </cell>
          <cell r="F1380">
            <v>1</v>
          </cell>
          <cell r="G1380">
            <v>0</v>
          </cell>
          <cell r="H1380">
            <v>1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43647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1</v>
          </cell>
          <cell r="W1380">
            <v>7</v>
          </cell>
          <cell r="X1380">
            <v>7</v>
          </cell>
          <cell r="Y1380">
            <v>7</v>
          </cell>
        </row>
        <row r="1381">
          <cell r="D1381">
            <v>306614</v>
          </cell>
          <cell r="E1381" t="str">
            <v>Kanawan IS</v>
          </cell>
          <cell r="F1381">
            <v>1</v>
          </cell>
          <cell r="G1381">
            <v>1</v>
          </cell>
          <cell r="H1381">
            <v>1</v>
          </cell>
          <cell r="I1381">
            <v>0</v>
          </cell>
          <cell r="J1381">
            <v>1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1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</row>
        <row r="1382">
          <cell r="D1382">
            <v>321401</v>
          </cell>
          <cell r="E1382" t="str">
            <v>MATATALAIB HS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</row>
        <row r="1383">
          <cell r="D1383">
            <v>306935</v>
          </cell>
          <cell r="E1383" t="str">
            <v>Bacolor HS</v>
          </cell>
          <cell r="F1383">
            <v>1</v>
          </cell>
          <cell r="G1383">
            <v>0</v>
          </cell>
          <cell r="H1383">
            <v>1</v>
          </cell>
          <cell r="I1383">
            <v>1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1</v>
          </cell>
          <cell r="O1383">
            <v>0</v>
          </cell>
          <cell r="P1383">
            <v>0</v>
          </cell>
          <cell r="Q1383">
            <v>1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1</v>
          </cell>
          <cell r="W1383">
            <v>2</v>
          </cell>
          <cell r="X1383">
            <v>0</v>
          </cell>
          <cell r="Y1383">
            <v>0</v>
          </cell>
        </row>
        <row r="1384">
          <cell r="D1384">
            <v>300896</v>
          </cell>
          <cell r="E1384" t="str">
            <v>Malino NHS</v>
          </cell>
          <cell r="F1384">
            <v>1</v>
          </cell>
          <cell r="G1384">
            <v>1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1</v>
          </cell>
          <cell r="O1384">
            <v>0</v>
          </cell>
          <cell r="P1384">
            <v>0</v>
          </cell>
          <cell r="Q1384">
            <v>1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1</v>
          </cell>
          <cell r="W1384">
            <v>1</v>
          </cell>
          <cell r="X1384">
            <v>1</v>
          </cell>
          <cell r="Y1384">
            <v>1</v>
          </cell>
        </row>
        <row r="1385">
          <cell r="D1385">
            <v>306602</v>
          </cell>
          <cell r="E1385" t="str">
            <v>Morong NHS-Annex (Mabayo)</v>
          </cell>
          <cell r="F1385">
            <v>1</v>
          </cell>
          <cell r="G1385">
            <v>1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</row>
        <row r="1386">
          <cell r="D1386">
            <v>300938</v>
          </cell>
          <cell r="E1386" t="str">
            <v>Sto. Tomas NHS, Sto. Tomas</v>
          </cell>
          <cell r="F1386">
            <v>1</v>
          </cell>
          <cell r="G1386">
            <v>1</v>
          </cell>
          <cell r="H1386">
            <v>0</v>
          </cell>
          <cell r="I1386">
            <v>0</v>
          </cell>
          <cell r="J1386">
            <v>1</v>
          </cell>
          <cell r="K1386">
            <v>0</v>
          </cell>
          <cell r="L1386">
            <v>0</v>
          </cell>
          <cell r="M1386">
            <v>0</v>
          </cell>
          <cell r="N1386">
            <v>1</v>
          </cell>
          <cell r="O1386">
            <v>0</v>
          </cell>
          <cell r="P1386" t="str">
            <v>END OF AUGUST</v>
          </cell>
          <cell r="Q1386">
            <v>0</v>
          </cell>
          <cell r="R1386">
            <v>1</v>
          </cell>
          <cell r="S1386">
            <v>0</v>
          </cell>
          <cell r="T1386">
            <v>0</v>
          </cell>
          <cell r="U1386">
            <v>0</v>
          </cell>
          <cell r="V1386">
            <v>1</v>
          </cell>
          <cell r="W1386">
            <v>0</v>
          </cell>
          <cell r="X1386">
            <v>0</v>
          </cell>
          <cell r="Y1386">
            <v>0</v>
          </cell>
        </row>
        <row r="1387">
          <cell r="D1387">
            <v>306933</v>
          </cell>
          <cell r="E1387" t="str">
            <v>Planas High School</v>
          </cell>
          <cell r="F1387">
            <v>1</v>
          </cell>
          <cell r="G1387">
            <v>1</v>
          </cell>
          <cell r="H1387">
            <v>1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1</v>
          </cell>
          <cell r="O1387">
            <v>0</v>
          </cell>
          <cell r="P1387">
            <v>0</v>
          </cell>
          <cell r="Q1387">
            <v>0</v>
          </cell>
          <cell r="R1387">
            <v>1</v>
          </cell>
          <cell r="S1387">
            <v>0</v>
          </cell>
          <cell r="T1387">
            <v>0</v>
          </cell>
          <cell r="U1387">
            <v>0</v>
          </cell>
          <cell r="V1387">
            <v>1</v>
          </cell>
          <cell r="W1387">
            <v>0</v>
          </cell>
          <cell r="X1387">
            <v>0</v>
          </cell>
          <cell r="Y1387">
            <v>0</v>
          </cell>
        </row>
        <row r="1388">
          <cell r="D1388">
            <v>300920</v>
          </cell>
          <cell r="E1388" t="str">
            <v>San Jose High School</v>
          </cell>
          <cell r="F1388">
            <v>1</v>
          </cell>
          <cell r="G1388">
            <v>1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</row>
        <row r="1389">
          <cell r="D1389">
            <v>300914</v>
          </cell>
          <cell r="E1389" t="str">
            <v>Salapungan NHS - Annex Mandili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1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</row>
        <row r="1390">
          <cell r="D1390">
            <v>306920</v>
          </cell>
          <cell r="E1390" t="str">
            <v>Macabebe High School</v>
          </cell>
          <cell r="F1390">
            <v>1</v>
          </cell>
          <cell r="G1390">
            <v>1</v>
          </cell>
          <cell r="H1390">
            <v>1</v>
          </cell>
          <cell r="I1390">
            <v>0</v>
          </cell>
          <cell r="J1390">
            <v>0</v>
          </cell>
          <cell r="K1390">
            <v>1</v>
          </cell>
          <cell r="L1390">
            <v>0</v>
          </cell>
          <cell r="M1390">
            <v>0</v>
          </cell>
          <cell r="N1390">
            <v>0</v>
          </cell>
          <cell r="O1390">
            <v>43774</v>
          </cell>
          <cell r="P1390">
            <v>43712</v>
          </cell>
          <cell r="Q1390">
            <v>0</v>
          </cell>
          <cell r="R1390">
            <v>0</v>
          </cell>
          <cell r="S1390">
            <v>1</v>
          </cell>
          <cell r="T1390">
            <v>0</v>
          </cell>
          <cell r="U1390">
            <v>0</v>
          </cell>
          <cell r="V1390">
            <v>1</v>
          </cell>
          <cell r="W1390">
            <v>1</v>
          </cell>
          <cell r="X1390">
            <v>1</v>
          </cell>
          <cell r="Y1390">
            <v>1</v>
          </cell>
        </row>
        <row r="1391">
          <cell r="D1391">
            <v>300877</v>
          </cell>
          <cell r="E1391" t="str">
            <v>Balucuc High School</v>
          </cell>
          <cell r="F1391">
            <v>1</v>
          </cell>
          <cell r="G1391">
            <v>1</v>
          </cell>
          <cell r="H1391">
            <v>1</v>
          </cell>
          <cell r="I1391">
            <v>0</v>
          </cell>
          <cell r="J1391">
            <v>1</v>
          </cell>
          <cell r="K1391">
            <v>0</v>
          </cell>
          <cell r="L1391">
            <v>0</v>
          </cell>
          <cell r="M1391">
            <v>0</v>
          </cell>
          <cell r="N1391">
            <v>1</v>
          </cell>
          <cell r="O1391">
            <v>0</v>
          </cell>
          <cell r="P1391">
            <v>0</v>
          </cell>
          <cell r="Q1391">
            <v>0</v>
          </cell>
          <cell r="R1391">
            <v>1</v>
          </cell>
          <cell r="S1391">
            <v>0</v>
          </cell>
          <cell r="T1391">
            <v>0</v>
          </cell>
          <cell r="U1391">
            <v>0</v>
          </cell>
          <cell r="V1391">
            <v>1</v>
          </cell>
          <cell r="W1391">
            <v>0</v>
          </cell>
          <cell r="X1391">
            <v>0</v>
          </cell>
          <cell r="Y1391">
            <v>0</v>
          </cell>
        </row>
        <row r="1392">
          <cell r="D1392">
            <v>306909</v>
          </cell>
          <cell r="E1392" t="str">
            <v>Mabalacat Technical Vocational School</v>
          </cell>
          <cell r="F1392">
            <v>1</v>
          </cell>
          <cell r="G1392">
            <v>1</v>
          </cell>
          <cell r="H1392">
            <v>1</v>
          </cell>
          <cell r="I1392">
            <v>0</v>
          </cell>
          <cell r="J1392">
            <v>1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</row>
        <row r="1393">
          <cell r="D1393">
            <v>301045</v>
          </cell>
          <cell r="E1393" t="str">
            <v>Camp Tinio National High School</v>
          </cell>
          <cell r="F1393">
            <v>1</v>
          </cell>
          <cell r="G1393">
            <v>1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</row>
        <row r="1394">
          <cell r="D1394">
            <v>305633</v>
          </cell>
          <cell r="E1394" t="str">
            <v>Cabanatuan City Senior High School</v>
          </cell>
          <cell r="F1394">
            <v>1</v>
          </cell>
          <cell r="G1394">
            <v>0</v>
          </cell>
          <cell r="H1394">
            <v>1</v>
          </cell>
          <cell r="I1394">
            <v>0</v>
          </cell>
          <cell r="J1394">
            <v>1</v>
          </cell>
          <cell r="K1394">
            <v>0</v>
          </cell>
          <cell r="L1394">
            <v>0</v>
          </cell>
          <cell r="M1394">
            <v>0</v>
          </cell>
          <cell r="N1394">
            <v>1</v>
          </cell>
          <cell r="O1394" t="str">
            <v>11/14/19</v>
          </cell>
          <cell r="P1394" t="str">
            <v>10/29/19</v>
          </cell>
          <cell r="Q1394">
            <v>1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1</v>
          </cell>
          <cell r="W1394">
            <v>0</v>
          </cell>
          <cell r="X1394">
            <v>0</v>
          </cell>
          <cell r="Y1394">
            <v>0</v>
          </cell>
        </row>
        <row r="1395">
          <cell r="D1395">
            <v>300885</v>
          </cell>
          <cell r="E1395" t="str">
            <v>Cansinala NHS</v>
          </cell>
          <cell r="F1395">
            <v>1</v>
          </cell>
          <cell r="G1395">
            <v>1</v>
          </cell>
          <cell r="H1395">
            <v>1</v>
          </cell>
          <cell r="I1395">
            <v>0</v>
          </cell>
          <cell r="J1395">
            <v>1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43556</v>
          </cell>
          <cell r="Q1395">
            <v>0</v>
          </cell>
          <cell r="R1395">
            <v>1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</row>
        <row r="1396">
          <cell r="D1396">
            <v>306953</v>
          </cell>
          <cell r="E1396" t="str">
            <v>San Roque Arbol High School</v>
          </cell>
          <cell r="F1396">
            <v>1</v>
          </cell>
          <cell r="G1396">
            <v>1</v>
          </cell>
          <cell r="H1396">
            <v>1</v>
          </cell>
          <cell r="I1396">
            <v>1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1</v>
          </cell>
          <cell r="O1396" t="str">
            <v>July 08, 2019</v>
          </cell>
          <cell r="P1396" t="str">
            <v>November 20, 2019</v>
          </cell>
          <cell r="Q1396">
            <v>1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1</v>
          </cell>
          <cell r="W1396">
            <v>3</v>
          </cell>
          <cell r="X1396">
            <v>2</v>
          </cell>
          <cell r="Y1396">
            <v>2</v>
          </cell>
        </row>
        <row r="1397">
          <cell r="D1397">
            <v>306925</v>
          </cell>
          <cell r="E1397" t="str">
            <v>Don Antonio Lee Chi Uan IS</v>
          </cell>
          <cell r="F1397">
            <v>1</v>
          </cell>
          <cell r="G1397">
            <v>0</v>
          </cell>
          <cell r="H1397">
            <v>1</v>
          </cell>
          <cell r="I1397">
            <v>0</v>
          </cell>
          <cell r="J1397">
            <v>1</v>
          </cell>
          <cell r="K1397">
            <v>0</v>
          </cell>
          <cell r="L1397">
            <v>0</v>
          </cell>
          <cell r="M1397">
            <v>0</v>
          </cell>
          <cell r="N1397">
            <v>1</v>
          </cell>
          <cell r="O1397" t="str">
            <v>JUNE 13, 2019</v>
          </cell>
          <cell r="P1397" t="str">
            <v>JUNE 5, 2019</v>
          </cell>
          <cell r="Q1397">
            <v>0</v>
          </cell>
          <cell r="R1397">
            <v>1</v>
          </cell>
          <cell r="S1397">
            <v>0</v>
          </cell>
          <cell r="T1397">
            <v>0</v>
          </cell>
          <cell r="U1397">
            <v>0</v>
          </cell>
          <cell r="V1397">
            <v>1</v>
          </cell>
          <cell r="W1397">
            <v>2</v>
          </cell>
          <cell r="X1397">
            <v>0</v>
          </cell>
          <cell r="Y1397">
            <v>0</v>
          </cell>
        </row>
        <row r="1398">
          <cell r="D1398">
            <v>301012</v>
          </cell>
          <cell r="E1398" t="str">
            <v>Cawag High School (Resettlement School)</v>
          </cell>
          <cell r="F1398">
            <v>1</v>
          </cell>
          <cell r="G1398">
            <v>0</v>
          </cell>
          <cell r="H1398">
            <v>1</v>
          </cell>
          <cell r="I1398">
            <v>0</v>
          </cell>
          <cell r="J1398">
            <v>1</v>
          </cell>
          <cell r="K1398">
            <v>1</v>
          </cell>
          <cell r="L1398">
            <v>0</v>
          </cell>
          <cell r="M1398">
            <v>0</v>
          </cell>
          <cell r="N1398">
            <v>1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</row>
        <row r="1399">
          <cell r="D1399">
            <v>306616</v>
          </cell>
          <cell r="E1399" t="str">
            <v>St. Francis NHS</v>
          </cell>
          <cell r="F1399">
            <v>1</v>
          </cell>
          <cell r="G1399">
            <v>1</v>
          </cell>
          <cell r="H1399">
            <v>1</v>
          </cell>
          <cell r="I1399">
            <v>0</v>
          </cell>
          <cell r="J1399">
            <v>1</v>
          </cell>
          <cell r="K1399">
            <v>0</v>
          </cell>
          <cell r="L1399">
            <v>0</v>
          </cell>
          <cell r="M1399">
            <v>0</v>
          </cell>
          <cell r="N1399">
            <v>1</v>
          </cell>
          <cell r="O1399">
            <v>0</v>
          </cell>
          <cell r="P1399">
            <v>0</v>
          </cell>
          <cell r="Q1399">
            <v>0</v>
          </cell>
          <cell r="R1399">
            <v>1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</row>
        <row r="1400">
          <cell r="D1400">
            <v>300918</v>
          </cell>
          <cell r="E1400" t="str">
            <v>San Isidro NHS (San Luis)</v>
          </cell>
          <cell r="F1400">
            <v>1</v>
          </cell>
          <cell r="G1400">
            <v>1</v>
          </cell>
          <cell r="H1400">
            <v>1</v>
          </cell>
          <cell r="I1400">
            <v>0</v>
          </cell>
          <cell r="J1400">
            <v>1</v>
          </cell>
          <cell r="K1400">
            <v>0</v>
          </cell>
          <cell r="L1400">
            <v>0</v>
          </cell>
          <cell r="M1400">
            <v>0</v>
          </cell>
          <cell r="N1400">
            <v>1</v>
          </cell>
          <cell r="O1400">
            <v>43668</v>
          </cell>
          <cell r="P1400">
            <v>43675</v>
          </cell>
          <cell r="Q1400">
            <v>1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1</v>
          </cell>
          <cell r="W1400">
            <v>0</v>
          </cell>
          <cell r="X1400">
            <v>0</v>
          </cell>
          <cell r="Y1400">
            <v>0</v>
          </cell>
        </row>
        <row r="1401">
          <cell r="D1401">
            <v>306923</v>
          </cell>
          <cell r="E1401" t="str">
            <v>Sapang Kawayan High School</v>
          </cell>
          <cell r="F1401">
            <v>1</v>
          </cell>
          <cell r="G1401">
            <v>1</v>
          </cell>
          <cell r="H1401">
            <v>1</v>
          </cell>
          <cell r="I1401">
            <v>1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1</v>
          </cell>
          <cell r="O1401" t="str">
            <v>08/28/2019</v>
          </cell>
          <cell r="P1401" t="str">
            <v>08/28/2019</v>
          </cell>
          <cell r="Q1401">
            <v>1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1</v>
          </cell>
          <cell r="W1401">
            <v>0</v>
          </cell>
          <cell r="X1401">
            <v>0</v>
          </cell>
          <cell r="Y1401">
            <v>0</v>
          </cell>
        </row>
        <row r="1402">
          <cell r="D1402">
            <v>306948</v>
          </cell>
          <cell r="E1402" t="str">
            <v>Sebitanan NHS</v>
          </cell>
          <cell r="F1402">
            <v>1</v>
          </cell>
          <cell r="G1402">
            <v>0</v>
          </cell>
          <cell r="H1402">
            <v>1</v>
          </cell>
          <cell r="I1402">
            <v>0</v>
          </cell>
          <cell r="J1402">
            <v>0</v>
          </cell>
          <cell r="K1402">
            <v>1</v>
          </cell>
          <cell r="L1402">
            <v>0</v>
          </cell>
          <cell r="M1402">
            <v>0</v>
          </cell>
          <cell r="N1402">
            <v>1</v>
          </cell>
          <cell r="O1402">
            <v>43617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</row>
        <row r="1403">
          <cell r="D1403">
            <v>300881</v>
          </cell>
          <cell r="E1403" t="str">
            <v>San Basilio HS (Becuran NHS Annex)</v>
          </cell>
          <cell r="F1403">
            <v>1</v>
          </cell>
          <cell r="G1403">
            <v>1</v>
          </cell>
          <cell r="H1403">
            <v>1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1</v>
          </cell>
          <cell r="O1403">
            <v>0</v>
          </cell>
          <cell r="P1403">
            <v>43617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1</v>
          </cell>
          <cell r="W1403">
            <v>0</v>
          </cell>
          <cell r="X1403">
            <v>0</v>
          </cell>
          <cell r="Y1403">
            <v>0</v>
          </cell>
        </row>
        <row r="1404">
          <cell r="D1404">
            <v>306906</v>
          </cell>
          <cell r="E1404" t="str">
            <v>Tarik Suliman High School</v>
          </cell>
          <cell r="F1404">
            <v>1</v>
          </cell>
          <cell r="G1404">
            <v>1</v>
          </cell>
          <cell r="H1404">
            <v>1</v>
          </cell>
          <cell r="I1404">
            <v>0</v>
          </cell>
          <cell r="J1404">
            <v>1</v>
          </cell>
          <cell r="K1404">
            <v>0</v>
          </cell>
          <cell r="L1404">
            <v>0</v>
          </cell>
          <cell r="M1404">
            <v>0</v>
          </cell>
          <cell r="N1404">
            <v>1</v>
          </cell>
          <cell r="O1404">
            <v>43677</v>
          </cell>
          <cell r="P1404">
            <v>43626</v>
          </cell>
          <cell r="Q1404">
            <v>0</v>
          </cell>
          <cell r="R1404">
            <v>0</v>
          </cell>
          <cell r="S1404">
            <v>1</v>
          </cell>
          <cell r="T1404">
            <v>0</v>
          </cell>
          <cell r="U1404">
            <v>0</v>
          </cell>
          <cell r="V1404">
            <v>1</v>
          </cell>
          <cell r="W1404">
            <v>1</v>
          </cell>
          <cell r="X1404">
            <v>0</v>
          </cell>
          <cell r="Y1404">
            <v>0</v>
          </cell>
        </row>
        <row r="1405">
          <cell r="D1405">
            <v>300924</v>
          </cell>
          <cell r="E1405" t="str">
            <v>San Matias NHS</v>
          </cell>
          <cell r="F1405">
            <v>1</v>
          </cell>
          <cell r="G1405">
            <v>1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</row>
        <row r="1406">
          <cell r="D1406">
            <v>300718</v>
          </cell>
          <cell r="E1406" t="str">
            <v>Pagalanggang NHS</v>
          </cell>
          <cell r="F1406">
            <v>1</v>
          </cell>
          <cell r="G1406">
            <v>1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4</v>
          </cell>
          <cell r="X1406">
            <v>4</v>
          </cell>
          <cell r="Y1406">
            <v>4</v>
          </cell>
        </row>
        <row r="1407">
          <cell r="D1407">
            <v>300911</v>
          </cell>
          <cell r="E1407" t="str">
            <v>Eastern Porac National High School</v>
          </cell>
          <cell r="F1407">
            <v>1</v>
          </cell>
          <cell r="G1407">
            <v>1</v>
          </cell>
          <cell r="H1407">
            <v>1</v>
          </cell>
          <cell r="I1407">
            <v>0</v>
          </cell>
          <cell r="J1407">
            <v>0</v>
          </cell>
          <cell r="K1407">
            <v>0</v>
          </cell>
          <cell r="L1407">
            <v>1</v>
          </cell>
          <cell r="M1407" t="str">
            <v>as needed</v>
          </cell>
          <cell r="N1407">
            <v>1</v>
          </cell>
          <cell r="O1407">
            <v>0</v>
          </cell>
          <cell r="P1407">
            <v>43617</v>
          </cell>
          <cell r="Q1407">
            <v>0</v>
          </cell>
          <cell r="R1407">
            <v>0</v>
          </cell>
          <cell r="S1407">
            <v>1</v>
          </cell>
          <cell r="T1407">
            <v>0</v>
          </cell>
          <cell r="U1407">
            <v>0</v>
          </cell>
          <cell r="V1407">
            <v>1</v>
          </cell>
          <cell r="W1407">
            <v>2</v>
          </cell>
          <cell r="X1407">
            <v>0</v>
          </cell>
          <cell r="Y1407">
            <v>0</v>
          </cell>
        </row>
        <row r="1408">
          <cell r="D1408">
            <v>306955</v>
          </cell>
          <cell r="E1408" t="str">
            <v>Mangga High School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</row>
        <row r="1409">
          <cell r="D1409">
            <v>306918</v>
          </cell>
          <cell r="E1409" t="str">
            <v>San Simon High School</v>
          </cell>
          <cell r="F1409">
            <v>1</v>
          </cell>
          <cell r="G1409">
            <v>0</v>
          </cell>
          <cell r="H1409">
            <v>1</v>
          </cell>
          <cell r="I1409">
            <v>0</v>
          </cell>
          <cell r="J1409">
            <v>0</v>
          </cell>
          <cell r="K1409">
            <v>1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3</v>
          </cell>
          <cell r="X1409">
            <v>0</v>
          </cell>
          <cell r="Y1409">
            <v>0</v>
          </cell>
        </row>
        <row r="1410">
          <cell r="D1410">
            <v>345530</v>
          </cell>
          <cell r="E1410" t="str">
            <v>SHS in Apalit, Pampanga</v>
          </cell>
          <cell r="F1410">
            <v>1</v>
          </cell>
          <cell r="G1410">
            <v>1</v>
          </cell>
          <cell r="H1410">
            <v>1</v>
          </cell>
          <cell r="I1410">
            <v>1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1</v>
          </cell>
          <cell r="O1410">
            <v>0</v>
          </cell>
          <cell r="P1410">
            <v>0</v>
          </cell>
          <cell r="Q1410">
            <v>0</v>
          </cell>
          <cell r="R1410">
            <v>1</v>
          </cell>
          <cell r="S1410">
            <v>0</v>
          </cell>
          <cell r="T1410">
            <v>0</v>
          </cell>
          <cell r="U1410">
            <v>0</v>
          </cell>
          <cell r="V1410">
            <v>1</v>
          </cell>
          <cell r="W1410">
            <v>0</v>
          </cell>
          <cell r="X1410">
            <v>0</v>
          </cell>
          <cell r="Y1410">
            <v>0</v>
          </cell>
        </row>
        <row r="1411">
          <cell r="D1411">
            <v>306919</v>
          </cell>
          <cell r="E1411" t="str">
            <v>Sampaga High School</v>
          </cell>
          <cell r="F1411">
            <v>1</v>
          </cell>
          <cell r="G1411">
            <v>1</v>
          </cell>
          <cell r="H1411">
            <v>1</v>
          </cell>
          <cell r="I1411">
            <v>0</v>
          </cell>
          <cell r="J1411">
            <v>0</v>
          </cell>
          <cell r="K1411">
            <v>1</v>
          </cell>
          <cell r="L1411">
            <v>0</v>
          </cell>
          <cell r="M1411">
            <v>0</v>
          </cell>
          <cell r="N1411">
            <v>1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1</v>
          </cell>
          <cell r="T1411">
            <v>0</v>
          </cell>
          <cell r="U1411">
            <v>0</v>
          </cell>
          <cell r="V1411">
            <v>1</v>
          </cell>
          <cell r="W1411">
            <v>0</v>
          </cell>
          <cell r="X1411">
            <v>0</v>
          </cell>
          <cell r="Y1411">
            <v>0</v>
          </cell>
        </row>
        <row r="1412">
          <cell r="D1412">
            <v>500513</v>
          </cell>
          <cell r="E1412" t="str">
            <v>Bancal Integrated School</v>
          </cell>
          <cell r="F1412">
            <v>1</v>
          </cell>
          <cell r="G1412">
            <v>1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</row>
        <row r="1413">
          <cell r="D1413">
            <v>306902</v>
          </cell>
          <cell r="E1413" t="str">
            <v>San isidro National High School (San Jose Integrated)</v>
          </cell>
          <cell r="F1413">
            <v>1</v>
          </cell>
          <cell r="G1413">
            <v>1</v>
          </cell>
          <cell r="H1413">
            <v>1</v>
          </cell>
          <cell r="I1413">
            <v>0</v>
          </cell>
          <cell r="J1413">
            <v>0</v>
          </cell>
          <cell r="K1413">
            <v>1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1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</row>
        <row r="1414">
          <cell r="D1414">
            <v>306612</v>
          </cell>
          <cell r="E1414" t="str">
            <v>Roosevelt National High School</v>
          </cell>
          <cell r="F1414">
            <v>1</v>
          </cell>
          <cell r="G1414">
            <v>1</v>
          </cell>
          <cell r="H1414">
            <v>1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1</v>
          </cell>
          <cell r="O1414">
            <v>43747</v>
          </cell>
          <cell r="P1414" t="str">
            <v>08/19/2019</v>
          </cell>
          <cell r="Q1414">
            <v>0</v>
          </cell>
          <cell r="R1414">
            <v>0</v>
          </cell>
          <cell r="S1414">
            <v>1</v>
          </cell>
          <cell r="T1414">
            <v>0</v>
          </cell>
          <cell r="U1414">
            <v>0</v>
          </cell>
          <cell r="V1414">
            <v>1</v>
          </cell>
          <cell r="W1414">
            <v>5</v>
          </cell>
          <cell r="X1414">
            <v>5</v>
          </cell>
          <cell r="Y1414">
            <v>0</v>
          </cell>
        </row>
        <row r="1415">
          <cell r="D1415">
            <v>300714</v>
          </cell>
          <cell r="E1415" t="str">
            <v>Nagbalayong NHS</v>
          </cell>
          <cell r="F1415">
            <v>1</v>
          </cell>
          <cell r="G1415">
            <v>1</v>
          </cell>
          <cell r="H1415">
            <v>1</v>
          </cell>
          <cell r="I1415">
            <v>0</v>
          </cell>
          <cell r="J1415">
            <v>1</v>
          </cell>
          <cell r="K1415">
            <v>0</v>
          </cell>
          <cell r="L1415">
            <v>1</v>
          </cell>
          <cell r="M1415" t="str">
            <v>AS NEEDED ARISE</v>
          </cell>
          <cell r="N1415">
            <v>1</v>
          </cell>
          <cell r="O1415" t="str">
            <v>MAY 25, 2019</v>
          </cell>
          <cell r="P1415">
            <v>0</v>
          </cell>
          <cell r="Q1415">
            <v>0</v>
          </cell>
          <cell r="R1415">
            <v>1</v>
          </cell>
          <cell r="S1415">
            <v>0</v>
          </cell>
          <cell r="T1415">
            <v>1</v>
          </cell>
          <cell r="U1415" t="str">
            <v>AS NEEDED ARISE</v>
          </cell>
          <cell r="V1415">
            <v>1</v>
          </cell>
          <cell r="W1415">
            <v>0</v>
          </cell>
          <cell r="X1415">
            <v>0</v>
          </cell>
          <cell r="Y1415">
            <v>0</v>
          </cell>
        </row>
        <row r="1416">
          <cell r="D1416">
            <v>345349</v>
          </cell>
          <cell r="E1416" t="str">
            <v>City of Meycauayan Vocational Senior High School</v>
          </cell>
          <cell r="F1416">
            <v>1</v>
          </cell>
          <cell r="G1416">
            <v>0</v>
          </cell>
          <cell r="H1416">
            <v>1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</row>
        <row r="1417">
          <cell r="D1417">
            <v>300800</v>
          </cell>
          <cell r="E1417" t="str">
            <v>San Jose City National High School (formerly Constancio Padilla National High School)</v>
          </cell>
          <cell r="F1417">
            <v>1</v>
          </cell>
          <cell r="G1417">
            <v>1</v>
          </cell>
          <cell r="H1417">
            <v>1</v>
          </cell>
          <cell r="I1417">
            <v>0</v>
          </cell>
          <cell r="J1417">
            <v>1</v>
          </cell>
          <cell r="K1417">
            <v>0</v>
          </cell>
          <cell r="L1417">
            <v>0</v>
          </cell>
          <cell r="M1417">
            <v>0</v>
          </cell>
          <cell r="N1417">
            <v>1</v>
          </cell>
          <cell r="O1417">
            <v>43739</v>
          </cell>
          <cell r="P1417">
            <v>43678</v>
          </cell>
          <cell r="Q1417">
            <v>0</v>
          </cell>
          <cell r="R1417">
            <v>1</v>
          </cell>
          <cell r="S1417">
            <v>0</v>
          </cell>
          <cell r="T1417">
            <v>0</v>
          </cell>
          <cell r="U1417">
            <v>0</v>
          </cell>
          <cell r="V1417">
            <v>1</v>
          </cell>
          <cell r="W1417">
            <v>2</v>
          </cell>
          <cell r="X1417">
            <v>1</v>
          </cell>
          <cell r="Y1417">
            <v>1</v>
          </cell>
        </row>
        <row r="1418">
          <cell r="D1418">
            <v>306805</v>
          </cell>
          <cell r="E1418" t="str">
            <v>Sto. Nino 3rd National High School</v>
          </cell>
          <cell r="F1418">
            <v>1</v>
          </cell>
          <cell r="G1418">
            <v>1</v>
          </cell>
          <cell r="H1418">
            <v>1</v>
          </cell>
          <cell r="I1418">
            <v>0</v>
          </cell>
          <cell r="J1418">
            <v>1</v>
          </cell>
          <cell r="K1418">
            <v>0</v>
          </cell>
          <cell r="L1418">
            <v>0</v>
          </cell>
          <cell r="M1418">
            <v>0</v>
          </cell>
          <cell r="N1418">
            <v>1</v>
          </cell>
          <cell r="O1418">
            <v>0</v>
          </cell>
          <cell r="P1418">
            <v>0</v>
          </cell>
          <cell r="Q1418">
            <v>0</v>
          </cell>
          <cell r="R1418">
            <v>1</v>
          </cell>
          <cell r="S1418">
            <v>0</v>
          </cell>
          <cell r="T1418">
            <v>0</v>
          </cell>
          <cell r="U1418">
            <v>0</v>
          </cell>
          <cell r="V1418">
            <v>1</v>
          </cell>
          <cell r="W1418">
            <v>0</v>
          </cell>
          <cell r="X1418">
            <v>0</v>
          </cell>
          <cell r="Y1418">
            <v>0</v>
          </cell>
        </row>
        <row r="1419">
          <cell r="D1419">
            <v>300712</v>
          </cell>
          <cell r="E1419" t="str">
            <v>Mariveles NHS Malaya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</row>
        <row r="1420">
          <cell r="D1420">
            <v>301035</v>
          </cell>
          <cell r="E1420" t="str">
            <v>Sta. Fe NHS</v>
          </cell>
          <cell r="F1420">
            <v>1</v>
          </cell>
          <cell r="G1420">
            <v>1</v>
          </cell>
          <cell r="H1420">
            <v>1</v>
          </cell>
          <cell r="I1420">
            <v>0</v>
          </cell>
          <cell r="J1420">
            <v>1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43683</v>
          </cell>
          <cell r="P1420">
            <v>43683</v>
          </cell>
          <cell r="Q1420">
            <v>0</v>
          </cell>
          <cell r="R1420">
            <v>1</v>
          </cell>
          <cell r="S1420">
            <v>0</v>
          </cell>
          <cell r="T1420">
            <v>0</v>
          </cell>
          <cell r="U1420">
            <v>0</v>
          </cell>
          <cell r="V1420">
            <v>1</v>
          </cell>
          <cell r="W1420">
            <v>0</v>
          </cell>
          <cell r="X1420">
            <v>0</v>
          </cell>
          <cell r="Y1420">
            <v>0</v>
          </cell>
        </row>
        <row r="1421">
          <cell r="D1421">
            <v>307301</v>
          </cell>
          <cell r="E1421" t="str">
            <v>Cesar E. Vergara Memorial High School</v>
          </cell>
          <cell r="F1421">
            <v>1</v>
          </cell>
          <cell r="G1421">
            <v>1</v>
          </cell>
          <cell r="H1421">
            <v>1</v>
          </cell>
          <cell r="I1421">
            <v>0</v>
          </cell>
          <cell r="J1421">
            <v>0</v>
          </cell>
          <cell r="K1421">
            <v>1</v>
          </cell>
          <cell r="L1421">
            <v>0</v>
          </cell>
          <cell r="M1421">
            <v>0</v>
          </cell>
          <cell r="N1421">
            <v>0</v>
          </cell>
          <cell r="O1421" t="str">
            <v>8/16/2019</v>
          </cell>
          <cell r="P1421" t="str">
            <v>11/25/2019</v>
          </cell>
          <cell r="Q1421">
            <v>1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1</v>
          </cell>
          <cell r="X1421">
            <v>0</v>
          </cell>
          <cell r="Y1421">
            <v>0</v>
          </cell>
        </row>
        <row r="1422">
          <cell r="D1422">
            <v>306611</v>
          </cell>
          <cell r="E1422" t="str">
            <v>Luakan NHS - Annex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</row>
        <row r="1423">
          <cell r="D1423">
            <v>300868</v>
          </cell>
          <cell r="E1423" t="str">
            <v>Tondod National High School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</row>
        <row r="1424">
          <cell r="D1424">
            <v>306817</v>
          </cell>
          <cell r="E1424" t="str">
            <v>Caanawan National High School</v>
          </cell>
          <cell r="F1424">
            <v>1</v>
          </cell>
          <cell r="G1424">
            <v>1</v>
          </cell>
          <cell r="H1424">
            <v>0</v>
          </cell>
          <cell r="I1424">
            <v>1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1</v>
          </cell>
          <cell r="O1424">
            <v>0</v>
          </cell>
          <cell r="P1424">
            <v>0</v>
          </cell>
          <cell r="Q1424">
            <v>1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1</v>
          </cell>
          <cell r="W1424">
            <v>0</v>
          </cell>
          <cell r="X1424">
            <v>0</v>
          </cell>
          <cell r="Y1424">
            <v>0</v>
          </cell>
        </row>
        <row r="1425">
          <cell r="D1425">
            <v>307505</v>
          </cell>
          <cell r="E1425" t="str">
            <v>Minuyan NHS (Golden Ville HS)</v>
          </cell>
          <cell r="F1425">
            <v>1</v>
          </cell>
          <cell r="G1425">
            <v>1</v>
          </cell>
          <cell r="H1425">
            <v>1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43615</v>
          </cell>
          <cell r="P1425">
            <v>43661</v>
          </cell>
          <cell r="Q1425">
            <v>1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1</v>
          </cell>
          <cell r="W1425">
            <v>0</v>
          </cell>
          <cell r="X1425">
            <v>0</v>
          </cell>
          <cell r="Y1425">
            <v>0</v>
          </cell>
        </row>
        <row r="1426">
          <cell r="D1426">
            <v>301046</v>
          </cell>
          <cell r="E1426" t="str">
            <v>Mayapyap National High School</v>
          </cell>
          <cell r="F1426">
            <v>1</v>
          </cell>
          <cell r="G1426">
            <v>1</v>
          </cell>
          <cell r="H1426">
            <v>1</v>
          </cell>
          <cell r="I1426">
            <v>0</v>
          </cell>
          <cell r="J1426">
            <v>1</v>
          </cell>
          <cell r="K1426">
            <v>0</v>
          </cell>
          <cell r="L1426">
            <v>0</v>
          </cell>
          <cell r="M1426">
            <v>0</v>
          </cell>
          <cell r="N1426">
            <v>1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</row>
        <row r="1427">
          <cell r="D1427">
            <v>307507</v>
          </cell>
          <cell r="E1427" t="str">
            <v>San Martin National HS</v>
          </cell>
          <cell r="F1427">
            <v>1</v>
          </cell>
          <cell r="G1427">
            <v>1</v>
          </cell>
          <cell r="H1427">
            <v>1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1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</row>
        <row r="1428">
          <cell r="D1428">
            <v>500979</v>
          </cell>
          <cell r="E1428" t="str">
            <v>Pandaras Integrated High School</v>
          </cell>
          <cell r="F1428">
            <v>1</v>
          </cell>
          <cell r="G1428">
            <v>1</v>
          </cell>
          <cell r="H1428">
            <v>1</v>
          </cell>
          <cell r="I1428">
            <v>0</v>
          </cell>
          <cell r="J1428">
            <v>1</v>
          </cell>
          <cell r="K1428">
            <v>0</v>
          </cell>
          <cell r="L1428">
            <v>0</v>
          </cell>
          <cell r="M1428">
            <v>0</v>
          </cell>
          <cell r="N1428">
            <v>1</v>
          </cell>
          <cell r="O1428">
            <v>0</v>
          </cell>
          <cell r="P1428">
            <v>43475</v>
          </cell>
          <cell r="Q1428">
            <v>0</v>
          </cell>
          <cell r="R1428">
            <v>1</v>
          </cell>
          <cell r="S1428">
            <v>0</v>
          </cell>
          <cell r="T1428">
            <v>0</v>
          </cell>
          <cell r="U1428">
            <v>0</v>
          </cell>
          <cell r="V1428">
            <v>1</v>
          </cell>
          <cell r="W1428">
            <v>0</v>
          </cell>
          <cell r="X1428">
            <v>0</v>
          </cell>
          <cell r="Y1428">
            <v>0</v>
          </cell>
        </row>
        <row r="1429">
          <cell r="D1429">
            <v>300751</v>
          </cell>
          <cell r="E1429" t="str">
            <v>Marcelo H. del Pilar National HS</v>
          </cell>
          <cell r="F1429">
            <v>1</v>
          </cell>
          <cell r="G1429">
            <v>1</v>
          </cell>
          <cell r="H1429">
            <v>1</v>
          </cell>
          <cell r="I1429">
            <v>1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1</v>
          </cell>
          <cell r="O1429">
            <v>0</v>
          </cell>
          <cell r="P1429">
            <v>0</v>
          </cell>
          <cell r="Q1429">
            <v>1</v>
          </cell>
          <cell r="R1429">
            <v>0</v>
          </cell>
          <cell r="S1429">
            <v>0</v>
          </cell>
          <cell r="T1429">
            <v>1</v>
          </cell>
          <cell r="U1429">
            <v>0</v>
          </cell>
          <cell r="V1429">
            <v>1</v>
          </cell>
          <cell r="W1429">
            <v>0</v>
          </cell>
          <cell r="X1429">
            <v>0</v>
          </cell>
          <cell r="Y1429">
            <v>0</v>
          </cell>
        </row>
        <row r="1430">
          <cell r="D1430">
            <v>330513</v>
          </cell>
          <cell r="E1430" t="str">
            <v>Philippine Science High School - Central Luzon Campus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</row>
        <row r="1431">
          <cell r="D1431">
            <v>300849</v>
          </cell>
          <cell r="E1431" t="str">
            <v>San Nicolas NHS</v>
          </cell>
          <cell r="F1431">
            <v>1</v>
          </cell>
          <cell r="G1431">
            <v>1</v>
          </cell>
          <cell r="H1431">
            <v>1</v>
          </cell>
          <cell r="I1431">
            <v>0</v>
          </cell>
          <cell r="J1431">
            <v>1</v>
          </cell>
          <cell r="K1431">
            <v>0</v>
          </cell>
          <cell r="L1431">
            <v>0</v>
          </cell>
          <cell r="M1431">
            <v>0</v>
          </cell>
          <cell r="N1431">
            <v>1</v>
          </cell>
          <cell r="O1431">
            <v>0</v>
          </cell>
          <cell r="P1431">
            <v>0</v>
          </cell>
          <cell r="Q1431">
            <v>0</v>
          </cell>
          <cell r="R1431">
            <v>1</v>
          </cell>
          <cell r="S1431">
            <v>0</v>
          </cell>
          <cell r="T1431">
            <v>0</v>
          </cell>
          <cell r="U1431">
            <v>0</v>
          </cell>
          <cell r="V1431">
            <v>1</v>
          </cell>
          <cell r="W1431">
            <v>1</v>
          </cell>
          <cell r="X1431">
            <v>0</v>
          </cell>
          <cell r="Y1431">
            <v>0</v>
          </cell>
        </row>
        <row r="1432">
          <cell r="D1432">
            <v>300833</v>
          </cell>
          <cell r="E1432" t="str">
            <v>Porais National High School</v>
          </cell>
          <cell r="F1432">
            <v>1</v>
          </cell>
          <cell r="G1432">
            <v>1</v>
          </cell>
          <cell r="H1432">
            <v>1</v>
          </cell>
          <cell r="I1432">
            <v>0</v>
          </cell>
          <cell r="J1432">
            <v>1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43617</v>
          </cell>
          <cell r="P1432">
            <v>43525</v>
          </cell>
          <cell r="Q1432">
            <v>1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1</v>
          </cell>
          <cell r="W1432">
            <v>1</v>
          </cell>
          <cell r="X1432">
            <v>0</v>
          </cell>
          <cell r="Y1432">
            <v>0</v>
          </cell>
        </row>
        <row r="1433">
          <cell r="D1433">
            <v>301154</v>
          </cell>
          <cell r="E1433" t="str">
            <v>Tanauan School of Fisheries</v>
          </cell>
          <cell r="F1433">
            <v>1</v>
          </cell>
          <cell r="G1433">
            <v>0</v>
          </cell>
          <cell r="H1433">
            <v>1</v>
          </cell>
          <cell r="I1433">
            <v>0</v>
          </cell>
          <cell r="J1433">
            <v>0</v>
          </cell>
          <cell r="K1433">
            <v>1</v>
          </cell>
          <cell r="L1433">
            <v>0</v>
          </cell>
          <cell r="M1433">
            <v>0</v>
          </cell>
          <cell r="N1433">
            <v>1</v>
          </cell>
          <cell r="O1433">
            <v>43617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1</v>
          </cell>
          <cell r="U1433" t="str">
            <v>none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</row>
        <row r="1434">
          <cell r="D1434">
            <v>321602</v>
          </cell>
          <cell r="E1434" t="str">
            <v>Balele Integrated High School</v>
          </cell>
          <cell r="F1434">
            <v>1</v>
          </cell>
          <cell r="G1434">
            <v>0</v>
          </cell>
          <cell r="H1434">
            <v>1</v>
          </cell>
          <cell r="I1434">
            <v>1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 t="str">
            <v>none</v>
          </cell>
          <cell r="P1434" t="str">
            <v>none</v>
          </cell>
          <cell r="Q1434">
            <v>0</v>
          </cell>
          <cell r="R1434">
            <v>0</v>
          </cell>
          <cell r="S1434">
            <v>0</v>
          </cell>
          <cell r="T1434">
            <v>1</v>
          </cell>
          <cell r="U1434" t="str">
            <v>none</v>
          </cell>
          <cell r="V1434">
            <v>0</v>
          </cell>
          <cell r="W1434">
            <v>1</v>
          </cell>
          <cell r="X1434">
            <v>0</v>
          </cell>
          <cell r="Y1434">
            <v>0</v>
          </cell>
        </row>
        <row r="1435">
          <cell r="D1435">
            <v>321502</v>
          </cell>
          <cell r="E1435" t="str">
            <v>Canumay NHS</v>
          </cell>
          <cell r="F1435">
            <v>1</v>
          </cell>
          <cell r="G1435">
            <v>0</v>
          </cell>
          <cell r="H1435">
            <v>1</v>
          </cell>
          <cell r="I1435">
            <v>0</v>
          </cell>
          <cell r="J1435">
            <v>1</v>
          </cell>
          <cell r="K1435">
            <v>0</v>
          </cell>
          <cell r="L1435">
            <v>0</v>
          </cell>
          <cell r="M1435">
            <v>0</v>
          </cell>
          <cell r="N1435">
            <v>1</v>
          </cell>
          <cell r="O1435">
            <v>0</v>
          </cell>
          <cell r="P1435">
            <v>0</v>
          </cell>
          <cell r="Q1435">
            <v>0</v>
          </cell>
          <cell r="R1435">
            <v>1</v>
          </cell>
          <cell r="S1435">
            <v>0</v>
          </cell>
          <cell r="T1435">
            <v>0</v>
          </cell>
          <cell r="U1435">
            <v>0</v>
          </cell>
          <cell r="V1435">
            <v>1</v>
          </cell>
          <cell r="W1435">
            <v>0</v>
          </cell>
          <cell r="X1435">
            <v>0</v>
          </cell>
          <cell r="Y1435">
            <v>0</v>
          </cell>
        </row>
        <row r="1436">
          <cell r="D1436">
            <v>342351</v>
          </cell>
          <cell r="E1436" t="str">
            <v>Stand Alone SHS No. 9 Lalakay</v>
          </cell>
          <cell r="F1436">
            <v>1</v>
          </cell>
          <cell r="G1436">
            <v>1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</row>
        <row r="1437">
          <cell r="D1437">
            <v>307933</v>
          </cell>
          <cell r="E1437" t="str">
            <v>Tuntungin-Putho NHS</v>
          </cell>
          <cell r="F1437">
            <v>1</v>
          </cell>
          <cell r="G1437">
            <v>1</v>
          </cell>
          <cell r="H1437">
            <v>1</v>
          </cell>
          <cell r="I1437">
            <v>0</v>
          </cell>
          <cell r="J1437">
            <v>1</v>
          </cell>
          <cell r="K1437">
            <v>0</v>
          </cell>
          <cell r="L1437">
            <v>0</v>
          </cell>
          <cell r="M1437">
            <v>0</v>
          </cell>
          <cell r="N1437">
            <v>1</v>
          </cell>
          <cell r="O1437">
            <v>43647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2</v>
          </cell>
          <cell r="X1437">
            <v>0</v>
          </cell>
          <cell r="Y1437">
            <v>0</v>
          </cell>
        </row>
        <row r="1438">
          <cell r="D1438">
            <v>321601</v>
          </cell>
          <cell r="E1438" t="str">
            <v>Tanauan City Integrated High School</v>
          </cell>
          <cell r="F1438">
            <v>1</v>
          </cell>
          <cell r="G1438">
            <v>0</v>
          </cell>
          <cell r="H1438">
            <v>1</v>
          </cell>
          <cell r="I1438">
            <v>0</v>
          </cell>
          <cell r="J1438">
            <v>0</v>
          </cell>
          <cell r="K1438">
            <v>0</v>
          </cell>
          <cell r="L1438">
            <v>1</v>
          </cell>
          <cell r="M1438" t="str">
            <v>as need arises</v>
          </cell>
          <cell r="N1438">
            <v>1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</row>
        <row r="1439">
          <cell r="D1439">
            <v>301496</v>
          </cell>
          <cell r="E1439" t="str">
            <v>Pinagkawitan Integrated National Hgh School</v>
          </cell>
          <cell r="F1439">
            <v>1</v>
          </cell>
          <cell r="G1439">
            <v>1</v>
          </cell>
          <cell r="H1439">
            <v>1</v>
          </cell>
          <cell r="I1439">
            <v>0</v>
          </cell>
          <cell r="J1439">
            <v>1</v>
          </cell>
          <cell r="K1439">
            <v>0</v>
          </cell>
          <cell r="L1439">
            <v>0</v>
          </cell>
          <cell r="M1439">
            <v>0</v>
          </cell>
          <cell r="N1439">
            <v>1</v>
          </cell>
          <cell r="O1439">
            <v>0</v>
          </cell>
          <cell r="P1439" t="str">
            <v>May 19,2019</v>
          </cell>
          <cell r="Q1439">
            <v>0</v>
          </cell>
          <cell r="R1439">
            <v>1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30</v>
          </cell>
          <cell r="X1439">
            <v>30</v>
          </cell>
          <cell r="Y1439">
            <v>30</v>
          </cell>
        </row>
        <row r="1440">
          <cell r="D1440">
            <v>301133</v>
          </cell>
          <cell r="E1440" t="str">
            <v>Pantay Integrated HS</v>
          </cell>
          <cell r="F1440">
            <v>1</v>
          </cell>
          <cell r="G1440">
            <v>1</v>
          </cell>
          <cell r="H1440">
            <v>1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1</v>
          </cell>
          <cell r="O1440" t="str">
            <v>August 1, 2019</v>
          </cell>
          <cell r="P1440" t="str">
            <v>September 2018</v>
          </cell>
          <cell r="Q1440">
            <v>0</v>
          </cell>
          <cell r="R1440">
            <v>1</v>
          </cell>
          <cell r="S1440">
            <v>0</v>
          </cell>
          <cell r="T1440">
            <v>0</v>
          </cell>
          <cell r="U1440">
            <v>0</v>
          </cell>
          <cell r="V1440">
            <v>1</v>
          </cell>
          <cell r="W1440">
            <v>3</v>
          </cell>
          <cell r="X1440">
            <v>3</v>
          </cell>
          <cell r="Y1440">
            <v>0</v>
          </cell>
        </row>
        <row r="1441">
          <cell r="D1441">
            <v>342350</v>
          </cell>
          <cell r="E1441" t="str">
            <v>Stand Alone SHS No. 8 Bambang</v>
          </cell>
          <cell r="F1441">
            <v>1</v>
          </cell>
          <cell r="G1441">
            <v>1</v>
          </cell>
          <cell r="H1441">
            <v>1</v>
          </cell>
          <cell r="I1441">
            <v>1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1</v>
          </cell>
          <cell r="O1441" t="str">
            <v>AUGUST 6, 2019</v>
          </cell>
          <cell r="P1441" t="str">
            <v>AUGUST 6, 2019</v>
          </cell>
          <cell r="Q1441">
            <v>0</v>
          </cell>
          <cell r="R1441">
            <v>1</v>
          </cell>
          <cell r="S1441">
            <v>0</v>
          </cell>
          <cell r="T1441">
            <v>0</v>
          </cell>
          <cell r="U1441">
            <v>0</v>
          </cell>
          <cell r="V1441">
            <v>1</v>
          </cell>
          <cell r="W1441">
            <v>2</v>
          </cell>
          <cell r="X1441">
            <v>0</v>
          </cell>
          <cell r="Y1441">
            <v>0</v>
          </cell>
        </row>
        <row r="1442">
          <cell r="D1442">
            <v>301450</v>
          </cell>
          <cell r="E1442" t="str">
            <v>Maximo L. Gatlabayan Memorial NHS</v>
          </cell>
          <cell r="F1442">
            <v>1</v>
          </cell>
          <cell r="G1442">
            <v>1</v>
          </cell>
          <cell r="H1442">
            <v>1</v>
          </cell>
          <cell r="I1442">
            <v>0</v>
          </cell>
          <cell r="J1442">
            <v>0</v>
          </cell>
          <cell r="K1442">
            <v>1</v>
          </cell>
          <cell r="L1442">
            <v>0</v>
          </cell>
          <cell r="M1442">
            <v>0</v>
          </cell>
          <cell r="N1442">
            <v>1</v>
          </cell>
          <cell r="O1442">
            <v>0</v>
          </cell>
          <cell r="P1442">
            <v>0</v>
          </cell>
          <cell r="Q1442">
            <v>1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</row>
        <row r="1443">
          <cell r="D1443">
            <v>301488</v>
          </cell>
          <cell r="E1443" t="str">
            <v>Bugtongnapulo Integrated National High School</v>
          </cell>
          <cell r="F1443">
            <v>1</v>
          </cell>
          <cell r="G1443">
            <v>1</v>
          </cell>
          <cell r="H1443">
            <v>1</v>
          </cell>
          <cell r="I1443">
            <v>1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1</v>
          </cell>
          <cell r="O1443">
            <v>0</v>
          </cell>
          <cell r="P1443">
            <v>0</v>
          </cell>
          <cell r="Q1443">
            <v>1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1</v>
          </cell>
          <cell r="W1443">
            <v>0</v>
          </cell>
          <cell r="X1443">
            <v>0</v>
          </cell>
          <cell r="Y1443">
            <v>0</v>
          </cell>
        </row>
        <row r="1444">
          <cell r="D1444">
            <v>342213</v>
          </cell>
          <cell r="E1444" t="str">
            <v>SHS within Calumpang Elementary School</v>
          </cell>
          <cell r="F1444">
            <v>1</v>
          </cell>
          <cell r="G1444">
            <v>1</v>
          </cell>
          <cell r="H1444">
            <v>0</v>
          </cell>
          <cell r="I1444">
            <v>0</v>
          </cell>
          <cell r="J1444">
            <v>1</v>
          </cell>
          <cell r="K1444">
            <v>0</v>
          </cell>
          <cell r="L1444">
            <v>0</v>
          </cell>
          <cell r="M1444">
            <v>0</v>
          </cell>
          <cell r="N1444">
            <v>1</v>
          </cell>
          <cell r="O1444" t="str">
            <v>JULY 15, 2019</v>
          </cell>
          <cell r="P1444" t="str">
            <v>JULY 31, 2019</v>
          </cell>
          <cell r="Q1444">
            <v>1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1</v>
          </cell>
          <cell r="W1444">
            <v>2</v>
          </cell>
          <cell r="X1444">
            <v>2</v>
          </cell>
          <cell r="Y1444">
            <v>2</v>
          </cell>
        </row>
        <row r="1445">
          <cell r="D1445">
            <v>301494</v>
          </cell>
          <cell r="E1445" t="str">
            <v>Lodlod Integrated National High School</v>
          </cell>
          <cell r="F1445">
            <v>1</v>
          </cell>
          <cell r="G1445">
            <v>1</v>
          </cell>
          <cell r="H1445">
            <v>1</v>
          </cell>
          <cell r="I1445">
            <v>0</v>
          </cell>
          <cell r="J1445">
            <v>0</v>
          </cell>
          <cell r="K1445">
            <v>1</v>
          </cell>
          <cell r="L1445">
            <v>0</v>
          </cell>
          <cell r="M1445">
            <v>0</v>
          </cell>
          <cell r="N1445">
            <v>1</v>
          </cell>
          <cell r="O1445">
            <v>0</v>
          </cell>
          <cell r="P1445">
            <v>43678</v>
          </cell>
          <cell r="Q1445">
            <v>0</v>
          </cell>
          <cell r="R1445">
            <v>1</v>
          </cell>
          <cell r="S1445">
            <v>0</v>
          </cell>
          <cell r="T1445">
            <v>0</v>
          </cell>
          <cell r="U1445">
            <v>0</v>
          </cell>
          <cell r="V1445">
            <v>1</v>
          </cell>
          <cell r="W1445">
            <v>0</v>
          </cell>
          <cell r="X1445">
            <v>0</v>
          </cell>
          <cell r="Y1445">
            <v>0</v>
          </cell>
        </row>
        <row r="1446">
          <cell r="D1446">
            <v>342219</v>
          </cell>
          <cell r="E1446" t="str">
            <v>SHS in Sto. Tomas</v>
          </cell>
          <cell r="F1446">
            <v>1</v>
          </cell>
          <cell r="G1446">
            <v>0</v>
          </cell>
          <cell r="H1446">
            <v>1</v>
          </cell>
          <cell r="I1446">
            <v>0</v>
          </cell>
          <cell r="J1446">
            <v>0</v>
          </cell>
          <cell r="K1446">
            <v>1</v>
          </cell>
          <cell r="L1446">
            <v>0</v>
          </cell>
          <cell r="M1446">
            <v>0</v>
          </cell>
          <cell r="N1446">
            <v>1</v>
          </cell>
          <cell r="O1446">
            <v>43558</v>
          </cell>
          <cell r="P1446">
            <v>43335</v>
          </cell>
          <cell r="Q1446">
            <v>0</v>
          </cell>
          <cell r="R1446">
            <v>0</v>
          </cell>
          <cell r="S1446">
            <v>1</v>
          </cell>
          <cell r="T1446">
            <v>0</v>
          </cell>
          <cell r="U1446">
            <v>0</v>
          </cell>
          <cell r="V1446">
            <v>1</v>
          </cell>
          <cell r="W1446">
            <v>1</v>
          </cell>
          <cell r="X1446">
            <v>0</v>
          </cell>
          <cell r="Y1446">
            <v>0</v>
          </cell>
        </row>
        <row r="1447">
          <cell r="D1447">
            <v>307926</v>
          </cell>
          <cell r="E1447" t="str">
            <v>Cavinti NHS (Calminue Ext.)</v>
          </cell>
          <cell r="F1447">
            <v>1</v>
          </cell>
          <cell r="G1447">
            <v>1</v>
          </cell>
          <cell r="H1447">
            <v>1</v>
          </cell>
          <cell r="I1447">
            <v>0</v>
          </cell>
          <cell r="J1447">
            <v>0</v>
          </cell>
          <cell r="K1447">
            <v>1</v>
          </cell>
          <cell r="L1447">
            <v>0</v>
          </cell>
          <cell r="M1447">
            <v>0</v>
          </cell>
          <cell r="N1447">
            <v>0</v>
          </cell>
          <cell r="O1447" t="str">
            <v>n/a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5</v>
          </cell>
          <cell r="X1447">
            <v>0</v>
          </cell>
          <cell r="Y1447">
            <v>0</v>
          </cell>
        </row>
        <row r="1448">
          <cell r="D1448">
            <v>301509</v>
          </cell>
          <cell r="E1448" t="str">
            <v>Santisimo Rosario Integrated High School</v>
          </cell>
          <cell r="F1448">
            <v>1</v>
          </cell>
          <cell r="G1448">
            <v>1</v>
          </cell>
          <cell r="H1448">
            <v>1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1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1</v>
          </cell>
          <cell r="U1448" t="str">
            <v>N/A</v>
          </cell>
          <cell r="V1448">
            <v>0</v>
          </cell>
          <cell r="W1448">
            <v>50</v>
          </cell>
          <cell r="X1448">
            <v>50</v>
          </cell>
          <cell r="Y1448">
            <v>50</v>
          </cell>
        </row>
        <row r="1449">
          <cell r="D1449">
            <v>301393</v>
          </cell>
          <cell r="E1449" t="str">
            <v>San Isidro NHS, Gen. Luna</v>
          </cell>
          <cell r="F1449">
            <v>1</v>
          </cell>
          <cell r="G1449">
            <v>1</v>
          </cell>
          <cell r="H1449">
            <v>1</v>
          </cell>
          <cell r="I1449">
            <v>0</v>
          </cell>
          <cell r="J1449">
            <v>0</v>
          </cell>
          <cell r="K1449">
            <v>1</v>
          </cell>
          <cell r="L1449">
            <v>0</v>
          </cell>
          <cell r="M1449">
            <v>0</v>
          </cell>
          <cell r="N1449">
            <v>1</v>
          </cell>
          <cell r="O1449">
            <v>43687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1</v>
          </cell>
          <cell r="W1449">
            <v>0</v>
          </cell>
          <cell r="X1449">
            <v>0</v>
          </cell>
          <cell r="Y1449">
            <v>0</v>
          </cell>
        </row>
        <row r="1450">
          <cell r="D1450">
            <v>301279</v>
          </cell>
          <cell r="E1450" t="str">
            <v>Lumban National High School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</row>
        <row r="1451">
          <cell r="D1451">
            <v>342235</v>
          </cell>
          <cell r="E1451" t="str">
            <v>Alangilan Senior High School</v>
          </cell>
          <cell r="F1451">
            <v>1</v>
          </cell>
          <cell r="G1451">
            <v>1</v>
          </cell>
          <cell r="H1451">
            <v>1</v>
          </cell>
          <cell r="I1451">
            <v>0</v>
          </cell>
          <cell r="J1451">
            <v>0</v>
          </cell>
          <cell r="K1451">
            <v>1</v>
          </cell>
          <cell r="L1451">
            <v>0</v>
          </cell>
          <cell r="M1451">
            <v>0</v>
          </cell>
          <cell r="N1451">
            <v>1</v>
          </cell>
          <cell r="O1451" t="str">
            <v>07/14/2018</v>
          </cell>
          <cell r="P1451" t="str">
            <v>07/16/2018</v>
          </cell>
          <cell r="Q1451">
            <v>1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1</v>
          </cell>
          <cell r="W1451">
            <v>2</v>
          </cell>
          <cell r="X1451">
            <v>0</v>
          </cell>
          <cell r="Y1451">
            <v>0</v>
          </cell>
        </row>
        <row r="1452">
          <cell r="D1452">
            <v>342357</v>
          </cell>
          <cell r="E1452" t="str">
            <v>LUIS C. OBIAL SENIOR HIGH SCHOOL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1</v>
          </cell>
          <cell r="L1452">
            <v>0</v>
          </cell>
          <cell r="M1452">
            <v>0</v>
          </cell>
          <cell r="N1452">
            <v>1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1</v>
          </cell>
          <cell r="T1452">
            <v>0</v>
          </cell>
          <cell r="U1452">
            <v>0</v>
          </cell>
          <cell r="V1452">
            <v>0</v>
          </cell>
          <cell r="W1452">
            <v>25</v>
          </cell>
          <cell r="X1452">
            <v>20</v>
          </cell>
          <cell r="Y1452">
            <v>25</v>
          </cell>
        </row>
        <row r="1453">
          <cell r="D1453">
            <v>342358</v>
          </cell>
          <cell r="E1453" t="str">
            <v>Stand Alone SHS No. 16 Pila</v>
          </cell>
          <cell r="F1453">
            <v>1</v>
          </cell>
          <cell r="G1453">
            <v>0</v>
          </cell>
          <cell r="H1453">
            <v>1</v>
          </cell>
          <cell r="I1453">
            <v>0</v>
          </cell>
          <cell r="J1453">
            <v>0</v>
          </cell>
          <cell r="K1453">
            <v>1</v>
          </cell>
          <cell r="L1453">
            <v>1</v>
          </cell>
          <cell r="M1453" t="str">
            <v>none</v>
          </cell>
          <cell r="N1453">
            <v>0</v>
          </cell>
          <cell r="O1453" t="str">
            <v>none</v>
          </cell>
          <cell r="P1453" t="str">
            <v>n/a</v>
          </cell>
          <cell r="Q1453">
            <v>0</v>
          </cell>
          <cell r="R1453">
            <v>0</v>
          </cell>
          <cell r="S1453">
            <v>0</v>
          </cell>
          <cell r="T1453">
            <v>1</v>
          </cell>
          <cell r="U1453" t="str">
            <v>none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</row>
        <row r="1454">
          <cell r="D1454">
            <v>301426</v>
          </cell>
          <cell r="E1454" t="str">
            <v>San Isidro NHS</v>
          </cell>
          <cell r="F1454">
            <v>1</v>
          </cell>
          <cell r="G1454">
            <v>1</v>
          </cell>
          <cell r="H1454">
            <v>1</v>
          </cell>
          <cell r="I1454">
            <v>1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1</v>
          </cell>
          <cell r="O1454">
            <v>0</v>
          </cell>
          <cell r="P1454">
            <v>43678</v>
          </cell>
          <cell r="Q1454">
            <v>0</v>
          </cell>
          <cell r="R1454">
            <v>1</v>
          </cell>
          <cell r="S1454">
            <v>0</v>
          </cell>
          <cell r="T1454">
            <v>0</v>
          </cell>
          <cell r="U1454">
            <v>0</v>
          </cell>
          <cell r="V1454">
            <v>1</v>
          </cell>
          <cell r="W1454">
            <v>16</v>
          </cell>
          <cell r="X1454">
            <v>12</v>
          </cell>
          <cell r="Y1454">
            <v>12</v>
          </cell>
        </row>
        <row r="1455">
          <cell r="D1455">
            <v>301344</v>
          </cell>
          <cell r="E1455" t="str">
            <v>Libo NHS</v>
          </cell>
          <cell r="F1455">
            <v>1</v>
          </cell>
          <cell r="G1455">
            <v>0</v>
          </cell>
          <cell r="H1455">
            <v>1</v>
          </cell>
          <cell r="I1455">
            <v>0</v>
          </cell>
          <cell r="J1455">
            <v>1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1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1</v>
          </cell>
          <cell r="W1455">
            <v>0</v>
          </cell>
          <cell r="X1455">
            <v>0</v>
          </cell>
          <cell r="Y1455">
            <v>0</v>
          </cell>
        </row>
        <row r="1456">
          <cell r="D1456">
            <v>301396</v>
          </cell>
          <cell r="E1456" t="str">
            <v>Panukulan NHS (Formerly San Juan NHS)</v>
          </cell>
          <cell r="F1456">
            <v>1</v>
          </cell>
          <cell r="G1456">
            <v>1</v>
          </cell>
          <cell r="H1456">
            <v>1</v>
          </cell>
          <cell r="I1456">
            <v>0</v>
          </cell>
          <cell r="J1456">
            <v>0</v>
          </cell>
          <cell r="K1456">
            <v>1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1</v>
          </cell>
          <cell r="T1456">
            <v>0</v>
          </cell>
          <cell r="U1456">
            <v>0</v>
          </cell>
          <cell r="V1456">
            <v>1</v>
          </cell>
          <cell r="W1456">
            <v>0</v>
          </cell>
          <cell r="X1456">
            <v>0</v>
          </cell>
          <cell r="Y1456">
            <v>0</v>
          </cell>
        </row>
        <row r="1457">
          <cell r="D1457">
            <v>301499</v>
          </cell>
          <cell r="E1457" t="str">
            <v>San Celestino Integrated National High School</v>
          </cell>
          <cell r="F1457">
            <v>1</v>
          </cell>
          <cell r="G1457">
            <v>0</v>
          </cell>
          <cell r="H1457">
            <v>1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</row>
        <row r="1458">
          <cell r="D1458">
            <v>301377</v>
          </cell>
          <cell r="E1458" t="str">
            <v>Polillo National High School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</row>
        <row r="1459">
          <cell r="D1459">
            <v>342346</v>
          </cell>
          <cell r="E1459" t="str">
            <v>LAGUNA SENIOR HIGH SCHOOL</v>
          </cell>
          <cell r="F1459">
            <v>1</v>
          </cell>
          <cell r="G1459">
            <v>1</v>
          </cell>
          <cell r="H1459">
            <v>1</v>
          </cell>
          <cell r="I1459">
            <v>0</v>
          </cell>
          <cell r="J1459">
            <v>1</v>
          </cell>
          <cell r="K1459">
            <v>0</v>
          </cell>
          <cell r="L1459">
            <v>0</v>
          </cell>
          <cell r="M1459">
            <v>0</v>
          </cell>
          <cell r="N1459">
            <v>1</v>
          </cell>
          <cell r="O1459">
            <v>43735</v>
          </cell>
          <cell r="P1459">
            <v>43735</v>
          </cell>
          <cell r="Q1459">
            <v>1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1</v>
          </cell>
          <cell r="W1459">
            <v>0</v>
          </cell>
          <cell r="X1459">
            <v>0</v>
          </cell>
          <cell r="Y1459">
            <v>0</v>
          </cell>
        </row>
        <row r="1460">
          <cell r="D1460">
            <v>307935</v>
          </cell>
          <cell r="E1460" t="str">
            <v>San Buenaventura NHS Annex</v>
          </cell>
          <cell r="F1460">
            <v>1</v>
          </cell>
          <cell r="G1460">
            <v>1</v>
          </cell>
          <cell r="H1460">
            <v>1</v>
          </cell>
          <cell r="I1460">
            <v>0</v>
          </cell>
          <cell r="J1460">
            <v>1</v>
          </cell>
          <cell r="K1460">
            <v>0</v>
          </cell>
          <cell r="L1460">
            <v>0</v>
          </cell>
          <cell r="M1460">
            <v>0</v>
          </cell>
          <cell r="N1460">
            <v>1</v>
          </cell>
          <cell r="O1460">
            <v>0</v>
          </cell>
          <cell r="P1460">
            <v>0</v>
          </cell>
          <cell r="Q1460">
            <v>1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1</v>
          </cell>
          <cell r="W1460">
            <v>0</v>
          </cell>
          <cell r="X1460">
            <v>0</v>
          </cell>
          <cell r="Y1460">
            <v>0</v>
          </cell>
        </row>
        <row r="1461">
          <cell r="D1461">
            <v>301263</v>
          </cell>
          <cell r="E1461" t="str">
            <v>San Buenaventura NHS</v>
          </cell>
          <cell r="F1461">
            <v>1</v>
          </cell>
          <cell r="G1461">
            <v>1</v>
          </cell>
          <cell r="H1461">
            <v>0</v>
          </cell>
          <cell r="I1461">
            <v>0</v>
          </cell>
          <cell r="J1461">
            <v>1</v>
          </cell>
          <cell r="K1461">
            <v>0</v>
          </cell>
          <cell r="L1461">
            <v>0</v>
          </cell>
          <cell r="M1461">
            <v>0</v>
          </cell>
          <cell r="N1461">
            <v>1</v>
          </cell>
          <cell r="O1461">
            <v>43617</v>
          </cell>
          <cell r="P1461">
            <v>0</v>
          </cell>
          <cell r="Q1461">
            <v>0</v>
          </cell>
          <cell r="R1461">
            <v>1</v>
          </cell>
          <cell r="S1461">
            <v>0</v>
          </cell>
          <cell r="T1461">
            <v>0</v>
          </cell>
          <cell r="U1461">
            <v>0</v>
          </cell>
          <cell r="V1461">
            <v>1</v>
          </cell>
          <cell r="W1461">
            <v>0</v>
          </cell>
          <cell r="X1461">
            <v>0</v>
          </cell>
          <cell r="Y1461">
            <v>0</v>
          </cell>
        </row>
        <row r="1462">
          <cell r="D1462">
            <v>307911</v>
          </cell>
          <cell r="E1462" t="str">
            <v>Cavinti NHS</v>
          </cell>
          <cell r="F1462">
            <v>1</v>
          </cell>
          <cell r="G1462">
            <v>1</v>
          </cell>
          <cell r="H1462">
            <v>1</v>
          </cell>
          <cell r="I1462">
            <v>0</v>
          </cell>
          <cell r="J1462">
            <v>0</v>
          </cell>
          <cell r="K1462">
            <v>1</v>
          </cell>
          <cell r="L1462">
            <v>0</v>
          </cell>
          <cell r="M1462">
            <v>0</v>
          </cell>
          <cell r="N1462">
            <v>1</v>
          </cell>
          <cell r="O1462">
            <v>0</v>
          </cell>
          <cell r="P1462">
            <v>0</v>
          </cell>
          <cell r="Q1462">
            <v>1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1</v>
          </cell>
          <cell r="W1462">
            <v>1</v>
          </cell>
          <cell r="X1462">
            <v>0</v>
          </cell>
          <cell r="Y1462">
            <v>0</v>
          </cell>
        </row>
        <row r="1463">
          <cell r="D1463">
            <v>342205</v>
          </cell>
          <cell r="E1463" t="str">
            <v>Calaca Senior High School</v>
          </cell>
          <cell r="F1463">
            <v>1</v>
          </cell>
          <cell r="G1463">
            <v>1</v>
          </cell>
          <cell r="H1463">
            <v>1</v>
          </cell>
          <cell r="I1463">
            <v>0</v>
          </cell>
          <cell r="J1463">
            <v>1</v>
          </cell>
          <cell r="K1463">
            <v>0</v>
          </cell>
          <cell r="L1463">
            <v>0</v>
          </cell>
          <cell r="M1463">
            <v>0</v>
          </cell>
          <cell r="N1463">
            <v>1</v>
          </cell>
          <cell r="O1463">
            <v>43671</v>
          </cell>
          <cell r="P1463">
            <v>43668</v>
          </cell>
          <cell r="Q1463">
            <v>0</v>
          </cell>
          <cell r="R1463">
            <v>1</v>
          </cell>
          <cell r="S1463">
            <v>0</v>
          </cell>
          <cell r="T1463">
            <v>0</v>
          </cell>
          <cell r="U1463">
            <v>0</v>
          </cell>
          <cell r="V1463">
            <v>1</v>
          </cell>
          <cell r="W1463">
            <v>2</v>
          </cell>
          <cell r="X1463">
            <v>0</v>
          </cell>
          <cell r="Y1463">
            <v>0</v>
          </cell>
        </row>
        <row r="1464">
          <cell r="D1464">
            <v>308032</v>
          </cell>
          <cell r="E1464" t="str">
            <v>Pili NHS (Formerly Lutucan NHS Pili Ext.)</v>
          </cell>
          <cell r="F1464">
            <v>1</v>
          </cell>
          <cell r="G1464">
            <v>1</v>
          </cell>
          <cell r="H1464">
            <v>1</v>
          </cell>
          <cell r="I1464">
            <v>0</v>
          </cell>
          <cell r="J1464">
            <v>1</v>
          </cell>
          <cell r="K1464">
            <v>0</v>
          </cell>
          <cell r="L1464">
            <v>0</v>
          </cell>
          <cell r="M1464">
            <v>0</v>
          </cell>
          <cell r="N1464">
            <v>1</v>
          </cell>
          <cell r="O1464" t="str">
            <v>05/27/2019</v>
          </cell>
          <cell r="P1464" t="str">
            <v>07/31/2019</v>
          </cell>
          <cell r="Q1464">
            <v>0</v>
          </cell>
          <cell r="R1464">
            <v>1</v>
          </cell>
          <cell r="S1464">
            <v>0</v>
          </cell>
          <cell r="T1464">
            <v>0</v>
          </cell>
          <cell r="U1464">
            <v>0</v>
          </cell>
          <cell r="V1464">
            <v>1</v>
          </cell>
          <cell r="W1464">
            <v>0</v>
          </cell>
          <cell r="X1464">
            <v>0</v>
          </cell>
          <cell r="Y1464">
            <v>0</v>
          </cell>
        </row>
        <row r="1465">
          <cell r="D1465">
            <v>301253</v>
          </cell>
          <cell r="E1465" t="str">
            <v>Pagsanjan National High School</v>
          </cell>
          <cell r="F1465">
            <v>1</v>
          </cell>
          <cell r="G1465">
            <v>1</v>
          </cell>
          <cell r="H1465">
            <v>1</v>
          </cell>
          <cell r="I1465">
            <v>1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43682</v>
          </cell>
          <cell r="P1465">
            <v>43682</v>
          </cell>
          <cell r="Q1465">
            <v>1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1</v>
          </cell>
          <cell r="W1465">
            <v>4</v>
          </cell>
          <cell r="X1465">
            <v>4</v>
          </cell>
          <cell r="Y1465">
            <v>4</v>
          </cell>
        </row>
        <row r="1466">
          <cell r="D1466">
            <v>301430</v>
          </cell>
          <cell r="E1466" t="str">
            <v>Bayugo NHS</v>
          </cell>
          <cell r="F1466">
            <v>1</v>
          </cell>
          <cell r="G1466">
            <v>1</v>
          </cell>
          <cell r="H1466">
            <v>1</v>
          </cell>
          <cell r="I1466">
            <v>0</v>
          </cell>
          <cell r="J1466">
            <v>1</v>
          </cell>
          <cell r="K1466">
            <v>0</v>
          </cell>
          <cell r="L1466">
            <v>0</v>
          </cell>
          <cell r="M1466">
            <v>0</v>
          </cell>
          <cell r="N1466">
            <v>1</v>
          </cell>
          <cell r="O1466" t="str">
            <v>10/15/2019</v>
          </cell>
          <cell r="P1466">
            <v>0</v>
          </cell>
          <cell r="Q1466">
            <v>0</v>
          </cell>
          <cell r="R1466">
            <v>1</v>
          </cell>
          <cell r="S1466">
            <v>0</v>
          </cell>
          <cell r="T1466">
            <v>0</v>
          </cell>
          <cell r="U1466">
            <v>43779</v>
          </cell>
          <cell r="V1466">
            <v>1</v>
          </cell>
          <cell r="W1466">
            <v>0</v>
          </cell>
          <cell r="X1466">
            <v>0</v>
          </cell>
          <cell r="Y1466">
            <v>0</v>
          </cell>
        </row>
        <row r="1467">
          <cell r="D1467">
            <v>342363</v>
          </cell>
          <cell r="E1467" t="str">
            <v>Stand Alone SHS No. 21 Papatahan</v>
          </cell>
          <cell r="F1467">
            <v>1</v>
          </cell>
          <cell r="G1467">
            <v>1</v>
          </cell>
          <cell r="H1467">
            <v>1</v>
          </cell>
          <cell r="I1467">
            <v>0</v>
          </cell>
          <cell r="J1467">
            <v>1</v>
          </cell>
          <cell r="K1467">
            <v>0</v>
          </cell>
          <cell r="L1467">
            <v>0</v>
          </cell>
          <cell r="M1467">
            <v>0</v>
          </cell>
          <cell r="N1467">
            <v>1</v>
          </cell>
          <cell r="O1467">
            <v>43717</v>
          </cell>
          <cell r="P1467">
            <v>43717</v>
          </cell>
          <cell r="Q1467">
            <v>0</v>
          </cell>
          <cell r="R1467">
            <v>1</v>
          </cell>
          <cell r="S1467">
            <v>0</v>
          </cell>
          <cell r="T1467">
            <v>0</v>
          </cell>
          <cell r="U1467">
            <v>0</v>
          </cell>
          <cell r="V1467">
            <v>1</v>
          </cell>
          <cell r="W1467">
            <v>0</v>
          </cell>
          <cell r="X1467">
            <v>0</v>
          </cell>
          <cell r="Y1467">
            <v>0</v>
          </cell>
        </row>
        <row r="1468">
          <cell r="D1468">
            <v>301226</v>
          </cell>
          <cell r="E1468" t="str">
            <v>Balian NHS</v>
          </cell>
          <cell r="F1468">
            <v>1</v>
          </cell>
          <cell r="G1468">
            <v>1</v>
          </cell>
          <cell r="H1468">
            <v>1</v>
          </cell>
          <cell r="I1468">
            <v>0</v>
          </cell>
          <cell r="J1468">
            <v>1</v>
          </cell>
          <cell r="K1468">
            <v>0</v>
          </cell>
          <cell r="L1468">
            <v>0</v>
          </cell>
          <cell r="M1468">
            <v>0</v>
          </cell>
          <cell r="N1468">
            <v>1</v>
          </cell>
          <cell r="O1468" t="str">
            <v>September 2019</v>
          </cell>
          <cell r="P1468">
            <v>0</v>
          </cell>
          <cell r="Q1468">
            <v>0</v>
          </cell>
          <cell r="R1468">
            <v>0</v>
          </cell>
          <cell r="S1468">
            <v>1</v>
          </cell>
          <cell r="T1468">
            <v>0</v>
          </cell>
          <cell r="U1468">
            <v>0</v>
          </cell>
          <cell r="V1468">
            <v>1</v>
          </cell>
          <cell r="W1468">
            <v>0</v>
          </cell>
          <cell r="X1468">
            <v>0</v>
          </cell>
          <cell r="Y1468">
            <v>0</v>
          </cell>
        </row>
        <row r="1469">
          <cell r="D1469">
            <v>307708</v>
          </cell>
          <cell r="E1469" t="str">
            <v>Sico 1.0 National High School (Grade 7-12)</v>
          </cell>
          <cell r="F1469">
            <v>1</v>
          </cell>
          <cell r="G1469">
            <v>1</v>
          </cell>
          <cell r="H1469">
            <v>1</v>
          </cell>
          <cell r="I1469">
            <v>0</v>
          </cell>
          <cell r="J1469">
            <v>1</v>
          </cell>
          <cell r="K1469">
            <v>0</v>
          </cell>
          <cell r="L1469">
            <v>0</v>
          </cell>
          <cell r="M1469">
            <v>0</v>
          </cell>
          <cell r="N1469">
            <v>1</v>
          </cell>
          <cell r="O1469">
            <v>43668</v>
          </cell>
          <cell r="P1469">
            <v>43663</v>
          </cell>
          <cell r="Q1469">
            <v>0</v>
          </cell>
          <cell r="R1469">
            <v>1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</row>
        <row r="1470">
          <cell r="D1470">
            <v>308202</v>
          </cell>
          <cell r="E1470" t="str">
            <v>Tinga Sorosoro  Integrated School</v>
          </cell>
          <cell r="F1470">
            <v>1</v>
          </cell>
          <cell r="G1470">
            <v>0</v>
          </cell>
          <cell r="H1470">
            <v>1</v>
          </cell>
          <cell r="I1470">
            <v>0</v>
          </cell>
          <cell r="J1470">
            <v>1</v>
          </cell>
          <cell r="K1470">
            <v>0</v>
          </cell>
          <cell r="L1470">
            <v>0</v>
          </cell>
          <cell r="M1470">
            <v>0</v>
          </cell>
          <cell r="N1470">
            <v>1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1</v>
          </cell>
          <cell r="W1470">
            <v>3</v>
          </cell>
          <cell r="X1470">
            <v>0</v>
          </cell>
          <cell r="Y1470">
            <v>0</v>
          </cell>
        </row>
        <row r="1471">
          <cell r="D1471">
            <v>307714</v>
          </cell>
          <cell r="E1471" t="str">
            <v>Dr. Bonifacio A. Masilungan National High School</v>
          </cell>
          <cell r="F1471">
            <v>1</v>
          </cell>
          <cell r="G1471">
            <v>1</v>
          </cell>
          <cell r="H1471">
            <v>1</v>
          </cell>
          <cell r="I1471">
            <v>0</v>
          </cell>
          <cell r="J1471">
            <v>1</v>
          </cell>
          <cell r="K1471">
            <v>0</v>
          </cell>
          <cell r="L1471">
            <v>0</v>
          </cell>
          <cell r="M1471">
            <v>0</v>
          </cell>
          <cell r="N1471">
            <v>1</v>
          </cell>
          <cell r="O1471">
            <v>43694</v>
          </cell>
          <cell r="P1471">
            <v>43678</v>
          </cell>
          <cell r="Q1471">
            <v>1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1</v>
          </cell>
          <cell r="W1471">
            <v>0</v>
          </cell>
          <cell r="X1471">
            <v>0</v>
          </cell>
          <cell r="Y1471">
            <v>0</v>
          </cell>
        </row>
        <row r="1472">
          <cell r="D1472">
            <v>301374</v>
          </cell>
          <cell r="E1472" t="str">
            <v>Patnanungan NHS</v>
          </cell>
          <cell r="F1472">
            <v>1</v>
          </cell>
          <cell r="G1472">
            <v>1</v>
          </cell>
          <cell r="H1472">
            <v>1</v>
          </cell>
          <cell r="I1472">
            <v>0</v>
          </cell>
          <cell r="J1472">
            <v>1</v>
          </cell>
          <cell r="K1472">
            <v>0</v>
          </cell>
          <cell r="L1472">
            <v>0</v>
          </cell>
          <cell r="M1472">
            <v>0</v>
          </cell>
          <cell r="N1472">
            <v>1</v>
          </cell>
          <cell r="O1472" t="str">
            <v>July 4, 2018</v>
          </cell>
          <cell r="P1472">
            <v>0</v>
          </cell>
          <cell r="Q1472">
            <v>0</v>
          </cell>
          <cell r="R1472">
            <v>0</v>
          </cell>
          <cell r="S1472">
            <v>1</v>
          </cell>
          <cell r="T1472">
            <v>0</v>
          </cell>
          <cell r="U1472">
            <v>0</v>
          </cell>
          <cell r="V1472">
            <v>1</v>
          </cell>
          <cell r="W1472">
            <v>0</v>
          </cell>
          <cell r="X1472">
            <v>0</v>
          </cell>
          <cell r="Y1472">
            <v>0</v>
          </cell>
        </row>
        <row r="1473">
          <cell r="D1473">
            <v>301515</v>
          </cell>
          <cell r="E1473" t="str">
            <v>Calamba Integrated School</v>
          </cell>
          <cell r="F1473">
            <v>1</v>
          </cell>
          <cell r="G1473">
            <v>1</v>
          </cell>
          <cell r="H1473">
            <v>1</v>
          </cell>
          <cell r="I1473">
            <v>1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1</v>
          </cell>
          <cell r="O1473">
            <v>43614</v>
          </cell>
          <cell r="P1473">
            <v>0</v>
          </cell>
          <cell r="Q1473">
            <v>1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1</v>
          </cell>
          <cell r="W1473">
            <v>1</v>
          </cell>
          <cell r="X1473">
            <v>0</v>
          </cell>
          <cell r="Y1473">
            <v>0</v>
          </cell>
        </row>
        <row r="1474">
          <cell r="D1474">
            <v>342199</v>
          </cell>
          <cell r="E1474" t="str">
            <v>SHS within Tingloy Central School</v>
          </cell>
          <cell r="F1474">
            <v>1</v>
          </cell>
          <cell r="G1474">
            <v>1</v>
          </cell>
          <cell r="H1474">
            <v>1</v>
          </cell>
          <cell r="I1474">
            <v>0</v>
          </cell>
          <cell r="J1474">
            <v>1</v>
          </cell>
          <cell r="K1474">
            <v>0</v>
          </cell>
          <cell r="L1474">
            <v>0</v>
          </cell>
          <cell r="M1474">
            <v>0</v>
          </cell>
          <cell r="N1474">
            <v>1</v>
          </cell>
          <cell r="O1474" t="str">
            <v>August, 2019</v>
          </cell>
          <cell r="P1474" t="str">
            <v>July, 2019</v>
          </cell>
          <cell r="Q1474">
            <v>0</v>
          </cell>
          <cell r="R1474">
            <v>1</v>
          </cell>
          <cell r="S1474">
            <v>0</v>
          </cell>
          <cell r="T1474">
            <v>0</v>
          </cell>
          <cell r="U1474">
            <v>0</v>
          </cell>
          <cell r="V1474">
            <v>1</v>
          </cell>
          <cell r="W1474">
            <v>3</v>
          </cell>
          <cell r="X1474">
            <v>0</v>
          </cell>
          <cell r="Y1474">
            <v>0</v>
          </cell>
        </row>
        <row r="1475">
          <cell r="D1475">
            <v>301516</v>
          </cell>
          <cell r="E1475" t="str">
            <v>Camp Vicente Lim Integrated School</v>
          </cell>
          <cell r="F1475">
            <v>1</v>
          </cell>
          <cell r="G1475">
            <v>1</v>
          </cell>
          <cell r="H1475">
            <v>1</v>
          </cell>
          <cell r="I1475">
            <v>0</v>
          </cell>
          <cell r="J1475">
            <v>0</v>
          </cell>
          <cell r="K1475">
            <v>0</v>
          </cell>
          <cell r="L1475">
            <v>1</v>
          </cell>
          <cell r="M1475" t="str">
            <v>as need arises</v>
          </cell>
          <cell r="N1475">
            <v>1</v>
          </cell>
          <cell r="O1475">
            <v>2018</v>
          </cell>
          <cell r="P1475">
            <v>2018</v>
          </cell>
          <cell r="Q1475">
            <v>0</v>
          </cell>
          <cell r="R1475">
            <v>0</v>
          </cell>
          <cell r="S1475">
            <v>1</v>
          </cell>
          <cell r="T1475">
            <v>0</v>
          </cell>
          <cell r="U1475">
            <v>0</v>
          </cell>
          <cell r="V1475">
            <v>1</v>
          </cell>
          <cell r="W1475">
            <v>2</v>
          </cell>
          <cell r="X1475">
            <v>2</v>
          </cell>
          <cell r="Y1475">
            <v>2</v>
          </cell>
        </row>
        <row r="1476">
          <cell r="D1476">
            <v>307716</v>
          </cell>
          <cell r="E1476" t="str">
            <v>Maximo T. Hernandez Memorial Integrated High School</v>
          </cell>
          <cell r="F1476">
            <v>1</v>
          </cell>
          <cell r="G1476">
            <v>1</v>
          </cell>
          <cell r="H1476">
            <v>1</v>
          </cell>
          <cell r="I1476">
            <v>0</v>
          </cell>
          <cell r="J1476">
            <v>1</v>
          </cell>
          <cell r="K1476">
            <v>0</v>
          </cell>
          <cell r="L1476">
            <v>0</v>
          </cell>
          <cell r="M1476">
            <v>0</v>
          </cell>
          <cell r="N1476">
            <v>1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</row>
        <row r="1477">
          <cell r="D1477">
            <v>301500</v>
          </cell>
          <cell r="E1477" t="str">
            <v>San Isidro Integrated National High School</v>
          </cell>
          <cell r="F1477">
            <v>1</v>
          </cell>
          <cell r="G1477">
            <v>1</v>
          </cell>
          <cell r="H1477">
            <v>1</v>
          </cell>
          <cell r="I1477">
            <v>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 t="str">
            <v>June 1, 2019</v>
          </cell>
          <cell r="P1477" t="str">
            <v>July 1, 2019</v>
          </cell>
          <cell r="Q1477">
            <v>1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1</v>
          </cell>
          <cell r="W1477">
            <v>5</v>
          </cell>
          <cell r="X1477">
            <v>3</v>
          </cell>
          <cell r="Y1477">
            <v>2</v>
          </cell>
        </row>
        <row r="1478">
          <cell r="D1478">
            <v>301514</v>
          </cell>
          <cell r="E1478" t="str">
            <v>Calamba Bayside  Integrated  School</v>
          </cell>
          <cell r="F1478">
            <v>1</v>
          </cell>
          <cell r="G1478">
            <v>0</v>
          </cell>
          <cell r="H1478">
            <v>1</v>
          </cell>
          <cell r="I1478">
            <v>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1</v>
          </cell>
          <cell r="O1478">
            <v>43623</v>
          </cell>
          <cell r="P1478">
            <v>0</v>
          </cell>
          <cell r="Q1478">
            <v>1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1</v>
          </cell>
          <cell r="W1478">
            <v>0</v>
          </cell>
          <cell r="X1478">
            <v>0</v>
          </cell>
          <cell r="Y1478">
            <v>0</v>
          </cell>
        </row>
        <row r="1479">
          <cell r="D1479">
            <v>301523</v>
          </cell>
          <cell r="E1479" t="str">
            <v>Makiling Integrated School</v>
          </cell>
          <cell r="F1479">
            <v>1</v>
          </cell>
          <cell r="G1479">
            <v>1</v>
          </cell>
          <cell r="H1479">
            <v>1</v>
          </cell>
          <cell r="I1479">
            <v>0</v>
          </cell>
          <cell r="J1479">
            <v>1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1</v>
          </cell>
          <cell r="T1479">
            <v>0</v>
          </cell>
          <cell r="U1479">
            <v>0</v>
          </cell>
          <cell r="V1479">
            <v>1</v>
          </cell>
          <cell r="W1479">
            <v>0</v>
          </cell>
          <cell r="X1479">
            <v>1</v>
          </cell>
          <cell r="Y1479">
            <v>1</v>
          </cell>
        </row>
        <row r="1480">
          <cell r="D1480">
            <v>308029</v>
          </cell>
          <cell r="E1480" t="str">
            <v>Bonbon National High School (Formerly Libo NHS-Bonbon Annex)</v>
          </cell>
          <cell r="F1480">
            <v>1</v>
          </cell>
          <cell r="G1480">
            <v>1</v>
          </cell>
          <cell r="H1480">
            <v>1</v>
          </cell>
          <cell r="I1480">
            <v>0</v>
          </cell>
          <cell r="J1480">
            <v>1</v>
          </cell>
          <cell r="K1480">
            <v>0</v>
          </cell>
          <cell r="L1480">
            <v>0</v>
          </cell>
          <cell r="M1480">
            <v>0</v>
          </cell>
          <cell r="N1480">
            <v>1</v>
          </cell>
          <cell r="O1480">
            <v>43680</v>
          </cell>
          <cell r="P1480">
            <v>43680</v>
          </cell>
          <cell r="Q1480">
            <v>0</v>
          </cell>
          <cell r="R1480">
            <v>1</v>
          </cell>
          <cell r="S1480">
            <v>0</v>
          </cell>
          <cell r="T1480">
            <v>0</v>
          </cell>
          <cell r="U1480">
            <v>0</v>
          </cell>
          <cell r="V1480">
            <v>1</v>
          </cell>
          <cell r="W1480">
            <v>0</v>
          </cell>
          <cell r="X1480">
            <v>0</v>
          </cell>
          <cell r="Y1480">
            <v>0</v>
          </cell>
        </row>
        <row r="1481">
          <cell r="D1481">
            <v>301137</v>
          </cell>
          <cell r="E1481" t="str">
            <v>Pinagbayanan Integrated National High School</v>
          </cell>
          <cell r="F1481">
            <v>1</v>
          </cell>
          <cell r="G1481">
            <v>1</v>
          </cell>
          <cell r="H1481">
            <v>1</v>
          </cell>
          <cell r="I1481">
            <v>0</v>
          </cell>
          <cell r="J1481">
            <v>1</v>
          </cell>
          <cell r="K1481">
            <v>0</v>
          </cell>
          <cell r="L1481">
            <v>0</v>
          </cell>
          <cell r="M1481">
            <v>0</v>
          </cell>
          <cell r="N1481">
            <v>1</v>
          </cell>
          <cell r="O1481">
            <v>43672</v>
          </cell>
          <cell r="P1481">
            <v>43735</v>
          </cell>
          <cell r="Q1481">
            <v>1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1</v>
          </cell>
          <cell r="W1481">
            <v>0</v>
          </cell>
          <cell r="X1481">
            <v>0</v>
          </cell>
          <cell r="Y1481">
            <v>0</v>
          </cell>
        </row>
        <row r="1482">
          <cell r="D1482">
            <v>307713</v>
          </cell>
          <cell r="E1482" t="str">
            <v>San Nicolas National High School</v>
          </cell>
          <cell r="F1482">
            <v>1</v>
          </cell>
          <cell r="G1482">
            <v>1</v>
          </cell>
          <cell r="H1482">
            <v>1</v>
          </cell>
          <cell r="I1482">
            <v>0</v>
          </cell>
          <cell r="J1482">
            <v>1</v>
          </cell>
          <cell r="K1482">
            <v>0</v>
          </cell>
          <cell r="L1482">
            <v>0</v>
          </cell>
          <cell r="M1482">
            <v>0</v>
          </cell>
          <cell r="N1482">
            <v>1</v>
          </cell>
          <cell r="O1482">
            <v>43647</v>
          </cell>
          <cell r="P1482">
            <v>43586</v>
          </cell>
          <cell r="Q1482">
            <v>0</v>
          </cell>
          <cell r="R1482">
            <v>0</v>
          </cell>
          <cell r="S1482">
            <v>1</v>
          </cell>
          <cell r="T1482">
            <v>0</v>
          </cell>
          <cell r="U1482">
            <v>0</v>
          </cell>
          <cell r="V1482">
            <v>1</v>
          </cell>
          <cell r="W1482">
            <v>0</v>
          </cell>
          <cell r="X1482">
            <v>0</v>
          </cell>
          <cell r="Y1482">
            <v>0</v>
          </cell>
        </row>
        <row r="1483">
          <cell r="D1483">
            <v>301524</v>
          </cell>
          <cell r="E1483" t="str">
            <v>Palo Alto Integrated School</v>
          </cell>
          <cell r="F1483">
            <v>1</v>
          </cell>
          <cell r="G1483">
            <v>1</v>
          </cell>
          <cell r="H1483">
            <v>1</v>
          </cell>
          <cell r="I1483">
            <v>0</v>
          </cell>
          <cell r="J1483">
            <v>0</v>
          </cell>
          <cell r="K1483">
            <v>0</v>
          </cell>
          <cell r="L1483">
            <v>1</v>
          </cell>
          <cell r="M1483" t="str">
            <v>WHEN NEED ARISES</v>
          </cell>
          <cell r="N1483">
            <v>1</v>
          </cell>
          <cell r="O1483" t="str">
            <v>07/23/2019</v>
          </cell>
          <cell r="P1483" t="str">
            <v>08/14/2019</v>
          </cell>
          <cell r="Q1483">
            <v>0</v>
          </cell>
          <cell r="R1483">
            <v>0</v>
          </cell>
          <cell r="S1483">
            <v>0</v>
          </cell>
          <cell r="T1483">
            <v>1</v>
          </cell>
          <cell r="U1483" t="str">
            <v>With the help of Brgy. Officials</v>
          </cell>
          <cell r="V1483">
            <v>1</v>
          </cell>
          <cell r="W1483">
            <v>0</v>
          </cell>
          <cell r="X1483">
            <v>0</v>
          </cell>
          <cell r="Y1483">
            <v>0</v>
          </cell>
        </row>
        <row r="1484">
          <cell r="D1484">
            <v>301413</v>
          </cell>
          <cell r="E1484" t="str">
            <v>Ungos National High School Extension - Llavac</v>
          </cell>
          <cell r="F1484">
            <v>1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1</v>
          </cell>
          <cell r="O1484">
            <v>43684</v>
          </cell>
          <cell r="P1484">
            <v>43806</v>
          </cell>
          <cell r="Q1484">
            <v>0</v>
          </cell>
          <cell r="R1484">
            <v>1</v>
          </cell>
          <cell r="S1484">
            <v>0</v>
          </cell>
          <cell r="T1484">
            <v>0</v>
          </cell>
          <cell r="U1484">
            <v>0</v>
          </cell>
          <cell r="V1484">
            <v>1</v>
          </cell>
          <cell r="W1484">
            <v>0</v>
          </cell>
          <cell r="X1484">
            <v>0</v>
          </cell>
          <cell r="Y1484">
            <v>0</v>
          </cell>
        </row>
        <row r="1485">
          <cell r="D1485">
            <v>301082</v>
          </cell>
          <cell r="E1485" t="str">
            <v>Baybayin NHS</v>
          </cell>
          <cell r="F1485">
            <v>1</v>
          </cell>
          <cell r="G1485">
            <v>1</v>
          </cell>
          <cell r="H1485">
            <v>1</v>
          </cell>
          <cell r="I1485">
            <v>0</v>
          </cell>
          <cell r="J1485">
            <v>1</v>
          </cell>
          <cell r="K1485">
            <v>0</v>
          </cell>
          <cell r="L1485">
            <v>0</v>
          </cell>
          <cell r="M1485">
            <v>0</v>
          </cell>
          <cell r="N1485">
            <v>1</v>
          </cell>
          <cell r="O1485">
            <v>43735</v>
          </cell>
          <cell r="P1485">
            <v>43773</v>
          </cell>
          <cell r="Q1485">
            <v>1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1</v>
          </cell>
          <cell r="W1485">
            <v>22</v>
          </cell>
          <cell r="X1485">
            <v>15</v>
          </cell>
          <cell r="Y1485">
            <v>22</v>
          </cell>
        </row>
        <row r="1486">
          <cell r="D1486">
            <v>342216</v>
          </cell>
          <cell r="E1486" t="str">
            <v>Agoncillo Senior High School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</row>
        <row r="1487">
          <cell r="D1487">
            <v>342200</v>
          </cell>
          <cell r="E1487" t="str">
            <v>SHS within Alitagtag Central School</v>
          </cell>
          <cell r="F1487">
            <v>1</v>
          </cell>
          <cell r="G1487">
            <v>1</v>
          </cell>
          <cell r="H1487">
            <v>1</v>
          </cell>
          <cell r="I1487">
            <v>0</v>
          </cell>
          <cell r="J1487">
            <v>1</v>
          </cell>
          <cell r="K1487">
            <v>0</v>
          </cell>
          <cell r="L1487">
            <v>0</v>
          </cell>
          <cell r="M1487">
            <v>0</v>
          </cell>
          <cell r="N1487">
            <v>1</v>
          </cell>
          <cell r="O1487">
            <v>43665</v>
          </cell>
          <cell r="P1487">
            <v>43685</v>
          </cell>
          <cell r="Q1487">
            <v>0</v>
          </cell>
          <cell r="R1487">
            <v>1</v>
          </cell>
          <cell r="S1487">
            <v>0</v>
          </cell>
          <cell r="T1487">
            <v>0</v>
          </cell>
          <cell r="U1487">
            <v>0</v>
          </cell>
          <cell r="V1487">
            <v>1</v>
          </cell>
          <cell r="W1487">
            <v>0</v>
          </cell>
          <cell r="X1487">
            <v>0</v>
          </cell>
          <cell r="Y1487">
            <v>0</v>
          </cell>
        </row>
        <row r="1488">
          <cell r="D1488">
            <v>301521</v>
          </cell>
          <cell r="E1488" t="str">
            <v>Kapayapaan Integrated School</v>
          </cell>
          <cell r="F1488">
            <v>1</v>
          </cell>
          <cell r="G1488">
            <v>1</v>
          </cell>
          <cell r="H1488">
            <v>1</v>
          </cell>
          <cell r="I1488">
            <v>0</v>
          </cell>
          <cell r="J1488">
            <v>0</v>
          </cell>
          <cell r="K1488">
            <v>1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</row>
        <row r="1489">
          <cell r="D1489">
            <v>342202</v>
          </cell>
          <cell r="E1489" t="str">
            <v>SHS within Cuenca Central School</v>
          </cell>
          <cell r="F1489">
            <v>1</v>
          </cell>
          <cell r="G1489">
            <v>1</v>
          </cell>
          <cell r="H1489">
            <v>1</v>
          </cell>
          <cell r="I1489">
            <v>0</v>
          </cell>
          <cell r="J1489">
            <v>1</v>
          </cell>
          <cell r="K1489">
            <v>0</v>
          </cell>
          <cell r="L1489">
            <v>1</v>
          </cell>
          <cell r="M1489">
            <v>0</v>
          </cell>
          <cell r="N1489">
            <v>1</v>
          </cell>
          <cell r="O1489" t="str">
            <v>June 2019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1</v>
          </cell>
          <cell r="W1489">
            <v>0</v>
          </cell>
          <cell r="X1489">
            <v>0</v>
          </cell>
          <cell r="Y1489">
            <v>0</v>
          </cell>
        </row>
        <row r="1490">
          <cell r="D1490">
            <v>301160</v>
          </cell>
          <cell r="E1490" t="str">
            <v>Tipas National High School (Grade 7-12)</v>
          </cell>
          <cell r="F1490">
            <v>1</v>
          </cell>
          <cell r="G1490">
            <v>1</v>
          </cell>
          <cell r="H1490">
            <v>0</v>
          </cell>
          <cell r="I1490">
            <v>0</v>
          </cell>
          <cell r="J1490">
            <v>1</v>
          </cell>
          <cell r="K1490">
            <v>0</v>
          </cell>
          <cell r="L1490">
            <v>0</v>
          </cell>
          <cell r="M1490">
            <v>0</v>
          </cell>
          <cell r="N1490">
            <v>1</v>
          </cell>
          <cell r="O1490">
            <v>0</v>
          </cell>
          <cell r="P1490">
            <v>43649</v>
          </cell>
          <cell r="Q1490">
            <v>0</v>
          </cell>
          <cell r="R1490">
            <v>1</v>
          </cell>
          <cell r="S1490">
            <v>0</v>
          </cell>
          <cell r="T1490">
            <v>0</v>
          </cell>
          <cell r="U1490">
            <v>0</v>
          </cell>
          <cell r="V1490">
            <v>1</v>
          </cell>
          <cell r="W1490">
            <v>0</v>
          </cell>
          <cell r="X1490">
            <v>0</v>
          </cell>
          <cell r="Y1490">
            <v>0</v>
          </cell>
        </row>
        <row r="1491">
          <cell r="D1491">
            <v>301139</v>
          </cell>
          <cell r="E1491" t="str">
            <v>Rosario NHS</v>
          </cell>
          <cell r="F1491">
            <v>1</v>
          </cell>
          <cell r="G1491">
            <v>1</v>
          </cell>
          <cell r="H1491">
            <v>1</v>
          </cell>
          <cell r="I1491">
            <v>0</v>
          </cell>
          <cell r="J1491">
            <v>0</v>
          </cell>
          <cell r="K1491">
            <v>1</v>
          </cell>
          <cell r="L1491">
            <v>0</v>
          </cell>
          <cell r="M1491">
            <v>0</v>
          </cell>
          <cell r="N1491">
            <v>1</v>
          </cell>
          <cell r="O1491">
            <v>43617</v>
          </cell>
          <cell r="P1491">
            <v>43617</v>
          </cell>
          <cell r="Q1491">
            <v>0</v>
          </cell>
          <cell r="R1491">
            <v>0</v>
          </cell>
          <cell r="S1491">
            <v>1</v>
          </cell>
          <cell r="T1491">
            <v>0</v>
          </cell>
          <cell r="U1491">
            <v>0</v>
          </cell>
          <cell r="V1491">
            <v>1</v>
          </cell>
          <cell r="W1491">
            <v>0</v>
          </cell>
          <cell r="X1491">
            <v>0</v>
          </cell>
          <cell r="Y1491">
            <v>0</v>
          </cell>
        </row>
        <row r="1492">
          <cell r="D1492">
            <v>342214</v>
          </cell>
          <cell r="E1492" t="str">
            <v>SHS within San Antonio Elementary School</v>
          </cell>
          <cell r="F1492">
            <v>0</v>
          </cell>
          <cell r="G1492">
            <v>0</v>
          </cell>
          <cell r="H1492">
            <v>1</v>
          </cell>
          <cell r="I1492">
            <v>0</v>
          </cell>
          <cell r="J1492">
            <v>1</v>
          </cell>
          <cell r="K1492">
            <v>0</v>
          </cell>
          <cell r="L1492">
            <v>0</v>
          </cell>
          <cell r="M1492">
            <v>0</v>
          </cell>
          <cell r="N1492">
            <v>1</v>
          </cell>
          <cell r="O1492">
            <v>0</v>
          </cell>
          <cell r="P1492">
            <v>0</v>
          </cell>
          <cell r="Q1492">
            <v>0</v>
          </cell>
          <cell r="R1492">
            <v>1</v>
          </cell>
          <cell r="S1492">
            <v>0</v>
          </cell>
          <cell r="T1492">
            <v>0</v>
          </cell>
          <cell r="U1492">
            <v>0</v>
          </cell>
          <cell r="V1492">
            <v>1</v>
          </cell>
          <cell r="W1492">
            <v>0</v>
          </cell>
          <cell r="X1492">
            <v>0</v>
          </cell>
          <cell r="Y1492">
            <v>0</v>
          </cell>
        </row>
        <row r="1493">
          <cell r="D1493">
            <v>342221</v>
          </cell>
          <cell r="E1493" t="str">
            <v>SHS in Taysan</v>
          </cell>
          <cell r="F1493">
            <v>1</v>
          </cell>
          <cell r="G1493">
            <v>1</v>
          </cell>
          <cell r="H1493">
            <v>1</v>
          </cell>
          <cell r="I1493">
            <v>0</v>
          </cell>
          <cell r="J1493">
            <v>0</v>
          </cell>
          <cell r="K1493">
            <v>0</v>
          </cell>
          <cell r="L1493">
            <v>1</v>
          </cell>
          <cell r="M1493" t="str">
            <v>upon needed</v>
          </cell>
          <cell r="N1493">
            <v>1</v>
          </cell>
          <cell r="O1493">
            <v>43647</v>
          </cell>
          <cell r="P1493">
            <v>43678</v>
          </cell>
          <cell r="Q1493">
            <v>1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1</v>
          </cell>
          <cell r="W1493">
            <v>2</v>
          </cell>
          <cell r="X1493">
            <v>1</v>
          </cell>
          <cell r="Y1493">
            <v>1</v>
          </cell>
        </row>
        <row r="1494">
          <cell r="D1494">
            <v>342215</v>
          </cell>
          <cell r="E1494" t="str">
            <v>San Pascual Senior High School 2</v>
          </cell>
          <cell r="F1494">
            <v>1</v>
          </cell>
          <cell r="G1494">
            <v>1</v>
          </cell>
          <cell r="H1494">
            <v>1</v>
          </cell>
          <cell r="I1494">
            <v>0</v>
          </cell>
          <cell r="J1494">
            <v>1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1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</row>
        <row r="1495">
          <cell r="D1495">
            <v>301129</v>
          </cell>
          <cell r="E1495" t="str">
            <v>Padre Garcia NHS</v>
          </cell>
          <cell r="F1495">
            <v>1</v>
          </cell>
          <cell r="G1495">
            <v>1</v>
          </cell>
          <cell r="H1495">
            <v>1</v>
          </cell>
          <cell r="I1495">
            <v>1</v>
          </cell>
          <cell r="J1495">
            <v>0</v>
          </cell>
          <cell r="K1495">
            <v>0</v>
          </cell>
          <cell r="L1495">
            <v>1</v>
          </cell>
          <cell r="M1495">
            <v>0</v>
          </cell>
          <cell r="N1495">
            <v>1</v>
          </cell>
          <cell r="O1495">
            <v>0</v>
          </cell>
          <cell r="P1495">
            <v>0</v>
          </cell>
          <cell r="Q1495">
            <v>1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1</v>
          </cell>
          <cell r="W1495">
            <v>0</v>
          </cell>
          <cell r="X1495">
            <v>0</v>
          </cell>
          <cell r="Y1495">
            <v>0</v>
          </cell>
        </row>
        <row r="1496">
          <cell r="D1496">
            <v>301512</v>
          </cell>
          <cell r="E1496" t="str">
            <v>Bunggo Integrated School</v>
          </cell>
          <cell r="F1496">
            <v>0</v>
          </cell>
          <cell r="G1496">
            <v>0</v>
          </cell>
          <cell r="H1496">
            <v>1</v>
          </cell>
          <cell r="I1496">
            <v>0</v>
          </cell>
          <cell r="J1496">
            <v>1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1</v>
          </cell>
          <cell r="T1496">
            <v>0</v>
          </cell>
          <cell r="U1496">
            <v>0</v>
          </cell>
          <cell r="V1496">
            <v>1</v>
          </cell>
          <cell r="W1496">
            <v>0</v>
          </cell>
          <cell r="X1496">
            <v>0</v>
          </cell>
          <cell r="Y1496">
            <v>0</v>
          </cell>
        </row>
        <row r="1497">
          <cell r="D1497">
            <v>342198</v>
          </cell>
          <cell r="E1497" t="str">
            <v>SHS within Nasugbu East Central School</v>
          </cell>
          <cell r="F1497">
            <v>0</v>
          </cell>
          <cell r="G1497">
            <v>0</v>
          </cell>
          <cell r="H1497">
            <v>1</v>
          </cell>
          <cell r="I1497">
            <v>0</v>
          </cell>
          <cell r="J1497">
            <v>0</v>
          </cell>
          <cell r="K1497">
            <v>1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</row>
        <row r="1498">
          <cell r="D1498">
            <v>301130</v>
          </cell>
          <cell r="E1498" t="str">
            <v>Palahanan NHS</v>
          </cell>
          <cell r="F1498">
            <v>1</v>
          </cell>
          <cell r="G1498">
            <v>1</v>
          </cell>
          <cell r="H1498">
            <v>1</v>
          </cell>
          <cell r="I1498">
            <v>0</v>
          </cell>
          <cell r="J1498">
            <v>1</v>
          </cell>
          <cell r="K1498">
            <v>0</v>
          </cell>
          <cell r="L1498">
            <v>0</v>
          </cell>
          <cell r="M1498">
            <v>0</v>
          </cell>
          <cell r="N1498">
            <v>1</v>
          </cell>
          <cell r="O1498">
            <v>43253</v>
          </cell>
          <cell r="P1498">
            <v>43336</v>
          </cell>
          <cell r="Q1498">
            <v>0</v>
          </cell>
          <cell r="R1498">
            <v>1</v>
          </cell>
          <cell r="S1498">
            <v>0</v>
          </cell>
          <cell r="T1498">
            <v>0</v>
          </cell>
          <cell r="U1498">
            <v>0</v>
          </cell>
          <cell r="V1498">
            <v>1</v>
          </cell>
          <cell r="W1498">
            <v>1</v>
          </cell>
          <cell r="X1498">
            <v>1</v>
          </cell>
          <cell r="Y1498">
            <v>1</v>
          </cell>
        </row>
        <row r="1499">
          <cell r="D1499">
            <v>301115</v>
          </cell>
          <cell r="E1499" t="str">
            <v>Anselmo Sandoval MNHS (Mabini NHS)</v>
          </cell>
          <cell r="F1499">
            <v>1</v>
          </cell>
          <cell r="G1499">
            <v>0</v>
          </cell>
          <cell r="H1499">
            <v>1</v>
          </cell>
          <cell r="I1499">
            <v>0</v>
          </cell>
          <cell r="J1499">
            <v>1</v>
          </cell>
          <cell r="K1499">
            <v>0</v>
          </cell>
          <cell r="L1499">
            <v>0</v>
          </cell>
          <cell r="M1499">
            <v>0</v>
          </cell>
          <cell r="N1499">
            <v>1</v>
          </cell>
          <cell r="O1499">
            <v>0</v>
          </cell>
          <cell r="P1499">
            <v>0</v>
          </cell>
          <cell r="Q1499">
            <v>1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1</v>
          </cell>
          <cell r="W1499">
            <v>0</v>
          </cell>
          <cell r="X1499">
            <v>0</v>
          </cell>
          <cell r="Y1499">
            <v>0</v>
          </cell>
        </row>
        <row r="1500">
          <cell r="D1500">
            <v>301522</v>
          </cell>
          <cell r="E1500" t="str">
            <v>Majada In Integrated School</v>
          </cell>
          <cell r="F1500">
            <v>1</v>
          </cell>
          <cell r="G1500">
            <v>0</v>
          </cell>
          <cell r="H1500">
            <v>1</v>
          </cell>
          <cell r="I1500">
            <v>0</v>
          </cell>
          <cell r="J1500">
            <v>0</v>
          </cell>
          <cell r="K1500">
            <v>0</v>
          </cell>
          <cell r="L1500">
            <v>1</v>
          </cell>
          <cell r="M1500">
            <v>0</v>
          </cell>
          <cell r="N1500">
            <v>1</v>
          </cell>
          <cell r="O1500">
            <v>0</v>
          </cell>
          <cell r="P1500" t="str">
            <v>September, 2019</v>
          </cell>
          <cell r="Q1500">
            <v>0</v>
          </cell>
          <cell r="R1500">
            <v>0</v>
          </cell>
          <cell r="S1500">
            <v>0</v>
          </cell>
          <cell r="T1500">
            <v>1</v>
          </cell>
          <cell r="U1500" t="str">
            <v>when the needs arise</v>
          </cell>
          <cell r="V1500">
            <v>1</v>
          </cell>
          <cell r="W1500">
            <v>0</v>
          </cell>
          <cell r="X1500">
            <v>0</v>
          </cell>
          <cell r="Y1500">
            <v>0</v>
          </cell>
        </row>
        <row r="1501">
          <cell r="D1501">
            <v>301132</v>
          </cell>
          <cell r="E1501" t="str">
            <v>Pansol Integrated National High School</v>
          </cell>
          <cell r="F1501">
            <v>1</v>
          </cell>
          <cell r="G1501">
            <v>1</v>
          </cell>
          <cell r="H1501">
            <v>1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 t="str">
            <v>10/27/18</v>
          </cell>
          <cell r="P1501" t="str">
            <v>10/27/18</v>
          </cell>
          <cell r="Q1501">
            <v>1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1</v>
          </cell>
          <cell r="W1501">
            <v>0</v>
          </cell>
          <cell r="X1501">
            <v>0</v>
          </cell>
          <cell r="Y1501">
            <v>0</v>
          </cell>
        </row>
        <row r="1502">
          <cell r="D1502">
            <v>301087</v>
          </cell>
          <cell r="E1502" t="str">
            <v>Bilogo Integrated National High School</v>
          </cell>
          <cell r="F1502">
            <v>1</v>
          </cell>
          <cell r="G1502">
            <v>1</v>
          </cell>
          <cell r="H1502">
            <v>1</v>
          </cell>
          <cell r="I1502">
            <v>0</v>
          </cell>
          <cell r="J1502">
            <v>1</v>
          </cell>
          <cell r="K1502">
            <v>0</v>
          </cell>
          <cell r="L1502">
            <v>0</v>
          </cell>
          <cell r="M1502">
            <v>0</v>
          </cell>
          <cell r="N1502">
            <v>1</v>
          </cell>
          <cell r="O1502">
            <v>43640</v>
          </cell>
          <cell r="P1502">
            <v>43644</v>
          </cell>
          <cell r="Q1502">
            <v>0</v>
          </cell>
          <cell r="R1502">
            <v>1</v>
          </cell>
          <cell r="S1502">
            <v>0</v>
          </cell>
          <cell r="T1502">
            <v>0</v>
          </cell>
          <cell r="U1502">
            <v>0</v>
          </cell>
          <cell r="V1502">
            <v>1</v>
          </cell>
          <cell r="W1502">
            <v>0</v>
          </cell>
          <cell r="X1502">
            <v>0</v>
          </cell>
          <cell r="Y1502">
            <v>0</v>
          </cell>
        </row>
        <row r="1503">
          <cell r="D1503">
            <v>301511</v>
          </cell>
          <cell r="E1503" t="str">
            <v>Bubuyan Integrated School</v>
          </cell>
          <cell r="F1503">
            <v>1</v>
          </cell>
          <cell r="G1503">
            <v>1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</row>
        <row r="1504">
          <cell r="D1504">
            <v>308701</v>
          </cell>
          <cell r="E1504" t="str">
            <v>Integrated School of Lawa</v>
          </cell>
          <cell r="F1504">
            <v>1</v>
          </cell>
          <cell r="G1504">
            <v>0</v>
          </cell>
          <cell r="H1504">
            <v>1</v>
          </cell>
          <cell r="I1504">
            <v>0</v>
          </cell>
          <cell r="J1504">
            <v>1</v>
          </cell>
          <cell r="K1504">
            <v>0</v>
          </cell>
          <cell r="L1504">
            <v>0</v>
          </cell>
          <cell r="M1504">
            <v>0</v>
          </cell>
          <cell r="N1504">
            <v>1</v>
          </cell>
          <cell r="O1504" t="str">
            <v>AUG. 10, 2019</v>
          </cell>
          <cell r="P1504">
            <v>43617</v>
          </cell>
          <cell r="Q1504">
            <v>0</v>
          </cell>
          <cell r="R1504">
            <v>0</v>
          </cell>
          <cell r="S1504">
            <v>1</v>
          </cell>
          <cell r="T1504">
            <v>0</v>
          </cell>
          <cell r="U1504">
            <v>0</v>
          </cell>
          <cell r="V1504">
            <v>1</v>
          </cell>
          <cell r="W1504">
            <v>0</v>
          </cell>
          <cell r="X1504">
            <v>0</v>
          </cell>
          <cell r="Y1504">
            <v>0</v>
          </cell>
        </row>
        <row r="1505">
          <cell r="D1505">
            <v>301153</v>
          </cell>
          <cell r="E1505" t="str">
            <v>Dr. Juan A. Pastor MNHS (Talaibon NHS)</v>
          </cell>
          <cell r="F1505">
            <v>1</v>
          </cell>
          <cell r="G1505">
            <v>1</v>
          </cell>
          <cell r="H1505">
            <v>1</v>
          </cell>
          <cell r="I1505">
            <v>0</v>
          </cell>
          <cell r="J1505">
            <v>1</v>
          </cell>
          <cell r="K1505">
            <v>0</v>
          </cell>
          <cell r="L1505">
            <v>0</v>
          </cell>
          <cell r="M1505">
            <v>0</v>
          </cell>
          <cell r="N1505">
            <v>1</v>
          </cell>
          <cell r="O1505">
            <v>0</v>
          </cell>
          <cell r="P1505">
            <v>43623</v>
          </cell>
          <cell r="Q1505">
            <v>0</v>
          </cell>
          <cell r="R1505">
            <v>0</v>
          </cell>
          <cell r="S1505">
            <v>1</v>
          </cell>
          <cell r="T1505">
            <v>0</v>
          </cell>
          <cell r="U1505">
            <v>0</v>
          </cell>
          <cell r="V1505">
            <v>1</v>
          </cell>
          <cell r="W1505">
            <v>0</v>
          </cell>
          <cell r="X1505">
            <v>0</v>
          </cell>
          <cell r="Y1505">
            <v>0</v>
          </cell>
        </row>
        <row r="1506">
          <cell r="D1506">
            <v>301525</v>
          </cell>
          <cell r="E1506" t="str">
            <v>Punta Integrated School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</row>
        <row r="1507">
          <cell r="D1507">
            <v>342253</v>
          </cell>
          <cell r="E1507" t="str">
            <v>Calamba City Senior High School</v>
          </cell>
          <cell r="F1507">
            <v>1</v>
          </cell>
          <cell r="G1507">
            <v>0</v>
          </cell>
          <cell r="H1507">
            <v>1</v>
          </cell>
          <cell r="I1507">
            <v>0</v>
          </cell>
          <cell r="J1507">
            <v>0</v>
          </cell>
          <cell r="K1507">
            <v>1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 t="str">
            <v>n/a</v>
          </cell>
          <cell r="Q1507">
            <v>0</v>
          </cell>
          <cell r="R1507">
            <v>0</v>
          </cell>
          <cell r="S1507">
            <v>0</v>
          </cell>
          <cell r="T1507">
            <v>1</v>
          </cell>
          <cell r="U1507" t="str">
            <v>n/a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</row>
        <row r="1508">
          <cell r="D1508">
            <v>301105</v>
          </cell>
          <cell r="E1508" t="str">
            <v>Itlugan National High School</v>
          </cell>
          <cell r="F1508">
            <v>1</v>
          </cell>
          <cell r="G1508">
            <v>1</v>
          </cell>
          <cell r="H1508">
            <v>1</v>
          </cell>
          <cell r="I1508">
            <v>0</v>
          </cell>
          <cell r="J1508">
            <v>0</v>
          </cell>
          <cell r="K1508">
            <v>1</v>
          </cell>
          <cell r="L1508">
            <v>0</v>
          </cell>
          <cell r="M1508">
            <v>0</v>
          </cell>
          <cell r="N1508">
            <v>1</v>
          </cell>
          <cell r="O1508">
            <v>43694</v>
          </cell>
          <cell r="P1508" t="str">
            <v>None</v>
          </cell>
          <cell r="Q1508">
            <v>0</v>
          </cell>
          <cell r="R1508">
            <v>1</v>
          </cell>
          <cell r="S1508">
            <v>0</v>
          </cell>
          <cell r="T1508">
            <v>0</v>
          </cell>
          <cell r="U1508">
            <v>0</v>
          </cell>
          <cell r="V1508">
            <v>1</v>
          </cell>
          <cell r="W1508">
            <v>2</v>
          </cell>
          <cell r="X1508">
            <v>0</v>
          </cell>
          <cell r="Y1508">
            <v>0</v>
          </cell>
        </row>
        <row r="1509">
          <cell r="D1509">
            <v>301155</v>
          </cell>
          <cell r="E1509" t="str">
            <v>Taysan National High School</v>
          </cell>
          <cell r="F1509">
            <v>1</v>
          </cell>
          <cell r="G1509">
            <v>1</v>
          </cell>
          <cell r="H1509">
            <v>1</v>
          </cell>
          <cell r="I1509">
            <v>0</v>
          </cell>
          <cell r="J1509">
            <v>1</v>
          </cell>
          <cell r="K1509">
            <v>0</v>
          </cell>
          <cell r="L1509">
            <v>0</v>
          </cell>
          <cell r="M1509">
            <v>0</v>
          </cell>
          <cell r="N1509">
            <v>1</v>
          </cell>
          <cell r="O1509" t="str">
            <v>06/01/2019; 06/27/2019</v>
          </cell>
          <cell r="P1509">
            <v>43734</v>
          </cell>
          <cell r="Q1509">
            <v>0</v>
          </cell>
          <cell r="R1509">
            <v>1</v>
          </cell>
          <cell r="S1509">
            <v>0</v>
          </cell>
          <cell r="T1509">
            <v>0</v>
          </cell>
          <cell r="U1509">
            <v>0</v>
          </cell>
          <cell r="V1509">
            <v>1</v>
          </cell>
          <cell r="W1509">
            <v>9</v>
          </cell>
          <cell r="X1509">
            <v>14</v>
          </cell>
          <cell r="Y1509">
            <v>14</v>
          </cell>
        </row>
        <row r="1510">
          <cell r="D1510">
            <v>305481</v>
          </cell>
          <cell r="E1510" t="str">
            <v>Lemery Senior High School</v>
          </cell>
          <cell r="F1510">
            <v>1</v>
          </cell>
          <cell r="G1510">
            <v>1</v>
          </cell>
          <cell r="H1510">
            <v>0</v>
          </cell>
          <cell r="I1510">
            <v>0</v>
          </cell>
          <cell r="J1510">
            <v>1</v>
          </cell>
          <cell r="K1510">
            <v>0</v>
          </cell>
          <cell r="L1510">
            <v>0</v>
          </cell>
          <cell r="M1510">
            <v>0</v>
          </cell>
          <cell r="N1510">
            <v>1</v>
          </cell>
          <cell r="O1510" t="str">
            <v>PTA MEETING</v>
          </cell>
          <cell r="P1510">
            <v>0</v>
          </cell>
          <cell r="Q1510">
            <v>1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1</v>
          </cell>
          <cell r="W1510">
            <v>0</v>
          </cell>
          <cell r="X1510">
            <v>0</v>
          </cell>
          <cell r="Y1510">
            <v>0</v>
          </cell>
        </row>
        <row r="1511">
          <cell r="D1511">
            <v>305561</v>
          </cell>
          <cell r="E1511" t="str">
            <v>Calamba City School for the Arts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</row>
        <row r="1512">
          <cell r="D1512">
            <v>301079</v>
          </cell>
          <cell r="E1512" t="str">
            <v>Bauan National Agricultural and Vocational High School</v>
          </cell>
          <cell r="F1512">
            <v>1</v>
          </cell>
          <cell r="G1512">
            <v>1</v>
          </cell>
          <cell r="H1512">
            <v>1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1</v>
          </cell>
          <cell r="O1512">
            <v>0</v>
          </cell>
          <cell r="P1512">
            <v>43678</v>
          </cell>
          <cell r="Q1512">
            <v>0</v>
          </cell>
          <cell r="R1512">
            <v>1</v>
          </cell>
          <cell r="S1512">
            <v>0</v>
          </cell>
          <cell r="T1512">
            <v>0</v>
          </cell>
          <cell r="U1512">
            <v>0</v>
          </cell>
          <cell r="V1512">
            <v>1</v>
          </cell>
          <cell r="W1512">
            <v>2</v>
          </cell>
          <cell r="X1512">
            <v>0</v>
          </cell>
          <cell r="Y1512">
            <v>0</v>
          </cell>
        </row>
        <row r="1513">
          <cell r="D1513">
            <v>342196</v>
          </cell>
          <cell r="E1513" t="str">
            <v>SHS within Pantalan Elementary School</v>
          </cell>
          <cell r="F1513">
            <v>1</v>
          </cell>
          <cell r="G1513">
            <v>1</v>
          </cell>
          <cell r="H1513">
            <v>1</v>
          </cell>
          <cell r="I1513">
            <v>0</v>
          </cell>
          <cell r="J1513">
            <v>1</v>
          </cell>
          <cell r="K1513">
            <v>0</v>
          </cell>
          <cell r="L1513">
            <v>0</v>
          </cell>
          <cell r="M1513">
            <v>0</v>
          </cell>
          <cell r="N1513">
            <v>1</v>
          </cell>
          <cell r="O1513" t="str">
            <v>06/03/2019</v>
          </cell>
          <cell r="P1513" t="str">
            <v>06/03/2019</v>
          </cell>
          <cell r="Q1513">
            <v>0</v>
          </cell>
          <cell r="R1513">
            <v>1</v>
          </cell>
          <cell r="S1513">
            <v>0</v>
          </cell>
          <cell r="T1513">
            <v>0</v>
          </cell>
          <cell r="U1513">
            <v>0</v>
          </cell>
          <cell r="V1513">
            <v>1</v>
          </cell>
          <cell r="W1513">
            <v>2</v>
          </cell>
          <cell r="X1513">
            <v>2</v>
          </cell>
          <cell r="Y1513">
            <v>3</v>
          </cell>
        </row>
        <row r="1514">
          <cell r="D1514">
            <v>342222</v>
          </cell>
          <cell r="E1514" t="str">
            <v>SHS in Rosario, Batangas</v>
          </cell>
          <cell r="F1514">
            <v>1</v>
          </cell>
          <cell r="G1514">
            <v>1</v>
          </cell>
          <cell r="H1514">
            <v>1</v>
          </cell>
          <cell r="I1514">
            <v>0</v>
          </cell>
          <cell r="J1514">
            <v>0</v>
          </cell>
          <cell r="K1514">
            <v>1</v>
          </cell>
          <cell r="L1514">
            <v>0</v>
          </cell>
          <cell r="M1514">
            <v>0</v>
          </cell>
          <cell r="N1514">
            <v>1</v>
          </cell>
          <cell r="O1514">
            <v>43617</v>
          </cell>
          <cell r="P1514">
            <v>43617</v>
          </cell>
          <cell r="Q1514">
            <v>0</v>
          </cell>
          <cell r="R1514">
            <v>0</v>
          </cell>
          <cell r="S1514">
            <v>1</v>
          </cell>
          <cell r="T1514">
            <v>0</v>
          </cell>
          <cell r="U1514">
            <v>0</v>
          </cell>
          <cell r="V1514">
            <v>1</v>
          </cell>
          <cell r="W1514">
            <v>0</v>
          </cell>
          <cell r="X1514">
            <v>0</v>
          </cell>
          <cell r="Y1514">
            <v>0</v>
          </cell>
        </row>
        <row r="1515">
          <cell r="D1515">
            <v>342197</v>
          </cell>
          <cell r="E1515" t="str">
            <v>SHS within Tala Elementary School</v>
          </cell>
          <cell r="F1515">
            <v>1</v>
          </cell>
          <cell r="G1515">
            <v>1</v>
          </cell>
          <cell r="H1515">
            <v>1</v>
          </cell>
          <cell r="I1515">
            <v>0</v>
          </cell>
          <cell r="J1515">
            <v>1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 t="str">
            <v>06/01/2019</v>
          </cell>
          <cell r="P1515" t="str">
            <v>07/05/2019</v>
          </cell>
          <cell r="Q1515">
            <v>0</v>
          </cell>
          <cell r="R1515">
            <v>1</v>
          </cell>
          <cell r="S1515">
            <v>0</v>
          </cell>
          <cell r="T1515">
            <v>0</v>
          </cell>
          <cell r="U1515">
            <v>0</v>
          </cell>
          <cell r="V1515">
            <v>1</v>
          </cell>
          <cell r="W1515">
            <v>0</v>
          </cell>
          <cell r="X1515">
            <v>0</v>
          </cell>
          <cell r="Y1515">
            <v>0</v>
          </cell>
        </row>
        <row r="1516">
          <cell r="D1516">
            <v>342217</v>
          </cell>
          <cell r="E1516" t="str">
            <v>SHS in Malvar</v>
          </cell>
          <cell r="F1516">
            <v>1</v>
          </cell>
          <cell r="G1516">
            <v>0</v>
          </cell>
          <cell r="H1516">
            <v>1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1</v>
          </cell>
          <cell r="O1516" t="str">
            <v>Aug. 16, 2019</v>
          </cell>
          <cell r="P1516">
            <v>0</v>
          </cell>
          <cell r="Q1516">
            <v>1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1</v>
          </cell>
          <cell r="W1516">
            <v>0</v>
          </cell>
          <cell r="X1516">
            <v>0</v>
          </cell>
          <cell r="Y1516">
            <v>0</v>
          </cell>
        </row>
        <row r="1517">
          <cell r="D1517">
            <v>342212</v>
          </cell>
          <cell r="E1517" t="str">
            <v>SHS in Lobo</v>
          </cell>
          <cell r="F1517">
            <v>1</v>
          </cell>
          <cell r="G1517">
            <v>1</v>
          </cell>
          <cell r="H1517">
            <v>1</v>
          </cell>
          <cell r="I1517">
            <v>0</v>
          </cell>
          <cell r="J1517">
            <v>1</v>
          </cell>
          <cell r="K1517">
            <v>0</v>
          </cell>
          <cell r="L1517">
            <v>0</v>
          </cell>
          <cell r="M1517">
            <v>0</v>
          </cell>
          <cell r="N1517">
            <v>1</v>
          </cell>
          <cell r="O1517" t="str">
            <v>October 2019</v>
          </cell>
          <cell r="P1517" t="str">
            <v>August 2019</v>
          </cell>
          <cell r="Q1517">
            <v>0</v>
          </cell>
          <cell r="R1517">
            <v>0</v>
          </cell>
          <cell r="S1517">
            <v>1</v>
          </cell>
          <cell r="T1517">
            <v>0</v>
          </cell>
          <cell r="U1517">
            <v>0</v>
          </cell>
          <cell r="V1517">
            <v>1</v>
          </cell>
          <cell r="W1517">
            <v>0</v>
          </cell>
          <cell r="X1517">
            <v>0</v>
          </cell>
          <cell r="Y1517">
            <v>0</v>
          </cell>
        </row>
        <row r="1518">
          <cell r="D1518">
            <v>301489</v>
          </cell>
          <cell r="E1518" t="str">
            <v>Bulacnin Integrated NHS</v>
          </cell>
          <cell r="F1518">
            <v>1</v>
          </cell>
          <cell r="G1518">
            <v>1</v>
          </cell>
          <cell r="H1518">
            <v>1</v>
          </cell>
          <cell r="I1518">
            <v>1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</row>
        <row r="1519">
          <cell r="D1519">
            <v>301080</v>
          </cell>
          <cell r="E1519" t="str">
            <v>Bauan Technical High School</v>
          </cell>
          <cell r="F1519">
            <v>1</v>
          </cell>
          <cell r="G1519">
            <v>1</v>
          </cell>
          <cell r="H1519">
            <v>1</v>
          </cell>
          <cell r="I1519">
            <v>1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1</v>
          </cell>
          <cell r="O1519">
            <v>0</v>
          </cell>
          <cell r="P1519">
            <v>0</v>
          </cell>
          <cell r="Q1519">
            <v>0</v>
          </cell>
          <cell r="R1519">
            <v>1</v>
          </cell>
          <cell r="S1519">
            <v>0</v>
          </cell>
          <cell r="T1519">
            <v>0</v>
          </cell>
          <cell r="U1519">
            <v>0</v>
          </cell>
          <cell r="V1519">
            <v>1</v>
          </cell>
          <cell r="W1519">
            <v>0</v>
          </cell>
          <cell r="X1519">
            <v>0</v>
          </cell>
          <cell r="Y1519">
            <v>0</v>
          </cell>
        </row>
        <row r="1520">
          <cell r="D1520">
            <v>342206</v>
          </cell>
          <cell r="E1520" t="str">
            <v>SHS in Lian</v>
          </cell>
          <cell r="F1520">
            <v>1</v>
          </cell>
          <cell r="G1520">
            <v>1</v>
          </cell>
          <cell r="H1520">
            <v>1</v>
          </cell>
          <cell r="I1520">
            <v>0</v>
          </cell>
          <cell r="J1520">
            <v>1</v>
          </cell>
          <cell r="K1520">
            <v>0</v>
          </cell>
          <cell r="L1520">
            <v>0</v>
          </cell>
          <cell r="M1520">
            <v>0</v>
          </cell>
          <cell r="N1520">
            <v>1</v>
          </cell>
          <cell r="O1520">
            <v>43258</v>
          </cell>
          <cell r="P1520">
            <v>43328</v>
          </cell>
          <cell r="Q1520">
            <v>0</v>
          </cell>
          <cell r="R1520">
            <v>1</v>
          </cell>
          <cell r="S1520">
            <v>0</v>
          </cell>
          <cell r="T1520">
            <v>0</v>
          </cell>
          <cell r="U1520">
            <v>0</v>
          </cell>
          <cell r="V1520">
            <v>1</v>
          </cell>
          <cell r="W1520">
            <v>10</v>
          </cell>
          <cell r="X1520">
            <v>8</v>
          </cell>
          <cell r="Y1520">
            <v>8</v>
          </cell>
        </row>
        <row r="1521">
          <cell r="D1521">
            <v>301069</v>
          </cell>
          <cell r="E1521" t="str">
            <v>Alupay NHS</v>
          </cell>
          <cell r="F1521">
            <v>1</v>
          </cell>
          <cell r="G1521">
            <v>1</v>
          </cell>
          <cell r="H1521">
            <v>1</v>
          </cell>
          <cell r="I1521">
            <v>0</v>
          </cell>
          <cell r="J1521">
            <v>1</v>
          </cell>
          <cell r="K1521">
            <v>0</v>
          </cell>
          <cell r="L1521">
            <v>0</v>
          </cell>
          <cell r="M1521">
            <v>0</v>
          </cell>
          <cell r="N1521">
            <v>1</v>
          </cell>
          <cell r="O1521">
            <v>0</v>
          </cell>
          <cell r="P1521">
            <v>0</v>
          </cell>
          <cell r="Q1521">
            <v>1</v>
          </cell>
          <cell r="R1521">
            <v>0</v>
          </cell>
          <cell r="S1521">
            <v>0</v>
          </cell>
          <cell r="T1521">
            <v>1</v>
          </cell>
          <cell r="U1521">
            <v>0</v>
          </cell>
          <cell r="V1521">
            <v>1</v>
          </cell>
          <cell r="W1521">
            <v>0</v>
          </cell>
          <cell r="X1521">
            <v>0</v>
          </cell>
          <cell r="Y1521">
            <v>0</v>
          </cell>
        </row>
        <row r="1522">
          <cell r="D1522">
            <v>301398</v>
          </cell>
          <cell r="E1522" t="str">
            <v>Sanmandelcar National High School</v>
          </cell>
          <cell r="F1522">
            <v>1</v>
          </cell>
          <cell r="G1522">
            <v>1</v>
          </cell>
          <cell r="H1522">
            <v>1</v>
          </cell>
          <cell r="I1522">
            <v>0</v>
          </cell>
          <cell r="J1522">
            <v>1</v>
          </cell>
          <cell r="K1522">
            <v>0</v>
          </cell>
          <cell r="L1522">
            <v>0</v>
          </cell>
          <cell r="M1522">
            <v>0</v>
          </cell>
          <cell r="N1522">
            <v>1</v>
          </cell>
          <cell r="O1522" t="str">
            <v>07/04/2018</v>
          </cell>
          <cell r="P1522" t="str">
            <v>08/30/2018</v>
          </cell>
          <cell r="Q1522">
            <v>0</v>
          </cell>
          <cell r="R1522">
            <v>1</v>
          </cell>
          <cell r="S1522">
            <v>0</v>
          </cell>
          <cell r="T1522">
            <v>0</v>
          </cell>
          <cell r="U1522">
            <v>0</v>
          </cell>
          <cell r="V1522">
            <v>1</v>
          </cell>
          <cell r="W1522">
            <v>0</v>
          </cell>
          <cell r="X1522">
            <v>0</v>
          </cell>
          <cell r="Y1522">
            <v>0</v>
          </cell>
        </row>
        <row r="1523">
          <cell r="D1523">
            <v>301149</v>
          </cell>
          <cell r="E1523" t="str">
            <v>Santa Teresita NHS</v>
          </cell>
          <cell r="F1523">
            <v>1</v>
          </cell>
          <cell r="G1523">
            <v>1</v>
          </cell>
          <cell r="H1523">
            <v>1</v>
          </cell>
          <cell r="I1523">
            <v>0</v>
          </cell>
          <cell r="J1523">
            <v>0</v>
          </cell>
          <cell r="K1523">
            <v>1</v>
          </cell>
          <cell r="L1523">
            <v>0</v>
          </cell>
          <cell r="M1523">
            <v>0</v>
          </cell>
          <cell r="N1523">
            <v>1</v>
          </cell>
          <cell r="O1523">
            <v>43696</v>
          </cell>
          <cell r="P1523">
            <v>43714</v>
          </cell>
          <cell r="Q1523">
            <v>0</v>
          </cell>
          <cell r="R1523">
            <v>1</v>
          </cell>
          <cell r="S1523">
            <v>0</v>
          </cell>
          <cell r="T1523">
            <v>0</v>
          </cell>
          <cell r="U1523">
            <v>0</v>
          </cell>
          <cell r="V1523">
            <v>1</v>
          </cell>
          <cell r="W1523">
            <v>0</v>
          </cell>
          <cell r="X1523">
            <v>0</v>
          </cell>
          <cell r="Y1523">
            <v>0</v>
          </cell>
        </row>
        <row r="1524">
          <cell r="D1524">
            <v>301517</v>
          </cell>
          <cell r="E1524" t="str">
            <v>Canlubang Integrated School</v>
          </cell>
          <cell r="F1524">
            <v>1</v>
          </cell>
          <cell r="G1524">
            <v>0</v>
          </cell>
          <cell r="H1524">
            <v>1</v>
          </cell>
          <cell r="I1524">
            <v>1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1</v>
          </cell>
          <cell r="O1524">
            <v>43685</v>
          </cell>
          <cell r="P1524">
            <v>43654</v>
          </cell>
          <cell r="Q1524">
            <v>1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1</v>
          </cell>
          <cell r="W1524">
            <v>0</v>
          </cell>
          <cell r="X1524">
            <v>0</v>
          </cell>
          <cell r="Y1524">
            <v>0</v>
          </cell>
        </row>
        <row r="1525">
          <cell r="D1525">
            <v>301519</v>
          </cell>
          <cell r="E1525" t="str">
            <v>Looc  Integrated School</v>
          </cell>
          <cell r="F1525">
            <v>1</v>
          </cell>
          <cell r="G1525">
            <v>1</v>
          </cell>
          <cell r="H1525">
            <v>1</v>
          </cell>
          <cell r="I1525">
            <v>0</v>
          </cell>
          <cell r="J1525">
            <v>1</v>
          </cell>
          <cell r="K1525">
            <v>0</v>
          </cell>
          <cell r="L1525">
            <v>0</v>
          </cell>
          <cell r="M1525">
            <v>0</v>
          </cell>
          <cell r="N1525">
            <v>1</v>
          </cell>
          <cell r="O1525">
            <v>0</v>
          </cell>
          <cell r="P1525">
            <v>0</v>
          </cell>
          <cell r="Q1525">
            <v>0</v>
          </cell>
          <cell r="R1525">
            <v>1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</row>
        <row r="1526">
          <cell r="D1526">
            <v>302159</v>
          </cell>
          <cell r="E1526" t="str">
            <v>Lumban Senior High School</v>
          </cell>
          <cell r="F1526">
            <v>1</v>
          </cell>
          <cell r="G1526">
            <v>1</v>
          </cell>
          <cell r="H1526">
            <v>1</v>
          </cell>
          <cell r="I1526">
            <v>0</v>
          </cell>
          <cell r="J1526">
            <v>1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43650</v>
          </cell>
          <cell r="P1526">
            <v>43663</v>
          </cell>
          <cell r="Q1526">
            <v>0</v>
          </cell>
          <cell r="R1526">
            <v>1</v>
          </cell>
          <cell r="S1526">
            <v>0</v>
          </cell>
          <cell r="T1526">
            <v>0</v>
          </cell>
          <cell r="U1526">
            <v>0</v>
          </cell>
          <cell r="V1526">
            <v>1</v>
          </cell>
          <cell r="W1526">
            <v>1</v>
          </cell>
          <cell r="X1526">
            <v>1</v>
          </cell>
          <cell r="Y1526">
            <v>0</v>
          </cell>
        </row>
        <row r="1527">
          <cell r="D1527">
            <v>301237</v>
          </cell>
          <cell r="E1527" t="str">
            <v>Lowland Integrated National High School</v>
          </cell>
          <cell r="F1527">
            <v>1</v>
          </cell>
          <cell r="G1527">
            <v>1</v>
          </cell>
          <cell r="H1527">
            <v>1</v>
          </cell>
          <cell r="I1527">
            <v>0</v>
          </cell>
          <cell r="J1527">
            <v>1</v>
          </cell>
          <cell r="K1527">
            <v>0</v>
          </cell>
          <cell r="L1527">
            <v>0</v>
          </cell>
          <cell r="M1527">
            <v>0</v>
          </cell>
          <cell r="N1527">
            <v>1</v>
          </cell>
          <cell r="O1527" t="str">
            <v>June 18, 2019</v>
          </cell>
          <cell r="P1527" t="str">
            <v>August 12, 2019</v>
          </cell>
          <cell r="Q1527">
            <v>1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</row>
        <row r="1528">
          <cell r="D1528">
            <v>301468</v>
          </cell>
          <cell r="E1528" t="str">
            <v>Tuna-Balibago NHS</v>
          </cell>
          <cell r="F1528">
            <v>1</v>
          </cell>
          <cell r="G1528">
            <v>0</v>
          </cell>
          <cell r="H1528">
            <v>1</v>
          </cell>
          <cell r="I1528">
            <v>0</v>
          </cell>
          <cell r="J1528">
            <v>1</v>
          </cell>
          <cell r="K1528">
            <v>0</v>
          </cell>
          <cell r="L1528">
            <v>0</v>
          </cell>
          <cell r="M1528">
            <v>0</v>
          </cell>
          <cell r="N1528">
            <v>1</v>
          </cell>
          <cell r="O1528" t="str">
            <v>July, 24, 2019</v>
          </cell>
          <cell r="P1528" t="str">
            <v>July 24, 2019</v>
          </cell>
          <cell r="Q1528">
            <v>0</v>
          </cell>
          <cell r="R1528">
            <v>0</v>
          </cell>
          <cell r="S1528">
            <v>1</v>
          </cell>
          <cell r="T1528">
            <v>0</v>
          </cell>
          <cell r="U1528">
            <v>0</v>
          </cell>
          <cell r="V1528">
            <v>1</v>
          </cell>
          <cell r="W1528">
            <v>0</v>
          </cell>
          <cell r="X1528">
            <v>0</v>
          </cell>
          <cell r="Y1528">
            <v>0</v>
          </cell>
        </row>
        <row r="1529">
          <cell r="D1529">
            <v>308704</v>
          </cell>
          <cell r="E1529" t="str">
            <v>Calamba City Science High School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</row>
        <row r="1530">
          <cell r="D1530">
            <v>301313</v>
          </cell>
          <cell r="E1530" t="str">
            <v>Evaristo R. Macalintal MNHS (Formerly Cometa NHS)</v>
          </cell>
          <cell r="F1530">
            <v>1</v>
          </cell>
          <cell r="G1530">
            <v>0</v>
          </cell>
          <cell r="H1530">
            <v>1</v>
          </cell>
          <cell r="I1530">
            <v>0</v>
          </cell>
          <cell r="J1530">
            <v>1</v>
          </cell>
          <cell r="K1530">
            <v>0</v>
          </cell>
          <cell r="L1530">
            <v>0</v>
          </cell>
          <cell r="M1530">
            <v>0</v>
          </cell>
          <cell r="N1530">
            <v>1</v>
          </cell>
          <cell r="O1530">
            <v>43776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</row>
        <row r="1531">
          <cell r="D1531">
            <v>308045</v>
          </cell>
          <cell r="E1531" t="str">
            <v>MANSILAY NHS</v>
          </cell>
          <cell r="F1531">
            <v>1</v>
          </cell>
          <cell r="G1531">
            <v>1</v>
          </cell>
          <cell r="H1531">
            <v>1</v>
          </cell>
          <cell r="I1531">
            <v>0</v>
          </cell>
          <cell r="J1531">
            <v>0</v>
          </cell>
          <cell r="K1531">
            <v>1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 t="str">
            <v>OCT. 20, 2018</v>
          </cell>
          <cell r="Q1531">
            <v>0</v>
          </cell>
          <cell r="R1531">
            <v>0</v>
          </cell>
          <cell r="S1531">
            <v>1</v>
          </cell>
          <cell r="T1531">
            <v>0</v>
          </cell>
          <cell r="U1531">
            <v>0</v>
          </cell>
          <cell r="V1531">
            <v>1</v>
          </cell>
          <cell r="W1531">
            <v>0</v>
          </cell>
          <cell r="X1531">
            <v>0</v>
          </cell>
          <cell r="Y1531">
            <v>0</v>
          </cell>
        </row>
        <row r="1532">
          <cell r="D1532">
            <v>305485</v>
          </cell>
          <cell r="E1532" t="str">
            <v>MAYURO SENIOR HIGH SCHOOL</v>
          </cell>
          <cell r="F1532">
            <v>1</v>
          </cell>
          <cell r="G1532">
            <v>1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1</v>
          </cell>
          <cell r="M1532" t="str">
            <v>n/a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1</v>
          </cell>
          <cell r="U1532" t="str">
            <v>n/a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</row>
        <row r="1533">
          <cell r="D1533">
            <v>342356</v>
          </cell>
          <cell r="E1533" t="str">
            <v>Stand Alone SHS No. 14 Santa Maria</v>
          </cell>
          <cell r="F1533">
            <v>1</v>
          </cell>
          <cell r="G1533">
            <v>1</v>
          </cell>
          <cell r="H1533">
            <v>0</v>
          </cell>
          <cell r="I1533">
            <v>1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1</v>
          </cell>
          <cell r="O1533">
            <v>0</v>
          </cell>
          <cell r="P1533">
            <v>43739</v>
          </cell>
          <cell r="Q1533">
            <v>1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</row>
        <row r="1534">
          <cell r="D1534">
            <v>301481</v>
          </cell>
          <cell r="E1534" t="str">
            <v>Tabangao Integrated School</v>
          </cell>
          <cell r="F1534">
            <v>1</v>
          </cell>
          <cell r="G1534">
            <v>0</v>
          </cell>
          <cell r="H1534">
            <v>1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1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1</v>
          </cell>
          <cell r="U1534">
            <v>0</v>
          </cell>
          <cell r="V1534">
            <v>0</v>
          </cell>
          <cell r="W1534">
            <v>4</v>
          </cell>
          <cell r="X1534">
            <v>4</v>
          </cell>
          <cell r="Y1534">
            <v>4</v>
          </cell>
        </row>
        <row r="1535">
          <cell r="D1535">
            <v>307927</v>
          </cell>
          <cell r="E1535" t="str">
            <v>Dayap National Integrated High School</v>
          </cell>
          <cell r="F1535">
            <v>1</v>
          </cell>
          <cell r="G1535">
            <v>1</v>
          </cell>
          <cell r="H1535">
            <v>1</v>
          </cell>
          <cell r="I1535">
            <v>0</v>
          </cell>
          <cell r="J1535">
            <v>0</v>
          </cell>
          <cell r="K1535">
            <v>0</v>
          </cell>
          <cell r="L1535">
            <v>1</v>
          </cell>
          <cell r="M1535" t="str">
            <v>AS THE NEED ARISES</v>
          </cell>
          <cell r="N1535">
            <v>1</v>
          </cell>
          <cell r="O1535" t="str">
            <v>7/31/2019</v>
          </cell>
          <cell r="P1535" t="str">
            <v>9/27/2019</v>
          </cell>
          <cell r="Q1535">
            <v>0</v>
          </cell>
          <cell r="R1535">
            <v>1</v>
          </cell>
          <cell r="S1535">
            <v>0</v>
          </cell>
          <cell r="T1535">
            <v>0</v>
          </cell>
          <cell r="U1535">
            <v>0</v>
          </cell>
          <cell r="V1535">
            <v>1</v>
          </cell>
          <cell r="W1535">
            <v>2</v>
          </cell>
          <cell r="X1535">
            <v>0</v>
          </cell>
          <cell r="Y1535">
            <v>0</v>
          </cell>
        </row>
        <row r="1536">
          <cell r="D1536">
            <v>301504</v>
          </cell>
          <cell r="E1536" t="str">
            <v>San Pablo City Integrated High School</v>
          </cell>
          <cell r="F1536">
            <v>1</v>
          </cell>
          <cell r="G1536">
            <v>0</v>
          </cell>
          <cell r="H1536">
            <v>1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</row>
        <row r="1537">
          <cell r="D1537">
            <v>301490</v>
          </cell>
          <cell r="E1537" t="str">
            <v>Fernando Air Base Integrated National High School</v>
          </cell>
          <cell r="F1537">
            <v>1</v>
          </cell>
          <cell r="G1537">
            <v>1</v>
          </cell>
          <cell r="H1537">
            <v>1</v>
          </cell>
          <cell r="I1537">
            <v>0</v>
          </cell>
          <cell r="J1537">
            <v>0</v>
          </cell>
          <cell r="K1537">
            <v>1</v>
          </cell>
          <cell r="L1537">
            <v>0</v>
          </cell>
          <cell r="M1537">
            <v>0</v>
          </cell>
          <cell r="N1537">
            <v>1</v>
          </cell>
          <cell r="O1537">
            <v>0</v>
          </cell>
          <cell r="P1537">
            <v>0</v>
          </cell>
          <cell r="Q1537">
            <v>0</v>
          </cell>
          <cell r="R1537">
            <v>1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</row>
        <row r="1538">
          <cell r="D1538">
            <v>342362</v>
          </cell>
          <cell r="E1538" t="str">
            <v>SANTA CRUZ INTEGRATED NATIONAL HIGH SCHOOL (Stand Alone SHS No. 20 Santa Cruz)</v>
          </cell>
          <cell r="F1538">
            <v>0</v>
          </cell>
          <cell r="G1538">
            <v>0</v>
          </cell>
          <cell r="H1538">
            <v>1</v>
          </cell>
          <cell r="I1538">
            <v>1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1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1</v>
          </cell>
          <cell r="W1538">
            <v>10</v>
          </cell>
          <cell r="X1538">
            <v>10</v>
          </cell>
          <cell r="Y1538">
            <v>10</v>
          </cell>
        </row>
        <row r="1539">
          <cell r="D1539">
            <v>301098</v>
          </cell>
          <cell r="E1539" t="str">
            <v>Dagatan National High School</v>
          </cell>
          <cell r="F1539">
            <v>1</v>
          </cell>
          <cell r="G1539">
            <v>1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</row>
        <row r="1540">
          <cell r="D1540">
            <v>301348</v>
          </cell>
          <cell r="E1540" t="str">
            <v>Lusacan National High School</v>
          </cell>
          <cell r="F1540">
            <v>1</v>
          </cell>
          <cell r="G1540">
            <v>0</v>
          </cell>
          <cell r="H1540">
            <v>1</v>
          </cell>
          <cell r="I1540">
            <v>1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 t="str">
            <v>N/A</v>
          </cell>
          <cell r="P1540" t="str">
            <v>none</v>
          </cell>
          <cell r="Q1540">
            <v>0</v>
          </cell>
          <cell r="R1540">
            <v>0</v>
          </cell>
          <cell r="S1540">
            <v>0</v>
          </cell>
          <cell r="T1540">
            <v>1</v>
          </cell>
          <cell r="U1540" t="str">
            <v>none</v>
          </cell>
          <cell r="V1540">
            <v>0</v>
          </cell>
          <cell r="W1540">
            <v>1</v>
          </cell>
          <cell r="X1540">
            <v>1</v>
          </cell>
          <cell r="Y1540">
            <v>1</v>
          </cell>
        </row>
        <row r="1541">
          <cell r="D1541">
            <v>301469</v>
          </cell>
          <cell r="E1541" t="str">
            <v>Vicente Madrigal NHS</v>
          </cell>
          <cell r="F1541">
            <v>1</v>
          </cell>
          <cell r="G1541">
            <v>1</v>
          </cell>
          <cell r="H1541">
            <v>0</v>
          </cell>
          <cell r="I1541">
            <v>0</v>
          </cell>
          <cell r="J1541">
            <v>1</v>
          </cell>
          <cell r="K1541">
            <v>0</v>
          </cell>
          <cell r="L1541">
            <v>0</v>
          </cell>
          <cell r="M1541">
            <v>0</v>
          </cell>
          <cell r="N1541">
            <v>1</v>
          </cell>
          <cell r="O1541" t="str">
            <v>December 2, 2019</v>
          </cell>
          <cell r="P1541" t="str">
            <v>none</v>
          </cell>
          <cell r="Q1541">
            <v>0</v>
          </cell>
          <cell r="R1541">
            <v>1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2</v>
          </cell>
          <cell r="X1541">
            <v>2</v>
          </cell>
          <cell r="Y1541">
            <v>2</v>
          </cell>
        </row>
        <row r="1542">
          <cell r="D1542">
            <v>305472</v>
          </cell>
          <cell r="E1542" t="str">
            <v>Lumangbayan National High School</v>
          </cell>
          <cell r="F1542">
            <v>1</v>
          </cell>
          <cell r="G1542">
            <v>1</v>
          </cell>
          <cell r="H1542">
            <v>1</v>
          </cell>
          <cell r="I1542">
            <v>0</v>
          </cell>
          <cell r="J1542">
            <v>1</v>
          </cell>
          <cell r="K1542">
            <v>0</v>
          </cell>
          <cell r="L1542">
            <v>0</v>
          </cell>
          <cell r="M1542">
            <v>0</v>
          </cell>
          <cell r="N1542">
            <v>1</v>
          </cell>
          <cell r="O1542">
            <v>43764</v>
          </cell>
          <cell r="P1542">
            <v>0</v>
          </cell>
          <cell r="Q1542">
            <v>1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1</v>
          </cell>
          <cell r="W1542">
            <v>0</v>
          </cell>
          <cell r="X1542">
            <v>0</v>
          </cell>
          <cell r="Y1542">
            <v>0</v>
          </cell>
        </row>
        <row r="1543">
          <cell r="D1543">
            <v>301508</v>
          </cell>
          <cell r="E1543" t="str">
            <v>San Bartolome Integrated High School</v>
          </cell>
          <cell r="F1543">
            <v>1</v>
          </cell>
          <cell r="G1543">
            <v>1</v>
          </cell>
          <cell r="H1543">
            <v>1</v>
          </cell>
          <cell r="I1543">
            <v>0</v>
          </cell>
          <cell r="J1543">
            <v>0</v>
          </cell>
          <cell r="K1543">
            <v>1</v>
          </cell>
          <cell r="L1543">
            <v>0</v>
          </cell>
          <cell r="M1543">
            <v>0</v>
          </cell>
          <cell r="N1543">
            <v>1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1</v>
          </cell>
          <cell r="T1543">
            <v>0</v>
          </cell>
          <cell r="U1543">
            <v>0</v>
          </cell>
          <cell r="V1543">
            <v>0</v>
          </cell>
          <cell r="W1543">
            <v>2</v>
          </cell>
          <cell r="X1543">
            <v>0</v>
          </cell>
          <cell r="Y1543">
            <v>0</v>
          </cell>
        </row>
        <row r="1544">
          <cell r="D1544">
            <v>301108</v>
          </cell>
          <cell r="E1544" t="str">
            <v>Laiya NHS</v>
          </cell>
          <cell r="F1544">
            <v>1</v>
          </cell>
          <cell r="G1544">
            <v>1</v>
          </cell>
          <cell r="H1544">
            <v>1</v>
          </cell>
          <cell r="I1544">
            <v>0</v>
          </cell>
          <cell r="J1544">
            <v>1</v>
          </cell>
          <cell r="K1544">
            <v>0</v>
          </cell>
          <cell r="L1544">
            <v>0</v>
          </cell>
          <cell r="M1544">
            <v>0</v>
          </cell>
          <cell r="N1544">
            <v>1</v>
          </cell>
          <cell r="O1544">
            <v>43739</v>
          </cell>
          <cell r="P1544">
            <v>43740</v>
          </cell>
          <cell r="Q1544">
            <v>0</v>
          </cell>
          <cell r="R1544">
            <v>1</v>
          </cell>
          <cell r="S1544">
            <v>0</v>
          </cell>
          <cell r="T1544">
            <v>0</v>
          </cell>
          <cell r="U1544">
            <v>0</v>
          </cell>
          <cell r="V1544">
            <v>1</v>
          </cell>
          <cell r="W1544">
            <v>1</v>
          </cell>
          <cell r="X1544">
            <v>1</v>
          </cell>
          <cell r="Y1544">
            <v>1</v>
          </cell>
        </row>
        <row r="1545">
          <cell r="D1545">
            <v>301090</v>
          </cell>
          <cell r="E1545" t="str">
            <v>Buhaynasapa NHS</v>
          </cell>
          <cell r="F1545">
            <v>1</v>
          </cell>
          <cell r="G1545">
            <v>1</v>
          </cell>
          <cell r="H1545">
            <v>1</v>
          </cell>
          <cell r="I1545">
            <v>0</v>
          </cell>
          <cell r="J1545">
            <v>1</v>
          </cell>
          <cell r="K1545">
            <v>0</v>
          </cell>
          <cell r="L1545">
            <v>0</v>
          </cell>
          <cell r="M1545">
            <v>0</v>
          </cell>
          <cell r="N1545">
            <v>1</v>
          </cell>
          <cell r="O1545">
            <v>0</v>
          </cell>
          <cell r="P1545">
            <v>0</v>
          </cell>
          <cell r="Q1545">
            <v>1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1</v>
          </cell>
          <cell r="W1545">
            <v>0</v>
          </cell>
          <cell r="X1545">
            <v>0</v>
          </cell>
          <cell r="Y1545">
            <v>0</v>
          </cell>
        </row>
        <row r="1546">
          <cell r="D1546">
            <v>301258</v>
          </cell>
          <cell r="E1546" t="str">
            <v>Plaridel Integrated National High School</v>
          </cell>
          <cell r="F1546">
            <v>1</v>
          </cell>
          <cell r="G1546">
            <v>1</v>
          </cell>
          <cell r="H1546">
            <v>1</v>
          </cell>
          <cell r="I1546">
            <v>0</v>
          </cell>
          <cell r="J1546">
            <v>1</v>
          </cell>
          <cell r="K1546">
            <v>0</v>
          </cell>
          <cell r="L1546">
            <v>0</v>
          </cell>
          <cell r="M1546">
            <v>0</v>
          </cell>
          <cell r="N1546">
            <v>1</v>
          </cell>
          <cell r="O1546">
            <v>43689</v>
          </cell>
          <cell r="P1546">
            <v>43720</v>
          </cell>
          <cell r="Q1546">
            <v>0</v>
          </cell>
          <cell r="R1546">
            <v>1</v>
          </cell>
          <cell r="S1546">
            <v>0</v>
          </cell>
          <cell r="T1546">
            <v>0</v>
          </cell>
          <cell r="U1546">
            <v>0</v>
          </cell>
          <cell r="V1546">
            <v>1</v>
          </cell>
          <cell r="W1546">
            <v>0</v>
          </cell>
          <cell r="X1546">
            <v>0</v>
          </cell>
          <cell r="Y1546">
            <v>0</v>
          </cell>
        </row>
        <row r="1547">
          <cell r="D1547">
            <v>307920</v>
          </cell>
          <cell r="E1547" t="str">
            <v>San Antonio Integrated National High School</v>
          </cell>
          <cell r="F1547">
            <v>1</v>
          </cell>
          <cell r="G1547">
            <v>1</v>
          </cell>
          <cell r="H1547">
            <v>1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</row>
        <row r="1548">
          <cell r="D1548">
            <v>308133</v>
          </cell>
          <cell r="E1548" t="str">
            <v>Laiban National High School</v>
          </cell>
          <cell r="F1548">
            <v>1</v>
          </cell>
          <cell r="G1548">
            <v>1</v>
          </cell>
          <cell r="H1548">
            <v>1</v>
          </cell>
          <cell r="I1548">
            <v>0</v>
          </cell>
          <cell r="J1548">
            <v>1</v>
          </cell>
          <cell r="K1548">
            <v>0</v>
          </cell>
          <cell r="L1548">
            <v>0</v>
          </cell>
          <cell r="M1548">
            <v>0</v>
          </cell>
          <cell r="N1548">
            <v>1</v>
          </cell>
          <cell r="O1548" t="str">
            <v>June 31, 2019</v>
          </cell>
          <cell r="P1548" t="str">
            <v>June 31, 2019</v>
          </cell>
          <cell r="Q1548">
            <v>0</v>
          </cell>
          <cell r="R1548">
            <v>1</v>
          </cell>
          <cell r="S1548">
            <v>0</v>
          </cell>
          <cell r="T1548">
            <v>0</v>
          </cell>
          <cell r="U1548">
            <v>0</v>
          </cell>
          <cell r="V1548">
            <v>1</v>
          </cell>
          <cell r="W1548">
            <v>0</v>
          </cell>
          <cell r="X1548">
            <v>0</v>
          </cell>
          <cell r="Y1548">
            <v>0</v>
          </cell>
        </row>
        <row r="1549">
          <cell r="D1549">
            <v>342344</v>
          </cell>
          <cell r="E1549" t="str">
            <v>PAKIL SENIOR HIGH SCHOOL (Stand Alone SHS No. 2 Pakil)</v>
          </cell>
          <cell r="F1549">
            <v>1</v>
          </cell>
          <cell r="G1549">
            <v>1</v>
          </cell>
          <cell r="H1549">
            <v>1</v>
          </cell>
          <cell r="I1549">
            <v>0</v>
          </cell>
          <cell r="J1549">
            <v>1</v>
          </cell>
          <cell r="K1549">
            <v>0</v>
          </cell>
          <cell r="L1549">
            <v>0</v>
          </cell>
          <cell r="M1549">
            <v>0</v>
          </cell>
          <cell r="N1549">
            <v>1</v>
          </cell>
          <cell r="O1549" t="str">
            <v>JUNE 20, 2019</v>
          </cell>
          <cell r="P1549" t="str">
            <v>JUNE 20, 2019</v>
          </cell>
          <cell r="Q1549">
            <v>0</v>
          </cell>
          <cell r="R1549">
            <v>1</v>
          </cell>
          <cell r="S1549">
            <v>0</v>
          </cell>
          <cell r="T1549">
            <v>0</v>
          </cell>
          <cell r="U1549">
            <v>0</v>
          </cell>
          <cell r="V1549">
            <v>1</v>
          </cell>
          <cell r="W1549">
            <v>1</v>
          </cell>
          <cell r="X1549">
            <v>1</v>
          </cell>
          <cell r="Y1549">
            <v>1</v>
          </cell>
        </row>
        <row r="1550">
          <cell r="D1550">
            <v>301092</v>
          </cell>
          <cell r="E1550" t="str">
            <v>Bulihan Integrated Senior High School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</row>
        <row r="1551">
          <cell r="D1551">
            <v>308017</v>
          </cell>
          <cell r="E1551" t="str">
            <v>Apad NHS (Formerly Sto. Domingo NHS - Apad Ext. Classes)</v>
          </cell>
          <cell r="F1551">
            <v>1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</row>
        <row r="1552">
          <cell r="D1552">
            <v>301491</v>
          </cell>
          <cell r="E1552" t="str">
            <v>Inosloban-Marawoy Integrated National High School</v>
          </cell>
          <cell r="F1552">
            <v>1</v>
          </cell>
          <cell r="G1552">
            <v>0</v>
          </cell>
          <cell r="H1552">
            <v>1</v>
          </cell>
          <cell r="I1552">
            <v>0</v>
          </cell>
          <cell r="J1552">
            <v>1</v>
          </cell>
          <cell r="K1552">
            <v>0</v>
          </cell>
          <cell r="L1552">
            <v>0</v>
          </cell>
          <cell r="M1552">
            <v>0</v>
          </cell>
          <cell r="N1552">
            <v>1</v>
          </cell>
          <cell r="O1552">
            <v>0</v>
          </cell>
          <cell r="P1552">
            <v>43709</v>
          </cell>
          <cell r="Q1552">
            <v>0</v>
          </cell>
          <cell r="R1552">
            <v>0</v>
          </cell>
          <cell r="S1552">
            <v>0</v>
          </cell>
          <cell r="T1552">
            <v>1</v>
          </cell>
          <cell r="U1552" t="str">
            <v>Everyday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</row>
        <row r="1553">
          <cell r="D1553">
            <v>301505</v>
          </cell>
          <cell r="E1553" t="str">
            <v>Col. Lauro D. Dizon Memorial Integrated High School</v>
          </cell>
          <cell r="F1553">
            <v>0</v>
          </cell>
          <cell r="G1553">
            <v>0</v>
          </cell>
          <cell r="H1553">
            <v>1</v>
          </cell>
          <cell r="I1553">
            <v>0</v>
          </cell>
          <cell r="J1553">
            <v>0</v>
          </cell>
          <cell r="K1553">
            <v>1</v>
          </cell>
          <cell r="L1553">
            <v>0</v>
          </cell>
          <cell r="M1553">
            <v>0</v>
          </cell>
          <cell r="N1553">
            <v>0</v>
          </cell>
          <cell r="O1553" t="str">
            <v>n/a</v>
          </cell>
          <cell r="P1553" t="str">
            <v>n/a</v>
          </cell>
          <cell r="Q1553">
            <v>0</v>
          </cell>
          <cell r="R1553">
            <v>0</v>
          </cell>
          <cell r="S1553">
            <v>1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</row>
        <row r="1554">
          <cell r="D1554">
            <v>342204</v>
          </cell>
          <cell r="E1554" t="str">
            <v>SHS in Brgy. Bugaan East, Laurel, Batangas</v>
          </cell>
          <cell r="F1554">
            <v>1</v>
          </cell>
          <cell r="G1554">
            <v>1</v>
          </cell>
          <cell r="H1554">
            <v>1</v>
          </cell>
          <cell r="I1554">
            <v>1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1</v>
          </cell>
          <cell r="O1554">
            <v>43695</v>
          </cell>
          <cell r="P1554">
            <v>43473</v>
          </cell>
          <cell r="Q1554">
            <v>1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1</v>
          </cell>
          <cell r="W1554">
            <v>5</v>
          </cell>
          <cell r="X1554">
            <v>3</v>
          </cell>
          <cell r="Y1554">
            <v>3</v>
          </cell>
        </row>
        <row r="1555">
          <cell r="D1555">
            <v>301364</v>
          </cell>
          <cell r="E1555" t="str">
            <v>Paaralang Sek. Ng Lukban Integrated(formerly Paaralang Sekundarya ng Lucban)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 t="str">
            <v>N/A</v>
          </cell>
          <cell r="N1555">
            <v>0</v>
          </cell>
          <cell r="O1555" t="str">
            <v>N/A</v>
          </cell>
          <cell r="P1555" t="str">
            <v>N/A</v>
          </cell>
          <cell r="Q1555">
            <v>0</v>
          </cell>
          <cell r="R1555">
            <v>0</v>
          </cell>
          <cell r="S1555">
            <v>0</v>
          </cell>
          <cell r="T1555">
            <v>1</v>
          </cell>
          <cell r="U1555" t="str">
            <v>N/A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</row>
        <row r="1556">
          <cell r="D1556">
            <v>342575</v>
          </cell>
          <cell r="E1556" t="str">
            <v>Crecencia Drucila Lopez Senior High School</v>
          </cell>
          <cell r="F1556">
            <v>1</v>
          </cell>
          <cell r="G1556">
            <v>1</v>
          </cell>
          <cell r="H1556">
            <v>1</v>
          </cell>
          <cell r="I1556">
            <v>1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1</v>
          </cell>
          <cell r="O1556">
            <v>43647</v>
          </cell>
          <cell r="P1556">
            <v>43739</v>
          </cell>
          <cell r="Q1556">
            <v>1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1</v>
          </cell>
          <cell r="W1556">
            <v>6</v>
          </cell>
          <cell r="X1556">
            <v>6</v>
          </cell>
          <cell r="Y1556">
            <v>6</v>
          </cell>
        </row>
        <row r="1557">
          <cell r="D1557">
            <v>308601</v>
          </cell>
          <cell r="E1557" t="str">
            <v>San Vicente Integrated High School</v>
          </cell>
          <cell r="F1557">
            <v>1</v>
          </cell>
          <cell r="G1557">
            <v>1</v>
          </cell>
          <cell r="H1557">
            <v>1</v>
          </cell>
          <cell r="I1557">
            <v>0</v>
          </cell>
          <cell r="J1557">
            <v>1</v>
          </cell>
          <cell r="K1557">
            <v>0</v>
          </cell>
          <cell r="L1557">
            <v>0</v>
          </cell>
          <cell r="M1557">
            <v>0</v>
          </cell>
          <cell r="N1557">
            <v>1</v>
          </cell>
          <cell r="O1557">
            <v>0</v>
          </cell>
          <cell r="P1557" t="str">
            <v>9/30/2019</v>
          </cell>
          <cell r="Q1557">
            <v>1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1</v>
          </cell>
          <cell r="W1557">
            <v>0</v>
          </cell>
          <cell r="X1557">
            <v>0</v>
          </cell>
          <cell r="Y1557">
            <v>0</v>
          </cell>
        </row>
        <row r="1558">
          <cell r="D1558">
            <v>301269</v>
          </cell>
          <cell r="E1558" t="str">
            <v>Sta. Maria NHS</v>
          </cell>
          <cell r="F1558">
            <v>1</v>
          </cell>
          <cell r="G1558">
            <v>1</v>
          </cell>
          <cell r="H1558">
            <v>1</v>
          </cell>
          <cell r="I1558">
            <v>0</v>
          </cell>
          <cell r="J1558">
            <v>1</v>
          </cell>
          <cell r="K1558">
            <v>0</v>
          </cell>
          <cell r="L1558">
            <v>0</v>
          </cell>
          <cell r="M1558">
            <v>0</v>
          </cell>
          <cell r="N1558">
            <v>1</v>
          </cell>
          <cell r="O1558">
            <v>43707</v>
          </cell>
          <cell r="P1558">
            <v>43712</v>
          </cell>
          <cell r="Q1558">
            <v>1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1</v>
          </cell>
          <cell r="W1558">
            <v>40</v>
          </cell>
          <cell r="X1558">
            <v>40</v>
          </cell>
          <cell r="Y1558">
            <v>40</v>
          </cell>
        </row>
        <row r="1559">
          <cell r="D1559">
            <v>301483</v>
          </cell>
          <cell r="E1559" t="str">
            <v>Talumpok Integrated School</v>
          </cell>
          <cell r="F1559">
            <v>1</v>
          </cell>
          <cell r="G1559">
            <v>1</v>
          </cell>
          <cell r="H1559">
            <v>1</v>
          </cell>
          <cell r="I1559">
            <v>0</v>
          </cell>
          <cell r="J1559">
            <v>1</v>
          </cell>
          <cell r="K1559">
            <v>0</v>
          </cell>
          <cell r="L1559">
            <v>0</v>
          </cell>
          <cell r="M1559">
            <v>0</v>
          </cell>
          <cell r="N1559">
            <v>1</v>
          </cell>
          <cell r="O1559">
            <v>0</v>
          </cell>
          <cell r="P1559">
            <v>0</v>
          </cell>
          <cell r="Q1559">
            <v>0</v>
          </cell>
          <cell r="R1559">
            <v>1</v>
          </cell>
          <cell r="S1559">
            <v>0</v>
          </cell>
          <cell r="T1559">
            <v>0</v>
          </cell>
          <cell r="U1559">
            <v>0</v>
          </cell>
          <cell r="V1559">
            <v>1</v>
          </cell>
          <cell r="W1559">
            <v>0</v>
          </cell>
          <cell r="X1559">
            <v>0</v>
          </cell>
          <cell r="Y1559">
            <v>0</v>
          </cell>
        </row>
        <row r="1560">
          <cell r="D1560">
            <v>301338</v>
          </cell>
          <cell r="E1560" t="str">
            <v>Kinatakutan NHS</v>
          </cell>
          <cell r="F1560">
            <v>0</v>
          </cell>
          <cell r="G1560">
            <v>1</v>
          </cell>
          <cell r="H1560">
            <v>1</v>
          </cell>
          <cell r="I1560">
            <v>0</v>
          </cell>
          <cell r="J1560">
            <v>0</v>
          </cell>
          <cell r="K1560">
            <v>1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43710</v>
          </cell>
          <cell r="Q1560">
            <v>0</v>
          </cell>
          <cell r="R1560">
            <v>1</v>
          </cell>
          <cell r="S1560">
            <v>0</v>
          </cell>
          <cell r="T1560">
            <v>0</v>
          </cell>
          <cell r="U1560">
            <v>0</v>
          </cell>
          <cell r="V1560">
            <v>1</v>
          </cell>
          <cell r="W1560">
            <v>0</v>
          </cell>
          <cell r="X1560">
            <v>0</v>
          </cell>
          <cell r="Y1560">
            <v>0</v>
          </cell>
        </row>
        <row r="1561">
          <cell r="D1561">
            <v>301242</v>
          </cell>
          <cell r="E1561" t="str">
            <v>Ibayiw Integrated National High School</v>
          </cell>
          <cell r="F1561">
            <v>1</v>
          </cell>
          <cell r="G1561">
            <v>1</v>
          </cell>
          <cell r="H1561">
            <v>1</v>
          </cell>
          <cell r="I1561">
            <v>1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1</v>
          </cell>
          <cell r="O1561">
            <v>0</v>
          </cell>
          <cell r="P1561">
            <v>0</v>
          </cell>
          <cell r="Q1561">
            <v>0</v>
          </cell>
          <cell r="R1561">
            <v>1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</row>
        <row r="1562">
          <cell r="D1562">
            <v>342209</v>
          </cell>
          <cell r="E1562" t="str">
            <v>SHS within Caloocan ES</v>
          </cell>
          <cell r="F1562">
            <v>1</v>
          </cell>
          <cell r="G1562">
            <v>1</v>
          </cell>
          <cell r="H1562">
            <v>1</v>
          </cell>
          <cell r="I1562">
            <v>1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1</v>
          </cell>
          <cell r="O1562">
            <v>0</v>
          </cell>
          <cell r="P1562" t="str">
            <v>10/25/2019</v>
          </cell>
          <cell r="Q1562">
            <v>1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1</v>
          </cell>
          <cell r="W1562">
            <v>1</v>
          </cell>
          <cell r="X1562">
            <v>0</v>
          </cell>
          <cell r="Y1562">
            <v>0</v>
          </cell>
        </row>
        <row r="1563">
          <cell r="D1563">
            <v>301474</v>
          </cell>
          <cell r="E1563" t="str">
            <v>Paharang Integrated School</v>
          </cell>
          <cell r="F1563">
            <v>1</v>
          </cell>
          <cell r="G1563">
            <v>1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</row>
        <row r="1564">
          <cell r="D1564">
            <v>342234</v>
          </cell>
          <cell r="E1564" t="str">
            <v>Gulod Senior High School</v>
          </cell>
          <cell r="F1564">
            <v>1</v>
          </cell>
          <cell r="G1564">
            <v>0</v>
          </cell>
          <cell r="H1564">
            <v>1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1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1</v>
          </cell>
          <cell r="W1564">
            <v>2</v>
          </cell>
          <cell r="X1564">
            <v>1</v>
          </cell>
          <cell r="Y1564">
            <v>0</v>
          </cell>
        </row>
        <row r="1565">
          <cell r="D1565">
            <v>342208</v>
          </cell>
          <cell r="E1565" t="str">
            <v>SHS within Canda ES</v>
          </cell>
          <cell r="F1565">
            <v>1</v>
          </cell>
          <cell r="G1565">
            <v>1</v>
          </cell>
          <cell r="H1565">
            <v>1</v>
          </cell>
          <cell r="I1565">
            <v>1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1</v>
          </cell>
          <cell r="O1565">
            <v>0</v>
          </cell>
          <cell r="P1565" t="str">
            <v>10/25/2019</v>
          </cell>
          <cell r="Q1565">
            <v>1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1</v>
          </cell>
          <cell r="W1565">
            <v>1</v>
          </cell>
          <cell r="X1565">
            <v>0</v>
          </cell>
          <cell r="Y1565">
            <v>0</v>
          </cell>
        </row>
        <row r="1566">
          <cell r="D1566">
            <v>301321</v>
          </cell>
          <cell r="E1566" t="str">
            <v>Elias A. Salvador NHS</v>
          </cell>
          <cell r="F1566">
            <v>1</v>
          </cell>
          <cell r="G1566">
            <v>1</v>
          </cell>
          <cell r="H1566">
            <v>1</v>
          </cell>
          <cell r="I1566">
            <v>0</v>
          </cell>
          <cell r="J1566">
            <v>1</v>
          </cell>
          <cell r="K1566">
            <v>0</v>
          </cell>
          <cell r="L1566">
            <v>0</v>
          </cell>
          <cell r="M1566">
            <v>0</v>
          </cell>
          <cell r="N1566">
            <v>1</v>
          </cell>
          <cell r="O1566" t="str">
            <v>08/27/2019</v>
          </cell>
          <cell r="P1566" t="str">
            <v>08/27/2019</v>
          </cell>
          <cell r="Q1566">
            <v>0</v>
          </cell>
          <cell r="R1566">
            <v>1</v>
          </cell>
          <cell r="S1566">
            <v>0</v>
          </cell>
          <cell r="T1566">
            <v>0</v>
          </cell>
          <cell r="U1566">
            <v>0</v>
          </cell>
          <cell r="V1566">
            <v>1</v>
          </cell>
          <cell r="W1566">
            <v>0</v>
          </cell>
          <cell r="X1566">
            <v>0</v>
          </cell>
          <cell r="Y1566">
            <v>0</v>
          </cell>
        </row>
        <row r="1567">
          <cell r="D1567">
            <v>301271</v>
          </cell>
          <cell r="E1567" t="str">
            <v>Santa Maria NHS - J. Santiago Annex</v>
          </cell>
          <cell r="F1567">
            <v>1</v>
          </cell>
          <cell r="G1567">
            <v>1</v>
          </cell>
          <cell r="H1567">
            <v>1</v>
          </cell>
          <cell r="I1567">
            <v>0</v>
          </cell>
          <cell r="J1567">
            <v>1</v>
          </cell>
          <cell r="K1567">
            <v>0</v>
          </cell>
          <cell r="L1567">
            <v>0</v>
          </cell>
          <cell r="M1567">
            <v>0</v>
          </cell>
          <cell r="N1567">
            <v>1</v>
          </cell>
          <cell r="O1567">
            <v>43707</v>
          </cell>
          <cell r="P1567" t="str">
            <v>September 4, 2019</v>
          </cell>
          <cell r="Q1567">
            <v>1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1</v>
          </cell>
          <cell r="W1567">
            <v>10</v>
          </cell>
          <cell r="X1567">
            <v>10</v>
          </cell>
          <cell r="Y1567">
            <v>10</v>
          </cell>
        </row>
        <row r="1568">
          <cell r="D1568">
            <v>301323</v>
          </cell>
          <cell r="E1568" t="str">
            <v>Guinayangan NHS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</row>
        <row r="1569">
          <cell r="D1569">
            <v>301503</v>
          </cell>
          <cell r="E1569" t="str">
            <v>San Cristobal Integrated High School</v>
          </cell>
          <cell r="F1569">
            <v>1</v>
          </cell>
          <cell r="G1569">
            <v>0</v>
          </cell>
          <cell r="H1569">
            <v>1</v>
          </cell>
          <cell r="I1569">
            <v>0</v>
          </cell>
          <cell r="J1569">
            <v>0</v>
          </cell>
          <cell r="K1569">
            <v>1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43255</v>
          </cell>
          <cell r="Q1569">
            <v>0</v>
          </cell>
          <cell r="R1569">
            <v>0</v>
          </cell>
          <cell r="S1569">
            <v>1</v>
          </cell>
          <cell r="T1569">
            <v>0</v>
          </cell>
          <cell r="U1569">
            <v>0</v>
          </cell>
          <cell r="V1569">
            <v>1</v>
          </cell>
          <cell r="W1569">
            <v>3</v>
          </cell>
          <cell r="X1569">
            <v>3</v>
          </cell>
          <cell r="Y1569">
            <v>3</v>
          </cell>
        </row>
        <row r="1570">
          <cell r="D1570">
            <v>308605</v>
          </cell>
          <cell r="E1570" t="str">
            <v>San Pablo City Science Integrated High School</v>
          </cell>
          <cell r="F1570">
            <v>1</v>
          </cell>
          <cell r="G1570">
            <v>1</v>
          </cell>
          <cell r="H1570">
            <v>1</v>
          </cell>
          <cell r="I1570">
            <v>0</v>
          </cell>
          <cell r="J1570">
            <v>1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1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</row>
        <row r="1571">
          <cell r="D1571">
            <v>301287</v>
          </cell>
          <cell r="E1571" t="str">
            <v>Bagong Silang NHS</v>
          </cell>
          <cell r="F1571">
            <v>1</v>
          </cell>
          <cell r="G1571">
            <v>0</v>
          </cell>
          <cell r="H1571">
            <v>1</v>
          </cell>
          <cell r="I1571">
            <v>0</v>
          </cell>
          <cell r="J1571">
            <v>1</v>
          </cell>
          <cell r="K1571">
            <v>0</v>
          </cell>
          <cell r="L1571">
            <v>0</v>
          </cell>
          <cell r="M1571">
            <v>0</v>
          </cell>
          <cell r="N1571">
            <v>1</v>
          </cell>
          <cell r="O1571">
            <v>0</v>
          </cell>
          <cell r="P1571">
            <v>0</v>
          </cell>
          <cell r="Q1571">
            <v>0</v>
          </cell>
          <cell r="R1571">
            <v>1</v>
          </cell>
          <cell r="S1571">
            <v>0</v>
          </cell>
          <cell r="T1571">
            <v>0</v>
          </cell>
          <cell r="U1571">
            <v>0</v>
          </cell>
          <cell r="V1571">
            <v>1</v>
          </cell>
          <cell r="W1571">
            <v>0</v>
          </cell>
          <cell r="X1571">
            <v>0</v>
          </cell>
          <cell r="Y1571">
            <v>0</v>
          </cell>
        </row>
        <row r="1572">
          <cell r="D1572">
            <v>305684</v>
          </cell>
          <cell r="E1572" t="str">
            <v>Felix Amante Senior High School</v>
          </cell>
          <cell r="F1572">
            <v>1</v>
          </cell>
          <cell r="G1572">
            <v>1</v>
          </cell>
          <cell r="H1572">
            <v>1</v>
          </cell>
          <cell r="I1572">
            <v>0</v>
          </cell>
          <cell r="J1572">
            <v>1</v>
          </cell>
          <cell r="K1572">
            <v>0</v>
          </cell>
          <cell r="L1572">
            <v>0</v>
          </cell>
          <cell r="M1572">
            <v>0</v>
          </cell>
          <cell r="N1572">
            <v>1</v>
          </cell>
          <cell r="O1572">
            <v>0</v>
          </cell>
          <cell r="P1572" t="str">
            <v>August 29, 2019</v>
          </cell>
          <cell r="Q1572">
            <v>1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</row>
        <row r="1573">
          <cell r="D1573">
            <v>301272</v>
          </cell>
          <cell r="E1573" t="str">
            <v>Sto. Domingo Integrated School</v>
          </cell>
          <cell r="F1573">
            <v>1</v>
          </cell>
          <cell r="G1573">
            <v>0</v>
          </cell>
          <cell r="H1573">
            <v>1</v>
          </cell>
          <cell r="I1573">
            <v>0</v>
          </cell>
          <cell r="J1573">
            <v>1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</row>
        <row r="1574">
          <cell r="D1574">
            <v>321501</v>
          </cell>
          <cell r="E1574" t="str">
            <v>Marcelino M. Santos NHS</v>
          </cell>
          <cell r="F1574">
            <v>1</v>
          </cell>
          <cell r="G1574">
            <v>0</v>
          </cell>
          <cell r="H1574">
            <v>1</v>
          </cell>
          <cell r="I1574">
            <v>0</v>
          </cell>
          <cell r="J1574">
            <v>1</v>
          </cell>
          <cell r="K1574">
            <v>0</v>
          </cell>
          <cell r="L1574">
            <v>0</v>
          </cell>
          <cell r="M1574">
            <v>0</v>
          </cell>
          <cell r="N1574">
            <v>1</v>
          </cell>
          <cell r="O1574">
            <v>43658</v>
          </cell>
          <cell r="P1574" t="str">
            <v>September</v>
          </cell>
          <cell r="Q1574">
            <v>0</v>
          </cell>
          <cell r="R1574">
            <v>1</v>
          </cell>
          <cell r="S1574">
            <v>0</v>
          </cell>
          <cell r="T1574">
            <v>0</v>
          </cell>
          <cell r="U1574">
            <v>0</v>
          </cell>
          <cell r="V1574">
            <v>1</v>
          </cell>
          <cell r="W1574">
            <v>0</v>
          </cell>
          <cell r="X1574">
            <v>0</v>
          </cell>
          <cell r="Y1574">
            <v>0</v>
          </cell>
        </row>
        <row r="1575">
          <cell r="D1575">
            <v>301273</v>
          </cell>
          <cell r="E1575" t="str">
            <v>Siniloan Integrated National High School</v>
          </cell>
          <cell r="F1575">
            <v>1</v>
          </cell>
          <cell r="G1575">
            <v>0</v>
          </cell>
          <cell r="H1575">
            <v>1</v>
          </cell>
          <cell r="I1575">
            <v>0</v>
          </cell>
          <cell r="J1575">
            <v>0</v>
          </cell>
          <cell r="K1575">
            <v>1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</row>
        <row r="1576">
          <cell r="D1576">
            <v>301485</v>
          </cell>
          <cell r="E1576" t="str">
            <v>Sangley Point NHS</v>
          </cell>
          <cell r="F1576">
            <v>1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</row>
        <row r="1577">
          <cell r="D1577">
            <v>301459</v>
          </cell>
          <cell r="E1577" t="str">
            <v>Pintong Bukawe National High School</v>
          </cell>
          <cell r="F1577">
            <v>1</v>
          </cell>
          <cell r="G1577">
            <v>0</v>
          </cell>
          <cell r="H1577">
            <v>1</v>
          </cell>
          <cell r="I1577">
            <v>1</v>
          </cell>
          <cell r="J1577">
            <v>1</v>
          </cell>
          <cell r="K1577">
            <v>0</v>
          </cell>
          <cell r="L1577">
            <v>0</v>
          </cell>
          <cell r="M1577">
            <v>0</v>
          </cell>
          <cell r="N1577">
            <v>1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2</v>
          </cell>
          <cell r="X1577">
            <v>0</v>
          </cell>
          <cell r="Y1577">
            <v>0</v>
          </cell>
        </row>
        <row r="1578">
          <cell r="D1578">
            <v>342599</v>
          </cell>
          <cell r="E1578" t="str">
            <v>SHS in Progressive, Bacoor City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</row>
        <row r="1579">
          <cell r="D1579">
            <v>301243</v>
          </cell>
          <cell r="E1579" t="str">
            <v>Kabulusan Integrated National High School</v>
          </cell>
          <cell r="F1579">
            <v>1</v>
          </cell>
          <cell r="G1579">
            <v>0</v>
          </cell>
          <cell r="H1579">
            <v>1</v>
          </cell>
          <cell r="I1579">
            <v>0</v>
          </cell>
          <cell r="J1579">
            <v>0</v>
          </cell>
          <cell r="K1579">
            <v>1</v>
          </cell>
          <cell r="L1579">
            <v>0</v>
          </cell>
          <cell r="M1579">
            <v>0</v>
          </cell>
          <cell r="N1579">
            <v>1</v>
          </cell>
          <cell r="O1579" t="str">
            <v>JUNE 21, 2019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</row>
        <row r="1580">
          <cell r="D1580">
            <v>307918</v>
          </cell>
          <cell r="E1580" t="str">
            <v>Balian NHS (Galalan Annex)</v>
          </cell>
          <cell r="F1580">
            <v>0</v>
          </cell>
          <cell r="G1580">
            <v>0</v>
          </cell>
          <cell r="H1580">
            <v>1</v>
          </cell>
          <cell r="I1580">
            <v>0</v>
          </cell>
          <cell r="J1580">
            <v>1</v>
          </cell>
          <cell r="K1580">
            <v>0</v>
          </cell>
          <cell r="L1580">
            <v>0</v>
          </cell>
          <cell r="M1580">
            <v>0</v>
          </cell>
          <cell r="N1580">
            <v>1</v>
          </cell>
          <cell r="O1580">
            <v>43661</v>
          </cell>
          <cell r="P1580" t="str">
            <v>Sept.20, 2019</v>
          </cell>
          <cell r="Q1580">
            <v>0</v>
          </cell>
          <cell r="R1580">
            <v>1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</row>
        <row r="1581">
          <cell r="D1581">
            <v>342353</v>
          </cell>
          <cell r="E1581" t="str">
            <v>B.N. Calara Integrated National High School</v>
          </cell>
          <cell r="F1581">
            <v>0</v>
          </cell>
          <cell r="G1581">
            <v>0</v>
          </cell>
          <cell r="H1581">
            <v>1</v>
          </cell>
          <cell r="I1581">
            <v>0</v>
          </cell>
          <cell r="J1581">
            <v>0</v>
          </cell>
          <cell r="K1581">
            <v>1</v>
          </cell>
          <cell r="L1581">
            <v>0</v>
          </cell>
          <cell r="M1581">
            <v>0</v>
          </cell>
          <cell r="N1581">
            <v>0</v>
          </cell>
          <cell r="O1581" t="str">
            <v>N/A</v>
          </cell>
          <cell r="P1581" t="str">
            <v>N/A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</row>
        <row r="1582">
          <cell r="D1582">
            <v>307906</v>
          </cell>
          <cell r="E1582" t="str">
            <v>Gov. Felicisimo T. San Luis Memorial National High School</v>
          </cell>
          <cell r="F1582">
            <v>1</v>
          </cell>
          <cell r="G1582">
            <v>1</v>
          </cell>
          <cell r="H1582">
            <v>1</v>
          </cell>
          <cell r="I1582">
            <v>1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1</v>
          </cell>
          <cell r="O1582">
            <v>43704</v>
          </cell>
          <cell r="P1582">
            <v>43701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2</v>
          </cell>
          <cell r="X1582">
            <v>0</v>
          </cell>
          <cell r="Y1582">
            <v>0</v>
          </cell>
        </row>
        <row r="1583">
          <cell r="D1583">
            <v>342286</v>
          </cell>
          <cell r="E1583" t="str">
            <v>Pedro Alegre Aure Senior High School</v>
          </cell>
          <cell r="F1583">
            <v>0</v>
          </cell>
          <cell r="G1583">
            <v>0</v>
          </cell>
          <cell r="H1583">
            <v>1</v>
          </cell>
          <cell r="I1583">
            <v>0</v>
          </cell>
          <cell r="J1583">
            <v>0</v>
          </cell>
          <cell r="K1583">
            <v>1</v>
          </cell>
          <cell r="L1583">
            <v>0</v>
          </cell>
          <cell r="M1583">
            <v>0</v>
          </cell>
          <cell r="N1583">
            <v>0</v>
          </cell>
          <cell r="O1583" t="str">
            <v>N/A</v>
          </cell>
          <cell r="P1583" t="str">
            <v>June 14, 2019</v>
          </cell>
          <cell r="Q1583">
            <v>0</v>
          </cell>
          <cell r="R1583">
            <v>0</v>
          </cell>
          <cell r="S1583">
            <v>1</v>
          </cell>
          <cell r="T1583">
            <v>0</v>
          </cell>
          <cell r="U1583">
            <v>0</v>
          </cell>
          <cell r="V1583">
            <v>1</v>
          </cell>
          <cell r="W1583">
            <v>0</v>
          </cell>
          <cell r="X1583">
            <v>0</v>
          </cell>
          <cell r="Y1583">
            <v>0</v>
          </cell>
        </row>
        <row r="1584">
          <cell r="D1584">
            <v>301228</v>
          </cell>
          <cell r="E1584" t="str">
            <v>Banca-Banca Integrated National High School</v>
          </cell>
          <cell r="F1584">
            <v>1</v>
          </cell>
          <cell r="G1584">
            <v>1</v>
          </cell>
          <cell r="H1584">
            <v>1</v>
          </cell>
          <cell r="I1584">
            <v>0</v>
          </cell>
          <cell r="J1584">
            <v>1</v>
          </cell>
          <cell r="K1584">
            <v>0</v>
          </cell>
          <cell r="L1584">
            <v>0</v>
          </cell>
          <cell r="M1584">
            <v>0</v>
          </cell>
          <cell r="N1584">
            <v>1</v>
          </cell>
          <cell r="O1584">
            <v>0</v>
          </cell>
          <cell r="P1584">
            <v>43619</v>
          </cell>
          <cell r="Q1584">
            <v>0</v>
          </cell>
          <cell r="R1584">
            <v>1</v>
          </cell>
          <cell r="S1584">
            <v>0</v>
          </cell>
          <cell r="T1584">
            <v>0</v>
          </cell>
          <cell r="U1584">
            <v>0</v>
          </cell>
          <cell r="V1584">
            <v>1</v>
          </cell>
          <cell r="W1584">
            <v>0</v>
          </cell>
          <cell r="X1584">
            <v>0</v>
          </cell>
          <cell r="Y1584">
            <v>0</v>
          </cell>
        </row>
        <row r="1585">
          <cell r="D1585">
            <v>301264</v>
          </cell>
          <cell r="E1585" t="str">
            <v>San Francisco Integrated NHS</v>
          </cell>
          <cell r="F1585">
            <v>1</v>
          </cell>
          <cell r="G1585">
            <v>1</v>
          </cell>
          <cell r="H1585">
            <v>1</v>
          </cell>
          <cell r="I1585">
            <v>0</v>
          </cell>
          <cell r="J1585">
            <v>1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1</v>
          </cell>
          <cell r="W1585">
            <v>20</v>
          </cell>
          <cell r="X1585">
            <v>20</v>
          </cell>
          <cell r="Y1585">
            <v>20</v>
          </cell>
        </row>
        <row r="1586">
          <cell r="D1586">
            <v>301334</v>
          </cell>
          <cell r="E1586" t="str">
            <v>Burdeos NHS (Judith NHS)</v>
          </cell>
          <cell r="F1586">
            <v>1</v>
          </cell>
          <cell r="G1586">
            <v>1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3</v>
          </cell>
          <cell r="X1586">
            <v>0</v>
          </cell>
          <cell r="Y1586">
            <v>0</v>
          </cell>
        </row>
        <row r="1587">
          <cell r="D1587">
            <v>301270</v>
          </cell>
          <cell r="E1587" t="str">
            <v>Gaudencio Octavio National High School</v>
          </cell>
          <cell r="F1587">
            <v>1</v>
          </cell>
          <cell r="G1587">
            <v>1</v>
          </cell>
          <cell r="H1587">
            <v>1</v>
          </cell>
          <cell r="I1587">
            <v>0</v>
          </cell>
          <cell r="J1587">
            <v>1</v>
          </cell>
          <cell r="K1587">
            <v>0</v>
          </cell>
          <cell r="L1587">
            <v>0</v>
          </cell>
          <cell r="M1587">
            <v>0</v>
          </cell>
          <cell r="N1587">
            <v>1</v>
          </cell>
          <cell r="O1587">
            <v>43717</v>
          </cell>
          <cell r="P1587">
            <v>43747</v>
          </cell>
          <cell r="Q1587">
            <v>1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1</v>
          </cell>
          <cell r="W1587">
            <v>0</v>
          </cell>
          <cell r="X1587">
            <v>0</v>
          </cell>
          <cell r="Y1587">
            <v>0</v>
          </cell>
        </row>
        <row r="1588">
          <cell r="D1588">
            <v>301335</v>
          </cell>
          <cell r="E1588" t="str">
            <v>Bonifacio National High School</v>
          </cell>
          <cell r="F1588">
            <v>1</v>
          </cell>
          <cell r="G1588">
            <v>1</v>
          </cell>
          <cell r="H1588">
            <v>1</v>
          </cell>
          <cell r="I1588">
            <v>0</v>
          </cell>
          <cell r="J1588">
            <v>0</v>
          </cell>
          <cell r="K1588">
            <v>1</v>
          </cell>
          <cell r="L1588">
            <v>0</v>
          </cell>
          <cell r="M1588">
            <v>0</v>
          </cell>
          <cell r="N1588">
            <v>1</v>
          </cell>
          <cell r="O1588">
            <v>0</v>
          </cell>
          <cell r="P1588">
            <v>43777</v>
          </cell>
          <cell r="Q1588">
            <v>0</v>
          </cell>
          <cell r="R1588">
            <v>0</v>
          </cell>
          <cell r="S1588">
            <v>1</v>
          </cell>
          <cell r="T1588">
            <v>0</v>
          </cell>
          <cell r="U1588">
            <v>0</v>
          </cell>
          <cell r="V1588">
            <v>1</v>
          </cell>
          <cell r="W1588">
            <v>0</v>
          </cell>
          <cell r="X1588">
            <v>0</v>
          </cell>
          <cell r="Y1588">
            <v>0</v>
          </cell>
        </row>
        <row r="1589">
          <cell r="D1589">
            <v>301312</v>
          </cell>
          <cell r="E1589" t="str">
            <v>Tagbacan NHS (Formerly Tagbacan Ilaya IS)</v>
          </cell>
          <cell r="F1589">
            <v>1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1</v>
          </cell>
          <cell r="M1589" t="str">
            <v>N/A</v>
          </cell>
          <cell r="N1589">
            <v>0</v>
          </cell>
          <cell r="O1589">
            <v>0</v>
          </cell>
          <cell r="P1589" t="str">
            <v>N/A</v>
          </cell>
          <cell r="Q1589">
            <v>0</v>
          </cell>
          <cell r="R1589">
            <v>0</v>
          </cell>
          <cell r="S1589">
            <v>0</v>
          </cell>
          <cell r="T1589">
            <v>1</v>
          </cell>
          <cell r="U1589" t="str">
            <v>N/A</v>
          </cell>
          <cell r="V1589">
            <v>0</v>
          </cell>
          <cell r="W1589">
            <v>1</v>
          </cell>
          <cell r="X1589">
            <v>1</v>
          </cell>
          <cell r="Y1589">
            <v>1</v>
          </cell>
        </row>
        <row r="1590">
          <cell r="D1590">
            <v>301240</v>
          </cell>
          <cell r="E1590" t="str">
            <v>Famy National Integrated High School</v>
          </cell>
          <cell r="F1590">
            <v>1</v>
          </cell>
          <cell r="G1590">
            <v>1</v>
          </cell>
          <cell r="H1590">
            <v>1</v>
          </cell>
          <cell r="I1590">
            <v>0</v>
          </cell>
          <cell r="J1590">
            <v>1</v>
          </cell>
          <cell r="K1590">
            <v>0</v>
          </cell>
          <cell r="L1590">
            <v>0</v>
          </cell>
          <cell r="M1590">
            <v>0</v>
          </cell>
          <cell r="N1590">
            <v>1</v>
          </cell>
          <cell r="O1590">
            <v>0</v>
          </cell>
          <cell r="P1590">
            <v>43472</v>
          </cell>
          <cell r="Q1590">
            <v>0</v>
          </cell>
          <cell r="R1590">
            <v>0</v>
          </cell>
          <cell r="S1590">
            <v>1</v>
          </cell>
          <cell r="T1590">
            <v>0</v>
          </cell>
          <cell r="U1590">
            <v>0</v>
          </cell>
          <cell r="V1590">
            <v>1</v>
          </cell>
          <cell r="W1590">
            <v>0</v>
          </cell>
          <cell r="X1590">
            <v>0</v>
          </cell>
          <cell r="Y1590">
            <v>0</v>
          </cell>
        </row>
        <row r="1591">
          <cell r="D1591">
            <v>301217</v>
          </cell>
          <cell r="E1591" t="str">
            <v>Talon National High School</v>
          </cell>
          <cell r="F1591">
            <v>1</v>
          </cell>
          <cell r="G1591">
            <v>1</v>
          </cell>
          <cell r="H1591">
            <v>1</v>
          </cell>
          <cell r="I1591">
            <v>1</v>
          </cell>
          <cell r="J1591">
            <v>0</v>
          </cell>
          <cell r="K1591">
            <v>1</v>
          </cell>
          <cell r="L1591">
            <v>0</v>
          </cell>
          <cell r="M1591">
            <v>0</v>
          </cell>
          <cell r="N1591">
            <v>1</v>
          </cell>
          <cell r="O1591" t="str">
            <v>N/A</v>
          </cell>
          <cell r="P1591" t="str">
            <v>N/A</v>
          </cell>
          <cell r="Q1591">
            <v>1</v>
          </cell>
          <cell r="R1591">
            <v>1</v>
          </cell>
          <cell r="S1591">
            <v>0</v>
          </cell>
          <cell r="T1591">
            <v>0</v>
          </cell>
          <cell r="U1591">
            <v>0</v>
          </cell>
          <cell r="V1591">
            <v>1</v>
          </cell>
          <cell r="W1591">
            <v>0</v>
          </cell>
          <cell r="X1591">
            <v>0</v>
          </cell>
          <cell r="Y1591">
            <v>0</v>
          </cell>
        </row>
        <row r="1592">
          <cell r="D1592">
            <v>342588</v>
          </cell>
          <cell r="E1592" t="str">
            <v>GEN. FLAVIANO YENGKO SHS (SHS in Pasong Buaya)</v>
          </cell>
          <cell r="F1592">
            <v>1</v>
          </cell>
          <cell r="G1592">
            <v>1</v>
          </cell>
          <cell r="H1592">
            <v>1</v>
          </cell>
          <cell r="I1592">
            <v>0</v>
          </cell>
          <cell r="J1592">
            <v>1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</row>
        <row r="1593">
          <cell r="D1593">
            <v>301286</v>
          </cell>
          <cell r="E1593" t="str">
            <v>Atimonan NCHS</v>
          </cell>
          <cell r="F1593">
            <v>1</v>
          </cell>
          <cell r="G1593">
            <v>0</v>
          </cell>
          <cell r="H1593">
            <v>1</v>
          </cell>
          <cell r="I1593">
            <v>1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</row>
        <row r="1594">
          <cell r="D1594">
            <v>301232</v>
          </cell>
          <cell r="E1594" t="str">
            <v>Buenavista NHS</v>
          </cell>
          <cell r="F1594">
            <v>1</v>
          </cell>
          <cell r="G1594">
            <v>1</v>
          </cell>
          <cell r="H1594">
            <v>1</v>
          </cell>
          <cell r="I1594">
            <v>1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1</v>
          </cell>
          <cell r="O1594">
            <v>43696</v>
          </cell>
          <cell r="P1594">
            <v>43739</v>
          </cell>
          <cell r="Q1594">
            <v>0</v>
          </cell>
          <cell r="R1594">
            <v>0</v>
          </cell>
          <cell r="S1594">
            <v>0</v>
          </cell>
          <cell r="T1594">
            <v>1</v>
          </cell>
          <cell r="U1594" t="str">
            <v>WEEKLY</v>
          </cell>
          <cell r="V1594">
            <v>1</v>
          </cell>
          <cell r="W1594">
            <v>2</v>
          </cell>
          <cell r="X1594">
            <v>2</v>
          </cell>
          <cell r="Y1594">
            <v>2</v>
          </cell>
        </row>
        <row r="1595">
          <cell r="D1595">
            <v>342218</v>
          </cell>
          <cell r="E1595" t="str">
            <v>Talisay Senior High School</v>
          </cell>
          <cell r="F1595">
            <v>1</v>
          </cell>
          <cell r="G1595">
            <v>0</v>
          </cell>
          <cell r="H1595">
            <v>1</v>
          </cell>
          <cell r="I1595">
            <v>1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1</v>
          </cell>
          <cell r="O1595">
            <v>43651</v>
          </cell>
          <cell r="P1595">
            <v>43651</v>
          </cell>
          <cell r="Q1595">
            <v>1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1</v>
          </cell>
          <cell r="W1595">
            <v>0</v>
          </cell>
          <cell r="X1595">
            <v>0</v>
          </cell>
          <cell r="Y1595">
            <v>0</v>
          </cell>
        </row>
        <row r="1596">
          <cell r="D1596">
            <v>301268</v>
          </cell>
          <cell r="E1596" t="str">
            <v>Sta. Catalina Integrated National High School</v>
          </cell>
          <cell r="F1596">
            <v>1</v>
          </cell>
          <cell r="G1596">
            <v>1</v>
          </cell>
          <cell r="H1596">
            <v>1</v>
          </cell>
          <cell r="I1596">
            <v>0</v>
          </cell>
          <cell r="J1596">
            <v>1</v>
          </cell>
          <cell r="K1596">
            <v>0</v>
          </cell>
          <cell r="L1596">
            <v>0</v>
          </cell>
          <cell r="M1596">
            <v>0</v>
          </cell>
          <cell r="N1596">
            <v>1</v>
          </cell>
          <cell r="O1596">
            <v>43678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</row>
        <row r="1597">
          <cell r="D1597">
            <v>301166</v>
          </cell>
          <cell r="E1597" t="str">
            <v>Amadeo National High School</v>
          </cell>
          <cell r="F1597">
            <v>1</v>
          </cell>
          <cell r="G1597">
            <v>1</v>
          </cell>
          <cell r="H1597">
            <v>1</v>
          </cell>
          <cell r="I1597">
            <v>0</v>
          </cell>
          <cell r="J1597">
            <v>1</v>
          </cell>
          <cell r="K1597">
            <v>0</v>
          </cell>
          <cell r="L1597">
            <v>0</v>
          </cell>
          <cell r="M1597">
            <v>0</v>
          </cell>
          <cell r="N1597">
            <v>1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2</v>
          </cell>
          <cell r="X1597">
            <v>0</v>
          </cell>
          <cell r="Y1597">
            <v>0</v>
          </cell>
        </row>
        <row r="1598">
          <cell r="D1598">
            <v>301434</v>
          </cell>
          <cell r="E1598" t="str">
            <v>Catalino D. Salazar NHS-Senior High School</v>
          </cell>
          <cell r="F1598">
            <v>1</v>
          </cell>
          <cell r="G1598">
            <v>1</v>
          </cell>
          <cell r="H1598">
            <v>1</v>
          </cell>
          <cell r="I1598">
            <v>0</v>
          </cell>
          <cell r="J1598">
            <v>1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1</v>
          </cell>
          <cell r="W1598">
            <v>0</v>
          </cell>
          <cell r="X1598">
            <v>0</v>
          </cell>
          <cell r="Y1598">
            <v>0</v>
          </cell>
        </row>
        <row r="1599">
          <cell r="D1599">
            <v>301221</v>
          </cell>
          <cell r="E1599" t="str">
            <v>Ternate National High School</v>
          </cell>
          <cell r="F1599">
            <v>0</v>
          </cell>
          <cell r="G1599">
            <v>0</v>
          </cell>
          <cell r="H1599">
            <v>1</v>
          </cell>
          <cell r="I1599">
            <v>0</v>
          </cell>
          <cell r="J1599">
            <v>1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1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</row>
        <row r="1600">
          <cell r="D1600">
            <v>342343</v>
          </cell>
          <cell r="E1600" t="str">
            <v>Barangay Longos Senior High School</v>
          </cell>
          <cell r="F1600">
            <v>1</v>
          </cell>
          <cell r="G1600">
            <v>1</v>
          </cell>
          <cell r="H1600">
            <v>1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</row>
        <row r="1601">
          <cell r="D1601">
            <v>301471</v>
          </cell>
          <cell r="E1601" t="str">
            <v>Banaba West Integrated School</v>
          </cell>
          <cell r="F1601">
            <v>1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</row>
        <row r="1602">
          <cell r="D1602">
            <v>301278</v>
          </cell>
          <cell r="E1602" t="str">
            <v>Upland Integrated National High School</v>
          </cell>
          <cell r="F1602">
            <v>1</v>
          </cell>
          <cell r="G1602">
            <v>1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</row>
        <row r="1603">
          <cell r="D1603">
            <v>342284</v>
          </cell>
          <cell r="E1603" t="str">
            <v>Senior High School in Carmona</v>
          </cell>
          <cell r="F1603">
            <v>1</v>
          </cell>
          <cell r="G1603">
            <v>0</v>
          </cell>
          <cell r="H1603">
            <v>1</v>
          </cell>
          <cell r="I1603">
            <v>1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1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1</v>
          </cell>
          <cell r="W1603">
            <v>0</v>
          </cell>
          <cell r="X1603">
            <v>0</v>
          </cell>
          <cell r="Y1603">
            <v>0</v>
          </cell>
        </row>
        <row r="1604">
          <cell r="D1604">
            <v>301333</v>
          </cell>
          <cell r="E1604" t="str">
            <v>Jomalig NHS</v>
          </cell>
          <cell r="F1604">
            <v>1</v>
          </cell>
          <cell r="G1604">
            <v>1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</row>
        <row r="1605">
          <cell r="D1605">
            <v>342347</v>
          </cell>
          <cell r="E1605" t="str">
            <v>Nagcarlan Senior High School</v>
          </cell>
          <cell r="F1605">
            <v>1</v>
          </cell>
          <cell r="G1605">
            <v>1</v>
          </cell>
          <cell r="H1605">
            <v>1</v>
          </cell>
          <cell r="I1605">
            <v>0</v>
          </cell>
          <cell r="J1605">
            <v>1</v>
          </cell>
          <cell r="K1605">
            <v>0</v>
          </cell>
          <cell r="L1605">
            <v>0</v>
          </cell>
          <cell r="M1605">
            <v>0</v>
          </cell>
          <cell r="N1605">
            <v>1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1</v>
          </cell>
          <cell r="T1605">
            <v>0</v>
          </cell>
          <cell r="U1605">
            <v>0</v>
          </cell>
          <cell r="V1605">
            <v>0</v>
          </cell>
          <cell r="W1605">
            <v>4</v>
          </cell>
          <cell r="X1605">
            <v>4</v>
          </cell>
          <cell r="Y1605">
            <v>4</v>
          </cell>
        </row>
        <row r="1606">
          <cell r="D1606">
            <v>301295</v>
          </cell>
          <cell r="E1606" t="str">
            <v>Bondoc Peninsula Agri. HS</v>
          </cell>
          <cell r="F1606">
            <v>1</v>
          </cell>
          <cell r="G1606">
            <v>1</v>
          </cell>
          <cell r="H1606">
            <v>1</v>
          </cell>
          <cell r="I1606">
            <v>0</v>
          </cell>
          <cell r="J1606">
            <v>1</v>
          </cell>
          <cell r="K1606">
            <v>0</v>
          </cell>
          <cell r="L1606">
            <v>0</v>
          </cell>
          <cell r="M1606">
            <v>0</v>
          </cell>
          <cell r="N1606">
            <v>1</v>
          </cell>
          <cell r="O1606">
            <v>43677</v>
          </cell>
          <cell r="P1606">
            <v>43706</v>
          </cell>
          <cell r="Q1606">
            <v>1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1</v>
          </cell>
          <cell r="W1606">
            <v>3</v>
          </cell>
          <cell r="X1606">
            <v>0</v>
          </cell>
          <cell r="Y1606">
            <v>0</v>
          </cell>
        </row>
        <row r="1607">
          <cell r="D1607">
            <v>301211</v>
          </cell>
          <cell r="E1607" t="str">
            <v>Pulo ni Sara National High School</v>
          </cell>
          <cell r="F1607">
            <v>1</v>
          </cell>
          <cell r="G1607">
            <v>1</v>
          </cell>
          <cell r="H1607">
            <v>1</v>
          </cell>
          <cell r="I1607">
            <v>0</v>
          </cell>
          <cell r="J1607">
            <v>1</v>
          </cell>
          <cell r="K1607">
            <v>0</v>
          </cell>
          <cell r="L1607">
            <v>0</v>
          </cell>
          <cell r="M1607">
            <v>0</v>
          </cell>
          <cell r="N1607">
            <v>1</v>
          </cell>
          <cell r="O1607">
            <v>0</v>
          </cell>
          <cell r="P1607">
            <v>43708</v>
          </cell>
          <cell r="Q1607">
            <v>0</v>
          </cell>
          <cell r="R1607">
            <v>1</v>
          </cell>
          <cell r="S1607">
            <v>0</v>
          </cell>
          <cell r="T1607">
            <v>0</v>
          </cell>
          <cell r="U1607">
            <v>0</v>
          </cell>
          <cell r="V1607">
            <v>1</v>
          </cell>
          <cell r="W1607">
            <v>2</v>
          </cell>
          <cell r="X1607">
            <v>2</v>
          </cell>
          <cell r="Y1607">
            <v>2</v>
          </cell>
        </row>
        <row r="1608">
          <cell r="D1608">
            <v>342242</v>
          </cell>
          <cell r="E1608" t="str">
            <v>Biñan City Senior High School-San Antonio Campus</v>
          </cell>
          <cell r="F1608">
            <v>1</v>
          </cell>
          <cell r="G1608">
            <v>1</v>
          </cell>
          <cell r="H1608">
            <v>1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 t="str">
            <v>not yet</v>
          </cell>
          <cell r="P1608" t="str">
            <v>not yet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</row>
        <row r="1609">
          <cell r="D1609">
            <v>301360</v>
          </cell>
          <cell r="E1609" t="str">
            <v>Olongtao National High School</v>
          </cell>
          <cell r="F1609">
            <v>1</v>
          </cell>
          <cell r="G1609">
            <v>1</v>
          </cell>
          <cell r="H1609">
            <v>1</v>
          </cell>
          <cell r="I1609">
            <v>0</v>
          </cell>
          <cell r="J1609">
            <v>1</v>
          </cell>
          <cell r="K1609">
            <v>0</v>
          </cell>
          <cell r="L1609">
            <v>0</v>
          </cell>
          <cell r="M1609">
            <v>0</v>
          </cell>
          <cell r="N1609">
            <v>1</v>
          </cell>
          <cell r="O1609">
            <v>43678</v>
          </cell>
          <cell r="P1609">
            <v>43678</v>
          </cell>
          <cell r="Q1609">
            <v>0</v>
          </cell>
          <cell r="R1609">
            <v>1</v>
          </cell>
          <cell r="S1609">
            <v>0</v>
          </cell>
          <cell r="T1609">
            <v>0</v>
          </cell>
          <cell r="U1609">
            <v>0</v>
          </cell>
          <cell r="V1609">
            <v>1</v>
          </cell>
          <cell r="W1609">
            <v>20</v>
          </cell>
          <cell r="X1609">
            <v>5</v>
          </cell>
          <cell r="Y1609">
            <v>5</v>
          </cell>
        </row>
        <row r="1610">
          <cell r="D1610">
            <v>301403</v>
          </cell>
          <cell r="E1610" t="str">
            <v>Sta. Catalina National High School</v>
          </cell>
          <cell r="F1610">
            <v>0</v>
          </cell>
          <cell r="G1610">
            <v>0</v>
          </cell>
          <cell r="H1610">
            <v>1</v>
          </cell>
          <cell r="I1610">
            <v>0</v>
          </cell>
          <cell r="J1610">
            <v>0</v>
          </cell>
          <cell r="K1610">
            <v>1</v>
          </cell>
          <cell r="L1610">
            <v>0</v>
          </cell>
          <cell r="M1610">
            <v>0</v>
          </cell>
          <cell r="N1610">
            <v>0</v>
          </cell>
          <cell r="O1610" t="str">
            <v>N/A</v>
          </cell>
          <cell r="P1610" t="str">
            <v>03/02/2019</v>
          </cell>
          <cell r="Q1610">
            <v>0</v>
          </cell>
          <cell r="R1610">
            <v>1</v>
          </cell>
          <cell r="S1610">
            <v>0</v>
          </cell>
          <cell r="T1610">
            <v>1</v>
          </cell>
          <cell r="U1610">
            <v>0</v>
          </cell>
          <cell r="V1610">
            <v>1</v>
          </cell>
          <cell r="W1610">
            <v>0</v>
          </cell>
          <cell r="X1610">
            <v>0</v>
          </cell>
          <cell r="Y1610">
            <v>0</v>
          </cell>
        </row>
        <row r="1611">
          <cell r="D1611">
            <v>301147</v>
          </cell>
          <cell r="E1611" t="str">
            <v>Sta. Clara Senior High School</v>
          </cell>
          <cell r="F1611">
            <v>1</v>
          </cell>
          <cell r="G1611">
            <v>1</v>
          </cell>
          <cell r="H1611">
            <v>1</v>
          </cell>
          <cell r="I1611">
            <v>0</v>
          </cell>
          <cell r="J1611">
            <v>1</v>
          </cell>
          <cell r="K1611">
            <v>0</v>
          </cell>
          <cell r="L1611">
            <v>0</v>
          </cell>
          <cell r="M1611">
            <v>0</v>
          </cell>
          <cell r="N1611">
            <v>1</v>
          </cell>
          <cell r="O1611">
            <v>43682</v>
          </cell>
          <cell r="P1611">
            <v>43682</v>
          </cell>
          <cell r="Q1611">
            <v>0</v>
          </cell>
          <cell r="R1611">
            <v>1</v>
          </cell>
          <cell r="S1611">
            <v>0</v>
          </cell>
          <cell r="T1611">
            <v>0</v>
          </cell>
          <cell r="U1611">
            <v>0</v>
          </cell>
          <cell r="V1611">
            <v>1</v>
          </cell>
          <cell r="W1611">
            <v>10</v>
          </cell>
          <cell r="X1611">
            <v>0</v>
          </cell>
          <cell r="Y1611">
            <v>0</v>
          </cell>
        </row>
        <row r="1612">
          <cell r="D1612">
            <v>301410</v>
          </cell>
          <cell r="E1612" t="str">
            <v>Tongohin NHS</v>
          </cell>
          <cell r="F1612">
            <v>1</v>
          </cell>
          <cell r="G1612">
            <v>1</v>
          </cell>
          <cell r="H1612">
            <v>1</v>
          </cell>
          <cell r="I1612">
            <v>0</v>
          </cell>
          <cell r="J1612">
            <v>0</v>
          </cell>
          <cell r="K1612">
            <v>1</v>
          </cell>
          <cell r="L1612">
            <v>0</v>
          </cell>
          <cell r="M1612">
            <v>0</v>
          </cell>
          <cell r="N1612">
            <v>1</v>
          </cell>
          <cell r="O1612">
            <v>43634</v>
          </cell>
          <cell r="P1612">
            <v>43616</v>
          </cell>
          <cell r="Q1612">
            <v>0</v>
          </cell>
          <cell r="R1612">
            <v>0</v>
          </cell>
          <cell r="S1612">
            <v>1</v>
          </cell>
          <cell r="T1612">
            <v>0</v>
          </cell>
          <cell r="U1612">
            <v>0</v>
          </cell>
          <cell r="V1612">
            <v>1</v>
          </cell>
          <cell r="W1612">
            <v>0</v>
          </cell>
          <cell r="X1612">
            <v>0</v>
          </cell>
          <cell r="Y1612">
            <v>0</v>
          </cell>
        </row>
        <row r="1613">
          <cell r="D1613">
            <v>301192</v>
          </cell>
          <cell r="E1613" t="str">
            <v>Gen. Mariano Alvarez Technology High School</v>
          </cell>
          <cell r="F1613">
            <v>1</v>
          </cell>
          <cell r="G1613">
            <v>1</v>
          </cell>
          <cell r="H1613">
            <v>1</v>
          </cell>
          <cell r="I1613">
            <v>0</v>
          </cell>
          <cell r="J1613">
            <v>0</v>
          </cell>
          <cell r="K1613">
            <v>1</v>
          </cell>
          <cell r="L1613">
            <v>0</v>
          </cell>
          <cell r="M1613">
            <v>0</v>
          </cell>
          <cell r="N1613">
            <v>1</v>
          </cell>
          <cell r="O1613">
            <v>43529</v>
          </cell>
          <cell r="P1613">
            <v>43525</v>
          </cell>
          <cell r="Q1613">
            <v>0</v>
          </cell>
          <cell r="R1613">
            <v>0</v>
          </cell>
          <cell r="S1613">
            <v>1</v>
          </cell>
          <cell r="T1613">
            <v>0</v>
          </cell>
          <cell r="U1613">
            <v>0</v>
          </cell>
          <cell r="V1613">
            <v>1</v>
          </cell>
          <cell r="W1613">
            <v>0</v>
          </cell>
          <cell r="X1613">
            <v>0</v>
          </cell>
          <cell r="Y1613">
            <v>0</v>
          </cell>
        </row>
        <row r="1614">
          <cell r="D1614">
            <v>301193</v>
          </cell>
          <cell r="E1614" t="str">
            <v>Gen. Vito Belarmino National High School</v>
          </cell>
          <cell r="F1614">
            <v>1</v>
          </cell>
          <cell r="G1614">
            <v>1</v>
          </cell>
          <cell r="H1614">
            <v>1</v>
          </cell>
          <cell r="I1614">
            <v>0</v>
          </cell>
          <cell r="J1614">
            <v>1</v>
          </cell>
          <cell r="K1614">
            <v>0</v>
          </cell>
          <cell r="L1614">
            <v>0</v>
          </cell>
          <cell r="M1614">
            <v>0</v>
          </cell>
          <cell r="N1614">
            <v>1</v>
          </cell>
          <cell r="O1614">
            <v>43628</v>
          </cell>
          <cell r="P1614">
            <v>43684</v>
          </cell>
          <cell r="Q1614">
            <v>1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1</v>
          </cell>
          <cell r="W1614">
            <v>0</v>
          </cell>
          <cell r="X1614">
            <v>0</v>
          </cell>
          <cell r="Y1614">
            <v>0</v>
          </cell>
        </row>
        <row r="1615">
          <cell r="D1615">
            <v>342292</v>
          </cell>
          <cell r="E1615" t="str">
            <v>Trece Martires City Senior High School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</row>
        <row r="1616">
          <cell r="D1616">
            <v>301207</v>
          </cell>
          <cell r="E1616" t="str">
            <v>Naic National High School</v>
          </cell>
          <cell r="F1616">
            <v>1</v>
          </cell>
          <cell r="G1616">
            <v>1</v>
          </cell>
          <cell r="H1616">
            <v>1</v>
          </cell>
          <cell r="I1616">
            <v>0</v>
          </cell>
          <cell r="J1616">
            <v>1</v>
          </cell>
          <cell r="K1616">
            <v>0</v>
          </cell>
          <cell r="L1616">
            <v>0</v>
          </cell>
          <cell r="M1616">
            <v>0</v>
          </cell>
          <cell r="N1616">
            <v>1</v>
          </cell>
          <cell r="O1616">
            <v>43759</v>
          </cell>
          <cell r="P1616">
            <v>43623</v>
          </cell>
          <cell r="Q1616">
            <v>0</v>
          </cell>
          <cell r="R1616">
            <v>1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</row>
        <row r="1617">
          <cell r="D1617">
            <v>301497</v>
          </cell>
          <cell r="E1617" t="str">
            <v>Pinagtongulan Integrated National High School</v>
          </cell>
          <cell r="F1617">
            <v>1</v>
          </cell>
          <cell r="G1617">
            <v>1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</row>
        <row r="1618">
          <cell r="D1618">
            <v>301454</v>
          </cell>
          <cell r="E1618" t="str">
            <v>Quisao NHS</v>
          </cell>
          <cell r="F1618">
            <v>1</v>
          </cell>
          <cell r="G1618">
            <v>0</v>
          </cell>
          <cell r="H1618">
            <v>0</v>
          </cell>
          <cell r="I1618">
            <v>1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1</v>
          </cell>
          <cell r="O1618">
            <v>43739</v>
          </cell>
          <cell r="P1618">
            <v>43777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1</v>
          </cell>
          <cell r="W1618">
            <v>2</v>
          </cell>
          <cell r="X1618">
            <v>1</v>
          </cell>
          <cell r="Y1618">
            <v>1</v>
          </cell>
        </row>
        <row r="1619">
          <cell r="D1619">
            <v>301178</v>
          </cell>
          <cell r="E1619" t="str">
            <v>Cavite National Science High School</v>
          </cell>
          <cell r="F1619">
            <v>1</v>
          </cell>
          <cell r="G1619">
            <v>0</v>
          </cell>
          <cell r="H1619">
            <v>1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</row>
        <row r="1620">
          <cell r="D1620">
            <v>342241</v>
          </cell>
          <cell r="E1620" t="str">
            <v>Stand Alone 3 (BSC)</v>
          </cell>
          <cell r="F1620">
            <v>1</v>
          </cell>
          <cell r="G1620">
            <v>1</v>
          </cell>
          <cell r="H1620">
            <v>0</v>
          </cell>
          <cell r="I1620">
            <v>0</v>
          </cell>
          <cell r="J1620">
            <v>1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1</v>
          </cell>
          <cell r="U1620" t="str">
            <v>NONE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</row>
        <row r="1621">
          <cell r="D1621">
            <v>342564</v>
          </cell>
          <cell r="E1621" t="str">
            <v>Cainta Senior High School</v>
          </cell>
          <cell r="F1621">
            <v>1</v>
          </cell>
          <cell r="G1621">
            <v>1</v>
          </cell>
          <cell r="H1621">
            <v>0</v>
          </cell>
          <cell r="I1621">
            <v>0</v>
          </cell>
          <cell r="J1621">
            <v>0</v>
          </cell>
          <cell r="K1621">
            <v>1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1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</row>
        <row r="1622">
          <cell r="D1622">
            <v>301201</v>
          </cell>
          <cell r="E1622" t="str">
            <v>Indang National High School</v>
          </cell>
          <cell r="F1622">
            <v>1</v>
          </cell>
          <cell r="G1622">
            <v>1</v>
          </cell>
          <cell r="H1622">
            <v>1</v>
          </cell>
          <cell r="I1622">
            <v>0</v>
          </cell>
          <cell r="J1622">
            <v>1</v>
          </cell>
          <cell r="K1622">
            <v>0</v>
          </cell>
          <cell r="L1622">
            <v>0</v>
          </cell>
          <cell r="M1622">
            <v>0</v>
          </cell>
          <cell r="N1622">
            <v>1</v>
          </cell>
          <cell r="O1622">
            <v>43621</v>
          </cell>
          <cell r="P1622">
            <v>43621</v>
          </cell>
          <cell r="Q1622">
            <v>0</v>
          </cell>
          <cell r="R1622">
            <v>1</v>
          </cell>
          <cell r="S1622">
            <v>0</v>
          </cell>
          <cell r="T1622">
            <v>0</v>
          </cell>
          <cell r="U1622">
            <v>0</v>
          </cell>
          <cell r="V1622">
            <v>1</v>
          </cell>
          <cell r="W1622">
            <v>0</v>
          </cell>
          <cell r="X1622">
            <v>0</v>
          </cell>
          <cell r="Y1622">
            <v>0</v>
          </cell>
        </row>
        <row r="1623">
          <cell r="D1623">
            <v>342590</v>
          </cell>
          <cell r="E1623" t="str">
            <v>GEN. JUAN CASTAÑEDA SHS (SHS in Anabu)</v>
          </cell>
          <cell r="F1623">
            <v>1</v>
          </cell>
          <cell r="G1623">
            <v>1</v>
          </cell>
          <cell r="H1623">
            <v>1</v>
          </cell>
          <cell r="I1623">
            <v>0</v>
          </cell>
          <cell r="J1623">
            <v>0</v>
          </cell>
          <cell r="K1623">
            <v>1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</row>
        <row r="1624">
          <cell r="D1624">
            <v>301317</v>
          </cell>
          <cell r="E1624" t="str">
            <v>Dagatan National High School</v>
          </cell>
          <cell r="F1624">
            <v>1</v>
          </cell>
          <cell r="G1624">
            <v>1</v>
          </cell>
          <cell r="H1624">
            <v>1</v>
          </cell>
          <cell r="I1624">
            <v>1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1</v>
          </cell>
          <cell r="O1624" t="str">
            <v>07/27/2018</v>
          </cell>
          <cell r="P1624">
            <v>43108</v>
          </cell>
          <cell r="Q1624">
            <v>0</v>
          </cell>
          <cell r="R1624">
            <v>1</v>
          </cell>
          <cell r="S1624">
            <v>0</v>
          </cell>
          <cell r="T1624">
            <v>0</v>
          </cell>
          <cell r="U1624">
            <v>0</v>
          </cell>
          <cell r="V1624">
            <v>1</v>
          </cell>
          <cell r="W1624">
            <v>14</v>
          </cell>
          <cell r="X1624">
            <v>0</v>
          </cell>
          <cell r="Y1624">
            <v>0</v>
          </cell>
        </row>
        <row r="1625">
          <cell r="D1625">
            <v>342211</v>
          </cell>
          <cell r="E1625" t="str">
            <v>SHS in Calatagan</v>
          </cell>
          <cell r="F1625">
            <v>1</v>
          </cell>
          <cell r="G1625">
            <v>1</v>
          </cell>
          <cell r="H1625">
            <v>1</v>
          </cell>
          <cell r="I1625">
            <v>1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1</v>
          </cell>
          <cell r="O1625">
            <v>43633</v>
          </cell>
          <cell r="P1625">
            <v>0</v>
          </cell>
          <cell r="Q1625">
            <v>1</v>
          </cell>
          <cell r="R1625">
            <v>0</v>
          </cell>
          <cell r="S1625">
            <v>0</v>
          </cell>
          <cell r="T1625">
            <v>1</v>
          </cell>
          <cell r="U1625">
            <v>43633</v>
          </cell>
          <cell r="V1625">
            <v>0</v>
          </cell>
          <cell r="W1625">
            <v>2</v>
          </cell>
          <cell r="X1625">
            <v>13</v>
          </cell>
          <cell r="Y1625">
            <v>13</v>
          </cell>
        </row>
        <row r="1626">
          <cell r="D1626">
            <v>301283</v>
          </cell>
          <cell r="E1626" t="str">
            <v>Magsaysay NHS (Formerly Ajos NHS - Magsaysay Extension)</v>
          </cell>
          <cell r="F1626">
            <v>1</v>
          </cell>
          <cell r="G1626">
            <v>1</v>
          </cell>
          <cell r="H1626">
            <v>1</v>
          </cell>
          <cell r="I1626">
            <v>1</v>
          </cell>
          <cell r="J1626">
            <v>0</v>
          </cell>
          <cell r="K1626">
            <v>0</v>
          </cell>
          <cell r="L1626">
            <v>0</v>
          </cell>
          <cell r="M1626" t="str">
            <v>N/A</v>
          </cell>
          <cell r="N1626">
            <v>1</v>
          </cell>
          <cell r="O1626" t="str">
            <v>07/30/2019</v>
          </cell>
          <cell r="P1626">
            <v>0</v>
          </cell>
          <cell r="Q1626">
            <v>1</v>
          </cell>
          <cell r="R1626">
            <v>0</v>
          </cell>
          <cell r="S1626">
            <v>0</v>
          </cell>
          <cell r="T1626">
            <v>0</v>
          </cell>
          <cell r="U1626" t="str">
            <v>N/A</v>
          </cell>
          <cell r="V1626">
            <v>1</v>
          </cell>
          <cell r="W1626">
            <v>0</v>
          </cell>
          <cell r="X1626">
            <v>0</v>
          </cell>
          <cell r="Y1626">
            <v>0</v>
          </cell>
        </row>
        <row r="1627">
          <cell r="D1627">
            <v>301205</v>
          </cell>
          <cell r="E1627" t="str">
            <v>Munting Ilog National High School</v>
          </cell>
          <cell r="F1627">
            <v>1</v>
          </cell>
          <cell r="G1627">
            <v>1</v>
          </cell>
          <cell r="H1627">
            <v>0</v>
          </cell>
          <cell r="I1627">
            <v>0</v>
          </cell>
          <cell r="J1627">
            <v>1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 t="str">
            <v>August 23, 2019</v>
          </cell>
          <cell r="P1627">
            <v>0</v>
          </cell>
          <cell r="Q1627">
            <v>1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1</v>
          </cell>
          <cell r="W1627">
            <v>0</v>
          </cell>
          <cell r="X1627">
            <v>0</v>
          </cell>
          <cell r="Y1627">
            <v>0</v>
          </cell>
        </row>
        <row r="1628">
          <cell r="D1628">
            <v>301216</v>
          </cell>
          <cell r="E1628" t="str">
            <v>Tagaytay City National High School</v>
          </cell>
          <cell r="F1628">
            <v>1</v>
          </cell>
          <cell r="G1628">
            <v>1</v>
          </cell>
          <cell r="H1628">
            <v>1</v>
          </cell>
          <cell r="I1628">
            <v>0</v>
          </cell>
          <cell r="J1628">
            <v>0</v>
          </cell>
          <cell r="K1628">
            <v>1</v>
          </cell>
          <cell r="L1628">
            <v>0</v>
          </cell>
          <cell r="M1628">
            <v>0</v>
          </cell>
          <cell r="N1628">
            <v>1</v>
          </cell>
          <cell r="O1628">
            <v>0</v>
          </cell>
          <cell r="P1628" t="str">
            <v>6/29/2018</v>
          </cell>
          <cell r="Q1628">
            <v>0</v>
          </cell>
          <cell r="R1628">
            <v>0</v>
          </cell>
          <cell r="S1628">
            <v>1</v>
          </cell>
          <cell r="T1628">
            <v>0</v>
          </cell>
          <cell r="U1628">
            <v>0</v>
          </cell>
          <cell r="V1628">
            <v>1</v>
          </cell>
          <cell r="W1628">
            <v>3</v>
          </cell>
          <cell r="X1628">
            <v>0</v>
          </cell>
          <cell r="Y1628">
            <v>0</v>
          </cell>
        </row>
        <row r="1629">
          <cell r="D1629">
            <v>301191</v>
          </cell>
          <cell r="E1629" t="str">
            <v>Gen. Emilio Aguinaldo National High School</v>
          </cell>
          <cell r="F1629">
            <v>1</v>
          </cell>
          <cell r="G1629">
            <v>1</v>
          </cell>
          <cell r="H1629">
            <v>1</v>
          </cell>
          <cell r="I1629">
            <v>0</v>
          </cell>
          <cell r="J1629">
            <v>1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</row>
        <row r="1630">
          <cell r="D1630">
            <v>301404</v>
          </cell>
          <cell r="E1630" t="str">
            <v>Sto. Domingo NHS</v>
          </cell>
          <cell r="F1630">
            <v>1</v>
          </cell>
          <cell r="G1630">
            <v>1</v>
          </cell>
          <cell r="H1630">
            <v>1</v>
          </cell>
          <cell r="I1630">
            <v>0</v>
          </cell>
          <cell r="J1630">
            <v>1</v>
          </cell>
          <cell r="K1630">
            <v>0</v>
          </cell>
          <cell r="L1630">
            <v>0</v>
          </cell>
          <cell r="M1630">
            <v>0</v>
          </cell>
          <cell r="N1630">
            <v>1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1</v>
          </cell>
          <cell r="T1630">
            <v>0</v>
          </cell>
          <cell r="U1630">
            <v>0</v>
          </cell>
          <cell r="V1630">
            <v>1</v>
          </cell>
          <cell r="W1630">
            <v>1</v>
          </cell>
          <cell r="X1630">
            <v>0</v>
          </cell>
          <cell r="Y1630">
            <v>0</v>
          </cell>
        </row>
        <row r="1631">
          <cell r="D1631">
            <v>301175</v>
          </cell>
          <cell r="E1631" t="str">
            <v>Bucal National High School</v>
          </cell>
          <cell r="F1631">
            <v>1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</row>
        <row r="1632">
          <cell r="D1632">
            <v>342287</v>
          </cell>
          <cell r="E1632" t="str">
            <v>Noveleta Senior High School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</row>
        <row r="1633">
          <cell r="D1633">
            <v>308108</v>
          </cell>
          <cell r="E1633" t="str">
            <v>Antonio C. Esguerra Mem. NHS</v>
          </cell>
          <cell r="F1633">
            <v>1</v>
          </cell>
          <cell r="G1633">
            <v>1</v>
          </cell>
          <cell r="H1633">
            <v>1</v>
          </cell>
          <cell r="I1633">
            <v>0</v>
          </cell>
          <cell r="J1633">
            <v>0</v>
          </cell>
          <cell r="K1633">
            <v>1</v>
          </cell>
          <cell r="L1633">
            <v>0</v>
          </cell>
          <cell r="M1633">
            <v>0</v>
          </cell>
          <cell r="N1633">
            <v>1</v>
          </cell>
          <cell r="O1633" t="str">
            <v>5/0/2019</v>
          </cell>
          <cell r="P1633" t="str">
            <v>6/0/2019</v>
          </cell>
          <cell r="Q1633">
            <v>0</v>
          </cell>
          <cell r="R1633">
            <v>0</v>
          </cell>
          <cell r="S1633">
            <v>1</v>
          </cell>
          <cell r="T1633">
            <v>0</v>
          </cell>
          <cell r="U1633">
            <v>0</v>
          </cell>
          <cell r="V1633">
            <v>1</v>
          </cell>
          <cell r="W1633">
            <v>1</v>
          </cell>
          <cell r="X1633">
            <v>0</v>
          </cell>
          <cell r="Y1633">
            <v>0</v>
          </cell>
        </row>
        <row r="1634">
          <cell r="D1634">
            <v>301202</v>
          </cell>
          <cell r="E1634" t="str">
            <v>Lumil National High School</v>
          </cell>
          <cell r="F1634">
            <v>1</v>
          </cell>
          <cell r="G1634">
            <v>0</v>
          </cell>
          <cell r="H1634">
            <v>1</v>
          </cell>
          <cell r="I1634">
            <v>0</v>
          </cell>
          <cell r="J1634">
            <v>1</v>
          </cell>
          <cell r="K1634">
            <v>0</v>
          </cell>
          <cell r="L1634">
            <v>0</v>
          </cell>
          <cell r="M1634">
            <v>0</v>
          </cell>
          <cell r="N1634">
            <v>1</v>
          </cell>
          <cell r="O1634" t="str">
            <v>8/11/2019</v>
          </cell>
          <cell r="P1634" t="str">
            <v>10/16/2019</v>
          </cell>
          <cell r="Q1634">
            <v>0</v>
          </cell>
          <cell r="R1634">
            <v>1</v>
          </cell>
          <cell r="S1634">
            <v>0</v>
          </cell>
          <cell r="T1634">
            <v>0</v>
          </cell>
          <cell r="U1634">
            <v>0</v>
          </cell>
          <cell r="V1634">
            <v>1</v>
          </cell>
          <cell r="W1634">
            <v>1</v>
          </cell>
          <cell r="X1634">
            <v>0</v>
          </cell>
          <cell r="Y1634">
            <v>0</v>
          </cell>
        </row>
        <row r="1635">
          <cell r="D1635">
            <v>307902</v>
          </cell>
          <cell r="E1635" t="str">
            <v>Santa Rosa Science and Technology High School</v>
          </cell>
          <cell r="F1635">
            <v>0</v>
          </cell>
          <cell r="G1635">
            <v>0</v>
          </cell>
          <cell r="H1635">
            <v>1</v>
          </cell>
          <cell r="I1635">
            <v>0</v>
          </cell>
          <cell r="J1635">
            <v>1</v>
          </cell>
          <cell r="K1635">
            <v>0</v>
          </cell>
          <cell r="L1635">
            <v>0</v>
          </cell>
          <cell r="M1635">
            <v>0</v>
          </cell>
          <cell r="N1635">
            <v>1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1</v>
          </cell>
          <cell r="T1635">
            <v>0</v>
          </cell>
          <cell r="U1635">
            <v>0</v>
          </cell>
          <cell r="V1635">
            <v>0</v>
          </cell>
          <cell r="W1635">
            <v>2</v>
          </cell>
          <cell r="X1635">
            <v>0</v>
          </cell>
          <cell r="Y1635">
            <v>0</v>
          </cell>
        </row>
        <row r="1636">
          <cell r="D1636">
            <v>308115</v>
          </cell>
          <cell r="E1636" t="str">
            <v>San Guillermo NHS</v>
          </cell>
          <cell r="F1636">
            <v>1</v>
          </cell>
          <cell r="G1636">
            <v>0</v>
          </cell>
          <cell r="H1636">
            <v>1</v>
          </cell>
          <cell r="I1636">
            <v>0</v>
          </cell>
          <cell r="J1636">
            <v>0</v>
          </cell>
          <cell r="K1636">
            <v>1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 t="str">
            <v>May 27,2019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</row>
        <row r="1637">
          <cell r="D1637">
            <v>301167</v>
          </cell>
          <cell r="E1637" t="str">
            <v>Amaya School of Home Industries</v>
          </cell>
          <cell r="F1637">
            <v>1</v>
          </cell>
          <cell r="G1637">
            <v>1</v>
          </cell>
          <cell r="H1637">
            <v>1</v>
          </cell>
          <cell r="I1637">
            <v>1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 t="str">
            <v>June 29, 2019</v>
          </cell>
          <cell r="P1637" t="str">
            <v>June 30, 2019</v>
          </cell>
          <cell r="Q1637">
            <v>0</v>
          </cell>
          <cell r="R1637">
            <v>0</v>
          </cell>
          <cell r="S1637">
            <v>0</v>
          </cell>
          <cell r="T1637">
            <v>1</v>
          </cell>
          <cell r="U1637">
            <v>0</v>
          </cell>
          <cell r="V1637">
            <v>1</v>
          </cell>
          <cell r="W1637">
            <v>0</v>
          </cell>
          <cell r="X1637">
            <v>0</v>
          </cell>
          <cell r="Y1637">
            <v>0</v>
          </cell>
        </row>
        <row r="1638">
          <cell r="D1638">
            <v>342207</v>
          </cell>
          <cell r="E1638" t="str">
            <v>SHS in Tuy</v>
          </cell>
          <cell r="F1638">
            <v>1</v>
          </cell>
          <cell r="G1638">
            <v>1</v>
          </cell>
          <cell r="H1638">
            <v>1</v>
          </cell>
          <cell r="I1638">
            <v>1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1</v>
          </cell>
          <cell r="O1638">
            <v>0</v>
          </cell>
          <cell r="P1638">
            <v>43707</v>
          </cell>
          <cell r="Q1638">
            <v>0</v>
          </cell>
          <cell r="R1638">
            <v>1</v>
          </cell>
          <cell r="S1638">
            <v>0</v>
          </cell>
          <cell r="T1638">
            <v>0</v>
          </cell>
          <cell r="U1638">
            <v>0</v>
          </cell>
          <cell r="V1638">
            <v>1</v>
          </cell>
          <cell r="W1638">
            <v>2</v>
          </cell>
          <cell r="X1638">
            <v>0</v>
          </cell>
          <cell r="Y1638">
            <v>0</v>
          </cell>
        </row>
        <row r="1639">
          <cell r="D1639">
            <v>301213</v>
          </cell>
          <cell r="E1639" t="str">
            <v>San Jose Community High School</v>
          </cell>
          <cell r="F1639">
            <v>1</v>
          </cell>
          <cell r="G1639">
            <v>1</v>
          </cell>
          <cell r="H1639">
            <v>1</v>
          </cell>
          <cell r="I1639">
            <v>0</v>
          </cell>
          <cell r="J1639">
            <v>0</v>
          </cell>
          <cell r="K1639">
            <v>0</v>
          </cell>
          <cell r="L1639">
            <v>1</v>
          </cell>
          <cell r="M1639" t="str">
            <v>as the needs arises</v>
          </cell>
          <cell r="N1639">
            <v>1</v>
          </cell>
          <cell r="O1639" t="str">
            <v>n/a</v>
          </cell>
          <cell r="P1639" t="str">
            <v>n/a</v>
          </cell>
          <cell r="Q1639">
            <v>0</v>
          </cell>
          <cell r="R1639">
            <v>0</v>
          </cell>
          <cell r="S1639">
            <v>0</v>
          </cell>
          <cell r="T1639">
            <v>1</v>
          </cell>
          <cell r="U1639" t="str">
            <v>none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</row>
        <row r="1640">
          <cell r="D1640">
            <v>342565</v>
          </cell>
          <cell r="E1640" t="str">
            <v>Tanay Senior High School</v>
          </cell>
          <cell r="F1640">
            <v>1</v>
          </cell>
          <cell r="G1640">
            <v>1</v>
          </cell>
          <cell r="H1640">
            <v>1</v>
          </cell>
          <cell r="I1640">
            <v>0</v>
          </cell>
          <cell r="J1640">
            <v>0</v>
          </cell>
          <cell r="K1640">
            <v>1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1</v>
          </cell>
          <cell r="W1640">
            <v>0</v>
          </cell>
          <cell r="X1640">
            <v>0</v>
          </cell>
          <cell r="Y1640">
            <v>0</v>
          </cell>
        </row>
        <row r="1641">
          <cell r="D1641">
            <v>301195</v>
          </cell>
          <cell r="E1641" t="str">
            <v>Halang Banaybanay National High School</v>
          </cell>
          <cell r="F1641">
            <v>1</v>
          </cell>
          <cell r="G1641">
            <v>0</v>
          </cell>
          <cell r="H1641">
            <v>1</v>
          </cell>
          <cell r="I1641">
            <v>0</v>
          </cell>
          <cell r="J1641">
            <v>1</v>
          </cell>
          <cell r="K1641">
            <v>0</v>
          </cell>
          <cell r="L1641">
            <v>0</v>
          </cell>
          <cell r="M1641">
            <v>0</v>
          </cell>
          <cell r="N1641">
            <v>1</v>
          </cell>
          <cell r="O1641" t="str">
            <v>09/30/2019</v>
          </cell>
          <cell r="P1641" t="str">
            <v>06/30/2019</v>
          </cell>
          <cell r="Q1641">
            <v>0</v>
          </cell>
          <cell r="R1641">
            <v>0</v>
          </cell>
          <cell r="S1641">
            <v>1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</row>
        <row r="1642">
          <cell r="D1642">
            <v>301168</v>
          </cell>
          <cell r="E1642" t="str">
            <v>Anuling National High School</v>
          </cell>
          <cell r="F1642">
            <v>1</v>
          </cell>
          <cell r="G1642">
            <v>0</v>
          </cell>
          <cell r="H1642">
            <v>1</v>
          </cell>
          <cell r="I1642">
            <v>0</v>
          </cell>
          <cell r="J1642">
            <v>1</v>
          </cell>
          <cell r="K1642">
            <v>0</v>
          </cell>
          <cell r="L1642">
            <v>0</v>
          </cell>
          <cell r="M1642">
            <v>0</v>
          </cell>
          <cell r="N1642">
            <v>1</v>
          </cell>
          <cell r="O1642">
            <v>43619</v>
          </cell>
          <cell r="P1642">
            <v>43745</v>
          </cell>
          <cell r="Q1642">
            <v>1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1</v>
          </cell>
          <cell r="W1642">
            <v>2</v>
          </cell>
          <cell r="X1642">
            <v>0</v>
          </cell>
          <cell r="Y1642">
            <v>0</v>
          </cell>
        </row>
        <row r="1643">
          <cell r="D1643">
            <v>301165</v>
          </cell>
          <cell r="E1643" t="str">
            <v>Alfonso National High School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</v>
          </cell>
          <cell r="M1643" t="str">
            <v>Year round</v>
          </cell>
          <cell r="N1643">
            <v>1</v>
          </cell>
          <cell r="O1643" t="str">
            <v>June 2019</v>
          </cell>
          <cell r="P1643" t="str">
            <v>July 2019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1</v>
          </cell>
          <cell r="W1643">
            <v>2</v>
          </cell>
          <cell r="X1643">
            <v>2</v>
          </cell>
          <cell r="Y1643">
            <v>2</v>
          </cell>
        </row>
        <row r="1644">
          <cell r="D1644">
            <v>301198</v>
          </cell>
          <cell r="E1644" t="str">
            <v>Kaytitinga National High School</v>
          </cell>
          <cell r="F1644">
            <v>1</v>
          </cell>
          <cell r="G1644">
            <v>1</v>
          </cell>
          <cell r="H1644">
            <v>1</v>
          </cell>
          <cell r="I1644">
            <v>0</v>
          </cell>
          <cell r="J1644">
            <v>0</v>
          </cell>
          <cell r="K1644">
            <v>1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 t="str">
            <v>June</v>
          </cell>
          <cell r="Q1644">
            <v>0</v>
          </cell>
          <cell r="R1644">
            <v>1</v>
          </cell>
          <cell r="S1644">
            <v>0</v>
          </cell>
          <cell r="T1644">
            <v>0</v>
          </cell>
          <cell r="U1644">
            <v>0</v>
          </cell>
          <cell r="V1644">
            <v>1</v>
          </cell>
          <cell r="W1644">
            <v>0</v>
          </cell>
          <cell r="X1644">
            <v>0</v>
          </cell>
          <cell r="Y1644">
            <v>0</v>
          </cell>
        </row>
        <row r="1645">
          <cell r="D1645">
            <v>301199</v>
          </cell>
          <cell r="E1645" t="str">
            <v>Lucsuhin National High School</v>
          </cell>
          <cell r="F1645">
            <v>1</v>
          </cell>
          <cell r="G1645">
            <v>1</v>
          </cell>
          <cell r="H1645">
            <v>1</v>
          </cell>
          <cell r="I1645">
            <v>0</v>
          </cell>
          <cell r="J1645">
            <v>1</v>
          </cell>
          <cell r="K1645">
            <v>0</v>
          </cell>
          <cell r="L1645">
            <v>0</v>
          </cell>
          <cell r="M1645">
            <v>0</v>
          </cell>
          <cell r="N1645">
            <v>1</v>
          </cell>
          <cell r="O1645" t="str">
            <v>October 15, 2019</v>
          </cell>
          <cell r="P1645" t="str">
            <v>October 15, 2019</v>
          </cell>
          <cell r="Q1645">
            <v>0</v>
          </cell>
          <cell r="R1645">
            <v>1</v>
          </cell>
          <cell r="S1645">
            <v>0</v>
          </cell>
          <cell r="T1645">
            <v>0</v>
          </cell>
          <cell r="U1645">
            <v>0</v>
          </cell>
          <cell r="V1645">
            <v>1</v>
          </cell>
          <cell r="W1645">
            <v>0</v>
          </cell>
          <cell r="X1645">
            <v>0</v>
          </cell>
          <cell r="Y1645">
            <v>0</v>
          </cell>
        </row>
        <row r="1646">
          <cell r="D1646">
            <v>301172</v>
          </cell>
          <cell r="E1646" t="str">
            <v>Bagbag National High School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1</v>
          </cell>
          <cell r="X1646">
            <v>0</v>
          </cell>
          <cell r="Y1646">
            <v>0</v>
          </cell>
        </row>
        <row r="1647">
          <cell r="D1647">
            <v>301200</v>
          </cell>
          <cell r="E1647" t="str">
            <v>Lumampong National High School</v>
          </cell>
          <cell r="F1647">
            <v>1</v>
          </cell>
          <cell r="G1647">
            <v>1</v>
          </cell>
          <cell r="H1647">
            <v>1</v>
          </cell>
          <cell r="I1647">
            <v>0</v>
          </cell>
          <cell r="J1647">
            <v>0</v>
          </cell>
          <cell r="K1647">
            <v>1</v>
          </cell>
          <cell r="L1647">
            <v>0</v>
          </cell>
          <cell r="M1647">
            <v>0</v>
          </cell>
          <cell r="N1647">
            <v>1</v>
          </cell>
          <cell r="O1647" t="str">
            <v>October 20, 2018</v>
          </cell>
          <cell r="P1647" t="str">
            <v>August 15, 2019</v>
          </cell>
          <cell r="Q1647">
            <v>0</v>
          </cell>
          <cell r="R1647">
            <v>0</v>
          </cell>
          <cell r="S1647">
            <v>1</v>
          </cell>
          <cell r="T1647">
            <v>0</v>
          </cell>
          <cell r="U1647">
            <v>0</v>
          </cell>
          <cell r="V1647">
            <v>1</v>
          </cell>
          <cell r="W1647">
            <v>0</v>
          </cell>
          <cell r="X1647">
            <v>0</v>
          </cell>
          <cell r="Y1647">
            <v>0</v>
          </cell>
        </row>
        <row r="1648">
          <cell r="D1648">
            <v>301173</v>
          </cell>
          <cell r="E1648" t="str">
            <v>Bendita National High School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</row>
        <row r="1649">
          <cell r="D1649">
            <v>342195</v>
          </cell>
          <cell r="E1649" t="str">
            <v>Taal Senior High School</v>
          </cell>
          <cell r="F1649">
            <v>1</v>
          </cell>
          <cell r="G1649">
            <v>1</v>
          </cell>
          <cell r="H1649">
            <v>1</v>
          </cell>
          <cell r="I1649">
            <v>1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1</v>
          </cell>
          <cell r="O1649">
            <v>43748</v>
          </cell>
          <cell r="P1649">
            <v>43752</v>
          </cell>
          <cell r="Q1649">
            <v>1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1</v>
          </cell>
          <cell r="W1649">
            <v>2</v>
          </cell>
          <cell r="X1649">
            <v>1</v>
          </cell>
          <cell r="Y1649">
            <v>0</v>
          </cell>
        </row>
        <row r="1650">
          <cell r="D1650">
            <v>301366</v>
          </cell>
          <cell r="E1650" t="str">
            <v>Nagsinamo NHS</v>
          </cell>
          <cell r="F1650">
            <v>1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</row>
        <row r="1651">
          <cell r="D1651">
            <v>307928</v>
          </cell>
          <cell r="E1651" t="str">
            <v>Matalatala Integrated National High School</v>
          </cell>
          <cell r="F1651">
            <v>1</v>
          </cell>
          <cell r="G1651">
            <v>1</v>
          </cell>
          <cell r="H1651">
            <v>1</v>
          </cell>
          <cell r="I1651">
            <v>0</v>
          </cell>
          <cell r="J1651">
            <v>0</v>
          </cell>
          <cell r="K1651">
            <v>0</v>
          </cell>
          <cell r="L1651">
            <v>1</v>
          </cell>
          <cell r="M1651" t="str">
            <v>as need arises</v>
          </cell>
          <cell r="N1651">
            <v>1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1</v>
          </cell>
          <cell r="U1651" t="str">
            <v>as need arises</v>
          </cell>
          <cell r="V1651">
            <v>1</v>
          </cell>
          <cell r="W1651">
            <v>0</v>
          </cell>
          <cell r="X1651">
            <v>0</v>
          </cell>
          <cell r="Y1651">
            <v>0</v>
          </cell>
        </row>
        <row r="1652">
          <cell r="D1652">
            <v>500028</v>
          </cell>
          <cell r="E1652" t="str">
            <v>Binulasan IS</v>
          </cell>
          <cell r="F1652">
            <v>1</v>
          </cell>
          <cell r="G1652">
            <v>1</v>
          </cell>
          <cell r="H1652">
            <v>1</v>
          </cell>
          <cell r="I1652">
            <v>0</v>
          </cell>
          <cell r="J1652">
            <v>0</v>
          </cell>
          <cell r="K1652">
            <v>1</v>
          </cell>
          <cell r="L1652">
            <v>0</v>
          </cell>
          <cell r="M1652">
            <v>0</v>
          </cell>
          <cell r="N1652">
            <v>0</v>
          </cell>
          <cell r="O1652" t="str">
            <v>N/A</v>
          </cell>
          <cell r="P1652" t="str">
            <v>N/A</v>
          </cell>
          <cell r="Q1652">
            <v>0</v>
          </cell>
          <cell r="R1652">
            <v>1</v>
          </cell>
          <cell r="S1652">
            <v>0</v>
          </cell>
          <cell r="T1652">
            <v>0</v>
          </cell>
          <cell r="U1652">
            <v>0</v>
          </cell>
          <cell r="V1652">
            <v>1</v>
          </cell>
          <cell r="W1652">
            <v>0</v>
          </cell>
          <cell r="X1652">
            <v>0</v>
          </cell>
          <cell r="Y1652">
            <v>0</v>
          </cell>
        </row>
        <row r="1653">
          <cell r="D1653">
            <v>301354</v>
          </cell>
          <cell r="E1653" t="str">
            <v>Malaya NHS</v>
          </cell>
          <cell r="F1653">
            <v>0</v>
          </cell>
          <cell r="G1653">
            <v>0</v>
          </cell>
          <cell r="H1653">
            <v>1</v>
          </cell>
          <cell r="I1653">
            <v>0</v>
          </cell>
          <cell r="J1653">
            <v>1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 t="str">
            <v>JUNE 04, 2019</v>
          </cell>
          <cell r="P1653" t="str">
            <v>JUNE 05, 2019</v>
          </cell>
          <cell r="Q1653">
            <v>0</v>
          </cell>
          <cell r="R1653">
            <v>1</v>
          </cell>
          <cell r="S1653">
            <v>0</v>
          </cell>
          <cell r="T1653">
            <v>0</v>
          </cell>
          <cell r="U1653">
            <v>0</v>
          </cell>
          <cell r="V1653">
            <v>1</v>
          </cell>
          <cell r="W1653">
            <v>2</v>
          </cell>
          <cell r="X1653">
            <v>2</v>
          </cell>
          <cell r="Y1653">
            <v>0</v>
          </cell>
        </row>
        <row r="1654">
          <cell r="D1654">
            <v>342288</v>
          </cell>
          <cell r="E1654" t="str">
            <v>Escuela Secondaria Senor de Salinas</v>
          </cell>
          <cell r="F1654">
            <v>0</v>
          </cell>
          <cell r="G1654">
            <v>0</v>
          </cell>
          <cell r="H1654">
            <v>1</v>
          </cell>
          <cell r="I1654">
            <v>0</v>
          </cell>
          <cell r="J1654">
            <v>1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43647</v>
          </cell>
          <cell r="P1654" t="str">
            <v>0/0/0</v>
          </cell>
          <cell r="Q1654">
            <v>0</v>
          </cell>
          <cell r="R1654">
            <v>0</v>
          </cell>
          <cell r="S1654">
            <v>0</v>
          </cell>
          <cell r="T1654">
            <v>1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</row>
        <row r="1655">
          <cell r="D1655">
            <v>307808</v>
          </cell>
          <cell r="E1655" t="str">
            <v>Francisco Osorio National High School</v>
          </cell>
          <cell r="F1655">
            <v>1</v>
          </cell>
          <cell r="G1655">
            <v>1</v>
          </cell>
          <cell r="H1655">
            <v>1</v>
          </cell>
          <cell r="I1655">
            <v>0</v>
          </cell>
          <cell r="J1655">
            <v>0</v>
          </cell>
          <cell r="K1655">
            <v>1</v>
          </cell>
          <cell r="L1655">
            <v>0</v>
          </cell>
          <cell r="M1655">
            <v>0</v>
          </cell>
          <cell r="N1655">
            <v>1</v>
          </cell>
          <cell r="O1655" t="str">
            <v>02/27/2017</v>
          </cell>
          <cell r="P1655">
            <v>43160</v>
          </cell>
          <cell r="Q1655">
            <v>0</v>
          </cell>
          <cell r="R1655">
            <v>0</v>
          </cell>
          <cell r="S1655">
            <v>0</v>
          </cell>
          <cell r="T1655">
            <v>1</v>
          </cell>
          <cell r="U1655" t="str">
            <v>N/A</v>
          </cell>
          <cell r="V1655">
            <v>1</v>
          </cell>
          <cell r="W1655">
            <v>0</v>
          </cell>
          <cell r="X1655">
            <v>0</v>
          </cell>
          <cell r="Y1655">
            <v>0</v>
          </cell>
        </row>
        <row r="1656">
          <cell r="D1656">
            <v>307806</v>
          </cell>
          <cell r="E1656" t="str">
            <v>Francisco P. Tolentino Integrated High School</v>
          </cell>
          <cell r="F1656">
            <v>1</v>
          </cell>
          <cell r="G1656">
            <v>1</v>
          </cell>
          <cell r="H1656">
            <v>1</v>
          </cell>
          <cell r="I1656">
            <v>0</v>
          </cell>
          <cell r="J1656">
            <v>1</v>
          </cell>
          <cell r="K1656">
            <v>0</v>
          </cell>
          <cell r="L1656">
            <v>0</v>
          </cell>
          <cell r="M1656">
            <v>0</v>
          </cell>
          <cell r="N1656">
            <v>1</v>
          </cell>
          <cell r="O1656">
            <v>43525</v>
          </cell>
          <cell r="P1656">
            <v>43617</v>
          </cell>
          <cell r="Q1656">
            <v>0</v>
          </cell>
          <cell r="R1656">
            <v>1</v>
          </cell>
          <cell r="S1656">
            <v>0</v>
          </cell>
          <cell r="T1656">
            <v>1</v>
          </cell>
          <cell r="U1656">
            <v>0</v>
          </cell>
          <cell r="V1656">
            <v>1</v>
          </cell>
          <cell r="W1656">
            <v>3</v>
          </cell>
          <cell r="X1656">
            <v>0</v>
          </cell>
          <cell r="Y1656">
            <v>0</v>
          </cell>
        </row>
        <row r="1657">
          <cell r="D1657">
            <v>301402</v>
          </cell>
          <cell r="E1657" t="str">
            <v>San Roque-Ilaya NHS, Calauag</v>
          </cell>
          <cell r="F1657">
            <v>1</v>
          </cell>
          <cell r="G1657">
            <v>1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</row>
        <row r="1658">
          <cell r="D1658">
            <v>308022</v>
          </cell>
          <cell r="E1658" t="str">
            <v>Rufina P. Trinidad Mem. NHS</v>
          </cell>
          <cell r="F1658">
            <v>1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</row>
        <row r="1659">
          <cell r="D1659">
            <v>307807</v>
          </cell>
          <cell r="E1659" t="str">
            <v>Ternate West National High School</v>
          </cell>
          <cell r="F1659">
            <v>1</v>
          </cell>
          <cell r="G1659">
            <v>1</v>
          </cell>
          <cell r="H1659">
            <v>1</v>
          </cell>
          <cell r="I1659">
            <v>0</v>
          </cell>
          <cell r="J1659">
            <v>0</v>
          </cell>
          <cell r="K1659">
            <v>1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</row>
        <row r="1660">
          <cell r="D1660">
            <v>301476</v>
          </cell>
          <cell r="E1660" t="str">
            <v>Pinamukan Integrated School</v>
          </cell>
          <cell r="F1660">
            <v>1</v>
          </cell>
          <cell r="G1660">
            <v>1</v>
          </cell>
          <cell r="H1660">
            <v>1</v>
          </cell>
          <cell r="I1660">
            <v>0</v>
          </cell>
          <cell r="J1660">
            <v>0</v>
          </cell>
          <cell r="K1660">
            <v>1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1</v>
          </cell>
          <cell r="T1660">
            <v>0</v>
          </cell>
          <cell r="U1660">
            <v>0</v>
          </cell>
          <cell r="V1660">
            <v>1</v>
          </cell>
          <cell r="W1660">
            <v>0</v>
          </cell>
          <cell r="X1660">
            <v>0</v>
          </cell>
          <cell r="Y1660">
            <v>0</v>
          </cell>
        </row>
        <row r="1661">
          <cell r="D1661">
            <v>301341</v>
          </cell>
          <cell r="E1661" t="str">
            <v>Lamon Bay SOF Annex - Capaluhan, Calauag</v>
          </cell>
          <cell r="F1661">
            <v>1</v>
          </cell>
          <cell r="G1661">
            <v>1</v>
          </cell>
          <cell r="H1661">
            <v>1</v>
          </cell>
          <cell r="I1661">
            <v>1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 t="str">
            <v>06/15/2019</v>
          </cell>
          <cell r="P1661" t="str">
            <v>06/15/2019</v>
          </cell>
          <cell r="Q1661">
            <v>1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1</v>
          </cell>
          <cell r="W1661">
            <v>0</v>
          </cell>
          <cell r="X1661">
            <v>0</v>
          </cell>
          <cell r="Y1661">
            <v>0</v>
          </cell>
        </row>
        <row r="1662">
          <cell r="D1662">
            <v>301219</v>
          </cell>
          <cell r="E1662" t="str">
            <v>Tanza National Trade School</v>
          </cell>
          <cell r="F1662">
            <v>1</v>
          </cell>
          <cell r="G1662">
            <v>1</v>
          </cell>
          <cell r="H1662">
            <v>1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1</v>
          </cell>
          <cell r="W1662">
            <v>0</v>
          </cell>
          <cell r="X1662">
            <v>0</v>
          </cell>
          <cell r="Y1662">
            <v>0</v>
          </cell>
        </row>
        <row r="1663">
          <cell r="D1663">
            <v>301406</v>
          </cell>
          <cell r="E1663" t="str">
            <v>Tagkawayan NHS</v>
          </cell>
          <cell r="F1663">
            <v>1</v>
          </cell>
          <cell r="G1663">
            <v>0</v>
          </cell>
          <cell r="H1663">
            <v>1</v>
          </cell>
          <cell r="I1663">
            <v>0</v>
          </cell>
          <cell r="J1663">
            <v>0</v>
          </cell>
          <cell r="K1663">
            <v>1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</row>
        <row r="1664">
          <cell r="D1664">
            <v>342601</v>
          </cell>
          <cell r="E1664" t="str">
            <v>SHS within Sinenguelasan Elementary School</v>
          </cell>
          <cell r="F1664">
            <v>1</v>
          </cell>
          <cell r="G1664">
            <v>1</v>
          </cell>
          <cell r="H1664">
            <v>1</v>
          </cell>
          <cell r="I1664">
            <v>0</v>
          </cell>
          <cell r="J1664">
            <v>0</v>
          </cell>
          <cell r="K1664">
            <v>0</v>
          </cell>
          <cell r="L1664">
            <v>1</v>
          </cell>
          <cell r="M1664">
            <v>0</v>
          </cell>
          <cell r="N1664">
            <v>1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1</v>
          </cell>
          <cell r="U1664">
            <v>0</v>
          </cell>
          <cell r="V1664">
            <v>1</v>
          </cell>
          <cell r="W1664">
            <v>0</v>
          </cell>
          <cell r="X1664">
            <v>0</v>
          </cell>
          <cell r="Y1664">
            <v>0</v>
          </cell>
        </row>
        <row r="1665">
          <cell r="D1665">
            <v>342602</v>
          </cell>
          <cell r="E1665" t="str">
            <v>SHS within Bacoor Elementary School</v>
          </cell>
          <cell r="F1665">
            <v>1</v>
          </cell>
          <cell r="G1665">
            <v>1</v>
          </cell>
          <cell r="H1665">
            <v>1</v>
          </cell>
          <cell r="I1665">
            <v>0</v>
          </cell>
          <cell r="J1665">
            <v>1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 t="e">
            <v>#REF!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1</v>
          </cell>
          <cell r="W1665">
            <v>0</v>
          </cell>
          <cell r="X1665">
            <v>0</v>
          </cell>
          <cell r="Y1665">
            <v>0</v>
          </cell>
        </row>
        <row r="1666">
          <cell r="D1666">
            <v>342598</v>
          </cell>
          <cell r="E1666" t="str">
            <v>Senior High School-Dulong Bayan</v>
          </cell>
          <cell r="F1666">
            <v>1</v>
          </cell>
          <cell r="G1666">
            <v>1</v>
          </cell>
          <cell r="H1666">
            <v>1</v>
          </cell>
          <cell r="I1666">
            <v>0</v>
          </cell>
          <cell r="J1666">
            <v>0</v>
          </cell>
          <cell r="K1666">
            <v>0</v>
          </cell>
          <cell r="L1666">
            <v>1</v>
          </cell>
          <cell r="M1666">
            <v>0</v>
          </cell>
          <cell r="N1666">
            <v>1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1</v>
          </cell>
          <cell r="U1666">
            <v>0</v>
          </cell>
          <cell r="V1666">
            <v>1</v>
          </cell>
          <cell r="W1666">
            <v>0</v>
          </cell>
          <cell r="X1666">
            <v>0</v>
          </cell>
          <cell r="Y1666">
            <v>0</v>
          </cell>
        </row>
        <row r="1667">
          <cell r="D1667">
            <v>301417</v>
          </cell>
          <cell r="E1667" t="str">
            <v>Angono NHS</v>
          </cell>
          <cell r="F1667">
            <v>1</v>
          </cell>
          <cell r="G1667">
            <v>1</v>
          </cell>
          <cell r="H1667">
            <v>1</v>
          </cell>
          <cell r="I1667">
            <v>1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1</v>
          </cell>
          <cell r="O1667">
            <v>43739</v>
          </cell>
          <cell r="P1667">
            <v>43768</v>
          </cell>
          <cell r="Q1667">
            <v>1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1</v>
          </cell>
          <cell r="W1667">
            <v>0</v>
          </cell>
          <cell r="X1667">
            <v>0</v>
          </cell>
          <cell r="Y1667">
            <v>0</v>
          </cell>
        </row>
        <row r="1668">
          <cell r="D1668">
            <v>301255</v>
          </cell>
          <cell r="E1668" t="str">
            <v>Paagahan Integrated National High School</v>
          </cell>
          <cell r="F1668">
            <v>1</v>
          </cell>
          <cell r="G1668">
            <v>0</v>
          </cell>
          <cell r="H1668">
            <v>1</v>
          </cell>
          <cell r="I1668">
            <v>0</v>
          </cell>
          <cell r="J1668">
            <v>0</v>
          </cell>
          <cell r="K1668">
            <v>1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</row>
        <row r="1669">
          <cell r="D1669">
            <v>301218</v>
          </cell>
          <cell r="E1669" t="str">
            <v>Tanza National Comprehensive High School</v>
          </cell>
          <cell r="F1669">
            <v>1</v>
          </cell>
          <cell r="G1669">
            <v>1</v>
          </cell>
          <cell r="H1669">
            <v>1</v>
          </cell>
          <cell r="I1669">
            <v>0</v>
          </cell>
          <cell r="J1669">
            <v>0</v>
          </cell>
          <cell r="K1669">
            <v>1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1</v>
          </cell>
          <cell r="T1669">
            <v>0</v>
          </cell>
          <cell r="U1669">
            <v>0</v>
          </cell>
          <cell r="V1669">
            <v>1</v>
          </cell>
          <cell r="W1669">
            <v>0</v>
          </cell>
          <cell r="X1669">
            <v>0</v>
          </cell>
          <cell r="Y1669">
            <v>0</v>
          </cell>
        </row>
        <row r="1670">
          <cell r="D1670">
            <v>301189</v>
          </cell>
          <cell r="E1670" t="str">
            <v>Emiliano T. Tirona Memorial National High School</v>
          </cell>
          <cell r="F1670">
            <v>1</v>
          </cell>
          <cell r="G1670">
            <v>1</v>
          </cell>
          <cell r="H1670">
            <v>1</v>
          </cell>
          <cell r="I1670">
            <v>0</v>
          </cell>
          <cell r="J1670">
            <v>1</v>
          </cell>
          <cell r="K1670">
            <v>0</v>
          </cell>
          <cell r="L1670">
            <v>0</v>
          </cell>
          <cell r="M1670">
            <v>0</v>
          </cell>
          <cell r="N1670">
            <v>1</v>
          </cell>
          <cell r="O1670" t="str">
            <v>11/05/2019'</v>
          </cell>
          <cell r="P1670" t="str">
            <v>08/26/2019</v>
          </cell>
          <cell r="Q1670">
            <v>0</v>
          </cell>
          <cell r="R1670">
            <v>1</v>
          </cell>
          <cell r="S1670">
            <v>0</v>
          </cell>
          <cell r="T1670">
            <v>0</v>
          </cell>
          <cell r="U1670">
            <v>0</v>
          </cell>
          <cell r="V1670">
            <v>1</v>
          </cell>
          <cell r="W1670">
            <v>5</v>
          </cell>
          <cell r="X1670">
            <v>1</v>
          </cell>
          <cell r="Y1670">
            <v>0</v>
          </cell>
        </row>
        <row r="1671">
          <cell r="D1671">
            <v>301249</v>
          </cell>
          <cell r="E1671" t="str">
            <v>Mabitac NHS</v>
          </cell>
          <cell r="F1671">
            <v>1</v>
          </cell>
          <cell r="G1671">
            <v>1</v>
          </cell>
          <cell r="H1671">
            <v>1</v>
          </cell>
          <cell r="I1671">
            <v>1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1</v>
          </cell>
          <cell r="O1671">
            <v>0</v>
          </cell>
          <cell r="P1671">
            <v>0</v>
          </cell>
          <cell r="Q1671">
            <v>1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1</v>
          </cell>
          <cell r="W1671">
            <v>0</v>
          </cell>
          <cell r="X1671">
            <v>0</v>
          </cell>
          <cell r="Y1671">
            <v>0</v>
          </cell>
        </row>
        <row r="1672">
          <cell r="D1672">
            <v>301372</v>
          </cell>
          <cell r="E1672" t="str">
            <v>Panikihan NHS</v>
          </cell>
          <cell r="F1672">
            <v>1</v>
          </cell>
          <cell r="G1672">
            <v>1</v>
          </cell>
          <cell r="H1672">
            <v>1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1</v>
          </cell>
          <cell r="O1672" t="str">
            <v>June 19, 2019</v>
          </cell>
          <cell r="P1672" t="str">
            <v>June 13, 2019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1</v>
          </cell>
          <cell r="W1672">
            <v>2</v>
          </cell>
          <cell r="X1672">
            <v>1</v>
          </cell>
          <cell r="Y1672">
            <v>1</v>
          </cell>
        </row>
        <row r="1673">
          <cell r="D1673">
            <v>301414</v>
          </cell>
          <cell r="E1673" t="str">
            <v>Unisan Integrated High School (Formerly Unisan NHS)</v>
          </cell>
          <cell r="F1673">
            <v>1</v>
          </cell>
          <cell r="G1673">
            <v>1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</row>
        <row r="1674">
          <cell r="D1674">
            <v>301180</v>
          </cell>
          <cell r="E1674" t="str">
            <v>Bulihan National High School</v>
          </cell>
          <cell r="F1674">
            <v>1</v>
          </cell>
          <cell r="G1674">
            <v>1</v>
          </cell>
          <cell r="H1674">
            <v>1</v>
          </cell>
          <cell r="I1674">
            <v>0</v>
          </cell>
          <cell r="J1674">
            <v>0</v>
          </cell>
          <cell r="K1674">
            <v>1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2</v>
          </cell>
          <cell r="X1674">
            <v>0</v>
          </cell>
          <cell r="Y1674">
            <v>0</v>
          </cell>
        </row>
        <row r="1675">
          <cell r="D1675">
            <v>301408</v>
          </cell>
          <cell r="E1675" t="str">
            <v>Taluong NHS</v>
          </cell>
          <cell r="F1675">
            <v>1</v>
          </cell>
          <cell r="G1675">
            <v>1</v>
          </cell>
          <cell r="H1675">
            <v>1</v>
          </cell>
          <cell r="I1675">
            <v>0</v>
          </cell>
          <cell r="J1675">
            <v>1</v>
          </cell>
          <cell r="K1675">
            <v>0</v>
          </cell>
          <cell r="L1675">
            <v>0</v>
          </cell>
          <cell r="M1675">
            <v>0</v>
          </cell>
          <cell r="N1675">
            <v>1</v>
          </cell>
          <cell r="O1675">
            <v>43617</v>
          </cell>
          <cell r="P1675">
            <v>43617</v>
          </cell>
          <cell r="Q1675">
            <v>1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1</v>
          </cell>
          <cell r="W1675">
            <v>0</v>
          </cell>
          <cell r="X1675">
            <v>0</v>
          </cell>
          <cell r="Y1675">
            <v>0</v>
          </cell>
        </row>
        <row r="1676">
          <cell r="D1676">
            <v>301357</v>
          </cell>
          <cell r="E1676" t="str">
            <v>Malusak National High School</v>
          </cell>
          <cell r="F1676">
            <v>1</v>
          </cell>
          <cell r="G1676">
            <v>0</v>
          </cell>
          <cell r="H1676">
            <v>1</v>
          </cell>
          <cell r="I1676">
            <v>0</v>
          </cell>
          <cell r="J1676">
            <v>0</v>
          </cell>
          <cell r="K1676">
            <v>1</v>
          </cell>
          <cell r="L1676">
            <v>0</v>
          </cell>
          <cell r="M1676">
            <v>0</v>
          </cell>
          <cell r="N1676">
            <v>1</v>
          </cell>
          <cell r="O1676">
            <v>43440</v>
          </cell>
          <cell r="P1676" t="str">
            <v>N/A</v>
          </cell>
          <cell r="Q1676">
            <v>0</v>
          </cell>
          <cell r="R1676">
            <v>0</v>
          </cell>
          <cell r="S1676">
            <v>1</v>
          </cell>
          <cell r="T1676">
            <v>0</v>
          </cell>
          <cell r="U1676">
            <v>0</v>
          </cell>
          <cell r="V1676">
            <v>1</v>
          </cell>
          <cell r="W1676">
            <v>0</v>
          </cell>
          <cell r="X1676">
            <v>0</v>
          </cell>
          <cell r="Y1676">
            <v>0</v>
          </cell>
        </row>
        <row r="1677">
          <cell r="D1677">
            <v>301297</v>
          </cell>
          <cell r="E1677" t="str">
            <v>Bukal Sur National High School</v>
          </cell>
          <cell r="F1677">
            <v>1</v>
          </cell>
          <cell r="G1677">
            <v>0</v>
          </cell>
          <cell r="H1677">
            <v>1</v>
          </cell>
          <cell r="I1677">
            <v>0</v>
          </cell>
          <cell r="J1677">
            <v>0</v>
          </cell>
          <cell r="K1677">
            <v>0</v>
          </cell>
          <cell r="L1677">
            <v>1</v>
          </cell>
          <cell r="M1677" t="str">
            <v>Through the initiative of Brgy. Officials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1</v>
          </cell>
          <cell r="U1677" t="str">
            <v>Through the initiative of Brgy. Officials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</row>
        <row r="1678">
          <cell r="D1678">
            <v>308001</v>
          </cell>
          <cell r="E1678" t="str">
            <v>Matandang Sabang National High School</v>
          </cell>
          <cell r="F1678">
            <v>1</v>
          </cell>
          <cell r="G1678">
            <v>0</v>
          </cell>
          <cell r="H1678">
            <v>1</v>
          </cell>
          <cell r="I1678">
            <v>0</v>
          </cell>
          <cell r="J1678">
            <v>0</v>
          </cell>
          <cell r="K1678">
            <v>0</v>
          </cell>
          <cell r="L1678">
            <v>1</v>
          </cell>
          <cell r="M1678" t="str">
            <v>IF NECESSARY</v>
          </cell>
          <cell r="N1678">
            <v>1</v>
          </cell>
          <cell r="O1678" t="str">
            <v>JULY 5, 2019</v>
          </cell>
          <cell r="P1678" t="str">
            <v>JULY 23, 2019</v>
          </cell>
          <cell r="Q1678">
            <v>0</v>
          </cell>
          <cell r="R1678">
            <v>0</v>
          </cell>
          <cell r="S1678">
            <v>0</v>
          </cell>
          <cell r="T1678">
            <v>1</v>
          </cell>
          <cell r="U1678" t="str">
            <v>IF NECESSARY</v>
          </cell>
          <cell r="V1678">
            <v>1</v>
          </cell>
          <cell r="W1678">
            <v>0</v>
          </cell>
          <cell r="X1678">
            <v>0</v>
          </cell>
          <cell r="Y1678">
            <v>0</v>
          </cell>
        </row>
        <row r="1679">
          <cell r="D1679">
            <v>308040</v>
          </cell>
          <cell r="E1679" t="str">
            <v>Dr. Panfilo Castro NHS - Masalukot I Annex</v>
          </cell>
          <cell r="F1679">
            <v>1</v>
          </cell>
          <cell r="G1679">
            <v>0</v>
          </cell>
          <cell r="H1679">
            <v>1</v>
          </cell>
          <cell r="I1679">
            <v>0</v>
          </cell>
          <cell r="J1679">
            <v>0</v>
          </cell>
          <cell r="K1679">
            <v>0</v>
          </cell>
          <cell r="L1679">
            <v>1</v>
          </cell>
          <cell r="M1679" t="str">
            <v>NONE</v>
          </cell>
          <cell r="N1679">
            <v>0</v>
          </cell>
          <cell r="O1679" t="str">
            <v>06/28/2019</v>
          </cell>
          <cell r="P1679" t="str">
            <v>08/30/2019</v>
          </cell>
          <cell r="Q1679">
            <v>1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1</v>
          </cell>
          <cell r="W1679">
            <v>2</v>
          </cell>
          <cell r="X1679">
            <v>1</v>
          </cell>
          <cell r="Y1679">
            <v>0</v>
          </cell>
        </row>
        <row r="1680">
          <cell r="D1680">
            <v>301382</v>
          </cell>
          <cell r="E1680" t="str">
            <v>Sabang National High School</v>
          </cell>
          <cell r="F1680">
            <v>1</v>
          </cell>
          <cell r="G1680">
            <v>0</v>
          </cell>
          <cell r="H1680">
            <v>1</v>
          </cell>
          <cell r="I1680">
            <v>0</v>
          </cell>
          <cell r="J1680">
            <v>1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 t="str">
            <v>NONE</v>
          </cell>
          <cell r="Q1680">
            <v>0</v>
          </cell>
          <cell r="R1680">
            <v>0</v>
          </cell>
          <cell r="S1680">
            <v>0</v>
          </cell>
          <cell r="T1680">
            <v>1</v>
          </cell>
          <cell r="U1680" t="str">
            <v>SELDOM</v>
          </cell>
          <cell r="V1680">
            <v>1</v>
          </cell>
          <cell r="W1680">
            <v>0</v>
          </cell>
          <cell r="X1680">
            <v>0</v>
          </cell>
          <cell r="Y1680">
            <v>0</v>
          </cell>
        </row>
        <row r="1681">
          <cell r="D1681">
            <v>301292</v>
          </cell>
          <cell r="E1681" t="str">
            <v>Batangan National High School</v>
          </cell>
          <cell r="F1681">
            <v>1</v>
          </cell>
          <cell r="G1681">
            <v>1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</row>
        <row r="1682">
          <cell r="D1682">
            <v>301391</v>
          </cell>
          <cell r="E1682" t="str">
            <v>San Isidro National High School</v>
          </cell>
          <cell r="F1682">
            <v>1</v>
          </cell>
          <cell r="G1682">
            <v>0</v>
          </cell>
          <cell r="H1682">
            <v>1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1</v>
          </cell>
          <cell r="O1682">
            <v>43617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</row>
        <row r="1683">
          <cell r="D1683">
            <v>308010</v>
          </cell>
          <cell r="E1683" t="str">
            <v>San Vicente Kanluran NHS</v>
          </cell>
          <cell r="F1683">
            <v>1</v>
          </cell>
          <cell r="G1683">
            <v>0</v>
          </cell>
          <cell r="H1683">
            <v>1</v>
          </cell>
          <cell r="I1683">
            <v>0</v>
          </cell>
          <cell r="J1683">
            <v>1</v>
          </cell>
          <cell r="K1683">
            <v>0</v>
          </cell>
          <cell r="L1683">
            <v>0</v>
          </cell>
          <cell r="M1683">
            <v>0</v>
          </cell>
          <cell r="N1683">
            <v>1</v>
          </cell>
          <cell r="O1683" t="str">
            <v>July 10, 2019</v>
          </cell>
          <cell r="P1683" t="str">
            <v>July 9, 2012</v>
          </cell>
          <cell r="Q1683">
            <v>0</v>
          </cell>
          <cell r="R1683">
            <v>1</v>
          </cell>
          <cell r="S1683">
            <v>0</v>
          </cell>
          <cell r="T1683">
            <v>0</v>
          </cell>
          <cell r="U1683">
            <v>0</v>
          </cell>
          <cell r="V1683">
            <v>1</v>
          </cell>
          <cell r="W1683">
            <v>0</v>
          </cell>
          <cell r="X1683">
            <v>0</v>
          </cell>
          <cell r="Y1683">
            <v>0</v>
          </cell>
        </row>
        <row r="1684">
          <cell r="D1684">
            <v>301322</v>
          </cell>
          <cell r="E1684" t="str">
            <v>Gregorio Reyes NHS</v>
          </cell>
          <cell r="F1684">
            <v>1</v>
          </cell>
          <cell r="G1684">
            <v>0</v>
          </cell>
          <cell r="H1684">
            <v>1</v>
          </cell>
          <cell r="I1684">
            <v>0</v>
          </cell>
          <cell r="J1684">
            <v>1</v>
          </cell>
          <cell r="K1684">
            <v>0</v>
          </cell>
          <cell r="L1684">
            <v>0</v>
          </cell>
          <cell r="M1684">
            <v>0</v>
          </cell>
          <cell r="N1684">
            <v>1</v>
          </cell>
          <cell r="O1684" t="str">
            <v>July-15-2019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1</v>
          </cell>
          <cell r="U1684" t="str">
            <v>None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</row>
        <row r="1685">
          <cell r="D1685">
            <v>301311</v>
          </cell>
          <cell r="E1685" t="str">
            <v>Doongan Ilaya National High School</v>
          </cell>
          <cell r="F1685">
            <v>1</v>
          </cell>
          <cell r="G1685">
            <v>1</v>
          </cell>
          <cell r="H1685">
            <v>1</v>
          </cell>
          <cell r="I1685">
            <v>0</v>
          </cell>
          <cell r="J1685">
            <v>1</v>
          </cell>
          <cell r="K1685">
            <v>0</v>
          </cell>
          <cell r="L1685">
            <v>0</v>
          </cell>
          <cell r="M1685">
            <v>0</v>
          </cell>
          <cell r="N1685">
            <v>1</v>
          </cell>
          <cell r="O1685" t="str">
            <v>August 8, 2019</v>
          </cell>
          <cell r="P1685" t="str">
            <v>September 6, 2019</v>
          </cell>
          <cell r="Q1685">
            <v>1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1</v>
          </cell>
          <cell r="W1685">
            <v>0</v>
          </cell>
          <cell r="X1685">
            <v>0</v>
          </cell>
          <cell r="Y1685">
            <v>0</v>
          </cell>
        </row>
        <row r="1686">
          <cell r="D1686">
            <v>301392</v>
          </cell>
          <cell r="E1686" t="str">
            <v>Tagabas Ibaba NHS (Formerly San Isidro NHS - Tagabas Ibaba Ext)</v>
          </cell>
          <cell r="F1686">
            <v>1</v>
          </cell>
          <cell r="G1686">
            <v>1</v>
          </cell>
          <cell r="H1686">
            <v>1</v>
          </cell>
          <cell r="I1686">
            <v>0</v>
          </cell>
          <cell r="J1686">
            <v>0</v>
          </cell>
          <cell r="K1686">
            <v>1</v>
          </cell>
          <cell r="L1686">
            <v>1</v>
          </cell>
          <cell r="M1686" t="str">
            <v>IF NEEDS ARISE</v>
          </cell>
          <cell r="N1686">
            <v>1</v>
          </cell>
          <cell r="O1686">
            <v>0</v>
          </cell>
          <cell r="P1686">
            <v>42917</v>
          </cell>
          <cell r="Q1686">
            <v>0</v>
          </cell>
          <cell r="R1686">
            <v>0</v>
          </cell>
          <cell r="S1686">
            <v>1</v>
          </cell>
          <cell r="T1686">
            <v>0</v>
          </cell>
          <cell r="U1686">
            <v>0</v>
          </cell>
          <cell r="V1686">
            <v>1</v>
          </cell>
          <cell r="W1686">
            <v>2</v>
          </cell>
          <cell r="X1686">
            <v>0</v>
          </cell>
          <cell r="Y1686">
            <v>0</v>
          </cell>
        </row>
        <row r="1687">
          <cell r="D1687">
            <v>301077</v>
          </cell>
          <cell r="E1687" t="str">
            <v>Batangas Province High School for Culture and Arts</v>
          </cell>
          <cell r="F1687">
            <v>1</v>
          </cell>
          <cell r="G1687">
            <v>0</v>
          </cell>
          <cell r="H1687">
            <v>1</v>
          </cell>
          <cell r="I1687">
            <v>0</v>
          </cell>
          <cell r="J1687">
            <v>1</v>
          </cell>
          <cell r="K1687">
            <v>0</v>
          </cell>
          <cell r="L1687">
            <v>0</v>
          </cell>
          <cell r="M1687">
            <v>0</v>
          </cell>
          <cell r="N1687">
            <v>1</v>
          </cell>
          <cell r="O1687">
            <v>43735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</row>
        <row r="1688">
          <cell r="D1688">
            <v>301373</v>
          </cell>
          <cell r="E1688" t="str">
            <v>Doña Francisca Alvarez Rejano Integrated School (Formerly Patabog NHS)</v>
          </cell>
          <cell r="F1688">
            <v>1</v>
          </cell>
          <cell r="G1688">
            <v>1</v>
          </cell>
          <cell r="H1688">
            <v>1</v>
          </cell>
          <cell r="I1688">
            <v>0</v>
          </cell>
          <cell r="J1688">
            <v>0</v>
          </cell>
          <cell r="K1688">
            <v>1</v>
          </cell>
          <cell r="L1688">
            <v>0</v>
          </cell>
          <cell r="M1688">
            <v>0</v>
          </cell>
          <cell r="N1688">
            <v>1</v>
          </cell>
          <cell r="O1688" t="str">
            <v>08/30/2019</v>
          </cell>
          <cell r="P1688">
            <v>0</v>
          </cell>
          <cell r="Q1688">
            <v>1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1</v>
          </cell>
          <cell r="W1688">
            <v>1</v>
          </cell>
          <cell r="X1688">
            <v>0</v>
          </cell>
          <cell r="Y1688">
            <v>0</v>
          </cell>
        </row>
        <row r="1689">
          <cell r="D1689">
            <v>301337</v>
          </cell>
          <cell r="E1689" t="str">
            <v>Lina Gayeta-Lasquety NHS (Formerly Kinagunan Ibaba NHS)</v>
          </cell>
          <cell r="F1689">
            <v>1</v>
          </cell>
          <cell r="G1689">
            <v>1</v>
          </cell>
          <cell r="H1689">
            <v>1</v>
          </cell>
          <cell r="I1689">
            <v>1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1</v>
          </cell>
          <cell r="O1689">
            <v>43776</v>
          </cell>
          <cell r="P1689" t="str">
            <v>8/30/2019</v>
          </cell>
          <cell r="Q1689">
            <v>1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1</v>
          </cell>
          <cell r="W1689">
            <v>2</v>
          </cell>
          <cell r="X1689">
            <v>0</v>
          </cell>
          <cell r="Y1689">
            <v>0</v>
          </cell>
        </row>
        <row r="1690">
          <cell r="D1690">
            <v>301326</v>
          </cell>
          <cell r="E1690" t="str">
            <v>Hinguiwin National High School</v>
          </cell>
          <cell r="F1690">
            <v>1</v>
          </cell>
          <cell r="G1690">
            <v>1</v>
          </cell>
          <cell r="H1690">
            <v>1</v>
          </cell>
          <cell r="I1690">
            <v>0</v>
          </cell>
          <cell r="J1690">
            <v>1</v>
          </cell>
          <cell r="K1690">
            <v>0</v>
          </cell>
          <cell r="L1690">
            <v>0</v>
          </cell>
          <cell r="M1690">
            <v>0</v>
          </cell>
          <cell r="N1690">
            <v>1</v>
          </cell>
          <cell r="O1690" t="str">
            <v>July 31, 2019</v>
          </cell>
          <cell r="P1690" t="str">
            <v>No Violation Yet</v>
          </cell>
          <cell r="Q1690">
            <v>0</v>
          </cell>
          <cell r="R1690">
            <v>1</v>
          </cell>
          <cell r="S1690">
            <v>0</v>
          </cell>
          <cell r="T1690">
            <v>0</v>
          </cell>
          <cell r="U1690">
            <v>0</v>
          </cell>
          <cell r="V1690">
            <v>1</v>
          </cell>
          <cell r="W1690">
            <v>2</v>
          </cell>
          <cell r="X1690">
            <v>1</v>
          </cell>
          <cell r="Y1690">
            <v>0</v>
          </cell>
        </row>
        <row r="1691">
          <cell r="D1691">
            <v>308023</v>
          </cell>
          <cell r="E1691" t="str">
            <v>Danlagan NHS (Formerly Kinagunan Ibaba NHS Ext. Classes)</v>
          </cell>
          <cell r="F1691">
            <v>1</v>
          </cell>
          <cell r="G1691">
            <v>1</v>
          </cell>
          <cell r="H1691">
            <v>1</v>
          </cell>
          <cell r="I1691">
            <v>0</v>
          </cell>
          <cell r="J1691">
            <v>1</v>
          </cell>
          <cell r="K1691">
            <v>0</v>
          </cell>
          <cell r="L1691">
            <v>0</v>
          </cell>
          <cell r="M1691">
            <v>0</v>
          </cell>
          <cell r="N1691">
            <v>1</v>
          </cell>
          <cell r="O1691">
            <v>43707</v>
          </cell>
          <cell r="P1691" t="str">
            <v>N/A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</row>
        <row r="1692">
          <cell r="D1692">
            <v>301484</v>
          </cell>
          <cell r="E1692" t="str">
            <v>Cavite National High School</v>
          </cell>
          <cell r="F1692">
            <v>1</v>
          </cell>
          <cell r="G1692">
            <v>1</v>
          </cell>
          <cell r="H1692">
            <v>0</v>
          </cell>
          <cell r="I1692">
            <v>0</v>
          </cell>
          <cell r="J1692">
            <v>0</v>
          </cell>
          <cell r="K1692">
            <v>1</v>
          </cell>
          <cell r="L1692">
            <v>0</v>
          </cell>
          <cell r="M1692">
            <v>0</v>
          </cell>
          <cell r="N1692">
            <v>1</v>
          </cell>
          <cell r="O1692">
            <v>43807</v>
          </cell>
          <cell r="P1692" t="str">
            <v>done by LGU and Barangays</v>
          </cell>
          <cell r="Q1692">
            <v>0</v>
          </cell>
          <cell r="R1692">
            <v>0</v>
          </cell>
          <cell r="S1692">
            <v>0</v>
          </cell>
          <cell r="T1692">
            <v>1</v>
          </cell>
          <cell r="U1692">
            <v>0</v>
          </cell>
          <cell r="V1692">
            <v>0</v>
          </cell>
          <cell r="W1692">
            <v>3</v>
          </cell>
          <cell r="X1692">
            <v>3</v>
          </cell>
          <cell r="Y1692">
            <v>3</v>
          </cell>
        </row>
        <row r="1693">
          <cell r="D1693">
            <v>301300</v>
          </cell>
          <cell r="E1693" t="str">
            <v>Cabulihan NHS</v>
          </cell>
          <cell r="F1693">
            <v>1</v>
          </cell>
          <cell r="G1693">
            <v>1</v>
          </cell>
          <cell r="H1693">
            <v>1</v>
          </cell>
          <cell r="I1693">
            <v>0</v>
          </cell>
          <cell r="J1693">
            <v>1</v>
          </cell>
          <cell r="K1693">
            <v>0</v>
          </cell>
          <cell r="L1693">
            <v>0</v>
          </cell>
          <cell r="M1693">
            <v>0</v>
          </cell>
          <cell r="N1693">
            <v>1</v>
          </cell>
          <cell r="O1693" t="str">
            <v>07/13/2019</v>
          </cell>
          <cell r="P1693">
            <v>43591</v>
          </cell>
          <cell r="Q1693">
            <v>0</v>
          </cell>
          <cell r="R1693">
            <v>1</v>
          </cell>
          <cell r="S1693">
            <v>0</v>
          </cell>
          <cell r="T1693">
            <v>0</v>
          </cell>
          <cell r="U1693">
            <v>0</v>
          </cell>
          <cell r="V1693">
            <v>1</v>
          </cell>
          <cell r="W1693">
            <v>5</v>
          </cell>
          <cell r="X1693">
            <v>1</v>
          </cell>
          <cell r="Y1693">
            <v>0</v>
          </cell>
        </row>
        <row r="1694">
          <cell r="D1694">
            <v>301343</v>
          </cell>
          <cell r="E1694" t="str">
            <v>Langgas NHS</v>
          </cell>
          <cell r="F1694">
            <v>1</v>
          </cell>
          <cell r="G1694">
            <v>1</v>
          </cell>
          <cell r="H1694">
            <v>1</v>
          </cell>
          <cell r="I1694">
            <v>0</v>
          </cell>
          <cell r="J1694">
            <v>1</v>
          </cell>
          <cell r="K1694">
            <v>0</v>
          </cell>
          <cell r="L1694">
            <v>0</v>
          </cell>
          <cell r="M1694">
            <v>0</v>
          </cell>
          <cell r="N1694">
            <v>1</v>
          </cell>
          <cell r="O1694" t="str">
            <v>07/19/2019</v>
          </cell>
          <cell r="P1694" t="str">
            <v>07/31/2019</v>
          </cell>
          <cell r="Q1694">
            <v>1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1</v>
          </cell>
          <cell r="W1694">
            <v>0</v>
          </cell>
          <cell r="X1694">
            <v>0</v>
          </cell>
          <cell r="Y1694">
            <v>0</v>
          </cell>
        </row>
        <row r="1695">
          <cell r="D1695">
            <v>301375</v>
          </cell>
          <cell r="E1695" t="str">
            <v>Perez National High School</v>
          </cell>
          <cell r="F1695">
            <v>1</v>
          </cell>
          <cell r="G1695">
            <v>1</v>
          </cell>
          <cell r="H1695">
            <v>1</v>
          </cell>
          <cell r="I1695">
            <v>0</v>
          </cell>
          <cell r="J1695">
            <v>1</v>
          </cell>
          <cell r="K1695">
            <v>0</v>
          </cell>
          <cell r="L1695">
            <v>0</v>
          </cell>
          <cell r="M1695">
            <v>0</v>
          </cell>
          <cell r="N1695">
            <v>1</v>
          </cell>
          <cell r="O1695">
            <v>42814</v>
          </cell>
          <cell r="P1695" t="str">
            <v>04/06/02018</v>
          </cell>
          <cell r="Q1695">
            <v>0</v>
          </cell>
          <cell r="R1695">
            <v>0</v>
          </cell>
          <cell r="S1695">
            <v>1</v>
          </cell>
          <cell r="T1695">
            <v>0</v>
          </cell>
          <cell r="U1695">
            <v>0</v>
          </cell>
          <cell r="V1695">
            <v>0</v>
          </cell>
          <cell r="W1695">
            <v>1</v>
          </cell>
          <cell r="X1695">
            <v>0</v>
          </cell>
          <cell r="Y1695">
            <v>0</v>
          </cell>
        </row>
        <row r="1696">
          <cell r="D1696">
            <v>301378</v>
          </cell>
          <cell r="E1696" t="str">
            <v>Balesin IS (Formerly Polillo NHS Extension)</v>
          </cell>
          <cell r="F1696">
            <v>1</v>
          </cell>
          <cell r="G1696">
            <v>1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1</v>
          </cell>
          <cell r="M1696" t="str">
            <v>N/A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1</v>
          </cell>
          <cell r="U1696" t="str">
            <v>N/A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</row>
        <row r="1697">
          <cell r="D1697">
            <v>301371</v>
          </cell>
          <cell r="E1697" t="str">
            <v>Leonarda D. Vera Cruz NHS (Formerly Panaon NHS)</v>
          </cell>
          <cell r="F1697">
            <v>1</v>
          </cell>
          <cell r="G1697">
            <v>1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 t="str">
            <v>n/a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2</v>
          </cell>
          <cell r="X1697">
            <v>2</v>
          </cell>
          <cell r="Y1697">
            <v>2</v>
          </cell>
        </row>
        <row r="1698">
          <cell r="D1698">
            <v>301285</v>
          </cell>
          <cell r="E1698" t="str">
            <v>Amontay National High School</v>
          </cell>
          <cell r="F1698">
            <v>1</v>
          </cell>
          <cell r="G1698">
            <v>0</v>
          </cell>
          <cell r="H1698">
            <v>1</v>
          </cell>
          <cell r="I1698">
            <v>0</v>
          </cell>
          <cell r="J1698">
            <v>0</v>
          </cell>
          <cell r="K1698">
            <v>1</v>
          </cell>
          <cell r="L1698">
            <v>0</v>
          </cell>
          <cell r="M1698">
            <v>0</v>
          </cell>
          <cell r="N1698">
            <v>1</v>
          </cell>
          <cell r="O1698" t="str">
            <v>July 5, 2019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</row>
        <row r="1699">
          <cell r="D1699">
            <v>301376</v>
          </cell>
          <cell r="E1699" t="str">
            <v>Pitogo Community High School</v>
          </cell>
          <cell r="F1699">
            <v>1</v>
          </cell>
          <cell r="G1699">
            <v>0</v>
          </cell>
          <cell r="H1699">
            <v>1</v>
          </cell>
          <cell r="I1699">
            <v>0</v>
          </cell>
          <cell r="J1699">
            <v>1</v>
          </cell>
          <cell r="K1699">
            <v>0</v>
          </cell>
          <cell r="L1699">
            <v>0</v>
          </cell>
          <cell r="M1699">
            <v>0</v>
          </cell>
          <cell r="N1699">
            <v>1</v>
          </cell>
          <cell r="O1699">
            <v>0</v>
          </cell>
          <cell r="P1699" t="str">
            <v>N/A</v>
          </cell>
          <cell r="Q1699">
            <v>0</v>
          </cell>
          <cell r="R1699">
            <v>1</v>
          </cell>
          <cell r="S1699">
            <v>0</v>
          </cell>
          <cell r="T1699">
            <v>0</v>
          </cell>
          <cell r="U1699">
            <v>0</v>
          </cell>
          <cell r="V1699">
            <v>1</v>
          </cell>
          <cell r="W1699">
            <v>0</v>
          </cell>
          <cell r="X1699">
            <v>0</v>
          </cell>
          <cell r="Y1699">
            <v>0</v>
          </cell>
        </row>
        <row r="1700">
          <cell r="D1700">
            <v>308002</v>
          </cell>
          <cell r="E1700" t="str">
            <v>Mapulot National High School</v>
          </cell>
          <cell r="F1700">
            <v>1</v>
          </cell>
          <cell r="G1700">
            <v>1</v>
          </cell>
          <cell r="H1700">
            <v>1</v>
          </cell>
          <cell r="I1700">
            <v>1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1</v>
          </cell>
          <cell r="O1700">
            <v>0</v>
          </cell>
          <cell r="P1700">
            <v>43610</v>
          </cell>
          <cell r="Q1700">
            <v>0</v>
          </cell>
          <cell r="R1700">
            <v>1</v>
          </cell>
          <cell r="S1700">
            <v>0</v>
          </cell>
          <cell r="T1700">
            <v>0</v>
          </cell>
          <cell r="U1700">
            <v>0</v>
          </cell>
          <cell r="V1700">
            <v>1</v>
          </cell>
          <cell r="W1700">
            <v>5</v>
          </cell>
          <cell r="X1700">
            <v>2</v>
          </cell>
          <cell r="Y1700">
            <v>5</v>
          </cell>
        </row>
        <row r="1701">
          <cell r="D1701">
            <v>301306</v>
          </cell>
          <cell r="E1701" t="str">
            <v>Camflora NHS</v>
          </cell>
          <cell r="F1701">
            <v>1</v>
          </cell>
          <cell r="G1701">
            <v>1</v>
          </cell>
          <cell r="H1701">
            <v>1</v>
          </cell>
          <cell r="I1701">
            <v>0</v>
          </cell>
          <cell r="J1701">
            <v>1</v>
          </cell>
          <cell r="K1701">
            <v>0</v>
          </cell>
          <cell r="L1701">
            <v>0</v>
          </cell>
          <cell r="M1701">
            <v>0</v>
          </cell>
          <cell r="N1701">
            <v>1</v>
          </cell>
          <cell r="O1701" t="str">
            <v>06/20/2019</v>
          </cell>
          <cell r="P1701" t="str">
            <v>07/24/2019</v>
          </cell>
          <cell r="Q1701">
            <v>0</v>
          </cell>
          <cell r="R1701">
            <v>1</v>
          </cell>
          <cell r="S1701">
            <v>0</v>
          </cell>
          <cell r="T1701">
            <v>0</v>
          </cell>
          <cell r="U1701">
            <v>0</v>
          </cell>
          <cell r="V1701">
            <v>1</v>
          </cell>
          <cell r="W1701">
            <v>0</v>
          </cell>
          <cell r="X1701">
            <v>0</v>
          </cell>
          <cell r="Y1701">
            <v>0</v>
          </cell>
        </row>
        <row r="1702">
          <cell r="D1702">
            <v>342600</v>
          </cell>
          <cell r="E1702" t="str">
            <v>SHS in San Nicholas III, Bacoor City</v>
          </cell>
          <cell r="F1702">
            <v>1</v>
          </cell>
          <cell r="G1702">
            <v>1</v>
          </cell>
          <cell r="H1702">
            <v>1</v>
          </cell>
          <cell r="I1702">
            <v>0</v>
          </cell>
          <cell r="J1702">
            <v>0</v>
          </cell>
          <cell r="K1702">
            <v>0</v>
          </cell>
          <cell r="L1702">
            <v>1</v>
          </cell>
          <cell r="M1702" t="str">
            <v>None</v>
          </cell>
          <cell r="N1702">
            <v>0</v>
          </cell>
          <cell r="O1702">
            <v>0</v>
          </cell>
          <cell r="P1702" t="str">
            <v>N/A</v>
          </cell>
          <cell r="Q1702">
            <v>0</v>
          </cell>
          <cell r="R1702">
            <v>0</v>
          </cell>
          <cell r="S1702">
            <v>0</v>
          </cell>
          <cell r="T1702">
            <v>1</v>
          </cell>
          <cell r="U1702" t="str">
            <v>None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</row>
        <row r="1703">
          <cell r="D1703">
            <v>301318</v>
          </cell>
          <cell r="E1703" t="str">
            <v>Sta. Lucia NHS (Formerly Dagatan NHS Annex - Sta. Lucia)</v>
          </cell>
          <cell r="F1703">
            <v>1</v>
          </cell>
          <cell r="G1703">
            <v>1</v>
          </cell>
          <cell r="H1703">
            <v>1</v>
          </cell>
          <cell r="I1703">
            <v>0</v>
          </cell>
          <cell r="J1703">
            <v>1</v>
          </cell>
          <cell r="K1703">
            <v>0</v>
          </cell>
          <cell r="L1703">
            <v>0</v>
          </cell>
          <cell r="M1703">
            <v>0</v>
          </cell>
          <cell r="N1703">
            <v>1</v>
          </cell>
          <cell r="O1703">
            <v>0</v>
          </cell>
          <cell r="P1703">
            <v>43714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0</v>
          </cell>
          <cell r="V1703">
            <v>1</v>
          </cell>
          <cell r="W1703">
            <v>0</v>
          </cell>
          <cell r="X1703">
            <v>0</v>
          </cell>
          <cell r="Y1703">
            <v>0</v>
          </cell>
        </row>
        <row r="1704">
          <cell r="D1704">
            <v>301332</v>
          </cell>
          <cell r="E1704" t="str">
            <v>Infanta NHS</v>
          </cell>
          <cell r="F1704">
            <v>1</v>
          </cell>
          <cell r="G1704">
            <v>1</v>
          </cell>
          <cell r="H1704">
            <v>1</v>
          </cell>
          <cell r="I1704">
            <v>0</v>
          </cell>
          <cell r="J1704">
            <v>1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 t="str">
            <v>N/A</v>
          </cell>
          <cell r="P1704" t="str">
            <v>N/A</v>
          </cell>
          <cell r="Q1704">
            <v>0</v>
          </cell>
          <cell r="R1704">
            <v>1</v>
          </cell>
          <cell r="S1704">
            <v>0</v>
          </cell>
          <cell r="T1704">
            <v>0</v>
          </cell>
          <cell r="U1704">
            <v>0</v>
          </cell>
          <cell r="V1704">
            <v>1</v>
          </cell>
          <cell r="W1704">
            <v>0</v>
          </cell>
          <cell r="X1704">
            <v>0</v>
          </cell>
          <cell r="Y1704">
            <v>0</v>
          </cell>
        </row>
        <row r="1705">
          <cell r="D1705">
            <v>308038</v>
          </cell>
          <cell r="E1705" t="str">
            <v>Cabibihan National High School</v>
          </cell>
          <cell r="F1705">
            <v>1</v>
          </cell>
          <cell r="G1705">
            <v>1</v>
          </cell>
          <cell r="H1705">
            <v>1</v>
          </cell>
          <cell r="I1705">
            <v>0</v>
          </cell>
          <cell r="J1705">
            <v>1</v>
          </cell>
          <cell r="K1705">
            <v>0</v>
          </cell>
          <cell r="L1705">
            <v>0</v>
          </cell>
          <cell r="M1705">
            <v>0</v>
          </cell>
          <cell r="N1705">
            <v>1</v>
          </cell>
          <cell r="O1705">
            <v>43701</v>
          </cell>
          <cell r="P1705">
            <v>43686</v>
          </cell>
          <cell r="Q1705">
            <v>1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1</v>
          </cell>
          <cell r="W1705">
            <v>2</v>
          </cell>
          <cell r="X1705">
            <v>2</v>
          </cell>
          <cell r="Y1705">
            <v>2</v>
          </cell>
        </row>
        <row r="1706">
          <cell r="D1706">
            <v>301307</v>
          </cell>
          <cell r="E1706" t="str">
            <v>Camohaguin National High School</v>
          </cell>
          <cell r="F1706">
            <v>0</v>
          </cell>
          <cell r="G1706">
            <v>0</v>
          </cell>
          <cell r="H1706">
            <v>1</v>
          </cell>
          <cell r="I1706">
            <v>0</v>
          </cell>
          <cell r="J1706">
            <v>0</v>
          </cell>
          <cell r="K1706">
            <v>1</v>
          </cell>
          <cell r="L1706">
            <v>0</v>
          </cell>
          <cell r="M1706">
            <v>0</v>
          </cell>
          <cell r="N1706">
            <v>1</v>
          </cell>
          <cell r="O1706">
            <v>0</v>
          </cell>
          <cell r="P1706">
            <v>0</v>
          </cell>
          <cell r="Q1706">
            <v>0</v>
          </cell>
          <cell r="R1706">
            <v>1</v>
          </cell>
          <cell r="S1706">
            <v>0</v>
          </cell>
          <cell r="T1706">
            <v>1</v>
          </cell>
          <cell r="U1706">
            <v>0</v>
          </cell>
          <cell r="V1706">
            <v>1</v>
          </cell>
          <cell r="W1706">
            <v>0</v>
          </cell>
          <cell r="X1706">
            <v>0</v>
          </cell>
          <cell r="Y1706">
            <v>0</v>
          </cell>
        </row>
        <row r="1707">
          <cell r="D1707">
            <v>301394</v>
          </cell>
          <cell r="E1707" t="str">
            <v>SAN ISIDRO NATIONAL HIGH SCHOOL, PADRE BURGOS</v>
          </cell>
          <cell r="F1707">
            <v>1</v>
          </cell>
          <cell r="G1707">
            <v>1</v>
          </cell>
          <cell r="H1707">
            <v>1</v>
          </cell>
          <cell r="I1707">
            <v>0</v>
          </cell>
          <cell r="J1707">
            <v>0</v>
          </cell>
          <cell r="K1707">
            <v>1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1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</row>
        <row r="1708">
          <cell r="D1708">
            <v>301309</v>
          </cell>
          <cell r="E1708" t="str">
            <v>Casay National High School</v>
          </cell>
          <cell r="F1708">
            <v>1</v>
          </cell>
          <cell r="G1708">
            <v>1</v>
          </cell>
          <cell r="H1708">
            <v>1</v>
          </cell>
          <cell r="I1708">
            <v>0</v>
          </cell>
          <cell r="J1708">
            <v>1</v>
          </cell>
          <cell r="K1708">
            <v>0</v>
          </cell>
          <cell r="L1708">
            <v>0</v>
          </cell>
          <cell r="M1708">
            <v>0</v>
          </cell>
          <cell r="N1708">
            <v>1</v>
          </cell>
          <cell r="O1708">
            <v>43658</v>
          </cell>
          <cell r="P1708">
            <v>0</v>
          </cell>
          <cell r="Q1708">
            <v>0</v>
          </cell>
          <cell r="R1708">
            <v>0</v>
          </cell>
          <cell r="S1708">
            <v>1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</row>
        <row r="1709">
          <cell r="D1709">
            <v>301370</v>
          </cell>
          <cell r="E1709" t="str">
            <v>Paiisa NHS</v>
          </cell>
          <cell r="F1709">
            <v>1</v>
          </cell>
          <cell r="G1709">
            <v>1</v>
          </cell>
          <cell r="H1709">
            <v>1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1</v>
          </cell>
          <cell r="W1709">
            <v>0</v>
          </cell>
          <cell r="X1709">
            <v>0</v>
          </cell>
          <cell r="Y1709">
            <v>0</v>
          </cell>
        </row>
        <row r="1710">
          <cell r="D1710">
            <v>308044</v>
          </cell>
          <cell r="E1710" t="str">
            <v>Huyon-Uyon National High School</v>
          </cell>
          <cell r="F1710">
            <v>1</v>
          </cell>
          <cell r="G1710">
            <v>1</v>
          </cell>
          <cell r="H1710">
            <v>1</v>
          </cell>
          <cell r="I1710">
            <v>0</v>
          </cell>
          <cell r="J1710">
            <v>1</v>
          </cell>
          <cell r="K1710">
            <v>0</v>
          </cell>
          <cell r="L1710">
            <v>0</v>
          </cell>
          <cell r="M1710">
            <v>0</v>
          </cell>
          <cell r="N1710">
            <v>1</v>
          </cell>
          <cell r="O1710">
            <v>0</v>
          </cell>
          <cell r="P1710">
            <v>0</v>
          </cell>
          <cell r="Q1710">
            <v>1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2</v>
          </cell>
          <cell r="X1710">
            <v>1</v>
          </cell>
          <cell r="Y1710">
            <v>0</v>
          </cell>
        </row>
        <row r="1711">
          <cell r="D1711">
            <v>301379</v>
          </cell>
          <cell r="E1711" t="str">
            <v>Pugon NHS</v>
          </cell>
          <cell r="F1711">
            <v>0</v>
          </cell>
          <cell r="G1711">
            <v>0</v>
          </cell>
          <cell r="H1711">
            <v>1</v>
          </cell>
          <cell r="I1711">
            <v>0</v>
          </cell>
          <cell r="J1711">
            <v>1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</row>
        <row r="1712">
          <cell r="D1712">
            <v>308003</v>
          </cell>
          <cell r="E1712" t="str">
            <v>Sto. Niño National High School (Formerly Pagsangahan NHS Ext. Sto. Niño)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</row>
        <row r="1713">
          <cell r="D1713">
            <v>308048</v>
          </cell>
          <cell r="E1713" t="str">
            <v>Sta. Catalina National High School</v>
          </cell>
          <cell r="F1713">
            <v>1</v>
          </cell>
          <cell r="G1713">
            <v>0</v>
          </cell>
          <cell r="H1713">
            <v>1</v>
          </cell>
          <cell r="I1713">
            <v>0</v>
          </cell>
          <cell r="J1713">
            <v>0</v>
          </cell>
          <cell r="K1713">
            <v>1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 t="str">
            <v>01/17/2019</v>
          </cell>
          <cell r="Q1713">
            <v>0</v>
          </cell>
          <cell r="R1713">
            <v>1</v>
          </cell>
          <cell r="S1713">
            <v>0</v>
          </cell>
          <cell r="T1713">
            <v>0</v>
          </cell>
          <cell r="U1713">
            <v>0</v>
          </cell>
          <cell r="V1713">
            <v>1</v>
          </cell>
          <cell r="W1713">
            <v>1</v>
          </cell>
          <cell r="X1713">
            <v>1</v>
          </cell>
          <cell r="Y1713">
            <v>1</v>
          </cell>
        </row>
        <row r="1714">
          <cell r="D1714">
            <v>308009</v>
          </cell>
          <cell r="E1714" t="str">
            <v>Pamampangin NHS</v>
          </cell>
          <cell r="F1714">
            <v>1</v>
          </cell>
          <cell r="G1714">
            <v>1</v>
          </cell>
          <cell r="H1714">
            <v>1</v>
          </cell>
          <cell r="I1714">
            <v>0</v>
          </cell>
          <cell r="J1714">
            <v>0</v>
          </cell>
          <cell r="K1714">
            <v>1</v>
          </cell>
          <cell r="L1714">
            <v>0</v>
          </cell>
          <cell r="M1714">
            <v>0</v>
          </cell>
          <cell r="N1714">
            <v>1</v>
          </cell>
          <cell r="O1714">
            <v>43643</v>
          </cell>
          <cell r="P1714">
            <v>0</v>
          </cell>
          <cell r="Q1714">
            <v>0</v>
          </cell>
          <cell r="R1714">
            <v>0</v>
          </cell>
          <cell r="S1714">
            <v>1</v>
          </cell>
          <cell r="T1714">
            <v>0</v>
          </cell>
          <cell r="U1714">
            <v>0</v>
          </cell>
          <cell r="V1714">
            <v>1</v>
          </cell>
          <cell r="W1714">
            <v>1</v>
          </cell>
          <cell r="X1714">
            <v>1</v>
          </cell>
          <cell r="Y1714">
            <v>0</v>
          </cell>
        </row>
        <row r="1715">
          <cell r="D1715">
            <v>301495</v>
          </cell>
          <cell r="E1715" t="str">
            <v>Lumbang Integrated NHS</v>
          </cell>
          <cell r="F1715">
            <v>1</v>
          </cell>
          <cell r="G1715">
            <v>1</v>
          </cell>
          <cell r="H1715">
            <v>1</v>
          </cell>
          <cell r="I1715">
            <v>0</v>
          </cell>
          <cell r="J1715">
            <v>1</v>
          </cell>
          <cell r="K1715">
            <v>0</v>
          </cell>
          <cell r="L1715">
            <v>0</v>
          </cell>
          <cell r="M1715">
            <v>0</v>
          </cell>
          <cell r="N1715">
            <v>1</v>
          </cell>
          <cell r="O1715">
            <v>0</v>
          </cell>
          <cell r="P1715">
            <v>0</v>
          </cell>
          <cell r="Q1715">
            <v>1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1</v>
          </cell>
          <cell r="W1715">
            <v>0</v>
          </cell>
          <cell r="X1715">
            <v>0</v>
          </cell>
          <cell r="Y1715">
            <v>0</v>
          </cell>
        </row>
        <row r="1716">
          <cell r="D1716">
            <v>301389</v>
          </cell>
          <cell r="E1716" t="str">
            <v>Sto. Nino Ilaya NHS (Formerly San Francisco B NHS Sto. NiÃ±o Ilaya Ext.)</v>
          </cell>
          <cell r="F1716">
            <v>1</v>
          </cell>
          <cell r="G1716">
            <v>1</v>
          </cell>
          <cell r="H1716">
            <v>1</v>
          </cell>
          <cell r="I1716">
            <v>0</v>
          </cell>
          <cell r="J1716">
            <v>0</v>
          </cell>
          <cell r="K1716">
            <v>0</v>
          </cell>
          <cell r="L1716">
            <v>1</v>
          </cell>
          <cell r="M1716" t="str">
            <v>as needed arises</v>
          </cell>
          <cell r="N1716">
            <v>1</v>
          </cell>
          <cell r="O1716">
            <v>0</v>
          </cell>
          <cell r="P1716">
            <v>0</v>
          </cell>
          <cell r="Q1716">
            <v>0</v>
          </cell>
          <cell r="R1716">
            <v>1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2</v>
          </cell>
          <cell r="X1716">
            <v>0</v>
          </cell>
          <cell r="Y1716">
            <v>0</v>
          </cell>
        </row>
        <row r="1717">
          <cell r="D1717">
            <v>308104</v>
          </cell>
          <cell r="E1717" t="str">
            <v>Margarito A. Duavit MNHS</v>
          </cell>
          <cell r="F1717">
            <v>1</v>
          </cell>
          <cell r="G1717">
            <v>1</v>
          </cell>
          <cell r="H1717">
            <v>1</v>
          </cell>
          <cell r="I1717">
            <v>0</v>
          </cell>
          <cell r="J1717">
            <v>0</v>
          </cell>
          <cell r="K1717">
            <v>1</v>
          </cell>
          <cell r="L1717">
            <v>0</v>
          </cell>
          <cell r="M1717">
            <v>0</v>
          </cell>
          <cell r="N1717">
            <v>1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1</v>
          </cell>
          <cell r="W1717">
            <v>0</v>
          </cell>
          <cell r="X1717">
            <v>0</v>
          </cell>
          <cell r="Y1717">
            <v>0</v>
          </cell>
        </row>
        <row r="1718">
          <cell r="D1718">
            <v>301324</v>
          </cell>
          <cell r="E1718" t="str">
            <v>STA. CRUZ NATIONAL HIGH SCHOOL</v>
          </cell>
          <cell r="F1718">
            <v>1</v>
          </cell>
          <cell r="G1718">
            <v>1</v>
          </cell>
          <cell r="H1718">
            <v>1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 t="str">
            <v>N/A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</row>
        <row r="1719">
          <cell r="D1719">
            <v>301310</v>
          </cell>
          <cell r="E1719" t="str">
            <v>Catanauan National High School</v>
          </cell>
          <cell r="F1719">
            <v>1</v>
          </cell>
          <cell r="G1719">
            <v>1</v>
          </cell>
          <cell r="H1719">
            <v>1</v>
          </cell>
          <cell r="I1719">
            <v>0</v>
          </cell>
          <cell r="J1719">
            <v>1</v>
          </cell>
          <cell r="K1719">
            <v>0</v>
          </cell>
          <cell r="L1719">
            <v>0</v>
          </cell>
          <cell r="M1719">
            <v>0</v>
          </cell>
          <cell r="N1719">
            <v>1</v>
          </cell>
          <cell r="O1719">
            <v>0</v>
          </cell>
          <cell r="P1719">
            <v>0</v>
          </cell>
          <cell r="Q1719">
            <v>0</v>
          </cell>
          <cell r="R1719">
            <v>1</v>
          </cell>
          <cell r="S1719">
            <v>0</v>
          </cell>
          <cell r="T1719">
            <v>0</v>
          </cell>
          <cell r="U1719">
            <v>0</v>
          </cell>
          <cell r="V1719">
            <v>1</v>
          </cell>
          <cell r="W1719">
            <v>0</v>
          </cell>
          <cell r="X1719">
            <v>0</v>
          </cell>
          <cell r="Y1719">
            <v>0</v>
          </cell>
        </row>
        <row r="1720">
          <cell r="D1720">
            <v>301299</v>
          </cell>
          <cell r="E1720" t="str">
            <v>Cabay NHS</v>
          </cell>
          <cell r="F1720">
            <v>1</v>
          </cell>
          <cell r="G1720">
            <v>1</v>
          </cell>
          <cell r="H1720">
            <v>1</v>
          </cell>
          <cell r="I1720">
            <v>0</v>
          </cell>
          <cell r="J1720">
            <v>1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 t="str">
            <v>AUGUST 15,2018</v>
          </cell>
          <cell r="P1720" t="str">
            <v>NOT YET CONDUCTED</v>
          </cell>
          <cell r="Q1720">
            <v>0</v>
          </cell>
          <cell r="R1720">
            <v>1</v>
          </cell>
          <cell r="S1720">
            <v>0</v>
          </cell>
          <cell r="T1720">
            <v>0</v>
          </cell>
          <cell r="U1720">
            <v>0</v>
          </cell>
          <cell r="V1720">
            <v>1</v>
          </cell>
          <cell r="W1720">
            <v>0</v>
          </cell>
          <cell r="X1720">
            <v>0</v>
          </cell>
          <cell r="Y1720">
            <v>0</v>
          </cell>
        </row>
        <row r="1721">
          <cell r="D1721">
            <v>301342</v>
          </cell>
          <cell r="E1721" t="str">
            <v>Aloneros NHS (Formerly LBS of Fisheries Ext. - Aloneros</v>
          </cell>
          <cell r="F1721">
            <v>1</v>
          </cell>
          <cell r="G1721">
            <v>0</v>
          </cell>
          <cell r="H1721">
            <v>1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 t="str">
            <v>n/a</v>
          </cell>
          <cell r="Q1721">
            <v>0</v>
          </cell>
          <cell r="R1721">
            <v>0</v>
          </cell>
          <cell r="S1721">
            <v>0</v>
          </cell>
          <cell r="T1721">
            <v>1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</row>
        <row r="1722">
          <cell r="D1722">
            <v>301384</v>
          </cell>
          <cell r="E1722" t="str">
            <v>Sampaloc NHS, Sampaloc</v>
          </cell>
          <cell r="F1722">
            <v>1</v>
          </cell>
          <cell r="G1722">
            <v>1</v>
          </cell>
          <cell r="H1722">
            <v>0</v>
          </cell>
          <cell r="I1722">
            <v>0</v>
          </cell>
          <cell r="J1722">
            <v>1</v>
          </cell>
          <cell r="K1722">
            <v>0</v>
          </cell>
          <cell r="L1722">
            <v>0</v>
          </cell>
          <cell r="M1722">
            <v>0</v>
          </cell>
          <cell r="N1722">
            <v>1</v>
          </cell>
          <cell r="O1722">
            <v>43642</v>
          </cell>
          <cell r="P1722" t="str">
            <v>na</v>
          </cell>
          <cell r="Q1722">
            <v>0</v>
          </cell>
          <cell r="R1722">
            <v>0</v>
          </cell>
          <cell r="S1722">
            <v>1</v>
          </cell>
          <cell r="T1722">
            <v>0</v>
          </cell>
          <cell r="U1722">
            <v>0</v>
          </cell>
          <cell r="V1722">
            <v>1</v>
          </cell>
          <cell r="W1722">
            <v>1</v>
          </cell>
          <cell r="X1722">
            <v>0</v>
          </cell>
          <cell r="Y1722">
            <v>0</v>
          </cell>
        </row>
        <row r="1723">
          <cell r="D1723">
            <v>301353</v>
          </cell>
          <cell r="E1723" t="str">
            <v>Veronica NHS (Formerly Magallanes NHS Veronica Extension)</v>
          </cell>
          <cell r="F1723">
            <v>1</v>
          </cell>
          <cell r="G1723">
            <v>1</v>
          </cell>
          <cell r="H1723">
            <v>1</v>
          </cell>
          <cell r="I1723">
            <v>0</v>
          </cell>
          <cell r="J1723">
            <v>0</v>
          </cell>
          <cell r="K1723">
            <v>0</v>
          </cell>
          <cell r="L1723">
            <v>1</v>
          </cell>
          <cell r="M1723" t="str">
            <v>twice a year</v>
          </cell>
          <cell r="N1723">
            <v>1</v>
          </cell>
          <cell r="O1723">
            <v>43617</v>
          </cell>
          <cell r="P1723">
            <v>0</v>
          </cell>
          <cell r="Q1723">
            <v>0</v>
          </cell>
          <cell r="R1723">
            <v>0</v>
          </cell>
          <cell r="S1723">
            <v>1</v>
          </cell>
          <cell r="T1723">
            <v>0</v>
          </cell>
          <cell r="U1723">
            <v>0</v>
          </cell>
          <cell r="V1723">
            <v>1</v>
          </cell>
          <cell r="W1723">
            <v>0</v>
          </cell>
          <cell r="X1723">
            <v>0</v>
          </cell>
          <cell r="Y1723">
            <v>0</v>
          </cell>
        </row>
        <row r="1724">
          <cell r="D1724">
            <v>301284</v>
          </cell>
          <cell r="E1724" t="str">
            <v>Alabat Island National High School</v>
          </cell>
          <cell r="F1724">
            <v>1</v>
          </cell>
          <cell r="G1724">
            <v>1</v>
          </cell>
          <cell r="H1724">
            <v>1</v>
          </cell>
          <cell r="I1724">
            <v>0</v>
          </cell>
          <cell r="J1724">
            <v>1</v>
          </cell>
          <cell r="K1724">
            <v>0</v>
          </cell>
          <cell r="L1724">
            <v>0</v>
          </cell>
          <cell r="M1724">
            <v>0</v>
          </cell>
          <cell r="N1724">
            <v>1</v>
          </cell>
          <cell r="O1724">
            <v>43252</v>
          </cell>
          <cell r="P1724">
            <v>43282</v>
          </cell>
          <cell r="Q1724">
            <v>0</v>
          </cell>
          <cell r="R1724">
            <v>1</v>
          </cell>
          <cell r="S1724">
            <v>0</v>
          </cell>
          <cell r="T1724">
            <v>0</v>
          </cell>
          <cell r="U1724">
            <v>0</v>
          </cell>
          <cell r="V1724">
            <v>1</v>
          </cell>
          <cell r="W1724">
            <v>4</v>
          </cell>
          <cell r="X1724">
            <v>0</v>
          </cell>
          <cell r="Y1724">
            <v>0</v>
          </cell>
        </row>
        <row r="1725">
          <cell r="D1725">
            <v>301308</v>
          </cell>
          <cell r="E1725" t="str">
            <v>Canda National High School</v>
          </cell>
          <cell r="F1725">
            <v>1</v>
          </cell>
          <cell r="G1725">
            <v>1</v>
          </cell>
          <cell r="H1725">
            <v>1</v>
          </cell>
          <cell r="I1725">
            <v>0</v>
          </cell>
          <cell r="J1725">
            <v>0</v>
          </cell>
          <cell r="K1725">
            <v>0</v>
          </cell>
          <cell r="L1725">
            <v>1</v>
          </cell>
          <cell r="M1725" t="str">
            <v>As necessary</v>
          </cell>
          <cell r="N1725">
            <v>1</v>
          </cell>
          <cell r="O1725">
            <v>0</v>
          </cell>
          <cell r="P1725">
            <v>0</v>
          </cell>
          <cell r="Q1725">
            <v>0</v>
          </cell>
          <cell r="R1725">
            <v>1</v>
          </cell>
          <cell r="S1725">
            <v>0</v>
          </cell>
          <cell r="T1725">
            <v>0</v>
          </cell>
          <cell r="U1725">
            <v>0</v>
          </cell>
          <cell r="V1725">
            <v>1</v>
          </cell>
          <cell r="W1725">
            <v>0</v>
          </cell>
          <cell r="X1725">
            <v>0</v>
          </cell>
          <cell r="Y1725">
            <v>0</v>
          </cell>
        </row>
        <row r="1726">
          <cell r="D1726">
            <v>308041</v>
          </cell>
          <cell r="E1726" t="str">
            <v>Castañas NHS</v>
          </cell>
          <cell r="F1726">
            <v>1</v>
          </cell>
          <cell r="G1726">
            <v>1</v>
          </cell>
          <cell r="H1726">
            <v>1</v>
          </cell>
          <cell r="I1726">
            <v>0</v>
          </cell>
          <cell r="J1726">
            <v>0</v>
          </cell>
          <cell r="K1726">
            <v>1</v>
          </cell>
          <cell r="L1726">
            <v>0</v>
          </cell>
          <cell r="M1726">
            <v>0</v>
          </cell>
          <cell r="N1726">
            <v>1</v>
          </cell>
          <cell r="O1726" t="str">
            <v>SEPT. 01, 2019</v>
          </cell>
          <cell r="P1726" t="str">
            <v>SEPT. 01, 2019</v>
          </cell>
          <cell r="Q1726">
            <v>0</v>
          </cell>
          <cell r="R1726">
            <v>0</v>
          </cell>
          <cell r="S1726">
            <v>1</v>
          </cell>
          <cell r="T1726">
            <v>0</v>
          </cell>
          <cell r="U1726">
            <v>0</v>
          </cell>
          <cell r="V1726">
            <v>1</v>
          </cell>
          <cell r="W1726">
            <v>0</v>
          </cell>
          <cell r="X1726">
            <v>0</v>
          </cell>
          <cell r="Y1726">
            <v>0</v>
          </cell>
        </row>
        <row r="1727">
          <cell r="D1727">
            <v>308020</v>
          </cell>
          <cell r="E1727" t="str">
            <v>GOV. ANACLETO C. ALCALA NATIONAL HIGH SCHOOL</v>
          </cell>
          <cell r="F1727">
            <v>1</v>
          </cell>
          <cell r="G1727">
            <v>1</v>
          </cell>
          <cell r="H1727">
            <v>1</v>
          </cell>
          <cell r="I1727">
            <v>0</v>
          </cell>
          <cell r="J1727">
            <v>1</v>
          </cell>
          <cell r="K1727">
            <v>0</v>
          </cell>
          <cell r="L1727">
            <v>0</v>
          </cell>
          <cell r="M1727">
            <v>0</v>
          </cell>
          <cell r="N1727">
            <v>1</v>
          </cell>
          <cell r="O1727">
            <v>0</v>
          </cell>
          <cell r="P1727">
            <v>43691</v>
          </cell>
          <cell r="Q1727">
            <v>1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1</v>
          </cell>
          <cell r="W1727">
            <v>0</v>
          </cell>
          <cell r="X1727">
            <v>0</v>
          </cell>
          <cell r="Y1727">
            <v>0</v>
          </cell>
        </row>
        <row r="1728">
          <cell r="D1728">
            <v>308043</v>
          </cell>
          <cell r="E1728" t="str">
            <v>Bignay National High School</v>
          </cell>
          <cell r="F1728">
            <v>1</v>
          </cell>
          <cell r="G1728">
            <v>1</v>
          </cell>
          <cell r="H1728">
            <v>1</v>
          </cell>
          <cell r="I1728">
            <v>0</v>
          </cell>
          <cell r="J1728">
            <v>1</v>
          </cell>
          <cell r="K1728">
            <v>0</v>
          </cell>
          <cell r="L1728">
            <v>0</v>
          </cell>
          <cell r="M1728">
            <v>0</v>
          </cell>
          <cell r="N1728">
            <v>1</v>
          </cell>
          <cell r="O1728" t="str">
            <v>June 18,2019</v>
          </cell>
          <cell r="P1728" t="str">
            <v>N/A</v>
          </cell>
          <cell r="Q1728">
            <v>0</v>
          </cell>
          <cell r="R1728">
            <v>0</v>
          </cell>
          <cell r="S1728">
            <v>1</v>
          </cell>
          <cell r="T1728">
            <v>0</v>
          </cell>
          <cell r="U1728">
            <v>0</v>
          </cell>
          <cell r="V1728">
            <v>1</v>
          </cell>
          <cell r="W1728">
            <v>3</v>
          </cell>
          <cell r="X1728">
            <v>0</v>
          </cell>
          <cell r="Y1728">
            <v>0</v>
          </cell>
        </row>
        <row r="1729">
          <cell r="D1729">
            <v>301349</v>
          </cell>
          <cell r="E1729" t="str">
            <v>Lutucan Integrated National High School</v>
          </cell>
          <cell r="F1729">
            <v>1</v>
          </cell>
          <cell r="G1729">
            <v>1</v>
          </cell>
          <cell r="H1729">
            <v>1</v>
          </cell>
          <cell r="I1729">
            <v>0</v>
          </cell>
          <cell r="J1729">
            <v>0</v>
          </cell>
          <cell r="K1729">
            <v>1</v>
          </cell>
          <cell r="L1729">
            <v>0</v>
          </cell>
          <cell r="M1729">
            <v>0</v>
          </cell>
          <cell r="N1729">
            <v>1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1</v>
          </cell>
          <cell r="W1729">
            <v>0</v>
          </cell>
          <cell r="X1729">
            <v>0</v>
          </cell>
          <cell r="Y1729">
            <v>0</v>
          </cell>
        </row>
        <row r="1730">
          <cell r="D1730">
            <v>301412</v>
          </cell>
          <cell r="E1730" t="str">
            <v>Ungos  Integrated NHS</v>
          </cell>
          <cell r="F1730">
            <v>1</v>
          </cell>
          <cell r="G1730">
            <v>1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1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</row>
        <row r="1731">
          <cell r="D1731">
            <v>301401</v>
          </cell>
          <cell r="E1731" t="str">
            <v>San Roque NHS, Catanauan</v>
          </cell>
          <cell r="F1731">
            <v>1</v>
          </cell>
          <cell r="G1731">
            <v>1</v>
          </cell>
          <cell r="H1731">
            <v>1</v>
          </cell>
          <cell r="I1731">
            <v>0</v>
          </cell>
          <cell r="J1731">
            <v>0</v>
          </cell>
          <cell r="K1731">
            <v>1</v>
          </cell>
          <cell r="L1731">
            <v>0</v>
          </cell>
          <cell r="M1731">
            <v>0</v>
          </cell>
          <cell r="N1731">
            <v>1</v>
          </cell>
          <cell r="O1731" t="str">
            <v>JUNE 21, 2019</v>
          </cell>
          <cell r="P1731" t="str">
            <v>N/A</v>
          </cell>
          <cell r="Q1731">
            <v>0</v>
          </cell>
          <cell r="R1731">
            <v>0</v>
          </cell>
          <cell r="S1731">
            <v>0</v>
          </cell>
          <cell r="T1731">
            <v>1</v>
          </cell>
          <cell r="U1731" t="str">
            <v>N/A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</row>
        <row r="1732">
          <cell r="D1732">
            <v>301316</v>
          </cell>
          <cell r="E1732" t="str">
            <v>Concepcion National High School</v>
          </cell>
          <cell r="F1732">
            <v>1</v>
          </cell>
          <cell r="G1732">
            <v>1</v>
          </cell>
          <cell r="H1732">
            <v>1</v>
          </cell>
          <cell r="I1732">
            <v>0</v>
          </cell>
          <cell r="J1732">
            <v>0</v>
          </cell>
          <cell r="K1732">
            <v>1</v>
          </cell>
          <cell r="L1732">
            <v>0</v>
          </cell>
          <cell r="M1732">
            <v>0</v>
          </cell>
          <cell r="N1732">
            <v>1</v>
          </cell>
          <cell r="O1732">
            <v>0</v>
          </cell>
          <cell r="P1732">
            <v>0</v>
          </cell>
          <cell r="Q1732">
            <v>1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</row>
        <row r="1733">
          <cell r="D1733">
            <v>301280</v>
          </cell>
          <cell r="E1733" t="str">
            <v>Abuyon NHS</v>
          </cell>
          <cell r="F1733">
            <v>1</v>
          </cell>
          <cell r="G1733">
            <v>1</v>
          </cell>
          <cell r="H1733">
            <v>1</v>
          </cell>
          <cell r="I1733">
            <v>0</v>
          </cell>
          <cell r="J1733">
            <v>0</v>
          </cell>
          <cell r="K1733">
            <v>0</v>
          </cell>
          <cell r="L1733">
            <v>1</v>
          </cell>
          <cell r="M1733">
            <v>0</v>
          </cell>
          <cell r="N1733">
            <v>1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1</v>
          </cell>
          <cell r="U1733" t="str">
            <v>N/A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</row>
        <row r="1734">
          <cell r="D1734">
            <v>308504</v>
          </cell>
          <cell r="E1734" t="str">
            <v>Ibabang Talim Integrated High School</v>
          </cell>
          <cell r="F1734">
            <v>1</v>
          </cell>
          <cell r="G1734">
            <v>1</v>
          </cell>
          <cell r="H1734">
            <v>1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1</v>
          </cell>
          <cell r="O1734">
            <v>0</v>
          </cell>
          <cell r="P1734">
            <v>43740</v>
          </cell>
          <cell r="Q1734">
            <v>0</v>
          </cell>
          <cell r="R1734">
            <v>0</v>
          </cell>
          <cell r="S1734">
            <v>0</v>
          </cell>
          <cell r="T1734">
            <v>1</v>
          </cell>
          <cell r="U1734" t="str">
            <v>weekly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</row>
        <row r="1735">
          <cell r="D1735">
            <v>308025</v>
          </cell>
          <cell r="E1735" t="str">
            <v>San Jose NHS (Formerly Tagbacan Ilaya Integ. Sec. Ext. Classes)</v>
          </cell>
          <cell r="F1735">
            <v>1</v>
          </cell>
          <cell r="G1735">
            <v>1</v>
          </cell>
          <cell r="H1735">
            <v>1</v>
          </cell>
          <cell r="I1735">
            <v>0</v>
          </cell>
          <cell r="J1735">
            <v>1</v>
          </cell>
          <cell r="K1735">
            <v>0</v>
          </cell>
          <cell r="L1735">
            <v>0</v>
          </cell>
          <cell r="M1735">
            <v>0</v>
          </cell>
          <cell r="N1735">
            <v>1</v>
          </cell>
          <cell r="O1735" t="str">
            <v>JUNE 7, 2019</v>
          </cell>
          <cell r="P1735" t="str">
            <v>JULY 10, 2019</v>
          </cell>
          <cell r="Q1735">
            <v>1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1</v>
          </cell>
          <cell r="W1735">
            <v>0</v>
          </cell>
          <cell r="X1735">
            <v>0</v>
          </cell>
          <cell r="Y1735">
            <v>0</v>
          </cell>
        </row>
        <row r="1736">
          <cell r="D1736">
            <v>301305</v>
          </cell>
          <cell r="E1736" t="str">
            <v>Callejon NHS</v>
          </cell>
          <cell r="F1736">
            <v>1</v>
          </cell>
          <cell r="G1736">
            <v>1</v>
          </cell>
          <cell r="H1736">
            <v>1</v>
          </cell>
          <cell r="I1736">
            <v>0</v>
          </cell>
          <cell r="J1736">
            <v>1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43635</v>
          </cell>
          <cell r="P1736">
            <v>43647</v>
          </cell>
          <cell r="Q1736">
            <v>1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1</v>
          </cell>
          <cell r="W1736">
            <v>4</v>
          </cell>
          <cell r="X1736">
            <v>4</v>
          </cell>
          <cell r="Y1736">
            <v>4</v>
          </cell>
        </row>
        <row r="1737">
          <cell r="D1737">
            <v>301230</v>
          </cell>
          <cell r="E1737" t="str">
            <v>BiÃ±an National High School</v>
          </cell>
          <cell r="F1737">
            <v>1</v>
          </cell>
          <cell r="G1737">
            <v>1</v>
          </cell>
          <cell r="H1737">
            <v>1</v>
          </cell>
          <cell r="I1737">
            <v>0</v>
          </cell>
          <cell r="J1737">
            <v>0</v>
          </cell>
          <cell r="K1737">
            <v>1</v>
          </cell>
          <cell r="L1737">
            <v>0</v>
          </cell>
          <cell r="M1737">
            <v>0</v>
          </cell>
          <cell r="N1737">
            <v>1</v>
          </cell>
          <cell r="O1737" t="str">
            <v>03/06/2019</v>
          </cell>
          <cell r="P1737" t="str">
            <v>06/03/2019</v>
          </cell>
          <cell r="Q1737">
            <v>0</v>
          </cell>
          <cell r="R1737">
            <v>0</v>
          </cell>
          <cell r="S1737">
            <v>0</v>
          </cell>
          <cell r="T1737">
            <v>1</v>
          </cell>
          <cell r="U1737">
            <v>0</v>
          </cell>
          <cell r="V1737">
            <v>1</v>
          </cell>
          <cell r="W1737">
            <v>2</v>
          </cell>
          <cell r="X1737">
            <v>1</v>
          </cell>
          <cell r="Y1737">
            <v>0</v>
          </cell>
        </row>
        <row r="1738">
          <cell r="D1738">
            <v>301325</v>
          </cell>
          <cell r="E1738" t="str">
            <v>Gumaca National High School</v>
          </cell>
          <cell r="F1738">
            <v>1</v>
          </cell>
          <cell r="G1738">
            <v>1</v>
          </cell>
          <cell r="H1738">
            <v>1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1</v>
          </cell>
          <cell r="X1738">
            <v>0</v>
          </cell>
          <cell r="Y1738">
            <v>0</v>
          </cell>
        </row>
        <row r="1739">
          <cell r="D1739">
            <v>301365</v>
          </cell>
          <cell r="E1739" t="str">
            <v>JOEL B. ARQUIZA NHS</v>
          </cell>
          <cell r="F1739">
            <v>1</v>
          </cell>
          <cell r="G1739">
            <v>0</v>
          </cell>
          <cell r="H1739">
            <v>1</v>
          </cell>
          <cell r="I1739">
            <v>0</v>
          </cell>
          <cell r="J1739">
            <v>1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43652</v>
          </cell>
          <cell r="Q1739">
            <v>0</v>
          </cell>
          <cell r="R1739">
            <v>0</v>
          </cell>
          <cell r="S1739">
            <v>0</v>
          </cell>
          <cell r="T1739">
            <v>1</v>
          </cell>
          <cell r="U1739" t="str">
            <v>Opening of Classes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</row>
        <row r="1740">
          <cell r="D1740">
            <v>301385</v>
          </cell>
          <cell r="E1740" t="str">
            <v>San Antonio NHS</v>
          </cell>
          <cell r="F1740">
            <v>1</v>
          </cell>
          <cell r="G1740">
            <v>1</v>
          </cell>
          <cell r="H1740">
            <v>1</v>
          </cell>
          <cell r="I1740">
            <v>0</v>
          </cell>
          <cell r="J1740">
            <v>0</v>
          </cell>
          <cell r="K1740">
            <v>1</v>
          </cell>
          <cell r="L1740">
            <v>0</v>
          </cell>
          <cell r="M1740">
            <v>0</v>
          </cell>
          <cell r="N1740">
            <v>1</v>
          </cell>
          <cell r="O1740" t="str">
            <v>August 15, 2019</v>
          </cell>
          <cell r="P1740" t="str">
            <v>n/a</v>
          </cell>
          <cell r="Q1740">
            <v>0</v>
          </cell>
          <cell r="R1740">
            <v>1</v>
          </cell>
          <cell r="S1740">
            <v>0</v>
          </cell>
          <cell r="T1740">
            <v>0</v>
          </cell>
          <cell r="U1740">
            <v>0</v>
          </cell>
          <cell r="V1740">
            <v>1</v>
          </cell>
          <cell r="W1740">
            <v>0</v>
          </cell>
          <cell r="X1740">
            <v>0</v>
          </cell>
          <cell r="Y1740">
            <v>0</v>
          </cell>
        </row>
        <row r="1741">
          <cell r="D1741">
            <v>308026</v>
          </cell>
          <cell r="E1741" t="str">
            <v>Lubayat National High School (Formerly Ungos NHS - Lubayat Extension Class)</v>
          </cell>
          <cell r="F1741">
            <v>1</v>
          </cell>
          <cell r="G1741">
            <v>1</v>
          </cell>
          <cell r="H1741">
            <v>0</v>
          </cell>
          <cell r="I1741">
            <v>0</v>
          </cell>
          <cell r="J1741">
            <v>1</v>
          </cell>
          <cell r="K1741">
            <v>0</v>
          </cell>
          <cell r="L1741">
            <v>0</v>
          </cell>
          <cell r="M1741">
            <v>0</v>
          </cell>
          <cell r="N1741">
            <v>1</v>
          </cell>
          <cell r="O1741" t="str">
            <v>03/20/2019</v>
          </cell>
          <cell r="P1741" t="str">
            <v>03/20/2019</v>
          </cell>
          <cell r="Q1741">
            <v>0</v>
          </cell>
          <cell r="R1741">
            <v>1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2</v>
          </cell>
          <cell r="X1741">
            <v>0</v>
          </cell>
          <cell r="Y1741">
            <v>0</v>
          </cell>
        </row>
        <row r="1742">
          <cell r="D1742">
            <v>301361</v>
          </cell>
          <cell r="E1742" t="str">
            <v>Paaralang Sek. Ng Hen. Nakar</v>
          </cell>
          <cell r="F1742">
            <v>0</v>
          </cell>
          <cell r="G1742">
            <v>0</v>
          </cell>
          <cell r="H1742">
            <v>1</v>
          </cell>
          <cell r="I1742">
            <v>0</v>
          </cell>
          <cell r="J1742">
            <v>0</v>
          </cell>
          <cell r="K1742">
            <v>1</v>
          </cell>
          <cell r="L1742">
            <v>0</v>
          </cell>
          <cell r="M1742">
            <v>0</v>
          </cell>
          <cell r="N1742">
            <v>1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1</v>
          </cell>
          <cell r="T1742">
            <v>0</v>
          </cell>
          <cell r="U1742">
            <v>0</v>
          </cell>
          <cell r="V1742">
            <v>1</v>
          </cell>
          <cell r="W1742">
            <v>3</v>
          </cell>
          <cell r="X1742">
            <v>3</v>
          </cell>
          <cell r="Y1742">
            <v>0</v>
          </cell>
        </row>
        <row r="1743">
          <cell r="D1743">
            <v>301390</v>
          </cell>
          <cell r="E1743" t="str">
            <v>Marcial B. Villanueva NHS (Formerly San Francisco NHS, San Francisco)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43677</v>
          </cell>
          <cell r="P1743">
            <v>43677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</row>
        <row r="1744">
          <cell r="D1744">
            <v>342175</v>
          </cell>
          <cell r="E1744" t="str">
            <v>Antipolo City SHS</v>
          </cell>
          <cell r="F1744">
            <v>1</v>
          </cell>
          <cell r="G1744">
            <v>1</v>
          </cell>
          <cell r="H1744">
            <v>1</v>
          </cell>
          <cell r="I1744">
            <v>0</v>
          </cell>
          <cell r="J1744">
            <v>0</v>
          </cell>
          <cell r="K1744">
            <v>1</v>
          </cell>
          <cell r="L1744">
            <v>0</v>
          </cell>
          <cell r="M1744">
            <v>0</v>
          </cell>
          <cell r="N1744">
            <v>1</v>
          </cell>
          <cell r="O1744">
            <v>0</v>
          </cell>
          <cell r="P1744">
            <v>0</v>
          </cell>
          <cell r="Q1744">
            <v>0</v>
          </cell>
          <cell r="R1744">
            <v>1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1</v>
          </cell>
          <cell r="X1744">
            <v>0</v>
          </cell>
          <cell r="Y1744">
            <v>0</v>
          </cell>
        </row>
        <row r="1745">
          <cell r="D1745">
            <v>301405</v>
          </cell>
          <cell r="E1745" t="str">
            <v>Tabason NHS</v>
          </cell>
          <cell r="F1745">
            <v>1</v>
          </cell>
          <cell r="G1745">
            <v>0</v>
          </cell>
          <cell r="H1745">
            <v>1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1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</row>
        <row r="1746">
          <cell r="D1746">
            <v>301330</v>
          </cell>
          <cell r="E1746" t="str">
            <v>PAKIING NATIONAL HIGH SCHOOL</v>
          </cell>
          <cell r="F1746">
            <v>0</v>
          </cell>
          <cell r="G1746">
            <v>0</v>
          </cell>
          <cell r="H1746">
            <v>1</v>
          </cell>
          <cell r="I1746">
            <v>0</v>
          </cell>
          <cell r="J1746">
            <v>1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1</v>
          </cell>
          <cell r="S1746">
            <v>0</v>
          </cell>
          <cell r="T1746">
            <v>0</v>
          </cell>
          <cell r="U1746">
            <v>0</v>
          </cell>
          <cell r="V1746">
            <v>1</v>
          </cell>
          <cell r="W1746">
            <v>0</v>
          </cell>
          <cell r="X1746">
            <v>0</v>
          </cell>
          <cell r="Y1746">
            <v>0</v>
          </cell>
        </row>
        <row r="1747">
          <cell r="D1747">
            <v>301336</v>
          </cell>
          <cell r="E1747" t="str">
            <v>Katimo NHS</v>
          </cell>
          <cell r="F1747">
            <v>1</v>
          </cell>
          <cell r="G1747">
            <v>1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1</v>
          </cell>
          <cell r="U1747" t="str">
            <v>n/a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</row>
        <row r="1748">
          <cell r="D1748">
            <v>308034</v>
          </cell>
          <cell r="E1748" t="str">
            <v>Butanguiad NHS</v>
          </cell>
          <cell r="F1748">
            <v>1</v>
          </cell>
          <cell r="G1748">
            <v>1</v>
          </cell>
          <cell r="H1748">
            <v>1</v>
          </cell>
          <cell r="I1748">
            <v>1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1</v>
          </cell>
          <cell r="O1748" t="str">
            <v>July 17, 2019</v>
          </cell>
          <cell r="P1748" t="str">
            <v>July 17, 2019</v>
          </cell>
          <cell r="Q1748">
            <v>1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1</v>
          </cell>
          <cell r="W1748">
            <v>0</v>
          </cell>
          <cell r="X1748">
            <v>0</v>
          </cell>
          <cell r="Y1748">
            <v>0</v>
          </cell>
        </row>
        <row r="1749">
          <cell r="D1749">
            <v>301502</v>
          </cell>
          <cell r="E1749" t="str">
            <v>Quezon National High School</v>
          </cell>
          <cell r="F1749">
            <v>1</v>
          </cell>
          <cell r="G1749">
            <v>1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</row>
        <row r="1750">
          <cell r="D1750">
            <v>301345</v>
          </cell>
          <cell r="E1750" t="str">
            <v>Lopez National Comprehensive High School</v>
          </cell>
          <cell r="F1750">
            <v>1</v>
          </cell>
          <cell r="G1750">
            <v>1</v>
          </cell>
          <cell r="H1750">
            <v>1</v>
          </cell>
          <cell r="I1750">
            <v>0</v>
          </cell>
          <cell r="J1750">
            <v>1</v>
          </cell>
          <cell r="K1750">
            <v>0</v>
          </cell>
          <cell r="L1750">
            <v>0</v>
          </cell>
          <cell r="M1750">
            <v>0</v>
          </cell>
          <cell r="N1750">
            <v>1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</row>
        <row r="1751">
          <cell r="D1751">
            <v>301340</v>
          </cell>
          <cell r="E1751" t="str">
            <v>Lamon Bay SOF - Main Gumaca</v>
          </cell>
          <cell r="F1751">
            <v>1</v>
          </cell>
          <cell r="G1751">
            <v>1</v>
          </cell>
          <cell r="H1751">
            <v>0</v>
          </cell>
          <cell r="I1751">
            <v>0</v>
          </cell>
          <cell r="J1751">
            <v>1</v>
          </cell>
          <cell r="K1751">
            <v>0</v>
          </cell>
          <cell r="L1751">
            <v>0</v>
          </cell>
          <cell r="M1751">
            <v>0</v>
          </cell>
          <cell r="N1751">
            <v>1</v>
          </cell>
          <cell r="O1751">
            <v>43647</v>
          </cell>
          <cell r="P1751">
            <v>0</v>
          </cell>
          <cell r="Q1751">
            <v>0</v>
          </cell>
          <cell r="R1751">
            <v>1</v>
          </cell>
          <cell r="S1751">
            <v>0</v>
          </cell>
          <cell r="T1751">
            <v>0</v>
          </cell>
          <cell r="U1751">
            <v>0</v>
          </cell>
          <cell r="V1751">
            <v>1</v>
          </cell>
          <cell r="W1751">
            <v>0</v>
          </cell>
          <cell r="X1751">
            <v>0</v>
          </cell>
          <cell r="Y1751">
            <v>0</v>
          </cell>
        </row>
        <row r="1752">
          <cell r="D1752">
            <v>308012</v>
          </cell>
          <cell r="E1752" t="str">
            <v>Gloria Umali Integrated NHS</v>
          </cell>
          <cell r="F1752">
            <v>1</v>
          </cell>
          <cell r="G1752">
            <v>1</v>
          </cell>
          <cell r="H1752">
            <v>1</v>
          </cell>
          <cell r="I1752">
            <v>0</v>
          </cell>
          <cell r="J1752">
            <v>1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1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1</v>
          </cell>
          <cell r="W1752">
            <v>0</v>
          </cell>
          <cell r="X1752">
            <v>0</v>
          </cell>
          <cell r="Y1752">
            <v>0</v>
          </cell>
        </row>
        <row r="1753">
          <cell r="D1753">
            <v>301320</v>
          </cell>
          <cell r="E1753" t="str">
            <v>Dungawan NHS</v>
          </cell>
          <cell r="F1753">
            <v>1</v>
          </cell>
          <cell r="G1753">
            <v>1</v>
          </cell>
          <cell r="H1753">
            <v>1</v>
          </cell>
          <cell r="I1753">
            <v>0</v>
          </cell>
          <cell r="J1753">
            <v>0</v>
          </cell>
          <cell r="K1753">
            <v>1</v>
          </cell>
          <cell r="L1753">
            <v>0</v>
          </cell>
          <cell r="M1753">
            <v>0</v>
          </cell>
          <cell r="N1753">
            <v>1</v>
          </cell>
          <cell r="O1753">
            <v>43617</v>
          </cell>
          <cell r="P1753">
            <v>0</v>
          </cell>
          <cell r="Q1753">
            <v>0</v>
          </cell>
          <cell r="R1753">
            <v>0</v>
          </cell>
          <cell r="S1753">
            <v>1</v>
          </cell>
          <cell r="T1753">
            <v>0</v>
          </cell>
          <cell r="U1753">
            <v>0</v>
          </cell>
          <cell r="V1753">
            <v>1</v>
          </cell>
          <cell r="W1753">
            <v>0</v>
          </cell>
          <cell r="X1753">
            <v>0</v>
          </cell>
          <cell r="Y1753">
            <v>0</v>
          </cell>
        </row>
        <row r="1754">
          <cell r="D1754">
            <v>301386</v>
          </cell>
          <cell r="E1754" t="str">
            <v>San Francisco B NHS</v>
          </cell>
          <cell r="F1754">
            <v>0</v>
          </cell>
          <cell r="G1754">
            <v>0</v>
          </cell>
          <cell r="H1754">
            <v>1</v>
          </cell>
          <cell r="I1754">
            <v>0</v>
          </cell>
          <cell r="J1754">
            <v>1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43665</v>
          </cell>
          <cell r="P1754">
            <v>0</v>
          </cell>
          <cell r="Q1754">
            <v>0</v>
          </cell>
          <cell r="R1754">
            <v>0</v>
          </cell>
          <cell r="S1754">
            <v>1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</row>
        <row r="1755">
          <cell r="D1755">
            <v>308008</v>
          </cell>
          <cell r="E1755" t="str">
            <v>Maligaya NHS</v>
          </cell>
          <cell r="F1755">
            <v>1</v>
          </cell>
          <cell r="G1755">
            <v>0</v>
          </cell>
          <cell r="H1755">
            <v>1</v>
          </cell>
          <cell r="I1755">
            <v>0</v>
          </cell>
          <cell r="J1755">
            <v>1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</row>
        <row r="1756">
          <cell r="D1756">
            <v>301359</v>
          </cell>
          <cell r="E1756" t="str">
            <v>Nabangka NHS</v>
          </cell>
          <cell r="F1756">
            <v>1</v>
          </cell>
          <cell r="G1756">
            <v>1</v>
          </cell>
          <cell r="H1756">
            <v>1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 t="str">
            <v>8/18/2018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</row>
        <row r="1757">
          <cell r="D1757">
            <v>301387</v>
          </cell>
          <cell r="E1757" t="str">
            <v>Ilayang Ilog-A NHS (Formerly San Francisco B NHS Ilayang Ilog A Ext.)</v>
          </cell>
          <cell r="F1757">
            <v>1</v>
          </cell>
          <cell r="G1757">
            <v>1</v>
          </cell>
          <cell r="H1757">
            <v>1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1</v>
          </cell>
          <cell r="O1757" t="str">
            <v xml:space="preserve"> JULY 19, 2019</v>
          </cell>
          <cell r="P1757">
            <v>43665</v>
          </cell>
          <cell r="Q1757">
            <v>0</v>
          </cell>
          <cell r="R1757">
            <v>1</v>
          </cell>
          <cell r="S1757">
            <v>0</v>
          </cell>
          <cell r="T1757">
            <v>0</v>
          </cell>
          <cell r="U1757">
            <v>0</v>
          </cell>
          <cell r="V1757">
            <v>1</v>
          </cell>
          <cell r="W1757">
            <v>0</v>
          </cell>
          <cell r="X1757">
            <v>0</v>
          </cell>
          <cell r="Y1757">
            <v>0</v>
          </cell>
        </row>
        <row r="1758">
          <cell r="D1758">
            <v>301388</v>
          </cell>
          <cell r="E1758" t="str">
            <v>Dao National High School (Formerly San Francisco B NHS - San Miguel Dao II Ext.)</v>
          </cell>
          <cell r="F1758">
            <v>1</v>
          </cell>
          <cell r="G1758">
            <v>1</v>
          </cell>
          <cell r="H1758">
            <v>1</v>
          </cell>
          <cell r="I1758">
            <v>0</v>
          </cell>
          <cell r="J1758">
            <v>1</v>
          </cell>
          <cell r="K1758">
            <v>0</v>
          </cell>
          <cell r="L1758">
            <v>0</v>
          </cell>
          <cell r="M1758">
            <v>0</v>
          </cell>
          <cell r="N1758">
            <v>1</v>
          </cell>
          <cell r="O1758" t="str">
            <v>July 9, 2019</v>
          </cell>
          <cell r="P1758" t="str">
            <v>July 9, 2019</v>
          </cell>
          <cell r="Q1758">
            <v>0</v>
          </cell>
          <cell r="R1758">
            <v>1</v>
          </cell>
          <cell r="S1758">
            <v>0</v>
          </cell>
          <cell r="T1758">
            <v>0</v>
          </cell>
          <cell r="U1758">
            <v>0</v>
          </cell>
          <cell r="V1758">
            <v>1</v>
          </cell>
          <cell r="W1758">
            <v>0</v>
          </cell>
          <cell r="X1758">
            <v>0</v>
          </cell>
          <cell r="Y1758">
            <v>0</v>
          </cell>
        </row>
        <row r="1759">
          <cell r="D1759">
            <v>301328</v>
          </cell>
          <cell r="E1759" t="str">
            <v>Guites NHS</v>
          </cell>
          <cell r="F1759">
            <v>1</v>
          </cell>
          <cell r="G1759">
            <v>1</v>
          </cell>
          <cell r="H1759">
            <v>1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1</v>
          </cell>
          <cell r="O1759" t="str">
            <v>July 10, 2019</v>
          </cell>
          <cell r="P1759" t="str">
            <v>July 10, 2019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1</v>
          </cell>
          <cell r="W1759">
            <v>0</v>
          </cell>
          <cell r="X1759">
            <v>0</v>
          </cell>
          <cell r="Y1759">
            <v>0</v>
          </cell>
        </row>
        <row r="1760">
          <cell r="D1760">
            <v>301288</v>
          </cell>
          <cell r="E1760" t="str">
            <v>Bagupaye NHS</v>
          </cell>
          <cell r="F1760">
            <v>1</v>
          </cell>
          <cell r="G1760">
            <v>0</v>
          </cell>
          <cell r="H1760">
            <v>1</v>
          </cell>
          <cell r="I1760">
            <v>0</v>
          </cell>
          <cell r="J1760">
            <v>0</v>
          </cell>
          <cell r="K1760">
            <v>1</v>
          </cell>
          <cell r="L1760">
            <v>0</v>
          </cell>
          <cell r="M1760">
            <v>0</v>
          </cell>
          <cell r="N1760">
            <v>1</v>
          </cell>
          <cell r="O1760">
            <v>43671</v>
          </cell>
          <cell r="P1760">
            <v>43677</v>
          </cell>
          <cell r="Q1760">
            <v>1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1</v>
          </cell>
          <cell r="W1760">
            <v>0</v>
          </cell>
          <cell r="X1760">
            <v>0</v>
          </cell>
          <cell r="Y1760">
            <v>0</v>
          </cell>
        </row>
        <row r="1761">
          <cell r="D1761">
            <v>301224</v>
          </cell>
          <cell r="E1761" t="str">
            <v>Aplaya NHS</v>
          </cell>
          <cell r="F1761">
            <v>1</v>
          </cell>
          <cell r="G1761">
            <v>1</v>
          </cell>
          <cell r="H1761">
            <v>1</v>
          </cell>
          <cell r="I1761">
            <v>0</v>
          </cell>
          <cell r="J1761">
            <v>1</v>
          </cell>
          <cell r="K1761">
            <v>0</v>
          </cell>
          <cell r="L1761">
            <v>0</v>
          </cell>
          <cell r="M1761">
            <v>0</v>
          </cell>
          <cell r="N1761">
            <v>1</v>
          </cell>
          <cell r="O1761">
            <v>43634</v>
          </cell>
          <cell r="P1761">
            <v>43482</v>
          </cell>
          <cell r="Q1761">
            <v>0</v>
          </cell>
          <cell r="R1761">
            <v>1</v>
          </cell>
          <cell r="S1761">
            <v>0</v>
          </cell>
          <cell r="T1761">
            <v>0</v>
          </cell>
          <cell r="U1761">
            <v>0</v>
          </cell>
          <cell r="V1761">
            <v>1</v>
          </cell>
          <cell r="W1761">
            <v>4</v>
          </cell>
          <cell r="X1761">
            <v>20</v>
          </cell>
          <cell r="Y1761">
            <v>0</v>
          </cell>
        </row>
        <row r="1762">
          <cell r="D1762">
            <v>301291</v>
          </cell>
          <cell r="E1762" t="str">
            <v>Bantulinao Integrated School</v>
          </cell>
          <cell r="F1762">
            <v>1</v>
          </cell>
          <cell r="G1762">
            <v>1</v>
          </cell>
          <cell r="H1762">
            <v>1</v>
          </cell>
          <cell r="I1762">
            <v>0</v>
          </cell>
          <cell r="J1762">
            <v>1</v>
          </cell>
          <cell r="K1762">
            <v>0</v>
          </cell>
          <cell r="L1762">
            <v>0</v>
          </cell>
          <cell r="M1762">
            <v>0</v>
          </cell>
          <cell r="N1762">
            <v>1</v>
          </cell>
          <cell r="O1762">
            <v>0</v>
          </cell>
          <cell r="P1762" t="str">
            <v>06/14/2019</v>
          </cell>
          <cell r="Q1762">
            <v>0</v>
          </cell>
          <cell r="R1762">
            <v>1</v>
          </cell>
          <cell r="S1762">
            <v>0</v>
          </cell>
          <cell r="T1762">
            <v>0</v>
          </cell>
          <cell r="U1762">
            <v>0</v>
          </cell>
          <cell r="V1762">
            <v>1</v>
          </cell>
          <cell r="W1762">
            <v>0</v>
          </cell>
          <cell r="X1762">
            <v>0</v>
          </cell>
          <cell r="Y1762">
            <v>2</v>
          </cell>
        </row>
        <row r="1763">
          <cell r="D1763">
            <v>308042</v>
          </cell>
          <cell r="E1763" t="str">
            <v>Jongo National High School</v>
          </cell>
          <cell r="F1763">
            <v>1</v>
          </cell>
          <cell r="G1763">
            <v>1</v>
          </cell>
          <cell r="H1763">
            <v>1</v>
          </cell>
          <cell r="I1763">
            <v>0</v>
          </cell>
          <cell r="J1763">
            <v>1</v>
          </cell>
          <cell r="K1763">
            <v>0</v>
          </cell>
          <cell r="L1763">
            <v>0</v>
          </cell>
          <cell r="M1763">
            <v>0</v>
          </cell>
          <cell r="N1763">
            <v>1</v>
          </cell>
          <cell r="O1763">
            <v>0</v>
          </cell>
          <cell r="P1763" t="str">
            <v>06-24-2019</v>
          </cell>
          <cell r="Q1763">
            <v>0</v>
          </cell>
          <cell r="R1763">
            <v>1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1</v>
          </cell>
          <cell r="X1763">
            <v>0</v>
          </cell>
          <cell r="Y1763">
            <v>0</v>
          </cell>
        </row>
        <row r="1764">
          <cell r="D1764">
            <v>308031</v>
          </cell>
          <cell r="E1764" t="str">
            <v>White Cliff NHS</v>
          </cell>
          <cell r="F1764">
            <v>1</v>
          </cell>
          <cell r="G1764">
            <v>1</v>
          </cell>
          <cell r="H1764">
            <v>1</v>
          </cell>
          <cell r="I1764">
            <v>0</v>
          </cell>
          <cell r="J1764">
            <v>1</v>
          </cell>
          <cell r="K1764">
            <v>0</v>
          </cell>
          <cell r="L1764">
            <v>0</v>
          </cell>
          <cell r="M1764">
            <v>0</v>
          </cell>
          <cell r="N1764">
            <v>1</v>
          </cell>
          <cell r="O1764" t="str">
            <v>AUGUST 5, 2019</v>
          </cell>
          <cell r="P1764" t="str">
            <v>AUGUST 16, 2019</v>
          </cell>
          <cell r="Q1764">
            <v>1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1</v>
          </cell>
          <cell r="W1764">
            <v>0</v>
          </cell>
          <cell r="X1764">
            <v>0</v>
          </cell>
          <cell r="Y1764">
            <v>0</v>
          </cell>
        </row>
        <row r="1765">
          <cell r="D1765">
            <v>301319</v>
          </cell>
          <cell r="E1765" t="str">
            <v>Dr. Maria D. Pastrana National  High School</v>
          </cell>
          <cell r="F1765">
            <v>1</v>
          </cell>
          <cell r="G1765">
            <v>1</v>
          </cell>
          <cell r="H1765">
            <v>1</v>
          </cell>
          <cell r="I1765">
            <v>0</v>
          </cell>
          <cell r="J1765">
            <v>1</v>
          </cell>
          <cell r="K1765">
            <v>0</v>
          </cell>
          <cell r="L1765">
            <v>0</v>
          </cell>
          <cell r="M1765">
            <v>0</v>
          </cell>
          <cell r="N1765">
            <v>1</v>
          </cell>
          <cell r="O1765">
            <v>0</v>
          </cell>
          <cell r="P1765" t="str">
            <v>N/A</v>
          </cell>
          <cell r="Q1765">
            <v>0</v>
          </cell>
          <cell r="R1765">
            <v>0</v>
          </cell>
          <cell r="S1765">
            <v>1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</row>
        <row r="1766">
          <cell r="D1766">
            <v>301329</v>
          </cell>
          <cell r="E1766" t="str">
            <v>Ilayang Yuni NHS</v>
          </cell>
          <cell r="F1766">
            <v>1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</row>
        <row r="1767">
          <cell r="D1767">
            <v>301289</v>
          </cell>
          <cell r="E1767" t="str">
            <v>Bamban National High School</v>
          </cell>
          <cell r="F1767">
            <v>1</v>
          </cell>
          <cell r="G1767">
            <v>0</v>
          </cell>
          <cell r="H1767">
            <v>1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</row>
        <row r="1768">
          <cell r="D1768">
            <v>301352</v>
          </cell>
          <cell r="E1768" t="str">
            <v>Pisipis NHS (Formerly Magallanes NHS Pisipis Extension)</v>
          </cell>
          <cell r="F1768">
            <v>1</v>
          </cell>
          <cell r="G1768">
            <v>1</v>
          </cell>
          <cell r="H1768">
            <v>0</v>
          </cell>
          <cell r="I1768">
            <v>0</v>
          </cell>
          <cell r="J1768">
            <v>1</v>
          </cell>
          <cell r="K1768">
            <v>0</v>
          </cell>
          <cell r="L1768">
            <v>0</v>
          </cell>
          <cell r="M1768">
            <v>0</v>
          </cell>
          <cell r="N1768">
            <v>1</v>
          </cell>
          <cell r="O1768">
            <v>43619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</row>
        <row r="1769">
          <cell r="D1769">
            <v>308019</v>
          </cell>
          <cell r="E1769" t="str">
            <v>Dr. Panfilo Castro NHS (Formerly Bukal Sur NHS-Mangilag Annex)</v>
          </cell>
          <cell r="F1769">
            <v>1</v>
          </cell>
          <cell r="G1769">
            <v>0</v>
          </cell>
          <cell r="H1769">
            <v>1</v>
          </cell>
          <cell r="I1769">
            <v>0</v>
          </cell>
          <cell r="J1769">
            <v>0</v>
          </cell>
          <cell r="K1769">
            <v>1</v>
          </cell>
          <cell r="L1769">
            <v>0</v>
          </cell>
          <cell r="M1769">
            <v>0</v>
          </cell>
          <cell r="N1769">
            <v>1</v>
          </cell>
          <cell r="O1769">
            <v>0</v>
          </cell>
          <cell r="P1769" t="str">
            <v>N/A</v>
          </cell>
          <cell r="Q1769">
            <v>0</v>
          </cell>
          <cell r="R1769">
            <v>0</v>
          </cell>
          <cell r="S1769">
            <v>0</v>
          </cell>
          <cell r="T1769">
            <v>1</v>
          </cell>
          <cell r="U1769" t="str">
            <v>N/A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</row>
        <row r="1770">
          <cell r="D1770">
            <v>308016</v>
          </cell>
          <cell r="E1770" t="str">
            <v>Dolores Macasaet National High School</v>
          </cell>
          <cell r="F1770">
            <v>1</v>
          </cell>
          <cell r="G1770">
            <v>1</v>
          </cell>
          <cell r="H1770">
            <v>1</v>
          </cell>
          <cell r="I1770">
            <v>0</v>
          </cell>
          <cell r="J1770">
            <v>0</v>
          </cell>
          <cell r="K1770">
            <v>1</v>
          </cell>
          <cell r="L1770">
            <v>0</v>
          </cell>
          <cell r="M1770">
            <v>0</v>
          </cell>
          <cell r="N1770">
            <v>1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1</v>
          </cell>
          <cell r="T1770">
            <v>0</v>
          </cell>
          <cell r="U1770">
            <v>0</v>
          </cell>
          <cell r="V1770">
            <v>1</v>
          </cell>
          <cell r="W1770">
            <v>0</v>
          </cell>
          <cell r="X1770">
            <v>0</v>
          </cell>
          <cell r="Y1770">
            <v>0</v>
          </cell>
        </row>
        <row r="1771">
          <cell r="D1771">
            <v>308006</v>
          </cell>
          <cell r="E1771" t="str">
            <v>Hagonghong Integrated HS</v>
          </cell>
          <cell r="F1771">
            <v>0</v>
          </cell>
          <cell r="G1771">
            <v>0</v>
          </cell>
          <cell r="H1771">
            <v>1</v>
          </cell>
          <cell r="I1771">
            <v>0</v>
          </cell>
          <cell r="J1771">
            <v>1</v>
          </cell>
          <cell r="K1771">
            <v>0</v>
          </cell>
          <cell r="L1771">
            <v>0</v>
          </cell>
          <cell r="M1771">
            <v>0</v>
          </cell>
          <cell r="N1771">
            <v>1</v>
          </cell>
          <cell r="O1771">
            <v>0</v>
          </cell>
          <cell r="P1771">
            <v>0</v>
          </cell>
          <cell r="Q1771">
            <v>0</v>
          </cell>
          <cell r="R1771">
            <v>1</v>
          </cell>
          <cell r="S1771">
            <v>0</v>
          </cell>
          <cell r="T1771">
            <v>0</v>
          </cell>
          <cell r="U1771">
            <v>0</v>
          </cell>
          <cell r="V1771">
            <v>1</v>
          </cell>
          <cell r="W1771">
            <v>0</v>
          </cell>
          <cell r="X1771">
            <v>0</v>
          </cell>
          <cell r="Y1771">
            <v>0</v>
          </cell>
        </row>
        <row r="1772">
          <cell r="D1772">
            <v>301362</v>
          </cell>
          <cell r="E1772" t="str">
            <v>Paaralang Sek. Ng Hen. Nakar - Maligaya Extension</v>
          </cell>
          <cell r="F1772">
            <v>1</v>
          </cell>
          <cell r="G1772">
            <v>1</v>
          </cell>
          <cell r="H1772">
            <v>1</v>
          </cell>
          <cell r="I1772">
            <v>0</v>
          </cell>
          <cell r="J1772">
            <v>1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43715</v>
          </cell>
          <cell r="Q1772">
            <v>1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1</v>
          </cell>
          <cell r="X1772">
            <v>3</v>
          </cell>
          <cell r="Y1772">
            <v>0</v>
          </cell>
        </row>
        <row r="1773">
          <cell r="D1773">
            <v>308007</v>
          </cell>
          <cell r="E1773" t="str">
            <v>Liwayway National High School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1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1</v>
          </cell>
          <cell r="X1773">
            <v>0</v>
          </cell>
          <cell r="Y1773">
            <v>0</v>
          </cell>
        </row>
        <row r="1774">
          <cell r="D1774">
            <v>307924</v>
          </cell>
          <cell r="E1774" t="str">
            <v>Buenaventura E. Fandialan Memo. NHS</v>
          </cell>
          <cell r="F1774">
            <v>1</v>
          </cell>
          <cell r="G1774">
            <v>0</v>
          </cell>
          <cell r="H1774">
            <v>1</v>
          </cell>
          <cell r="I1774">
            <v>0</v>
          </cell>
          <cell r="J1774">
            <v>1</v>
          </cell>
          <cell r="K1774">
            <v>0</v>
          </cell>
          <cell r="L1774">
            <v>0</v>
          </cell>
          <cell r="M1774">
            <v>0</v>
          </cell>
          <cell r="N1774">
            <v>1</v>
          </cell>
          <cell r="O1774">
            <v>0</v>
          </cell>
          <cell r="P1774">
            <v>0</v>
          </cell>
          <cell r="Q1774">
            <v>1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1</v>
          </cell>
          <cell r="W1774">
            <v>6</v>
          </cell>
          <cell r="X1774">
            <v>6</v>
          </cell>
          <cell r="Y1774">
            <v>0</v>
          </cell>
        </row>
        <row r="1775">
          <cell r="D1775">
            <v>301351</v>
          </cell>
          <cell r="E1775" t="str">
            <v>Magallanes NHS</v>
          </cell>
          <cell r="F1775">
            <v>1</v>
          </cell>
          <cell r="G1775">
            <v>1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1</v>
          </cell>
          <cell r="O1775" t="str">
            <v>JULY 10,2019</v>
          </cell>
          <cell r="P1775" t="str">
            <v>N/A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3</v>
          </cell>
          <cell r="X1775">
            <v>0</v>
          </cell>
          <cell r="Y1775">
            <v>0</v>
          </cell>
        </row>
        <row r="1776">
          <cell r="D1776">
            <v>301290</v>
          </cell>
          <cell r="E1776" t="str">
            <v>Bantad National High School</v>
          </cell>
          <cell r="F1776">
            <v>1</v>
          </cell>
          <cell r="G1776">
            <v>1</v>
          </cell>
          <cell r="H1776">
            <v>1</v>
          </cell>
          <cell r="I1776">
            <v>0</v>
          </cell>
          <cell r="J1776">
            <v>0</v>
          </cell>
          <cell r="K1776">
            <v>0</v>
          </cell>
          <cell r="L1776">
            <v>1</v>
          </cell>
          <cell r="M1776">
            <v>0</v>
          </cell>
          <cell r="N1776">
            <v>1</v>
          </cell>
          <cell r="O1776">
            <v>0</v>
          </cell>
          <cell r="P1776">
            <v>43550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1</v>
          </cell>
          <cell r="W1776">
            <v>2</v>
          </cell>
          <cell r="X1776">
            <v>0</v>
          </cell>
          <cell r="Y1776">
            <v>0</v>
          </cell>
        </row>
        <row r="1777">
          <cell r="D1777">
            <v>342587</v>
          </cell>
          <cell r="E1777" t="str">
            <v>GOV. JUANITO REYES REMULLA SHS (SHS in Toclong)</v>
          </cell>
          <cell r="F1777">
            <v>1</v>
          </cell>
          <cell r="G1777">
            <v>1</v>
          </cell>
          <cell r="H1777">
            <v>1</v>
          </cell>
          <cell r="I1777">
            <v>0</v>
          </cell>
          <cell r="J1777">
            <v>1</v>
          </cell>
          <cell r="K1777">
            <v>0</v>
          </cell>
          <cell r="L1777">
            <v>0</v>
          </cell>
          <cell r="M1777">
            <v>0</v>
          </cell>
          <cell r="N1777">
            <v>1</v>
          </cell>
          <cell r="O1777">
            <v>43507</v>
          </cell>
          <cell r="P1777">
            <v>43507</v>
          </cell>
          <cell r="Q1777">
            <v>0</v>
          </cell>
          <cell r="R1777">
            <v>1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</row>
        <row r="1778">
          <cell r="D1778">
            <v>301363</v>
          </cell>
          <cell r="E1778" t="str">
            <v>Paaralang Sekundarya ng Hen. Nakar-Umiray Ext.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</row>
        <row r="1779">
          <cell r="D1779">
            <v>301395</v>
          </cell>
          <cell r="E1779" t="str">
            <v>San Isidro NHS, Tagkawayan</v>
          </cell>
          <cell r="F1779">
            <v>1</v>
          </cell>
          <cell r="G1779">
            <v>1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1</v>
          </cell>
          <cell r="O1779">
            <v>43657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</row>
        <row r="1780">
          <cell r="D1780">
            <v>308027</v>
          </cell>
          <cell r="E1780" t="str">
            <v>Ananias A. Diamante Integrated National High School (Formerly Dr. Arsenio C. Nicolas NHS - Dominlog Ext.)</v>
          </cell>
          <cell r="F1780">
            <v>0</v>
          </cell>
          <cell r="G1780">
            <v>0</v>
          </cell>
          <cell r="H1780">
            <v>1</v>
          </cell>
          <cell r="I1780">
            <v>0</v>
          </cell>
          <cell r="J1780">
            <v>0</v>
          </cell>
          <cell r="K1780">
            <v>1</v>
          </cell>
          <cell r="L1780">
            <v>0</v>
          </cell>
          <cell r="M1780">
            <v>0</v>
          </cell>
          <cell r="N1780">
            <v>1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1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</row>
        <row r="1781">
          <cell r="D1781">
            <v>342567</v>
          </cell>
          <cell r="E1781" t="str">
            <v>Southville 8B Senior High School</v>
          </cell>
          <cell r="F1781">
            <v>1</v>
          </cell>
          <cell r="G1781">
            <v>0</v>
          </cell>
          <cell r="H1781">
            <v>1</v>
          </cell>
          <cell r="I1781">
            <v>0</v>
          </cell>
          <cell r="J1781">
            <v>0</v>
          </cell>
          <cell r="K1781">
            <v>0</v>
          </cell>
          <cell r="L1781">
            <v>1</v>
          </cell>
          <cell r="M1781" t="str">
            <v>biannual</v>
          </cell>
          <cell r="N1781">
            <v>1</v>
          </cell>
          <cell r="O1781">
            <v>43761</v>
          </cell>
          <cell r="P1781">
            <v>43739</v>
          </cell>
          <cell r="Q1781">
            <v>0</v>
          </cell>
          <cell r="R1781">
            <v>1</v>
          </cell>
          <cell r="S1781">
            <v>0</v>
          </cell>
          <cell r="T1781">
            <v>0</v>
          </cell>
          <cell r="U1781">
            <v>0</v>
          </cell>
          <cell r="V1781">
            <v>1</v>
          </cell>
          <cell r="W1781">
            <v>0</v>
          </cell>
          <cell r="X1781">
            <v>0</v>
          </cell>
          <cell r="Y1781">
            <v>0</v>
          </cell>
        </row>
        <row r="1782">
          <cell r="D1782">
            <v>500444</v>
          </cell>
          <cell r="E1782" t="str">
            <v>Gumaca Integrated School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1</v>
          </cell>
          <cell r="M1782" t="str">
            <v>N/A</v>
          </cell>
          <cell r="N1782">
            <v>0</v>
          </cell>
          <cell r="O1782" t="str">
            <v>N/A</v>
          </cell>
          <cell r="P1782" t="str">
            <v>N/A</v>
          </cell>
          <cell r="Q1782">
            <v>0</v>
          </cell>
          <cell r="R1782">
            <v>0</v>
          </cell>
          <cell r="S1782">
            <v>0</v>
          </cell>
          <cell r="T1782">
            <v>1</v>
          </cell>
          <cell r="U1782" t="str">
            <v>N/A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</row>
        <row r="1783">
          <cell r="D1783">
            <v>308036</v>
          </cell>
          <cell r="E1783" t="str">
            <v>Quezon Science High School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</v>
          </cell>
          <cell r="M1783" t="str">
            <v>N/A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1</v>
          </cell>
          <cell r="U1783" t="str">
            <v>N/A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</row>
        <row r="1784">
          <cell r="D1784">
            <v>301456</v>
          </cell>
          <cell r="E1784" t="str">
            <v>Sampaloc NHS</v>
          </cell>
          <cell r="F1784">
            <v>1</v>
          </cell>
          <cell r="G1784">
            <v>0</v>
          </cell>
          <cell r="H1784">
            <v>1</v>
          </cell>
          <cell r="I1784">
            <v>0</v>
          </cell>
          <cell r="J1784">
            <v>1</v>
          </cell>
          <cell r="K1784">
            <v>0</v>
          </cell>
          <cell r="L1784">
            <v>0</v>
          </cell>
          <cell r="M1784">
            <v>0</v>
          </cell>
          <cell r="N1784">
            <v>1</v>
          </cell>
          <cell r="O1784" t="str">
            <v>11/22/19</v>
          </cell>
          <cell r="P1784" t="str">
            <v>05/24/19</v>
          </cell>
          <cell r="Q1784">
            <v>0</v>
          </cell>
          <cell r="R1784">
            <v>0</v>
          </cell>
          <cell r="S1784">
            <v>1</v>
          </cell>
          <cell r="T1784">
            <v>0</v>
          </cell>
          <cell r="U1784">
            <v>0</v>
          </cell>
          <cell r="V1784">
            <v>1</v>
          </cell>
          <cell r="W1784">
            <v>1</v>
          </cell>
          <cell r="X1784">
            <v>0</v>
          </cell>
          <cell r="Y1784">
            <v>0</v>
          </cell>
        </row>
        <row r="1785">
          <cell r="D1785">
            <v>301327</v>
          </cell>
          <cell r="E1785" t="str">
            <v>Hondagua NHS</v>
          </cell>
          <cell r="F1785">
            <v>1</v>
          </cell>
          <cell r="G1785">
            <v>1</v>
          </cell>
          <cell r="H1785">
            <v>1</v>
          </cell>
          <cell r="I1785">
            <v>0</v>
          </cell>
          <cell r="J1785">
            <v>1</v>
          </cell>
          <cell r="K1785">
            <v>0</v>
          </cell>
          <cell r="L1785">
            <v>0</v>
          </cell>
          <cell r="M1785">
            <v>0</v>
          </cell>
          <cell r="N1785">
            <v>1</v>
          </cell>
          <cell r="O1785">
            <v>0</v>
          </cell>
          <cell r="P1785" t="str">
            <v>JUNE 14, 2019</v>
          </cell>
          <cell r="Q1785">
            <v>0</v>
          </cell>
          <cell r="R1785">
            <v>1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</row>
        <row r="1786">
          <cell r="D1786">
            <v>308013</v>
          </cell>
          <cell r="E1786" t="str">
            <v>Villa San Isidro NHS</v>
          </cell>
          <cell r="F1786">
            <v>1</v>
          </cell>
          <cell r="G1786">
            <v>1</v>
          </cell>
          <cell r="H1786">
            <v>1</v>
          </cell>
          <cell r="I1786">
            <v>0</v>
          </cell>
          <cell r="J1786">
            <v>1</v>
          </cell>
          <cell r="K1786">
            <v>0</v>
          </cell>
          <cell r="L1786">
            <v>0</v>
          </cell>
          <cell r="M1786">
            <v>0</v>
          </cell>
          <cell r="N1786">
            <v>1</v>
          </cell>
          <cell r="O1786">
            <v>0</v>
          </cell>
          <cell r="P1786" t="str">
            <v>n/a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</row>
        <row r="1787">
          <cell r="D1787">
            <v>342596</v>
          </cell>
          <cell r="E1787" t="str">
            <v>LABAS SENIOR HIGH SCHOOL STAND ALONE</v>
          </cell>
          <cell r="F1787">
            <v>1</v>
          </cell>
          <cell r="G1787">
            <v>1</v>
          </cell>
          <cell r="H1787">
            <v>1</v>
          </cell>
          <cell r="I1787">
            <v>0</v>
          </cell>
          <cell r="J1787">
            <v>1</v>
          </cell>
          <cell r="K1787">
            <v>0</v>
          </cell>
          <cell r="L1787">
            <v>0</v>
          </cell>
          <cell r="M1787">
            <v>0</v>
          </cell>
          <cell r="N1787">
            <v>1</v>
          </cell>
          <cell r="O1787">
            <v>0</v>
          </cell>
          <cell r="P1787">
            <v>43739</v>
          </cell>
          <cell r="Q1787">
            <v>1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1</v>
          </cell>
          <cell r="W1787">
            <v>0</v>
          </cell>
          <cell r="X1787">
            <v>0</v>
          </cell>
          <cell r="Y1787">
            <v>0</v>
          </cell>
        </row>
        <row r="1788">
          <cell r="D1788">
            <v>301368</v>
          </cell>
          <cell r="E1788" t="str">
            <v>Renato Edaño Vicencio NHS (Formerly Pagsangahan NHS-Don Juan Vercelos Annex)</v>
          </cell>
          <cell r="F1788">
            <v>1</v>
          </cell>
          <cell r="G1788">
            <v>1</v>
          </cell>
          <cell r="H1788">
            <v>1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1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1</v>
          </cell>
          <cell r="U1788" t="str">
            <v>SEMI-ANNUALLY</v>
          </cell>
          <cell r="V1788">
            <v>1</v>
          </cell>
          <cell r="W1788">
            <v>0</v>
          </cell>
          <cell r="X1788">
            <v>0</v>
          </cell>
          <cell r="Y1788">
            <v>0</v>
          </cell>
        </row>
        <row r="1789">
          <cell r="D1789">
            <v>301415</v>
          </cell>
          <cell r="E1789" t="str">
            <v>Villa Perez NHS</v>
          </cell>
          <cell r="F1789">
            <v>1</v>
          </cell>
          <cell r="G1789">
            <v>1</v>
          </cell>
          <cell r="H1789">
            <v>1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1</v>
          </cell>
          <cell r="O1789">
            <v>43806</v>
          </cell>
          <cell r="P1789" t="str">
            <v>8/13/2019</v>
          </cell>
          <cell r="Q1789">
            <v>0</v>
          </cell>
          <cell r="R1789">
            <v>1</v>
          </cell>
          <cell r="S1789">
            <v>0</v>
          </cell>
          <cell r="T1789">
            <v>0</v>
          </cell>
          <cell r="U1789">
            <v>0</v>
          </cell>
          <cell r="V1789">
            <v>1</v>
          </cell>
          <cell r="W1789">
            <v>3</v>
          </cell>
          <cell r="X1789">
            <v>3</v>
          </cell>
          <cell r="Y1789">
            <v>3</v>
          </cell>
        </row>
        <row r="1790">
          <cell r="D1790">
            <v>342359</v>
          </cell>
          <cell r="E1790" t="str">
            <v>Sto. Tomas Integrated High School</v>
          </cell>
          <cell r="F1790">
            <v>1</v>
          </cell>
          <cell r="G1790">
            <v>1</v>
          </cell>
          <cell r="H1790">
            <v>1</v>
          </cell>
          <cell r="I1790">
            <v>0</v>
          </cell>
          <cell r="J1790">
            <v>1</v>
          </cell>
          <cell r="K1790">
            <v>0</v>
          </cell>
          <cell r="L1790">
            <v>0</v>
          </cell>
          <cell r="M1790">
            <v>0</v>
          </cell>
          <cell r="N1790">
            <v>1</v>
          </cell>
          <cell r="O1790">
            <v>0</v>
          </cell>
          <cell r="P1790">
            <v>0</v>
          </cell>
          <cell r="Q1790">
            <v>0</v>
          </cell>
          <cell r="R1790">
            <v>1</v>
          </cell>
          <cell r="S1790">
            <v>0</v>
          </cell>
          <cell r="T1790">
            <v>0</v>
          </cell>
          <cell r="U1790">
            <v>0</v>
          </cell>
          <cell r="V1790">
            <v>1</v>
          </cell>
          <cell r="W1790">
            <v>0</v>
          </cell>
          <cell r="X1790">
            <v>0</v>
          </cell>
          <cell r="Y1790">
            <v>0</v>
          </cell>
        </row>
        <row r="1791">
          <cell r="D1791">
            <v>308011</v>
          </cell>
          <cell r="E1791" t="str">
            <v>Sto. Angel National High School</v>
          </cell>
          <cell r="F1791">
            <v>1</v>
          </cell>
          <cell r="G1791">
            <v>1</v>
          </cell>
          <cell r="H1791">
            <v>1</v>
          </cell>
          <cell r="I1791">
            <v>0</v>
          </cell>
          <cell r="J1791">
            <v>1</v>
          </cell>
          <cell r="K1791">
            <v>0</v>
          </cell>
          <cell r="L1791">
            <v>0</v>
          </cell>
          <cell r="M1791">
            <v>0</v>
          </cell>
          <cell r="N1791">
            <v>1</v>
          </cell>
          <cell r="O1791">
            <v>43643</v>
          </cell>
          <cell r="P1791" t="str">
            <v>NO REPORTS</v>
          </cell>
          <cell r="Q1791">
            <v>0</v>
          </cell>
          <cell r="R1791">
            <v>0</v>
          </cell>
          <cell r="S1791">
            <v>0</v>
          </cell>
          <cell r="T1791">
            <v>1</v>
          </cell>
          <cell r="U1791" t="str">
            <v>BGY. HEALTH OFFICIALS</v>
          </cell>
          <cell r="V1791">
            <v>1</v>
          </cell>
          <cell r="W1791">
            <v>0</v>
          </cell>
          <cell r="X1791">
            <v>0</v>
          </cell>
          <cell r="Y1791">
            <v>0</v>
          </cell>
        </row>
        <row r="1792">
          <cell r="D1792">
            <v>301339</v>
          </cell>
          <cell r="E1792" t="str">
            <v>Lagay NHS</v>
          </cell>
          <cell r="F1792">
            <v>1</v>
          </cell>
          <cell r="G1792">
            <v>1</v>
          </cell>
          <cell r="H1792">
            <v>1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1</v>
          </cell>
          <cell r="W1792">
            <v>0</v>
          </cell>
          <cell r="X1792">
            <v>0</v>
          </cell>
          <cell r="Y1792">
            <v>0</v>
          </cell>
        </row>
        <row r="1793">
          <cell r="D1793">
            <v>301399</v>
          </cell>
          <cell r="E1793" t="str">
            <v>Godofredo M. Tan Memorial Integrated School of Arts and Trades (Formerly San Narciso Voc. HS)</v>
          </cell>
          <cell r="F1793">
            <v>1</v>
          </cell>
          <cell r="G1793">
            <v>1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</row>
        <row r="1794">
          <cell r="D1794">
            <v>301315</v>
          </cell>
          <cell r="E1794" t="str">
            <v>Pablo D. Maningas National High School</v>
          </cell>
          <cell r="F1794">
            <v>1</v>
          </cell>
          <cell r="G1794">
            <v>1</v>
          </cell>
          <cell r="H1794">
            <v>1</v>
          </cell>
          <cell r="I1794">
            <v>0</v>
          </cell>
          <cell r="J1794">
            <v>1</v>
          </cell>
          <cell r="K1794">
            <v>0</v>
          </cell>
          <cell r="L1794">
            <v>0</v>
          </cell>
          <cell r="M1794">
            <v>0</v>
          </cell>
          <cell r="N1794">
            <v>1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</row>
        <row r="1795">
          <cell r="D1795">
            <v>301346</v>
          </cell>
          <cell r="E1795" t="str">
            <v>Cogorin Ibaba NHS (Formerly Lopez NCHSl - Cogorin Ibaba Extension)</v>
          </cell>
          <cell r="F1795">
            <v>1</v>
          </cell>
          <cell r="G1795">
            <v>1</v>
          </cell>
          <cell r="H1795">
            <v>1</v>
          </cell>
          <cell r="I1795">
            <v>0</v>
          </cell>
          <cell r="J1795">
            <v>0</v>
          </cell>
          <cell r="K1795">
            <v>1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1</v>
          </cell>
          <cell r="S1795">
            <v>0</v>
          </cell>
          <cell r="T1795">
            <v>0</v>
          </cell>
          <cell r="U1795">
            <v>0</v>
          </cell>
          <cell r="V1795">
            <v>1</v>
          </cell>
          <cell r="W1795">
            <v>1</v>
          </cell>
          <cell r="X1795">
            <v>0</v>
          </cell>
          <cell r="Y1795">
            <v>0</v>
          </cell>
        </row>
        <row r="1796">
          <cell r="D1796">
            <v>301303</v>
          </cell>
          <cell r="E1796" t="str">
            <v>Calantas NHS</v>
          </cell>
          <cell r="F1796">
            <v>1</v>
          </cell>
          <cell r="G1796">
            <v>1</v>
          </cell>
          <cell r="H1796">
            <v>1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1</v>
          </cell>
          <cell r="O1796" t="str">
            <v>7-26-2019</v>
          </cell>
          <cell r="P1796" t="str">
            <v>N/A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1</v>
          </cell>
          <cell r="W1796">
            <v>0</v>
          </cell>
          <cell r="X1796">
            <v>0</v>
          </cell>
          <cell r="Y1796">
            <v>0</v>
          </cell>
        </row>
        <row r="1797">
          <cell r="D1797">
            <v>301367</v>
          </cell>
          <cell r="E1797" t="str">
            <v>Pagbilao Grande Island NHS</v>
          </cell>
          <cell r="F1797">
            <v>1</v>
          </cell>
          <cell r="G1797">
            <v>0</v>
          </cell>
          <cell r="H1797">
            <v>1</v>
          </cell>
          <cell r="I1797">
            <v>0</v>
          </cell>
          <cell r="J1797">
            <v>0</v>
          </cell>
          <cell r="K1797">
            <v>1</v>
          </cell>
          <cell r="L1797">
            <v>0</v>
          </cell>
          <cell r="M1797">
            <v>0</v>
          </cell>
          <cell r="N1797">
            <v>1</v>
          </cell>
          <cell r="O1797" t="str">
            <v>JUNE 8, 2019</v>
          </cell>
          <cell r="P1797" t="str">
            <v>JUNE 14, 2019</v>
          </cell>
          <cell r="Q1797">
            <v>1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1</v>
          </cell>
          <cell r="W1797">
            <v>0</v>
          </cell>
          <cell r="X1797">
            <v>0</v>
          </cell>
          <cell r="Y1797">
            <v>0</v>
          </cell>
        </row>
        <row r="1798">
          <cell r="D1798">
            <v>301380</v>
          </cell>
          <cell r="E1798" t="str">
            <v>Recto MNHS</v>
          </cell>
          <cell r="F1798">
            <v>1</v>
          </cell>
          <cell r="G1798">
            <v>1</v>
          </cell>
          <cell r="H1798">
            <v>1</v>
          </cell>
          <cell r="I1798">
            <v>0</v>
          </cell>
          <cell r="J1798">
            <v>1</v>
          </cell>
          <cell r="K1798">
            <v>0</v>
          </cell>
          <cell r="L1798">
            <v>1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1</v>
          </cell>
          <cell r="S1798">
            <v>0</v>
          </cell>
          <cell r="T1798">
            <v>0</v>
          </cell>
          <cell r="U1798">
            <v>0</v>
          </cell>
          <cell r="V1798">
            <v>1</v>
          </cell>
          <cell r="W1798">
            <v>0</v>
          </cell>
          <cell r="X1798">
            <v>0</v>
          </cell>
          <cell r="Y1798">
            <v>0</v>
          </cell>
        </row>
        <row r="1799">
          <cell r="D1799">
            <v>308028</v>
          </cell>
          <cell r="E1799" t="str">
            <v>Busdak NHS (Formerly Busdak NHS - Patnanungan NHS Annex)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0</v>
          </cell>
        </row>
        <row r="1800">
          <cell r="D1800">
            <v>301296</v>
          </cell>
          <cell r="E1800" t="str">
            <v>Buenavista NHS</v>
          </cell>
          <cell r="F1800">
            <v>1</v>
          </cell>
          <cell r="G1800">
            <v>1</v>
          </cell>
          <cell r="H1800">
            <v>1</v>
          </cell>
          <cell r="I1800">
            <v>0</v>
          </cell>
          <cell r="J1800">
            <v>0</v>
          </cell>
          <cell r="K1800">
            <v>1</v>
          </cell>
          <cell r="L1800">
            <v>0</v>
          </cell>
          <cell r="M1800">
            <v>0</v>
          </cell>
          <cell r="N1800">
            <v>1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1</v>
          </cell>
          <cell r="T1800">
            <v>0</v>
          </cell>
          <cell r="U1800">
            <v>0</v>
          </cell>
          <cell r="V1800">
            <v>1</v>
          </cell>
          <cell r="W1800">
            <v>15</v>
          </cell>
          <cell r="X1800">
            <v>15</v>
          </cell>
          <cell r="Y1800">
            <v>15</v>
          </cell>
        </row>
        <row r="1801">
          <cell r="D1801">
            <v>308024</v>
          </cell>
          <cell r="E1801" t="str">
            <v>Camflora National High School (Annex)</v>
          </cell>
          <cell r="F1801">
            <v>1</v>
          </cell>
          <cell r="G1801">
            <v>1</v>
          </cell>
          <cell r="H1801">
            <v>1</v>
          </cell>
          <cell r="I1801">
            <v>0</v>
          </cell>
          <cell r="J1801">
            <v>1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1</v>
          </cell>
          <cell r="U1801" t="str">
            <v>N/A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</row>
        <row r="1802">
          <cell r="D1802">
            <v>301301</v>
          </cell>
          <cell r="E1802" t="str">
            <v>Cagbalete Island National High School</v>
          </cell>
          <cell r="F1802">
            <v>1</v>
          </cell>
          <cell r="G1802">
            <v>1</v>
          </cell>
          <cell r="H1802">
            <v>1</v>
          </cell>
          <cell r="I1802">
            <v>0</v>
          </cell>
          <cell r="J1802">
            <v>1</v>
          </cell>
          <cell r="K1802">
            <v>0</v>
          </cell>
          <cell r="L1802">
            <v>0</v>
          </cell>
          <cell r="M1802">
            <v>0</v>
          </cell>
          <cell r="N1802">
            <v>1</v>
          </cell>
          <cell r="O1802" t="str">
            <v>june 15, 2019</v>
          </cell>
          <cell r="P1802" t="str">
            <v>july 19, 2019</v>
          </cell>
          <cell r="Q1802">
            <v>0</v>
          </cell>
          <cell r="R1802">
            <v>1</v>
          </cell>
          <cell r="S1802">
            <v>0</v>
          </cell>
          <cell r="T1802">
            <v>0</v>
          </cell>
          <cell r="U1802">
            <v>0</v>
          </cell>
          <cell r="V1802">
            <v>1</v>
          </cell>
          <cell r="W1802">
            <v>1</v>
          </cell>
          <cell r="X1802">
            <v>1</v>
          </cell>
          <cell r="Y1802">
            <v>1</v>
          </cell>
        </row>
        <row r="1803">
          <cell r="D1803">
            <v>308030</v>
          </cell>
          <cell r="E1803" t="str">
            <v>Silangang Malicboy NHS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</row>
        <row r="1804">
          <cell r="D1804">
            <v>301409</v>
          </cell>
          <cell r="E1804" t="str">
            <v>Jacinto G. Esplana National High School</v>
          </cell>
          <cell r="F1804">
            <v>1</v>
          </cell>
          <cell r="G1804">
            <v>0</v>
          </cell>
          <cell r="H1804">
            <v>1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1</v>
          </cell>
          <cell r="W1804">
            <v>0</v>
          </cell>
          <cell r="X1804">
            <v>0</v>
          </cell>
          <cell r="Y1804">
            <v>0</v>
          </cell>
        </row>
        <row r="1805">
          <cell r="D1805">
            <v>308503</v>
          </cell>
          <cell r="E1805" t="str">
            <v>Gulang-gulang National High School</v>
          </cell>
          <cell r="F1805">
            <v>1</v>
          </cell>
          <cell r="G1805">
            <v>1</v>
          </cell>
          <cell r="H1805">
            <v>1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1</v>
          </cell>
          <cell r="O1805">
            <v>43665</v>
          </cell>
          <cell r="P1805">
            <v>43700</v>
          </cell>
          <cell r="Q1805">
            <v>0</v>
          </cell>
          <cell r="R1805">
            <v>1</v>
          </cell>
          <cell r="S1805">
            <v>0</v>
          </cell>
          <cell r="T1805">
            <v>0</v>
          </cell>
          <cell r="U1805">
            <v>0</v>
          </cell>
          <cell r="V1805">
            <v>1</v>
          </cell>
          <cell r="W1805">
            <v>0</v>
          </cell>
          <cell r="X1805">
            <v>0</v>
          </cell>
          <cell r="Y1805">
            <v>0</v>
          </cell>
        </row>
        <row r="1806">
          <cell r="D1806">
            <v>342589</v>
          </cell>
          <cell r="E1806" t="str">
            <v>GEN. PANTALEON GARCIA SHS (SHS in Pedro Reyes)</v>
          </cell>
          <cell r="F1806">
            <v>0</v>
          </cell>
          <cell r="G1806">
            <v>0</v>
          </cell>
          <cell r="H1806">
            <v>1</v>
          </cell>
          <cell r="I1806">
            <v>0</v>
          </cell>
          <cell r="J1806">
            <v>0</v>
          </cell>
          <cell r="K1806">
            <v>1</v>
          </cell>
          <cell r="L1806">
            <v>0</v>
          </cell>
          <cell r="M1806">
            <v>0</v>
          </cell>
          <cell r="N1806">
            <v>1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</row>
        <row r="1807">
          <cell r="D1807">
            <v>301215</v>
          </cell>
          <cell r="E1807" t="str">
            <v>Tagaytay City Science National High School</v>
          </cell>
          <cell r="F1807">
            <v>1</v>
          </cell>
          <cell r="G1807">
            <v>0</v>
          </cell>
          <cell r="H1807">
            <v>1</v>
          </cell>
          <cell r="I1807">
            <v>0</v>
          </cell>
          <cell r="J1807">
            <v>1</v>
          </cell>
          <cell r="K1807">
            <v>0</v>
          </cell>
          <cell r="L1807">
            <v>0</v>
          </cell>
          <cell r="M1807">
            <v>0</v>
          </cell>
          <cell r="N1807">
            <v>1</v>
          </cell>
          <cell r="O1807">
            <v>43620</v>
          </cell>
          <cell r="P1807">
            <v>0</v>
          </cell>
          <cell r="Q1807">
            <v>0</v>
          </cell>
          <cell r="R1807">
            <v>0</v>
          </cell>
          <cell r="S1807">
            <v>1</v>
          </cell>
          <cell r="T1807">
            <v>0</v>
          </cell>
          <cell r="U1807">
            <v>0</v>
          </cell>
          <cell r="V1807">
            <v>1</v>
          </cell>
          <cell r="W1807">
            <v>0</v>
          </cell>
          <cell r="X1807">
            <v>0</v>
          </cell>
          <cell r="Y1807">
            <v>0</v>
          </cell>
        </row>
        <row r="1808">
          <cell r="D1808">
            <v>308501</v>
          </cell>
          <cell r="E1808" t="str">
            <v>Lucena Dalahican National High School</v>
          </cell>
          <cell r="F1808">
            <v>1</v>
          </cell>
          <cell r="G1808">
            <v>0</v>
          </cell>
          <cell r="H1808">
            <v>1</v>
          </cell>
          <cell r="I1808">
            <v>0</v>
          </cell>
          <cell r="J1808">
            <v>0</v>
          </cell>
          <cell r="K1808">
            <v>1</v>
          </cell>
          <cell r="L1808">
            <v>0</v>
          </cell>
          <cell r="M1808">
            <v>0</v>
          </cell>
          <cell r="N1808">
            <v>1</v>
          </cell>
          <cell r="O1808">
            <v>43342</v>
          </cell>
          <cell r="P1808">
            <v>42527</v>
          </cell>
          <cell r="Q1808">
            <v>0</v>
          </cell>
          <cell r="R1808">
            <v>0</v>
          </cell>
          <cell r="S1808">
            <v>1</v>
          </cell>
          <cell r="T1808">
            <v>0</v>
          </cell>
          <cell r="U1808">
            <v>0</v>
          </cell>
          <cell r="V1808">
            <v>1</v>
          </cell>
          <cell r="W1808">
            <v>3</v>
          </cell>
          <cell r="X1808">
            <v>0</v>
          </cell>
          <cell r="Y1808">
            <v>0</v>
          </cell>
        </row>
        <row r="1809">
          <cell r="D1809">
            <v>301425</v>
          </cell>
          <cell r="E1809" t="str">
            <v>San Roque NHS</v>
          </cell>
          <cell r="F1809">
            <v>0</v>
          </cell>
          <cell r="G1809">
            <v>0</v>
          </cell>
          <cell r="H1809">
            <v>1</v>
          </cell>
          <cell r="I1809">
            <v>0</v>
          </cell>
          <cell r="J1809">
            <v>0</v>
          </cell>
          <cell r="K1809">
            <v>1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1</v>
          </cell>
          <cell r="U1809" t="str">
            <v>NONE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</row>
        <row r="1810">
          <cell r="D1810">
            <v>301501</v>
          </cell>
          <cell r="E1810" t="str">
            <v>Lucena City National High School</v>
          </cell>
          <cell r="F1810">
            <v>1</v>
          </cell>
          <cell r="G1810">
            <v>1</v>
          </cell>
          <cell r="H1810">
            <v>1</v>
          </cell>
          <cell r="I1810">
            <v>1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1</v>
          </cell>
          <cell r="O1810">
            <v>0</v>
          </cell>
          <cell r="P1810" t="str">
            <v>July 1,2018</v>
          </cell>
          <cell r="Q1810">
            <v>0</v>
          </cell>
          <cell r="R1810">
            <v>0</v>
          </cell>
          <cell r="S1810">
            <v>1</v>
          </cell>
          <cell r="T1810">
            <v>0</v>
          </cell>
          <cell r="U1810">
            <v>0</v>
          </cell>
          <cell r="V1810">
            <v>1</v>
          </cell>
          <cell r="W1810">
            <v>2</v>
          </cell>
          <cell r="X1810">
            <v>0</v>
          </cell>
          <cell r="Y1810">
            <v>0</v>
          </cell>
        </row>
        <row r="1811">
          <cell r="D1811">
            <v>308123</v>
          </cell>
          <cell r="E1811" t="str">
            <v>Pantay NHS (Teresa NHS - Pantay Annex)</v>
          </cell>
          <cell r="F1811">
            <v>1</v>
          </cell>
          <cell r="G1811">
            <v>0</v>
          </cell>
          <cell r="H1811">
            <v>1</v>
          </cell>
          <cell r="I1811">
            <v>0</v>
          </cell>
          <cell r="J1811">
            <v>0</v>
          </cell>
          <cell r="K1811">
            <v>0</v>
          </cell>
          <cell r="L1811">
            <v>1</v>
          </cell>
          <cell r="M1811" t="str">
            <v>NONE</v>
          </cell>
          <cell r="N1811">
            <v>1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1</v>
          </cell>
          <cell r="U1811" t="str">
            <v>NONE</v>
          </cell>
          <cell r="V1811">
            <v>1</v>
          </cell>
          <cell r="W1811">
            <v>0</v>
          </cell>
          <cell r="X1811">
            <v>0</v>
          </cell>
          <cell r="Y1811">
            <v>0</v>
          </cell>
        </row>
        <row r="1812">
          <cell r="D1812">
            <v>301453</v>
          </cell>
          <cell r="E1812" t="str">
            <v>Pililla NHS</v>
          </cell>
          <cell r="F1812">
            <v>1</v>
          </cell>
          <cell r="G1812">
            <v>1</v>
          </cell>
          <cell r="H1812">
            <v>1</v>
          </cell>
          <cell r="I1812">
            <v>0</v>
          </cell>
          <cell r="J1812">
            <v>1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1</v>
          </cell>
          <cell r="U1812" t="str">
            <v>n/a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</row>
        <row r="1813">
          <cell r="D1813">
            <v>308101</v>
          </cell>
          <cell r="E1813" t="str">
            <v>Old Boso-boso NHS</v>
          </cell>
          <cell r="F1813">
            <v>1</v>
          </cell>
          <cell r="G1813">
            <v>0</v>
          </cell>
          <cell r="H1813">
            <v>1</v>
          </cell>
          <cell r="I1813">
            <v>0</v>
          </cell>
          <cell r="J1813">
            <v>1</v>
          </cell>
          <cell r="K1813">
            <v>0</v>
          </cell>
          <cell r="L1813">
            <v>0</v>
          </cell>
          <cell r="M1813">
            <v>0</v>
          </cell>
          <cell r="N1813">
            <v>1</v>
          </cell>
          <cell r="O1813">
            <v>43770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</row>
        <row r="1814">
          <cell r="D1814">
            <v>308502</v>
          </cell>
          <cell r="E1814" t="str">
            <v>Cotta National High School</v>
          </cell>
          <cell r="F1814">
            <v>1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</row>
        <row r="1815">
          <cell r="D1815">
            <v>321504</v>
          </cell>
          <cell r="E1815" t="str">
            <v>Rizza NHS</v>
          </cell>
          <cell r="F1815">
            <v>1</v>
          </cell>
          <cell r="G1815">
            <v>0</v>
          </cell>
          <cell r="H1815">
            <v>1</v>
          </cell>
          <cell r="I1815">
            <v>0</v>
          </cell>
          <cell r="J1815">
            <v>0</v>
          </cell>
          <cell r="K1815">
            <v>1</v>
          </cell>
          <cell r="L1815">
            <v>0</v>
          </cell>
          <cell r="M1815">
            <v>0</v>
          </cell>
          <cell r="N1815">
            <v>1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1</v>
          </cell>
          <cell r="W1815">
            <v>0</v>
          </cell>
          <cell r="X1815">
            <v>0</v>
          </cell>
          <cell r="Y1815">
            <v>0</v>
          </cell>
        </row>
        <row r="1816">
          <cell r="D1816">
            <v>301298</v>
          </cell>
          <cell r="E1816" t="str">
            <v>Dr. Vivencio V. Marquez National High School</v>
          </cell>
          <cell r="F1816">
            <v>1</v>
          </cell>
          <cell r="G1816">
            <v>1</v>
          </cell>
          <cell r="H1816">
            <v>1</v>
          </cell>
          <cell r="I1816">
            <v>0</v>
          </cell>
          <cell r="J1816">
            <v>0</v>
          </cell>
          <cell r="K1816">
            <v>0</v>
          </cell>
          <cell r="L1816">
            <v>1</v>
          </cell>
          <cell r="M1816" t="str">
            <v>twice a year</v>
          </cell>
          <cell r="N1816">
            <v>1</v>
          </cell>
          <cell r="O1816">
            <v>43665</v>
          </cell>
          <cell r="P1816">
            <v>43635</v>
          </cell>
          <cell r="Q1816">
            <v>1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1</v>
          </cell>
          <cell r="W1816">
            <v>0</v>
          </cell>
          <cell r="X1816">
            <v>0</v>
          </cell>
          <cell r="Y1816">
            <v>0</v>
          </cell>
        </row>
        <row r="1817">
          <cell r="D1817">
            <v>308131</v>
          </cell>
          <cell r="E1817" t="str">
            <v>Dr. Vivencio B. Villamayor NHS</v>
          </cell>
          <cell r="F1817">
            <v>1</v>
          </cell>
          <cell r="G1817">
            <v>0</v>
          </cell>
          <cell r="H1817">
            <v>1</v>
          </cell>
          <cell r="I1817">
            <v>0</v>
          </cell>
          <cell r="J1817">
            <v>1</v>
          </cell>
          <cell r="K1817">
            <v>0</v>
          </cell>
          <cell r="L1817">
            <v>0</v>
          </cell>
          <cell r="M1817">
            <v>0</v>
          </cell>
          <cell r="N1817">
            <v>1</v>
          </cell>
          <cell r="O1817">
            <v>43658</v>
          </cell>
          <cell r="P1817">
            <v>43749</v>
          </cell>
          <cell r="Q1817">
            <v>0</v>
          </cell>
          <cell r="R1817">
            <v>1</v>
          </cell>
          <cell r="S1817">
            <v>0</v>
          </cell>
          <cell r="T1817">
            <v>0</v>
          </cell>
          <cell r="U1817">
            <v>0</v>
          </cell>
          <cell r="V1817">
            <v>1</v>
          </cell>
          <cell r="W1817">
            <v>0</v>
          </cell>
          <cell r="X1817">
            <v>0</v>
          </cell>
          <cell r="Y1817">
            <v>0</v>
          </cell>
        </row>
        <row r="1818">
          <cell r="D1818">
            <v>342597</v>
          </cell>
          <cell r="E1818" t="str">
            <v>Sinalhan Integrated High School</v>
          </cell>
          <cell r="F1818">
            <v>1</v>
          </cell>
          <cell r="G1818">
            <v>1</v>
          </cell>
          <cell r="H1818">
            <v>1</v>
          </cell>
          <cell r="I1818">
            <v>0</v>
          </cell>
          <cell r="J1818">
            <v>1</v>
          </cell>
          <cell r="K1818">
            <v>0</v>
          </cell>
          <cell r="L1818">
            <v>0</v>
          </cell>
          <cell r="M1818">
            <v>0</v>
          </cell>
          <cell r="N1818">
            <v>1</v>
          </cell>
          <cell r="O1818" t="str">
            <v>JULY 2019</v>
          </cell>
          <cell r="P1818" t="str">
            <v>AUGUST 2019</v>
          </cell>
          <cell r="Q1818">
            <v>0</v>
          </cell>
          <cell r="R1818">
            <v>1</v>
          </cell>
          <cell r="S1818">
            <v>0</v>
          </cell>
          <cell r="T1818">
            <v>0</v>
          </cell>
          <cell r="U1818">
            <v>0</v>
          </cell>
          <cell r="V1818">
            <v>1</v>
          </cell>
          <cell r="W1818">
            <v>1</v>
          </cell>
          <cell r="X1818">
            <v>0</v>
          </cell>
          <cell r="Y1818">
            <v>0</v>
          </cell>
        </row>
        <row r="1819">
          <cell r="D1819">
            <v>308121</v>
          </cell>
          <cell r="E1819" t="str">
            <v>Hulo National High School</v>
          </cell>
          <cell r="F1819">
            <v>1</v>
          </cell>
          <cell r="G1819">
            <v>1</v>
          </cell>
          <cell r="H1819">
            <v>1</v>
          </cell>
          <cell r="I1819">
            <v>0</v>
          </cell>
          <cell r="J1819">
            <v>1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1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1</v>
          </cell>
          <cell r="W1819">
            <v>0</v>
          </cell>
          <cell r="X1819">
            <v>0</v>
          </cell>
          <cell r="Y1819">
            <v>0</v>
          </cell>
        </row>
        <row r="1820">
          <cell r="D1820">
            <v>301470</v>
          </cell>
          <cell r="E1820" t="str">
            <v>Balete Integrated School</v>
          </cell>
          <cell r="F1820">
            <v>1</v>
          </cell>
          <cell r="G1820">
            <v>0</v>
          </cell>
          <cell r="H1820">
            <v>1</v>
          </cell>
          <cell r="I1820">
            <v>0</v>
          </cell>
          <cell r="J1820">
            <v>0</v>
          </cell>
          <cell r="K1820">
            <v>0</v>
          </cell>
          <cell r="L1820">
            <v>1</v>
          </cell>
          <cell r="M1820" t="str">
            <v>when the problem arise</v>
          </cell>
          <cell r="N1820">
            <v>1</v>
          </cell>
          <cell r="O1820" t="str">
            <v>07/24/2019</v>
          </cell>
          <cell r="P1820" t="str">
            <v>n/a</v>
          </cell>
          <cell r="Q1820">
            <v>0</v>
          </cell>
          <cell r="R1820">
            <v>0</v>
          </cell>
          <cell r="S1820">
            <v>0</v>
          </cell>
          <cell r="T1820">
            <v>1</v>
          </cell>
          <cell r="U1820" t="str">
            <v>none</v>
          </cell>
          <cell r="V1820">
            <v>0</v>
          </cell>
          <cell r="W1820">
            <v>3</v>
          </cell>
          <cell r="X1820">
            <v>0</v>
          </cell>
          <cell r="Y1820">
            <v>0</v>
          </cell>
        </row>
        <row r="1821">
          <cell r="D1821">
            <v>301250</v>
          </cell>
          <cell r="E1821" t="str">
            <v>Masapang NHS</v>
          </cell>
          <cell r="F1821">
            <v>1</v>
          </cell>
          <cell r="G1821">
            <v>1</v>
          </cell>
          <cell r="H1821">
            <v>1</v>
          </cell>
          <cell r="I1821">
            <v>0</v>
          </cell>
          <cell r="J1821">
            <v>0</v>
          </cell>
          <cell r="K1821">
            <v>1</v>
          </cell>
          <cell r="L1821">
            <v>0</v>
          </cell>
          <cell r="M1821">
            <v>0</v>
          </cell>
          <cell r="N1821">
            <v>0</v>
          </cell>
          <cell r="O1821" t="str">
            <v>18/07/2019</v>
          </cell>
          <cell r="P1821">
            <v>43594</v>
          </cell>
          <cell r="Q1821">
            <v>0</v>
          </cell>
          <cell r="R1821">
            <v>1</v>
          </cell>
          <cell r="S1821">
            <v>0</v>
          </cell>
          <cell r="T1821">
            <v>0</v>
          </cell>
          <cell r="U1821">
            <v>0</v>
          </cell>
          <cell r="V1821">
            <v>1</v>
          </cell>
          <cell r="W1821">
            <v>3</v>
          </cell>
          <cell r="X1821">
            <v>0</v>
          </cell>
          <cell r="Y1821">
            <v>0</v>
          </cell>
        </row>
        <row r="1822">
          <cell r="D1822">
            <v>308505</v>
          </cell>
          <cell r="E1822" t="str">
            <v>Lucena City National High School -Mayao Parada Extension</v>
          </cell>
          <cell r="F1822">
            <v>1</v>
          </cell>
          <cell r="G1822">
            <v>1</v>
          </cell>
          <cell r="H1822">
            <v>1</v>
          </cell>
          <cell r="I1822">
            <v>0</v>
          </cell>
          <cell r="J1822">
            <v>0</v>
          </cell>
          <cell r="K1822">
            <v>1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43678</v>
          </cell>
          <cell r="Q1822">
            <v>0</v>
          </cell>
          <cell r="R1822">
            <v>0</v>
          </cell>
          <cell r="S1822">
            <v>1</v>
          </cell>
          <cell r="T1822">
            <v>0</v>
          </cell>
          <cell r="U1822">
            <v>0</v>
          </cell>
          <cell r="V1822">
            <v>1</v>
          </cell>
          <cell r="W1822">
            <v>0</v>
          </cell>
          <cell r="X1822">
            <v>0</v>
          </cell>
          <cell r="Y1822">
            <v>0</v>
          </cell>
        </row>
        <row r="1823">
          <cell r="D1823">
            <v>342349</v>
          </cell>
          <cell r="E1823" t="str">
            <v>LOS BAÑOS SENIOR HIGH SCHOOL (SHS) STAND ALONE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1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 t="str">
            <v>NONE TO REPORT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1</v>
          </cell>
          <cell r="W1823">
            <v>0</v>
          </cell>
          <cell r="X1823">
            <v>0</v>
          </cell>
          <cell r="Y1823">
            <v>0</v>
          </cell>
        </row>
        <row r="1824">
          <cell r="D1824">
            <v>321505</v>
          </cell>
          <cell r="E1824" t="str">
            <v>Dela Paz NHS</v>
          </cell>
          <cell r="F1824">
            <v>1</v>
          </cell>
          <cell r="G1824">
            <v>0</v>
          </cell>
          <cell r="H1824">
            <v>1</v>
          </cell>
          <cell r="I1824">
            <v>0</v>
          </cell>
          <cell r="J1824">
            <v>1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43805</v>
          </cell>
          <cell r="Q1824">
            <v>0</v>
          </cell>
          <cell r="R1824">
            <v>0</v>
          </cell>
          <cell r="S1824">
            <v>1</v>
          </cell>
          <cell r="T1824">
            <v>0</v>
          </cell>
          <cell r="U1824">
            <v>0</v>
          </cell>
          <cell r="V1824">
            <v>1</v>
          </cell>
          <cell r="W1824">
            <v>0</v>
          </cell>
          <cell r="X1824">
            <v>0</v>
          </cell>
          <cell r="Y1824">
            <v>0</v>
          </cell>
        </row>
        <row r="1825">
          <cell r="D1825">
            <v>301422</v>
          </cell>
          <cell r="E1825" t="str">
            <v>Mayamot NHS</v>
          </cell>
          <cell r="F1825">
            <v>1</v>
          </cell>
          <cell r="G1825">
            <v>1</v>
          </cell>
          <cell r="H1825">
            <v>1</v>
          </cell>
          <cell r="I1825">
            <v>0</v>
          </cell>
          <cell r="J1825">
            <v>1</v>
          </cell>
          <cell r="K1825">
            <v>0</v>
          </cell>
          <cell r="L1825">
            <v>0</v>
          </cell>
          <cell r="M1825">
            <v>0</v>
          </cell>
          <cell r="N1825">
            <v>1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1</v>
          </cell>
          <cell r="T1825">
            <v>0</v>
          </cell>
          <cell r="U1825">
            <v>0</v>
          </cell>
          <cell r="V1825">
            <v>1</v>
          </cell>
          <cell r="W1825">
            <v>1</v>
          </cell>
          <cell r="X1825">
            <v>0</v>
          </cell>
          <cell r="Y1825">
            <v>0</v>
          </cell>
        </row>
        <row r="1826">
          <cell r="D1826">
            <v>308005</v>
          </cell>
          <cell r="E1826" t="str">
            <v>Cagsiay I National High School</v>
          </cell>
          <cell r="F1826">
            <v>1</v>
          </cell>
          <cell r="G1826">
            <v>1</v>
          </cell>
          <cell r="H1826">
            <v>1</v>
          </cell>
          <cell r="I1826">
            <v>0</v>
          </cell>
          <cell r="J1826">
            <v>0</v>
          </cell>
          <cell r="K1826">
            <v>1</v>
          </cell>
          <cell r="L1826">
            <v>0</v>
          </cell>
          <cell r="M1826">
            <v>0</v>
          </cell>
          <cell r="N1826">
            <v>1</v>
          </cell>
          <cell r="O1826" t="str">
            <v>08/30/2018</v>
          </cell>
          <cell r="P1826" t="str">
            <v>08/27/2018</v>
          </cell>
          <cell r="Q1826">
            <v>1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1</v>
          </cell>
          <cell r="W1826">
            <v>2</v>
          </cell>
          <cell r="X1826">
            <v>0</v>
          </cell>
          <cell r="Y1826">
            <v>0</v>
          </cell>
        </row>
        <row r="1827">
          <cell r="D1827">
            <v>321507</v>
          </cell>
          <cell r="E1827" t="str">
            <v>Antipolo City National Science and Technology HS</v>
          </cell>
          <cell r="F1827">
            <v>1</v>
          </cell>
          <cell r="G1827">
            <v>1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1</v>
          </cell>
          <cell r="M1827" t="str">
            <v>NOT APPLICABLE</v>
          </cell>
          <cell r="N1827">
            <v>0</v>
          </cell>
          <cell r="O1827" t="str">
            <v>NOT APPLICABLE</v>
          </cell>
          <cell r="P1827" t="str">
            <v>NOT APPLICABLE</v>
          </cell>
          <cell r="Q1827">
            <v>0</v>
          </cell>
          <cell r="R1827">
            <v>0</v>
          </cell>
          <cell r="S1827">
            <v>0</v>
          </cell>
          <cell r="T1827">
            <v>1</v>
          </cell>
          <cell r="U1827" t="str">
            <v>NOT APPLICABLE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</row>
        <row r="1828">
          <cell r="D1828">
            <v>301304</v>
          </cell>
          <cell r="E1828" t="str">
            <v>Calauag NHS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</row>
        <row r="1829">
          <cell r="D1829">
            <v>342563</v>
          </cell>
          <cell r="E1829" t="str">
            <v>San Mateo SHS</v>
          </cell>
          <cell r="F1829">
            <v>1</v>
          </cell>
          <cell r="G1829">
            <v>1</v>
          </cell>
          <cell r="H1829">
            <v>1</v>
          </cell>
          <cell r="I1829">
            <v>0</v>
          </cell>
          <cell r="J1829">
            <v>1</v>
          </cell>
          <cell r="K1829">
            <v>0</v>
          </cell>
          <cell r="L1829">
            <v>0</v>
          </cell>
          <cell r="M1829">
            <v>0</v>
          </cell>
          <cell r="N1829">
            <v>1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1</v>
          </cell>
          <cell r="U1829" t="str">
            <v>Thru municipal government</v>
          </cell>
          <cell r="V1829">
            <v>1</v>
          </cell>
          <cell r="W1829">
            <v>0</v>
          </cell>
          <cell r="X1829">
            <v>0</v>
          </cell>
          <cell r="Y1829">
            <v>0</v>
          </cell>
        </row>
        <row r="1830">
          <cell r="D1830">
            <v>308004</v>
          </cell>
          <cell r="E1830" t="str">
            <v>Pagbilao NHS</v>
          </cell>
          <cell r="F1830">
            <v>1</v>
          </cell>
          <cell r="G1830">
            <v>1</v>
          </cell>
          <cell r="H1830">
            <v>0</v>
          </cell>
          <cell r="I1830">
            <v>0</v>
          </cell>
          <cell r="J1830">
            <v>1</v>
          </cell>
          <cell r="K1830">
            <v>0</v>
          </cell>
          <cell r="L1830">
            <v>0</v>
          </cell>
          <cell r="M1830">
            <v>0</v>
          </cell>
          <cell r="N1830">
            <v>1</v>
          </cell>
          <cell r="O1830">
            <v>0</v>
          </cell>
          <cell r="P1830">
            <v>0</v>
          </cell>
          <cell r="Q1830">
            <v>1</v>
          </cell>
          <cell r="R1830">
            <v>0</v>
          </cell>
          <cell r="S1830">
            <v>0</v>
          </cell>
          <cell r="T1830">
            <v>1</v>
          </cell>
          <cell r="U1830">
            <v>43635</v>
          </cell>
          <cell r="V1830">
            <v>1</v>
          </cell>
          <cell r="W1830">
            <v>0</v>
          </cell>
          <cell r="X1830">
            <v>0</v>
          </cell>
          <cell r="Y1830">
            <v>0</v>
          </cell>
        </row>
        <row r="1831">
          <cell r="D1831">
            <v>342571</v>
          </cell>
          <cell r="E1831" t="str">
            <v>Rizal Sports Academy</v>
          </cell>
          <cell r="F1831">
            <v>1</v>
          </cell>
          <cell r="G1831">
            <v>0</v>
          </cell>
          <cell r="H1831">
            <v>1</v>
          </cell>
          <cell r="I1831">
            <v>0</v>
          </cell>
          <cell r="J1831">
            <v>0</v>
          </cell>
          <cell r="K1831">
            <v>1</v>
          </cell>
          <cell r="L1831">
            <v>0</v>
          </cell>
          <cell r="M1831">
            <v>0</v>
          </cell>
          <cell r="N1831">
            <v>1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1</v>
          </cell>
          <cell r="T1831">
            <v>0</v>
          </cell>
          <cell r="U1831">
            <v>0</v>
          </cell>
          <cell r="V1831">
            <v>1</v>
          </cell>
          <cell r="W1831">
            <v>0</v>
          </cell>
          <cell r="X1831">
            <v>0</v>
          </cell>
          <cell r="Y1831">
            <v>0</v>
          </cell>
        </row>
        <row r="1832">
          <cell r="D1832">
            <v>308021</v>
          </cell>
          <cell r="E1832" t="str">
            <v>Dr. Arsenio C. Nicolas Integrated National High School (Formerly Dr. Arsenio C. Nicolas NHS)</v>
          </cell>
          <cell r="F1832">
            <v>1</v>
          </cell>
          <cell r="G1832">
            <v>1</v>
          </cell>
          <cell r="H1832">
            <v>0</v>
          </cell>
          <cell r="I1832">
            <v>0</v>
          </cell>
          <cell r="J1832">
            <v>1</v>
          </cell>
          <cell r="K1832">
            <v>0</v>
          </cell>
          <cell r="L1832">
            <v>0</v>
          </cell>
          <cell r="M1832">
            <v>0</v>
          </cell>
          <cell r="N1832">
            <v>1</v>
          </cell>
          <cell r="O1832">
            <v>43617</v>
          </cell>
          <cell r="P1832">
            <v>0</v>
          </cell>
          <cell r="Q1832">
            <v>0</v>
          </cell>
          <cell r="R1832">
            <v>1</v>
          </cell>
          <cell r="S1832">
            <v>0</v>
          </cell>
          <cell r="T1832">
            <v>0</v>
          </cell>
          <cell r="U1832">
            <v>0</v>
          </cell>
          <cell r="V1832">
            <v>1</v>
          </cell>
          <cell r="W1832">
            <v>0</v>
          </cell>
          <cell r="X1832">
            <v>0</v>
          </cell>
          <cell r="Y1832">
            <v>0</v>
          </cell>
        </row>
        <row r="1833">
          <cell r="D1833">
            <v>301350</v>
          </cell>
          <cell r="E1833" t="str">
            <v>Manuel S. Enverga Memorial School of Arts and Trades</v>
          </cell>
          <cell r="F1833">
            <v>1</v>
          </cell>
          <cell r="G1833">
            <v>1</v>
          </cell>
          <cell r="H1833">
            <v>1</v>
          </cell>
          <cell r="I1833">
            <v>0</v>
          </cell>
          <cell r="J1833">
            <v>1</v>
          </cell>
          <cell r="K1833">
            <v>0</v>
          </cell>
          <cell r="L1833">
            <v>0</v>
          </cell>
          <cell r="M1833">
            <v>0</v>
          </cell>
          <cell r="N1833">
            <v>1</v>
          </cell>
          <cell r="O1833" t="e">
            <v>#REF!</v>
          </cell>
          <cell r="P1833" t="str">
            <v>August 13, 2019</v>
          </cell>
          <cell r="Q1833">
            <v>0</v>
          </cell>
          <cell r="R1833">
            <v>1</v>
          </cell>
          <cell r="S1833">
            <v>0</v>
          </cell>
          <cell r="T1833">
            <v>1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</row>
        <row r="1834">
          <cell r="D1834">
            <v>321506</v>
          </cell>
          <cell r="E1834" t="str">
            <v>Dalig NHS</v>
          </cell>
          <cell r="F1834">
            <v>1</v>
          </cell>
          <cell r="G1834">
            <v>0</v>
          </cell>
          <cell r="H1834">
            <v>1</v>
          </cell>
          <cell r="I1834">
            <v>0</v>
          </cell>
          <cell r="J1834">
            <v>0</v>
          </cell>
          <cell r="K1834">
            <v>0</v>
          </cell>
          <cell r="L1834">
            <v>1</v>
          </cell>
          <cell r="M1834" t="str">
            <v>semi-annually</v>
          </cell>
          <cell r="N1834">
            <v>1</v>
          </cell>
          <cell r="O1834" t="str">
            <v>10/15/2019</v>
          </cell>
          <cell r="P1834">
            <v>43748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3</v>
          </cell>
          <cell r="X1834">
            <v>0</v>
          </cell>
          <cell r="Y1834">
            <v>1</v>
          </cell>
        </row>
        <row r="1835">
          <cell r="D1835">
            <v>301435</v>
          </cell>
          <cell r="E1835" t="str">
            <v>Daraetan Integrated School</v>
          </cell>
          <cell r="F1835">
            <v>1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 t="str">
            <v>N/A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</row>
        <row r="1836">
          <cell r="D1836">
            <v>301369</v>
          </cell>
          <cell r="E1836" t="str">
            <v>Pagsangahan NHS</v>
          </cell>
          <cell r="F1836">
            <v>1</v>
          </cell>
          <cell r="G1836">
            <v>0</v>
          </cell>
          <cell r="H1836">
            <v>1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43647</v>
          </cell>
          <cell r="P1836">
            <v>43617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</row>
        <row r="1837">
          <cell r="D1837">
            <v>308039</v>
          </cell>
          <cell r="E1837" t="str">
            <v>LUALHATI D. EDAÑO NHS</v>
          </cell>
          <cell r="F1837">
            <v>0</v>
          </cell>
          <cell r="G1837">
            <v>0</v>
          </cell>
          <cell r="H1837">
            <v>1</v>
          </cell>
          <cell r="I1837">
            <v>0</v>
          </cell>
          <cell r="J1837">
            <v>0</v>
          </cell>
          <cell r="K1837">
            <v>1</v>
          </cell>
          <cell r="L1837">
            <v>1</v>
          </cell>
          <cell r="M1837" t="str">
            <v>N/A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1</v>
          </cell>
          <cell r="U1837" t="str">
            <v>N/A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</row>
        <row r="1838">
          <cell r="D1838">
            <v>308015</v>
          </cell>
          <cell r="E1838" t="str">
            <v>Cagsiay III NHS</v>
          </cell>
          <cell r="F1838">
            <v>0</v>
          </cell>
          <cell r="G1838">
            <v>0</v>
          </cell>
          <cell r="H1838">
            <v>1</v>
          </cell>
          <cell r="I1838">
            <v>0</v>
          </cell>
          <cell r="J1838">
            <v>0</v>
          </cell>
          <cell r="K1838">
            <v>0</v>
          </cell>
          <cell r="L1838">
            <v>1</v>
          </cell>
          <cell r="M1838" t="str">
            <v>During PTA Meeting</v>
          </cell>
          <cell r="N1838">
            <v>0</v>
          </cell>
          <cell r="O1838">
            <v>0</v>
          </cell>
          <cell r="P1838" t="str">
            <v>Not yet</v>
          </cell>
          <cell r="Q1838">
            <v>0</v>
          </cell>
          <cell r="R1838">
            <v>0</v>
          </cell>
          <cell r="S1838">
            <v>0</v>
          </cell>
          <cell r="T1838">
            <v>1</v>
          </cell>
          <cell r="U1838" t="str">
            <v>Not yet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</row>
        <row r="1839">
          <cell r="D1839">
            <v>308124</v>
          </cell>
          <cell r="E1839" t="str">
            <v>Baras-Pinugay NHS</v>
          </cell>
          <cell r="F1839">
            <v>1</v>
          </cell>
          <cell r="G1839">
            <v>0</v>
          </cell>
          <cell r="H1839">
            <v>0</v>
          </cell>
          <cell r="I1839">
            <v>1</v>
          </cell>
          <cell r="J1839">
            <v>1</v>
          </cell>
          <cell r="K1839">
            <v>1</v>
          </cell>
          <cell r="L1839">
            <v>0</v>
          </cell>
          <cell r="M1839">
            <v>0</v>
          </cell>
          <cell r="N1839">
            <v>1</v>
          </cell>
          <cell r="O1839" t="str">
            <v>01/1-30/2019</v>
          </cell>
          <cell r="P1839">
            <v>43544</v>
          </cell>
          <cell r="Q1839">
            <v>1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1</v>
          </cell>
          <cell r="W1839">
            <v>5</v>
          </cell>
          <cell r="X1839">
            <v>5</v>
          </cell>
          <cell r="Y1839">
            <v>5</v>
          </cell>
        </row>
        <row r="1840">
          <cell r="D1840">
            <v>301314</v>
          </cell>
          <cell r="E1840" t="str">
            <v>Cesar C. Tan Memorial National High School</v>
          </cell>
          <cell r="F1840">
            <v>1</v>
          </cell>
          <cell r="G1840">
            <v>1</v>
          </cell>
          <cell r="H1840">
            <v>1</v>
          </cell>
          <cell r="I1840">
            <v>0</v>
          </cell>
          <cell r="J1840">
            <v>1</v>
          </cell>
          <cell r="K1840">
            <v>0</v>
          </cell>
          <cell r="L1840">
            <v>0</v>
          </cell>
          <cell r="M1840">
            <v>0</v>
          </cell>
          <cell r="N1840">
            <v>1</v>
          </cell>
          <cell r="O1840">
            <v>0</v>
          </cell>
          <cell r="P1840">
            <v>0</v>
          </cell>
          <cell r="Q1840">
            <v>0</v>
          </cell>
          <cell r="R1840">
            <v>1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</row>
        <row r="1841">
          <cell r="D1841">
            <v>301407</v>
          </cell>
          <cell r="E1841" t="str">
            <v>Talipan National High School</v>
          </cell>
          <cell r="F1841">
            <v>1</v>
          </cell>
          <cell r="G1841">
            <v>1</v>
          </cell>
          <cell r="H1841">
            <v>1</v>
          </cell>
          <cell r="I1841">
            <v>0</v>
          </cell>
          <cell r="J1841">
            <v>0</v>
          </cell>
          <cell r="K1841">
            <v>0</v>
          </cell>
          <cell r="L1841">
            <v>1</v>
          </cell>
          <cell r="M1841" t="str">
            <v>AS NEED ARISES</v>
          </cell>
          <cell r="N1841">
            <v>1</v>
          </cell>
          <cell r="O1841">
            <v>0</v>
          </cell>
          <cell r="P1841" t="str">
            <v>N/A</v>
          </cell>
          <cell r="Q1841">
            <v>0</v>
          </cell>
          <cell r="R1841">
            <v>1</v>
          </cell>
          <cell r="S1841">
            <v>0</v>
          </cell>
          <cell r="T1841">
            <v>0</v>
          </cell>
          <cell r="U1841">
            <v>0</v>
          </cell>
          <cell r="V1841">
            <v>1</v>
          </cell>
          <cell r="W1841">
            <v>0</v>
          </cell>
          <cell r="X1841">
            <v>0</v>
          </cell>
          <cell r="Y1841">
            <v>0</v>
          </cell>
        </row>
        <row r="1842">
          <cell r="D1842">
            <v>301475</v>
          </cell>
          <cell r="E1842" t="str">
            <v>Pedro S. Tolentino MNHS</v>
          </cell>
          <cell r="F1842">
            <v>1</v>
          </cell>
          <cell r="G1842">
            <v>1</v>
          </cell>
          <cell r="H1842">
            <v>1</v>
          </cell>
          <cell r="I1842">
            <v>1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1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1</v>
          </cell>
          <cell r="W1842">
            <v>10</v>
          </cell>
          <cell r="X1842">
            <v>5</v>
          </cell>
          <cell r="Y1842">
            <v>10</v>
          </cell>
        </row>
        <row r="1843">
          <cell r="D1843">
            <v>301227</v>
          </cell>
          <cell r="E1843" t="str">
            <v>Balibago National High School</v>
          </cell>
          <cell r="F1843">
            <v>1</v>
          </cell>
          <cell r="G1843">
            <v>1</v>
          </cell>
          <cell r="H1843">
            <v>1</v>
          </cell>
          <cell r="I1843">
            <v>0</v>
          </cell>
          <cell r="J1843">
            <v>1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1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</row>
        <row r="1844">
          <cell r="D1844">
            <v>301239</v>
          </cell>
          <cell r="E1844" t="str">
            <v>Don Jose National High School</v>
          </cell>
          <cell r="F1844">
            <v>0</v>
          </cell>
          <cell r="G1844">
            <v>0</v>
          </cell>
          <cell r="H1844">
            <v>0</v>
          </cell>
          <cell r="I1844">
            <v>1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43724</v>
          </cell>
          <cell r="Q1844">
            <v>0</v>
          </cell>
          <cell r="R1844">
            <v>1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</row>
        <row r="1845">
          <cell r="D1845">
            <v>301397</v>
          </cell>
          <cell r="E1845" t="str">
            <v>Calasumanga NHS (Formerly San Juan NHS - Calasumanga Ext.)</v>
          </cell>
          <cell r="F1845">
            <v>1</v>
          </cell>
          <cell r="G1845">
            <v>0</v>
          </cell>
          <cell r="H1845">
            <v>1</v>
          </cell>
          <cell r="I1845">
            <v>0</v>
          </cell>
          <cell r="J1845">
            <v>0</v>
          </cell>
          <cell r="K1845">
            <v>1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0</v>
          </cell>
          <cell r="Y1845">
            <v>0</v>
          </cell>
        </row>
        <row r="1846">
          <cell r="D1846">
            <v>301421</v>
          </cell>
          <cell r="E1846" t="str">
            <v>Kaysakat NHS</v>
          </cell>
          <cell r="F1846">
            <v>1</v>
          </cell>
          <cell r="G1846">
            <v>1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</row>
        <row r="1847">
          <cell r="D1847">
            <v>301274</v>
          </cell>
          <cell r="E1847" t="str">
            <v>GOV. FELICISIMO T. SAN LUIS NATIONAL AGRO-INDUSTRIAL HIGH SCHOOL</v>
          </cell>
          <cell r="F1847">
            <v>1</v>
          </cell>
          <cell r="G1847">
            <v>0</v>
          </cell>
          <cell r="H1847">
            <v>0</v>
          </cell>
          <cell r="I1847">
            <v>0</v>
          </cell>
          <cell r="J1847">
            <v>1</v>
          </cell>
          <cell r="K1847">
            <v>0</v>
          </cell>
          <cell r="L1847">
            <v>1</v>
          </cell>
          <cell r="M1847" t="str">
            <v>as the need arises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</row>
        <row r="1848">
          <cell r="D1848">
            <v>308103</v>
          </cell>
          <cell r="E1848" t="str">
            <v>Abuyod NHS</v>
          </cell>
          <cell r="F1848">
            <v>1</v>
          </cell>
          <cell r="G1848">
            <v>1</v>
          </cell>
          <cell r="H1848">
            <v>1</v>
          </cell>
          <cell r="I1848">
            <v>0</v>
          </cell>
          <cell r="J1848">
            <v>1</v>
          </cell>
          <cell r="K1848">
            <v>0</v>
          </cell>
          <cell r="L1848">
            <v>0</v>
          </cell>
          <cell r="M1848">
            <v>0</v>
          </cell>
          <cell r="N1848">
            <v>1</v>
          </cell>
          <cell r="O1848">
            <v>43745</v>
          </cell>
          <cell r="P1848">
            <v>43745</v>
          </cell>
          <cell r="Q1848">
            <v>0</v>
          </cell>
          <cell r="R1848">
            <v>1</v>
          </cell>
          <cell r="S1848">
            <v>0</v>
          </cell>
          <cell r="T1848">
            <v>0</v>
          </cell>
          <cell r="U1848">
            <v>0</v>
          </cell>
          <cell r="V1848">
            <v>1</v>
          </cell>
          <cell r="W1848">
            <v>0</v>
          </cell>
          <cell r="X1848">
            <v>0</v>
          </cell>
          <cell r="Y1848">
            <v>0</v>
          </cell>
        </row>
        <row r="1849">
          <cell r="D1849">
            <v>301487</v>
          </cell>
          <cell r="E1849" t="str">
            <v>BOLBOK INTEGRATED NATIONAL HIGH SCHOOL</v>
          </cell>
          <cell r="F1849">
            <v>1</v>
          </cell>
          <cell r="G1849">
            <v>1</v>
          </cell>
          <cell r="H1849">
            <v>1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1</v>
          </cell>
          <cell r="O1849">
            <v>0</v>
          </cell>
          <cell r="P1849">
            <v>0</v>
          </cell>
          <cell r="Q1849">
            <v>1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1</v>
          </cell>
          <cell r="W1849">
            <v>0</v>
          </cell>
          <cell r="X1849">
            <v>0</v>
          </cell>
          <cell r="Y1849">
            <v>0</v>
          </cell>
        </row>
        <row r="1850">
          <cell r="D1850">
            <v>308201</v>
          </cell>
          <cell r="E1850" t="str">
            <v>Natalia V. Ramos Memorial Integrated School</v>
          </cell>
          <cell r="F1850">
            <v>1</v>
          </cell>
          <cell r="G1850">
            <v>0</v>
          </cell>
          <cell r="H1850">
            <v>1</v>
          </cell>
          <cell r="I1850">
            <v>1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1</v>
          </cell>
          <cell r="O1850">
            <v>0</v>
          </cell>
          <cell r="P1850">
            <v>0</v>
          </cell>
          <cell r="Q1850">
            <v>1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1</v>
          </cell>
          <cell r="W1850">
            <v>0</v>
          </cell>
          <cell r="X1850">
            <v>0</v>
          </cell>
          <cell r="Y1850">
            <v>0</v>
          </cell>
        </row>
        <row r="1851">
          <cell r="D1851">
            <v>308014</v>
          </cell>
          <cell r="E1851" t="str">
            <v>Cabong NHS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</v>
          </cell>
          <cell r="M1851" t="str">
            <v>N/A</v>
          </cell>
          <cell r="N1851">
            <v>0</v>
          </cell>
          <cell r="O1851" t="str">
            <v>N/A</v>
          </cell>
          <cell r="P1851" t="str">
            <v>N/A</v>
          </cell>
          <cell r="Q1851">
            <v>0</v>
          </cell>
          <cell r="R1851">
            <v>0</v>
          </cell>
          <cell r="S1851">
            <v>0</v>
          </cell>
          <cell r="T1851">
            <v>1</v>
          </cell>
          <cell r="U1851" t="str">
            <v>N/A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</row>
        <row r="1852">
          <cell r="D1852">
            <v>301467</v>
          </cell>
          <cell r="E1852" t="str">
            <v>Teresa National High School</v>
          </cell>
          <cell r="F1852">
            <v>1</v>
          </cell>
          <cell r="G1852">
            <v>1</v>
          </cell>
          <cell r="H1852">
            <v>1</v>
          </cell>
          <cell r="I1852">
            <v>0</v>
          </cell>
          <cell r="J1852">
            <v>1</v>
          </cell>
          <cell r="K1852">
            <v>0</v>
          </cell>
          <cell r="L1852">
            <v>0</v>
          </cell>
          <cell r="M1852">
            <v>0</v>
          </cell>
          <cell r="N1852">
            <v>1</v>
          </cell>
          <cell r="O1852" t="str">
            <v>11/19,2019</v>
          </cell>
          <cell r="P1852" t="str">
            <v>11/22/2019</v>
          </cell>
          <cell r="Q1852">
            <v>0</v>
          </cell>
          <cell r="R1852">
            <v>1</v>
          </cell>
          <cell r="S1852">
            <v>0</v>
          </cell>
          <cell r="T1852">
            <v>0</v>
          </cell>
          <cell r="U1852">
            <v>0</v>
          </cell>
          <cell r="V1852">
            <v>1</v>
          </cell>
          <cell r="W1852">
            <v>14</v>
          </cell>
          <cell r="X1852">
            <v>14</v>
          </cell>
          <cell r="Y1852">
            <v>14</v>
          </cell>
        </row>
        <row r="1853">
          <cell r="D1853">
            <v>301452</v>
          </cell>
          <cell r="E1853" t="str">
            <v>Morong National High School</v>
          </cell>
          <cell r="F1853">
            <v>1</v>
          </cell>
          <cell r="G1853">
            <v>1</v>
          </cell>
          <cell r="H1853">
            <v>1</v>
          </cell>
          <cell r="I1853">
            <v>0</v>
          </cell>
          <cell r="J1853">
            <v>1</v>
          </cell>
          <cell r="K1853">
            <v>0</v>
          </cell>
          <cell r="L1853">
            <v>0</v>
          </cell>
          <cell r="M1853">
            <v>0</v>
          </cell>
          <cell r="N1853">
            <v>1</v>
          </cell>
          <cell r="O1853">
            <v>43744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</row>
        <row r="1854">
          <cell r="D1854">
            <v>307934</v>
          </cell>
          <cell r="E1854" t="str">
            <v>SOUTHVILLE 5-A NATIONAL HIGH SCHOOL</v>
          </cell>
          <cell r="F1854">
            <v>1</v>
          </cell>
          <cell r="G1854">
            <v>1</v>
          </cell>
          <cell r="H1854">
            <v>1</v>
          </cell>
          <cell r="I1854">
            <v>1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1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</row>
        <row r="1855">
          <cell r="D1855">
            <v>301492</v>
          </cell>
          <cell r="E1855" t="str">
            <v>Lipa City Science Integrated National High School</v>
          </cell>
          <cell r="F1855">
            <v>1</v>
          </cell>
          <cell r="G1855">
            <v>1</v>
          </cell>
          <cell r="H1855">
            <v>1</v>
          </cell>
          <cell r="I1855">
            <v>0</v>
          </cell>
          <cell r="J1855">
            <v>1</v>
          </cell>
          <cell r="K1855">
            <v>0</v>
          </cell>
          <cell r="L1855">
            <v>0</v>
          </cell>
          <cell r="M1855">
            <v>0</v>
          </cell>
          <cell r="N1855">
            <v>1</v>
          </cell>
          <cell r="O1855">
            <v>0</v>
          </cell>
          <cell r="P1855">
            <v>0</v>
          </cell>
          <cell r="Q1855">
            <v>0</v>
          </cell>
          <cell r="R1855">
            <v>1</v>
          </cell>
          <cell r="S1855">
            <v>0</v>
          </cell>
          <cell r="T1855">
            <v>0</v>
          </cell>
          <cell r="U1855">
            <v>0</v>
          </cell>
          <cell r="V1855">
            <v>1</v>
          </cell>
          <cell r="W1855">
            <v>0</v>
          </cell>
          <cell r="X1855">
            <v>0</v>
          </cell>
          <cell r="Y1855">
            <v>0</v>
          </cell>
        </row>
        <row r="1856">
          <cell r="D1856">
            <v>301131</v>
          </cell>
          <cell r="E1856" t="str">
            <v>Palakpak Integrated National High School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 t="str">
            <v>N/A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</row>
        <row r="1857">
          <cell r="D1857">
            <v>342201</v>
          </cell>
          <cell r="E1857" t="str">
            <v>Balete Senior High School</v>
          </cell>
          <cell r="F1857">
            <v>1</v>
          </cell>
          <cell r="G1857">
            <v>1</v>
          </cell>
          <cell r="H1857">
            <v>1</v>
          </cell>
          <cell r="I1857">
            <v>0</v>
          </cell>
          <cell r="J1857">
            <v>0</v>
          </cell>
          <cell r="K1857">
            <v>1</v>
          </cell>
          <cell r="L1857">
            <v>0</v>
          </cell>
          <cell r="M1857">
            <v>0</v>
          </cell>
          <cell r="N1857">
            <v>1</v>
          </cell>
          <cell r="O1857">
            <v>43658</v>
          </cell>
          <cell r="P1857" t="str">
            <v>08/30/2019</v>
          </cell>
          <cell r="Q1857">
            <v>0</v>
          </cell>
          <cell r="R1857">
            <v>0</v>
          </cell>
          <cell r="S1857">
            <v>1</v>
          </cell>
          <cell r="T1857">
            <v>0</v>
          </cell>
          <cell r="U1857">
            <v>0</v>
          </cell>
          <cell r="V1857">
            <v>1</v>
          </cell>
          <cell r="W1857">
            <v>2</v>
          </cell>
          <cell r="X1857">
            <v>2</v>
          </cell>
          <cell r="Y1857">
            <v>2</v>
          </cell>
        </row>
        <row r="1858">
          <cell r="D1858">
            <v>307728</v>
          </cell>
          <cell r="E1858" t="str">
            <v>Angeles Luistro Integrated Senior High School</v>
          </cell>
          <cell r="F1858">
            <v>1</v>
          </cell>
          <cell r="G1858">
            <v>1</v>
          </cell>
          <cell r="H1858">
            <v>0</v>
          </cell>
          <cell r="I1858">
            <v>0</v>
          </cell>
          <cell r="J1858">
            <v>0</v>
          </cell>
          <cell r="K1858">
            <v>1</v>
          </cell>
          <cell r="L1858">
            <v>0</v>
          </cell>
          <cell r="M1858">
            <v>0</v>
          </cell>
          <cell r="N1858">
            <v>1</v>
          </cell>
          <cell r="O1858">
            <v>43596</v>
          </cell>
          <cell r="P1858">
            <v>43596</v>
          </cell>
          <cell r="Q1858">
            <v>0</v>
          </cell>
          <cell r="R1858">
            <v>0</v>
          </cell>
          <cell r="S1858">
            <v>1</v>
          </cell>
          <cell r="T1858">
            <v>0</v>
          </cell>
          <cell r="U1858">
            <v>0</v>
          </cell>
          <cell r="V1858">
            <v>1</v>
          </cell>
          <cell r="W1858">
            <v>0</v>
          </cell>
          <cell r="X1858">
            <v>0</v>
          </cell>
          <cell r="Y1858">
            <v>0</v>
          </cell>
        </row>
        <row r="1859">
          <cell r="D1859">
            <v>301462</v>
          </cell>
          <cell r="E1859" t="str">
            <v>Silangan National High School</v>
          </cell>
          <cell r="F1859">
            <v>1</v>
          </cell>
          <cell r="G1859">
            <v>0</v>
          </cell>
          <cell r="H1859">
            <v>1</v>
          </cell>
          <cell r="I1859">
            <v>0</v>
          </cell>
          <cell r="J1859">
            <v>0</v>
          </cell>
          <cell r="K1859">
            <v>1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1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</row>
        <row r="1860">
          <cell r="D1860">
            <v>305473</v>
          </cell>
          <cell r="E1860" t="str">
            <v>Calubcub I Senior High School</v>
          </cell>
          <cell r="F1860">
            <v>1</v>
          </cell>
          <cell r="G1860">
            <v>1</v>
          </cell>
          <cell r="H1860">
            <v>1</v>
          </cell>
          <cell r="I1860">
            <v>0</v>
          </cell>
          <cell r="J1860">
            <v>0</v>
          </cell>
          <cell r="K1860">
            <v>0</v>
          </cell>
          <cell r="L1860">
            <v>1</v>
          </cell>
          <cell r="M1860">
            <v>0</v>
          </cell>
          <cell r="N1860">
            <v>1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1</v>
          </cell>
          <cell r="W1860">
            <v>0</v>
          </cell>
          <cell r="X1860">
            <v>0</v>
          </cell>
          <cell r="Y1860">
            <v>0</v>
          </cell>
        </row>
        <row r="1861">
          <cell r="D1861">
            <v>342203</v>
          </cell>
          <cell r="E1861" t="str">
            <v>Mataasnakahoy Senior High School</v>
          </cell>
          <cell r="F1861">
            <v>1</v>
          </cell>
          <cell r="G1861">
            <v>1</v>
          </cell>
          <cell r="H1861">
            <v>1</v>
          </cell>
          <cell r="I1861">
            <v>1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1</v>
          </cell>
          <cell r="O1861">
            <v>43660</v>
          </cell>
          <cell r="P1861" t="str">
            <v>07/03/2019</v>
          </cell>
          <cell r="Q1861">
            <v>0</v>
          </cell>
          <cell r="R1861">
            <v>1</v>
          </cell>
          <cell r="S1861">
            <v>0</v>
          </cell>
          <cell r="T1861">
            <v>0</v>
          </cell>
          <cell r="U1861">
            <v>0</v>
          </cell>
          <cell r="V1861">
            <v>1</v>
          </cell>
          <cell r="W1861">
            <v>1</v>
          </cell>
          <cell r="X1861">
            <v>1</v>
          </cell>
          <cell r="Y1861">
            <v>1</v>
          </cell>
        </row>
        <row r="1862">
          <cell r="D1862">
            <v>342355</v>
          </cell>
          <cell r="E1862" t="str">
            <v>Mamatid Senior High School</v>
          </cell>
          <cell r="F1862">
            <v>1</v>
          </cell>
          <cell r="G1862">
            <v>0</v>
          </cell>
          <cell r="H1862">
            <v>1</v>
          </cell>
          <cell r="I1862">
            <v>0</v>
          </cell>
          <cell r="J1862">
            <v>1</v>
          </cell>
          <cell r="K1862">
            <v>0</v>
          </cell>
          <cell r="L1862">
            <v>0</v>
          </cell>
          <cell r="M1862">
            <v>0</v>
          </cell>
          <cell r="N1862">
            <v>1</v>
          </cell>
          <cell r="O1862">
            <v>43656</v>
          </cell>
          <cell r="P1862">
            <v>43728</v>
          </cell>
          <cell r="Q1862">
            <v>0</v>
          </cell>
          <cell r="R1862">
            <v>1</v>
          </cell>
          <cell r="S1862">
            <v>0</v>
          </cell>
          <cell r="T1862">
            <v>0</v>
          </cell>
          <cell r="U1862">
            <v>0</v>
          </cell>
          <cell r="V1862">
            <v>1</v>
          </cell>
          <cell r="W1862">
            <v>3</v>
          </cell>
          <cell r="X1862">
            <v>1</v>
          </cell>
          <cell r="Y1862">
            <v>0</v>
          </cell>
        </row>
        <row r="1863">
          <cell r="D1863">
            <v>361016</v>
          </cell>
          <cell r="E1863" t="str">
            <v>San Juan Senior High School</v>
          </cell>
          <cell r="F1863">
            <v>1</v>
          </cell>
          <cell r="G1863">
            <v>1</v>
          </cell>
          <cell r="H1863">
            <v>1</v>
          </cell>
          <cell r="I1863">
            <v>0</v>
          </cell>
          <cell r="J1863">
            <v>1</v>
          </cell>
          <cell r="K1863">
            <v>0</v>
          </cell>
          <cell r="L1863">
            <v>0</v>
          </cell>
          <cell r="M1863">
            <v>0</v>
          </cell>
          <cell r="N1863">
            <v>1</v>
          </cell>
          <cell r="O1863">
            <v>43709</v>
          </cell>
          <cell r="P1863">
            <v>43619</v>
          </cell>
          <cell r="Q1863">
            <v>0</v>
          </cell>
          <cell r="R1863">
            <v>0</v>
          </cell>
          <cell r="S1863">
            <v>1</v>
          </cell>
          <cell r="T1863">
            <v>0</v>
          </cell>
          <cell r="U1863">
            <v>0</v>
          </cell>
          <cell r="V1863">
            <v>1</v>
          </cell>
          <cell r="W1863">
            <v>2</v>
          </cell>
          <cell r="X1863">
            <v>0</v>
          </cell>
          <cell r="Y1863">
            <v>0</v>
          </cell>
        </row>
        <row r="1864">
          <cell r="D1864">
            <v>301262</v>
          </cell>
          <cell r="E1864" t="str">
            <v>Nicolas L. Galvez Memorial National High School</v>
          </cell>
          <cell r="F1864">
            <v>1</v>
          </cell>
          <cell r="G1864">
            <v>1</v>
          </cell>
          <cell r="H1864">
            <v>1</v>
          </cell>
          <cell r="I1864">
            <v>0</v>
          </cell>
          <cell r="J1864">
            <v>1</v>
          </cell>
          <cell r="K1864">
            <v>0</v>
          </cell>
          <cell r="L1864">
            <v>0</v>
          </cell>
          <cell r="M1864">
            <v>0</v>
          </cell>
          <cell r="N1864">
            <v>1</v>
          </cell>
          <cell r="O1864">
            <v>0</v>
          </cell>
          <cell r="P1864">
            <v>0</v>
          </cell>
          <cell r="Q1864">
            <v>0</v>
          </cell>
          <cell r="R1864">
            <v>1</v>
          </cell>
          <cell r="S1864">
            <v>0</v>
          </cell>
          <cell r="T1864">
            <v>0</v>
          </cell>
          <cell r="U1864">
            <v>0</v>
          </cell>
          <cell r="V1864">
            <v>1</v>
          </cell>
          <cell r="W1864">
            <v>0</v>
          </cell>
          <cell r="X1864">
            <v>0</v>
          </cell>
          <cell r="Y1864">
            <v>0</v>
          </cell>
        </row>
        <row r="1865">
          <cell r="D1865">
            <v>307931</v>
          </cell>
          <cell r="E1865" t="str">
            <v>Saint Francis NHS</v>
          </cell>
          <cell r="F1865">
            <v>1</v>
          </cell>
          <cell r="G1865">
            <v>1</v>
          </cell>
          <cell r="H1865">
            <v>1</v>
          </cell>
          <cell r="I1865">
            <v>1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1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4</v>
          </cell>
          <cell r="X1865">
            <v>4</v>
          </cell>
          <cell r="Y1865">
            <v>4</v>
          </cell>
        </row>
        <row r="1866">
          <cell r="D1866">
            <v>342354</v>
          </cell>
          <cell r="E1866" t="str">
            <v>Stand Alone SHS No. 12 Pulo</v>
          </cell>
          <cell r="F1866">
            <v>0</v>
          </cell>
          <cell r="G1866">
            <v>0</v>
          </cell>
          <cell r="H1866">
            <v>1</v>
          </cell>
          <cell r="I1866">
            <v>0</v>
          </cell>
          <cell r="J1866">
            <v>0</v>
          </cell>
          <cell r="K1866">
            <v>1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</row>
        <row r="1867">
          <cell r="D1867">
            <v>307707</v>
          </cell>
          <cell r="E1867" t="str">
            <v>Nagsaulay National High School</v>
          </cell>
          <cell r="F1867">
            <v>1</v>
          </cell>
          <cell r="G1867">
            <v>0</v>
          </cell>
          <cell r="H1867">
            <v>0</v>
          </cell>
          <cell r="I1867">
            <v>1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1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1</v>
          </cell>
          <cell r="W1867">
            <v>0</v>
          </cell>
          <cell r="X1867">
            <v>0</v>
          </cell>
          <cell r="Y1867">
            <v>0</v>
          </cell>
        </row>
        <row r="1868">
          <cell r="D1868">
            <v>307914</v>
          </cell>
          <cell r="E1868" t="str">
            <v>San Pedro Relocation CNHS - Landayan Annex</v>
          </cell>
          <cell r="F1868">
            <v>1</v>
          </cell>
          <cell r="G1868">
            <v>1</v>
          </cell>
          <cell r="H1868">
            <v>1</v>
          </cell>
          <cell r="I1868">
            <v>1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1</v>
          </cell>
          <cell r="O1868">
            <v>0</v>
          </cell>
          <cell r="P1868">
            <v>0</v>
          </cell>
          <cell r="Q1868">
            <v>0</v>
          </cell>
          <cell r="R1868">
            <v>1</v>
          </cell>
          <cell r="S1868">
            <v>0</v>
          </cell>
          <cell r="T1868">
            <v>0</v>
          </cell>
          <cell r="U1868">
            <v>0</v>
          </cell>
          <cell r="V1868">
            <v>1</v>
          </cell>
          <cell r="W1868">
            <v>3</v>
          </cell>
          <cell r="X1868">
            <v>3</v>
          </cell>
          <cell r="Y1868">
            <v>3</v>
          </cell>
        </row>
        <row r="1869">
          <cell r="D1869">
            <v>301179</v>
          </cell>
          <cell r="E1869" t="str">
            <v>Congressional Integrated High School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1</v>
          </cell>
          <cell r="M1869" t="str">
            <v>N/A</v>
          </cell>
          <cell r="N1869">
            <v>1</v>
          </cell>
          <cell r="O1869">
            <v>43794</v>
          </cell>
          <cell r="P1869">
            <v>43763</v>
          </cell>
          <cell r="Q1869">
            <v>0</v>
          </cell>
          <cell r="R1869">
            <v>0</v>
          </cell>
          <cell r="S1869">
            <v>1</v>
          </cell>
          <cell r="T1869">
            <v>0</v>
          </cell>
          <cell r="U1869">
            <v>0</v>
          </cell>
          <cell r="V1869">
            <v>1</v>
          </cell>
          <cell r="W1869">
            <v>0</v>
          </cell>
          <cell r="X1869">
            <v>0</v>
          </cell>
          <cell r="Y1869">
            <v>0</v>
          </cell>
        </row>
        <row r="1870">
          <cell r="D1870">
            <v>301457</v>
          </cell>
          <cell r="E1870" t="str">
            <v>San Jose NHS</v>
          </cell>
          <cell r="F1870">
            <v>1</v>
          </cell>
          <cell r="G1870">
            <v>0</v>
          </cell>
          <cell r="H1870">
            <v>1</v>
          </cell>
          <cell r="I1870">
            <v>1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1</v>
          </cell>
          <cell r="U1870" t="str">
            <v>N/A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</row>
        <row r="1871">
          <cell r="D1871">
            <v>301427</v>
          </cell>
          <cell r="E1871" t="str">
            <v>San Juan NHS</v>
          </cell>
          <cell r="F1871">
            <v>1</v>
          </cell>
          <cell r="G1871">
            <v>0</v>
          </cell>
          <cell r="H1871">
            <v>1</v>
          </cell>
          <cell r="I1871">
            <v>0</v>
          </cell>
          <cell r="J1871">
            <v>0</v>
          </cell>
          <cell r="K1871">
            <v>1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1</v>
          </cell>
          <cell r="T1871">
            <v>0</v>
          </cell>
          <cell r="U1871">
            <v>0</v>
          </cell>
          <cell r="V1871">
            <v>1</v>
          </cell>
          <cell r="W1871">
            <v>0</v>
          </cell>
          <cell r="X1871">
            <v>0</v>
          </cell>
          <cell r="Y1871">
            <v>0</v>
          </cell>
        </row>
        <row r="1872">
          <cell r="D1872">
            <v>301431</v>
          </cell>
          <cell r="E1872" t="str">
            <v>Calawis NHS</v>
          </cell>
          <cell r="F1872">
            <v>1</v>
          </cell>
          <cell r="G1872">
            <v>0</v>
          </cell>
          <cell r="H1872">
            <v>1</v>
          </cell>
          <cell r="I1872">
            <v>0</v>
          </cell>
          <cell r="J1872">
            <v>0</v>
          </cell>
          <cell r="K1872">
            <v>1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1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</row>
        <row r="1873">
          <cell r="D1873">
            <v>301423</v>
          </cell>
          <cell r="E1873" t="str">
            <v>Muntindilaw NHS</v>
          </cell>
          <cell r="F1873">
            <v>0</v>
          </cell>
          <cell r="G1873">
            <v>0</v>
          </cell>
          <cell r="H1873">
            <v>1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 t="str">
            <v xml:space="preserve">NONE </v>
          </cell>
          <cell r="Q1873">
            <v>0</v>
          </cell>
          <cell r="R1873">
            <v>0</v>
          </cell>
          <cell r="S1873">
            <v>1</v>
          </cell>
          <cell r="T1873">
            <v>0</v>
          </cell>
          <cell r="U1873">
            <v>0</v>
          </cell>
          <cell r="V1873">
            <v>1</v>
          </cell>
          <cell r="W1873">
            <v>1</v>
          </cell>
          <cell r="X1873">
            <v>0</v>
          </cell>
          <cell r="Y1873">
            <v>0</v>
          </cell>
        </row>
        <row r="1874">
          <cell r="D1874">
            <v>308120</v>
          </cell>
          <cell r="E1874" t="str">
            <v>Jalajala NHS</v>
          </cell>
          <cell r="F1874">
            <v>1</v>
          </cell>
          <cell r="G1874">
            <v>0</v>
          </cell>
          <cell r="H1874">
            <v>0</v>
          </cell>
          <cell r="I1874">
            <v>0</v>
          </cell>
          <cell r="J1874">
            <v>1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43726</v>
          </cell>
          <cell r="P1874">
            <v>43709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</row>
        <row r="1875">
          <cell r="D1875">
            <v>307712</v>
          </cell>
          <cell r="E1875" t="str">
            <v>Sampiro Integrated Senior High School</v>
          </cell>
          <cell r="F1875">
            <v>1</v>
          </cell>
          <cell r="G1875">
            <v>1</v>
          </cell>
          <cell r="H1875">
            <v>1</v>
          </cell>
          <cell r="I1875">
            <v>0</v>
          </cell>
          <cell r="J1875">
            <v>0</v>
          </cell>
          <cell r="K1875">
            <v>1</v>
          </cell>
          <cell r="L1875">
            <v>0</v>
          </cell>
          <cell r="M1875">
            <v>0</v>
          </cell>
          <cell r="N1875">
            <v>1</v>
          </cell>
          <cell r="O1875">
            <v>43755</v>
          </cell>
          <cell r="P1875">
            <v>43755</v>
          </cell>
          <cell r="Q1875">
            <v>0</v>
          </cell>
          <cell r="R1875">
            <v>1</v>
          </cell>
          <cell r="S1875">
            <v>0</v>
          </cell>
          <cell r="T1875">
            <v>0</v>
          </cell>
          <cell r="U1875">
            <v>0</v>
          </cell>
          <cell r="V1875">
            <v>1</v>
          </cell>
          <cell r="W1875">
            <v>0</v>
          </cell>
          <cell r="X1875">
            <v>0</v>
          </cell>
          <cell r="Y1875">
            <v>0</v>
          </cell>
        </row>
        <row r="1876">
          <cell r="D1876">
            <v>301477</v>
          </cell>
          <cell r="E1876" t="str">
            <v>San Agapito NHS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</row>
        <row r="1877">
          <cell r="D1877">
            <v>305553</v>
          </cell>
          <cell r="E1877" t="str">
            <v>PHILIPPINE SCIENCE HIGH SCHOOL-CALABARZON Region Campus</v>
          </cell>
          <cell r="F1877">
            <v>1</v>
          </cell>
          <cell r="G1877">
            <v>0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</row>
        <row r="1878">
          <cell r="D1878">
            <v>301347</v>
          </cell>
          <cell r="E1878" t="str">
            <v>Luis Palad Integrated High School</v>
          </cell>
          <cell r="F1878">
            <v>1</v>
          </cell>
          <cell r="G1878">
            <v>1</v>
          </cell>
          <cell r="H1878">
            <v>1</v>
          </cell>
          <cell r="I1878">
            <v>0</v>
          </cell>
          <cell r="J1878">
            <v>1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</row>
        <row r="1879">
          <cell r="D1879">
            <v>301479</v>
          </cell>
          <cell r="E1879" t="str">
            <v>San Agustin Integrated School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</row>
        <row r="1880">
          <cell r="D1880">
            <v>342240</v>
          </cell>
          <cell r="E1880" t="str">
            <v>Stand Alone 2 (AFP-PNP)</v>
          </cell>
          <cell r="F1880">
            <v>1</v>
          </cell>
          <cell r="G1880">
            <v>0</v>
          </cell>
          <cell r="H1880">
            <v>1</v>
          </cell>
          <cell r="I1880">
            <v>0</v>
          </cell>
          <cell r="J1880">
            <v>1</v>
          </cell>
          <cell r="K1880">
            <v>0</v>
          </cell>
          <cell r="L1880">
            <v>0</v>
          </cell>
          <cell r="M1880">
            <v>0</v>
          </cell>
          <cell r="N1880">
            <v>1</v>
          </cell>
          <cell r="O1880">
            <v>43804</v>
          </cell>
          <cell r="P1880" t="str">
            <v>n/n</v>
          </cell>
          <cell r="Q1880">
            <v>0</v>
          </cell>
          <cell r="R1880">
            <v>0</v>
          </cell>
          <cell r="S1880">
            <v>1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</row>
        <row r="1881">
          <cell r="D1881">
            <v>301234</v>
          </cell>
          <cell r="E1881" t="str">
            <v>Cabuyao NHS</v>
          </cell>
          <cell r="F1881">
            <v>1</v>
          </cell>
          <cell r="G1881">
            <v>0</v>
          </cell>
          <cell r="H1881">
            <v>1</v>
          </cell>
          <cell r="I1881">
            <v>0</v>
          </cell>
          <cell r="J1881">
            <v>0</v>
          </cell>
          <cell r="K1881">
            <v>1</v>
          </cell>
          <cell r="L1881">
            <v>0</v>
          </cell>
          <cell r="M1881">
            <v>0</v>
          </cell>
          <cell r="N1881">
            <v>1</v>
          </cell>
          <cell r="O1881" t="str">
            <v>every end of the month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</row>
        <row r="1882">
          <cell r="D1882">
            <v>342576</v>
          </cell>
          <cell r="E1882" t="str">
            <v>Tayabas City Division Stand Alone SHS</v>
          </cell>
          <cell r="F1882">
            <v>0</v>
          </cell>
          <cell r="G1882">
            <v>0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</row>
        <row r="1883">
          <cell r="D1883">
            <v>301416</v>
          </cell>
          <cell r="E1883" t="str">
            <v>West Palale National High School</v>
          </cell>
          <cell r="F1883">
            <v>1</v>
          </cell>
          <cell r="G1883">
            <v>1</v>
          </cell>
          <cell r="H1883">
            <v>0</v>
          </cell>
          <cell r="I1883">
            <v>0</v>
          </cell>
          <cell r="J1883">
            <v>1</v>
          </cell>
          <cell r="K1883">
            <v>0</v>
          </cell>
          <cell r="L1883">
            <v>0</v>
          </cell>
          <cell r="M1883">
            <v>0</v>
          </cell>
          <cell r="N1883">
            <v>1</v>
          </cell>
          <cell r="O1883">
            <v>43736</v>
          </cell>
          <cell r="P1883">
            <v>43809</v>
          </cell>
          <cell r="Q1883">
            <v>1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1</v>
          </cell>
          <cell r="W1883">
            <v>0</v>
          </cell>
          <cell r="X1883">
            <v>0</v>
          </cell>
          <cell r="Y1883">
            <v>0</v>
          </cell>
        </row>
        <row r="1884">
          <cell r="D1884">
            <v>342569</v>
          </cell>
          <cell r="E1884" t="str">
            <v>Taytay Senior High School</v>
          </cell>
          <cell r="F1884">
            <v>1</v>
          </cell>
          <cell r="G1884">
            <v>1</v>
          </cell>
          <cell r="H1884">
            <v>1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</row>
        <row r="1885">
          <cell r="D1885">
            <v>305621</v>
          </cell>
          <cell r="E1885" t="str">
            <v>Mahabang Dahilig Senior High School - Stand Alone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</row>
        <row r="1886">
          <cell r="D1886">
            <v>301473</v>
          </cell>
          <cell r="E1886" t="str">
            <v>Conde Labac Integrated School</v>
          </cell>
          <cell r="F1886">
            <v>1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</row>
        <row r="1887">
          <cell r="D1887">
            <v>301231</v>
          </cell>
          <cell r="E1887" t="str">
            <v>Bitin NHS</v>
          </cell>
          <cell r="F1887">
            <v>1</v>
          </cell>
          <cell r="G1887">
            <v>0</v>
          </cell>
          <cell r="H1887">
            <v>1</v>
          </cell>
          <cell r="I1887">
            <v>0</v>
          </cell>
          <cell r="J1887">
            <v>1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</row>
        <row r="1888">
          <cell r="D1888">
            <v>307903</v>
          </cell>
          <cell r="E1888" t="str">
            <v>Cristobal S. Conducto Memorial National High School</v>
          </cell>
          <cell r="F1888">
            <v>1</v>
          </cell>
          <cell r="G1888">
            <v>0</v>
          </cell>
          <cell r="H1888">
            <v>1</v>
          </cell>
          <cell r="I1888">
            <v>0</v>
          </cell>
          <cell r="J1888">
            <v>1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 t="str">
            <v>n/a</v>
          </cell>
          <cell r="P1888" t="str">
            <v>n/a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</row>
        <row r="1889">
          <cell r="D1889">
            <v>501149</v>
          </cell>
          <cell r="E1889" t="str">
            <v>Sto. Niño Integrated School</v>
          </cell>
          <cell r="F1889">
            <v>1</v>
          </cell>
          <cell r="G1889">
            <v>1</v>
          </cell>
          <cell r="H1889">
            <v>1</v>
          </cell>
          <cell r="I1889">
            <v>1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1</v>
          </cell>
          <cell r="T1889">
            <v>0</v>
          </cell>
          <cell r="U1889">
            <v>0</v>
          </cell>
          <cell r="V1889">
            <v>1</v>
          </cell>
          <cell r="W1889">
            <v>5</v>
          </cell>
          <cell r="X1889">
            <v>5</v>
          </cell>
          <cell r="Y1889">
            <v>5</v>
          </cell>
        </row>
        <row r="1890">
          <cell r="D1890">
            <v>342345</v>
          </cell>
          <cell r="E1890" t="str">
            <v>Stand Alone SHS No. 3 Pagsanjan</v>
          </cell>
          <cell r="F1890">
            <v>1</v>
          </cell>
          <cell r="G1890">
            <v>1</v>
          </cell>
          <cell r="H1890">
            <v>1</v>
          </cell>
          <cell r="I1890">
            <v>0</v>
          </cell>
          <cell r="J1890">
            <v>0</v>
          </cell>
          <cell r="K1890">
            <v>1</v>
          </cell>
          <cell r="L1890">
            <v>0</v>
          </cell>
          <cell r="M1890">
            <v>0</v>
          </cell>
          <cell r="N1890">
            <v>1</v>
          </cell>
          <cell r="O1890" t="str">
            <v>July 22, 2019</v>
          </cell>
          <cell r="P1890">
            <v>0</v>
          </cell>
          <cell r="Q1890">
            <v>1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1</v>
          </cell>
          <cell r="W1890">
            <v>1</v>
          </cell>
          <cell r="X1890">
            <v>1</v>
          </cell>
          <cell r="Y1890">
            <v>1</v>
          </cell>
        </row>
        <row r="1891">
          <cell r="D1891">
            <v>301106</v>
          </cell>
          <cell r="E1891" t="str">
            <v>Jaybanga Integrated National High School</v>
          </cell>
          <cell r="F1891">
            <v>1</v>
          </cell>
          <cell r="G1891">
            <v>1</v>
          </cell>
          <cell r="H1891">
            <v>1</v>
          </cell>
          <cell r="I1891">
            <v>0</v>
          </cell>
          <cell r="J1891">
            <v>0</v>
          </cell>
          <cell r="K1891">
            <v>0</v>
          </cell>
          <cell r="L1891">
            <v>1</v>
          </cell>
          <cell r="M1891">
            <v>0</v>
          </cell>
          <cell r="N1891">
            <v>0</v>
          </cell>
          <cell r="O1891" t="str">
            <v>N/A</v>
          </cell>
          <cell r="P1891" t="str">
            <v>N/A</v>
          </cell>
          <cell r="Q1891">
            <v>0</v>
          </cell>
          <cell r="R1891">
            <v>0</v>
          </cell>
          <cell r="S1891">
            <v>0</v>
          </cell>
          <cell r="T1891">
            <v>1</v>
          </cell>
          <cell r="U1891">
            <v>0</v>
          </cell>
          <cell r="V1891">
            <v>1</v>
          </cell>
          <cell r="W1891">
            <v>0</v>
          </cell>
          <cell r="X1891">
            <v>0</v>
          </cell>
          <cell r="Y1891">
            <v>0</v>
          </cell>
        </row>
        <row r="1892">
          <cell r="D1892">
            <v>342352</v>
          </cell>
          <cell r="E1892" t="str">
            <v>Stand Alone SHS No. 10 Bayog</v>
          </cell>
          <cell r="F1892">
            <v>1</v>
          </cell>
          <cell r="G1892">
            <v>1</v>
          </cell>
          <cell r="H1892">
            <v>1</v>
          </cell>
          <cell r="I1892">
            <v>0</v>
          </cell>
          <cell r="J1892">
            <v>0</v>
          </cell>
          <cell r="K1892">
            <v>1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</row>
        <row r="1893">
          <cell r="D1893">
            <v>305538</v>
          </cell>
          <cell r="E1893" t="str">
            <v>Cardona Senior High School</v>
          </cell>
          <cell r="F1893">
            <v>1</v>
          </cell>
          <cell r="G1893">
            <v>1</v>
          </cell>
          <cell r="H1893">
            <v>1</v>
          </cell>
          <cell r="I1893">
            <v>0</v>
          </cell>
          <cell r="J1893">
            <v>1</v>
          </cell>
          <cell r="K1893">
            <v>0</v>
          </cell>
          <cell r="L1893">
            <v>0</v>
          </cell>
          <cell r="M1893">
            <v>0</v>
          </cell>
          <cell r="N1893">
            <v>1</v>
          </cell>
          <cell r="O1893">
            <v>0</v>
          </cell>
          <cell r="P1893">
            <v>0</v>
          </cell>
          <cell r="Q1893">
            <v>0</v>
          </cell>
          <cell r="R1893">
            <v>1</v>
          </cell>
          <cell r="S1893">
            <v>0</v>
          </cell>
          <cell r="T1893">
            <v>0</v>
          </cell>
          <cell r="U1893">
            <v>0</v>
          </cell>
          <cell r="V1893">
            <v>1</v>
          </cell>
          <cell r="W1893">
            <v>0</v>
          </cell>
          <cell r="X1893">
            <v>0</v>
          </cell>
          <cell r="Y1893">
            <v>0</v>
          </cell>
        </row>
        <row r="1894">
          <cell r="D1894">
            <v>307937</v>
          </cell>
          <cell r="E1894" t="str">
            <v>Magdalena NHS (Buenavista Annex)</v>
          </cell>
          <cell r="F1894">
            <v>1</v>
          </cell>
          <cell r="G1894">
            <v>1</v>
          </cell>
          <cell r="H1894">
            <v>1</v>
          </cell>
          <cell r="I1894">
            <v>0</v>
          </cell>
          <cell r="J1894">
            <v>1</v>
          </cell>
          <cell r="K1894">
            <v>0</v>
          </cell>
          <cell r="L1894">
            <v>0</v>
          </cell>
          <cell r="M1894">
            <v>0</v>
          </cell>
          <cell r="N1894">
            <v>1</v>
          </cell>
          <cell r="O1894">
            <v>0</v>
          </cell>
          <cell r="P1894">
            <v>0</v>
          </cell>
          <cell r="Q1894">
            <v>0</v>
          </cell>
          <cell r="R1894">
            <v>1</v>
          </cell>
          <cell r="S1894">
            <v>0</v>
          </cell>
          <cell r="T1894">
            <v>0</v>
          </cell>
          <cell r="U1894">
            <v>0</v>
          </cell>
          <cell r="V1894">
            <v>1</v>
          </cell>
          <cell r="W1894">
            <v>0</v>
          </cell>
          <cell r="X1894">
            <v>0</v>
          </cell>
          <cell r="Y1894">
            <v>0</v>
          </cell>
        </row>
        <row r="1895">
          <cell r="D1895">
            <v>301445</v>
          </cell>
          <cell r="E1895" t="str">
            <v>Janosa National High School</v>
          </cell>
          <cell r="F1895">
            <v>1</v>
          </cell>
          <cell r="G1895">
            <v>1</v>
          </cell>
          <cell r="H1895">
            <v>1</v>
          </cell>
          <cell r="I1895">
            <v>0</v>
          </cell>
          <cell r="J1895">
            <v>1</v>
          </cell>
          <cell r="K1895">
            <v>0</v>
          </cell>
          <cell r="L1895">
            <v>0</v>
          </cell>
          <cell r="M1895">
            <v>0</v>
          </cell>
          <cell r="N1895">
            <v>1</v>
          </cell>
          <cell r="O1895">
            <v>0</v>
          </cell>
          <cell r="P1895">
            <v>43621</v>
          </cell>
          <cell r="Q1895">
            <v>0</v>
          </cell>
          <cell r="R1895">
            <v>1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</row>
        <row r="1896">
          <cell r="D1896">
            <v>308113</v>
          </cell>
          <cell r="E1896" t="str">
            <v>Regional Lead School for the Arts in Angono</v>
          </cell>
          <cell r="F1896">
            <v>1</v>
          </cell>
          <cell r="G1896">
            <v>0</v>
          </cell>
          <cell r="H1896">
            <v>1</v>
          </cell>
          <cell r="I1896">
            <v>0</v>
          </cell>
          <cell r="J1896">
            <v>0</v>
          </cell>
          <cell r="K1896">
            <v>0</v>
          </cell>
          <cell r="L1896">
            <v>1</v>
          </cell>
          <cell r="M1896" t="str">
            <v>when there is a case to be resolved</v>
          </cell>
          <cell r="N1896">
            <v>0</v>
          </cell>
          <cell r="O1896">
            <v>0</v>
          </cell>
          <cell r="P1896" t="str">
            <v>never</v>
          </cell>
          <cell r="Q1896">
            <v>0</v>
          </cell>
          <cell r="R1896">
            <v>0</v>
          </cell>
          <cell r="S1896">
            <v>0</v>
          </cell>
          <cell r="T1896">
            <v>1</v>
          </cell>
          <cell r="U1896" t="str">
            <v>never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</row>
        <row r="1897">
          <cell r="D1897">
            <v>307908</v>
          </cell>
          <cell r="E1897" t="str">
            <v>Cuyab Integrated National High School</v>
          </cell>
          <cell r="F1897">
            <v>1</v>
          </cell>
          <cell r="G1897">
            <v>1</v>
          </cell>
          <cell r="H1897">
            <v>1</v>
          </cell>
          <cell r="I1897">
            <v>0</v>
          </cell>
          <cell r="J1897">
            <v>1</v>
          </cell>
          <cell r="K1897">
            <v>0</v>
          </cell>
          <cell r="L1897">
            <v>0</v>
          </cell>
          <cell r="M1897">
            <v>0</v>
          </cell>
          <cell r="N1897">
            <v>1</v>
          </cell>
          <cell r="O1897">
            <v>0</v>
          </cell>
          <cell r="P1897" t="str">
            <v>every month with Brgy. Official</v>
          </cell>
          <cell r="Q1897">
            <v>1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1</v>
          </cell>
          <cell r="W1897">
            <v>10</v>
          </cell>
          <cell r="X1897">
            <v>10</v>
          </cell>
          <cell r="Y1897">
            <v>10</v>
          </cell>
        </row>
        <row r="1898">
          <cell r="D1898">
            <v>301186</v>
          </cell>
          <cell r="E1898" t="str">
            <v>Dasmariñas Integrated High School</v>
          </cell>
          <cell r="F1898">
            <v>1</v>
          </cell>
          <cell r="G1898">
            <v>1</v>
          </cell>
          <cell r="H1898">
            <v>1</v>
          </cell>
          <cell r="I1898">
            <v>0</v>
          </cell>
          <cell r="J1898">
            <v>1</v>
          </cell>
          <cell r="K1898">
            <v>0</v>
          </cell>
          <cell r="L1898">
            <v>0</v>
          </cell>
          <cell r="M1898">
            <v>0</v>
          </cell>
          <cell r="N1898">
            <v>1</v>
          </cell>
          <cell r="O1898">
            <v>0</v>
          </cell>
          <cell r="P1898">
            <v>0</v>
          </cell>
          <cell r="Q1898">
            <v>0</v>
          </cell>
          <cell r="R1898">
            <v>1</v>
          </cell>
          <cell r="S1898">
            <v>0</v>
          </cell>
          <cell r="T1898">
            <v>0</v>
          </cell>
          <cell r="U1898">
            <v>0</v>
          </cell>
          <cell r="V1898">
            <v>1</v>
          </cell>
          <cell r="W1898">
            <v>0</v>
          </cell>
          <cell r="X1898">
            <v>0</v>
          </cell>
          <cell r="Y1898">
            <v>0</v>
          </cell>
        </row>
        <row r="1899">
          <cell r="D1899">
            <v>342361</v>
          </cell>
          <cell r="E1899" t="str">
            <v>Stand Alone SHS No. 19 San Pedro</v>
          </cell>
          <cell r="F1899">
            <v>1</v>
          </cell>
          <cell r="G1899">
            <v>1</v>
          </cell>
          <cell r="H1899">
            <v>1</v>
          </cell>
          <cell r="I1899">
            <v>0</v>
          </cell>
          <cell r="J1899">
            <v>1</v>
          </cell>
          <cell r="K1899">
            <v>0</v>
          </cell>
          <cell r="L1899">
            <v>1</v>
          </cell>
          <cell r="M1899">
            <v>0</v>
          </cell>
          <cell r="N1899">
            <v>1</v>
          </cell>
          <cell r="O1899">
            <v>0</v>
          </cell>
          <cell r="P1899">
            <v>0</v>
          </cell>
          <cell r="Q1899">
            <v>0</v>
          </cell>
          <cell r="R1899">
            <v>1</v>
          </cell>
          <cell r="S1899">
            <v>0</v>
          </cell>
          <cell r="T1899">
            <v>1</v>
          </cell>
          <cell r="U1899">
            <v>0</v>
          </cell>
          <cell r="V1899">
            <v>1</v>
          </cell>
          <cell r="W1899">
            <v>0</v>
          </cell>
          <cell r="X1899">
            <v>0</v>
          </cell>
          <cell r="Y1899">
            <v>0</v>
          </cell>
        </row>
        <row r="1900">
          <cell r="D1900">
            <v>342298</v>
          </cell>
          <cell r="E1900" t="str">
            <v>Paliparan III SHS</v>
          </cell>
          <cell r="F1900">
            <v>1</v>
          </cell>
          <cell r="G1900">
            <v>1</v>
          </cell>
          <cell r="H1900">
            <v>1</v>
          </cell>
          <cell r="I1900">
            <v>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1</v>
          </cell>
          <cell r="O1900">
            <v>43591</v>
          </cell>
          <cell r="P1900">
            <v>43586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1</v>
          </cell>
          <cell r="W1900">
            <v>0</v>
          </cell>
          <cell r="X1900">
            <v>0</v>
          </cell>
          <cell r="Y1900">
            <v>0</v>
          </cell>
        </row>
        <row r="1901">
          <cell r="D1901">
            <v>325902</v>
          </cell>
          <cell r="E1901" t="str">
            <v>Paliparan II Integrated High School</v>
          </cell>
          <cell r="F1901">
            <v>1</v>
          </cell>
          <cell r="G1901">
            <v>1</v>
          </cell>
          <cell r="H1901">
            <v>1</v>
          </cell>
          <cell r="I1901">
            <v>0</v>
          </cell>
          <cell r="J1901">
            <v>1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</row>
        <row r="1902">
          <cell r="D1902">
            <v>342299</v>
          </cell>
          <cell r="E1902" t="str">
            <v>New Era SHS</v>
          </cell>
          <cell r="F1902">
            <v>1</v>
          </cell>
          <cell r="G1902">
            <v>0</v>
          </cell>
          <cell r="H1902">
            <v>1</v>
          </cell>
          <cell r="I1902">
            <v>0</v>
          </cell>
          <cell r="J1902">
            <v>1</v>
          </cell>
          <cell r="K1902">
            <v>0</v>
          </cell>
          <cell r="L1902">
            <v>0</v>
          </cell>
          <cell r="M1902">
            <v>0</v>
          </cell>
          <cell r="N1902">
            <v>1</v>
          </cell>
          <cell r="O1902">
            <v>0</v>
          </cell>
          <cell r="P1902" t="str">
            <v>N/A</v>
          </cell>
          <cell r="Q1902">
            <v>0</v>
          </cell>
          <cell r="R1902">
            <v>0</v>
          </cell>
          <cell r="S1902">
            <v>0</v>
          </cell>
          <cell r="T1902">
            <v>1</v>
          </cell>
          <cell r="U1902" t="str">
            <v>None</v>
          </cell>
          <cell r="V1902">
            <v>1</v>
          </cell>
          <cell r="W1902">
            <v>0</v>
          </cell>
          <cell r="X1902">
            <v>0</v>
          </cell>
          <cell r="Y1902">
            <v>0</v>
          </cell>
        </row>
        <row r="1903">
          <cell r="D1903">
            <v>301183</v>
          </cell>
          <cell r="E1903" t="str">
            <v>Dasmariñas East Integrated High School</v>
          </cell>
          <cell r="F1903">
            <v>0</v>
          </cell>
          <cell r="G1903">
            <v>0</v>
          </cell>
          <cell r="H1903">
            <v>1</v>
          </cell>
          <cell r="I1903">
            <v>0</v>
          </cell>
          <cell r="J1903">
            <v>1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 t="str">
            <v>none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1</v>
          </cell>
          <cell r="W1903">
            <v>0</v>
          </cell>
          <cell r="X1903">
            <v>0</v>
          </cell>
          <cell r="Y1903">
            <v>0</v>
          </cell>
        </row>
        <row r="1904">
          <cell r="D1904">
            <v>342300</v>
          </cell>
          <cell r="E1904" t="str">
            <v>Dr. Jose P. Rizal SHS</v>
          </cell>
          <cell r="F1904">
            <v>0</v>
          </cell>
          <cell r="G1904">
            <v>0</v>
          </cell>
          <cell r="H1904">
            <v>0</v>
          </cell>
          <cell r="I1904">
            <v>1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43732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</row>
        <row r="1905">
          <cell r="D1905">
            <v>342568</v>
          </cell>
          <cell r="E1905" t="str">
            <v>Baras Senior High School</v>
          </cell>
          <cell r="F1905">
            <v>1</v>
          </cell>
          <cell r="G1905">
            <v>1</v>
          </cell>
          <cell r="H1905">
            <v>1</v>
          </cell>
          <cell r="I1905">
            <v>0</v>
          </cell>
          <cell r="J1905">
            <v>0</v>
          </cell>
          <cell r="K1905">
            <v>1</v>
          </cell>
          <cell r="L1905">
            <v>0</v>
          </cell>
          <cell r="M1905">
            <v>0</v>
          </cell>
          <cell r="N1905">
            <v>1</v>
          </cell>
          <cell r="O1905">
            <v>0</v>
          </cell>
          <cell r="P1905">
            <v>0</v>
          </cell>
          <cell r="Q1905">
            <v>1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1</v>
          </cell>
          <cell r="W1905">
            <v>0</v>
          </cell>
          <cell r="X1905">
            <v>0</v>
          </cell>
          <cell r="Y1905">
            <v>0</v>
          </cell>
        </row>
        <row r="1906">
          <cell r="D1906">
            <v>342285</v>
          </cell>
          <cell r="E1906" t="str">
            <v>Luis Y. Ferrer Jr. Senior High School</v>
          </cell>
          <cell r="F1906">
            <v>1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1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</row>
        <row r="1907">
          <cell r="D1907">
            <v>342562</v>
          </cell>
          <cell r="E1907" t="str">
            <v>Kasiglahan Village Senior High School</v>
          </cell>
          <cell r="F1907">
            <v>1</v>
          </cell>
          <cell r="G1907">
            <v>1</v>
          </cell>
          <cell r="H1907">
            <v>1</v>
          </cell>
          <cell r="I1907">
            <v>0</v>
          </cell>
          <cell r="J1907">
            <v>0</v>
          </cell>
          <cell r="K1907">
            <v>0</v>
          </cell>
          <cell r="L1907">
            <v>1</v>
          </cell>
          <cell r="M1907">
            <v>0</v>
          </cell>
          <cell r="N1907">
            <v>1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1</v>
          </cell>
          <cell r="U1907">
            <v>0</v>
          </cell>
          <cell r="V1907">
            <v>1</v>
          </cell>
          <cell r="W1907">
            <v>10</v>
          </cell>
          <cell r="X1907">
            <v>5</v>
          </cell>
          <cell r="Y1907">
            <v>0</v>
          </cell>
        </row>
        <row r="1908">
          <cell r="D1908">
            <v>301463</v>
          </cell>
          <cell r="E1908" t="str">
            <v>Talim Point NHS</v>
          </cell>
          <cell r="F1908">
            <v>1</v>
          </cell>
          <cell r="G1908">
            <v>1</v>
          </cell>
          <cell r="H1908">
            <v>1</v>
          </cell>
          <cell r="I1908">
            <v>1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1</v>
          </cell>
          <cell r="O1908">
            <v>43688</v>
          </cell>
          <cell r="P1908">
            <v>0</v>
          </cell>
          <cell r="Q1908">
            <v>0</v>
          </cell>
          <cell r="R1908">
            <v>1</v>
          </cell>
          <cell r="S1908">
            <v>0</v>
          </cell>
          <cell r="T1908">
            <v>0</v>
          </cell>
          <cell r="U1908">
            <v>0</v>
          </cell>
          <cell r="V1908">
            <v>1</v>
          </cell>
          <cell r="W1908">
            <v>2</v>
          </cell>
          <cell r="X1908">
            <v>0</v>
          </cell>
          <cell r="Y1908">
            <v>0</v>
          </cell>
        </row>
        <row r="1909">
          <cell r="D1909">
            <v>301428</v>
          </cell>
          <cell r="E1909" t="str">
            <v>Bagumbong NHS</v>
          </cell>
          <cell r="F1909">
            <v>1</v>
          </cell>
          <cell r="G1909">
            <v>0</v>
          </cell>
          <cell r="H1909">
            <v>1</v>
          </cell>
          <cell r="I1909">
            <v>1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1</v>
          </cell>
          <cell r="O1909">
            <v>43805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3</v>
          </cell>
          <cell r="X1909">
            <v>3</v>
          </cell>
          <cell r="Y1909">
            <v>3</v>
          </cell>
        </row>
        <row r="1910">
          <cell r="D1910">
            <v>328201</v>
          </cell>
          <cell r="E1910" t="str">
            <v>Francisco E. Barzaga Integrated High School</v>
          </cell>
          <cell r="F1910">
            <v>1</v>
          </cell>
          <cell r="G1910">
            <v>1</v>
          </cell>
          <cell r="H1910">
            <v>1</v>
          </cell>
          <cell r="I1910">
            <v>0</v>
          </cell>
          <cell r="J1910">
            <v>1</v>
          </cell>
          <cell r="K1910">
            <v>0</v>
          </cell>
          <cell r="L1910">
            <v>0</v>
          </cell>
          <cell r="M1910">
            <v>0</v>
          </cell>
          <cell r="N1910">
            <v>1</v>
          </cell>
          <cell r="O1910">
            <v>0</v>
          </cell>
          <cell r="P1910">
            <v>0</v>
          </cell>
          <cell r="Q1910">
            <v>0</v>
          </cell>
          <cell r="R1910">
            <v>1</v>
          </cell>
          <cell r="S1910">
            <v>0</v>
          </cell>
          <cell r="T1910">
            <v>0</v>
          </cell>
          <cell r="U1910">
            <v>0</v>
          </cell>
          <cell r="V1910">
            <v>1</v>
          </cell>
          <cell r="W1910">
            <v>1</v>
          </cell>
          <cell r="X1910">
            <v>1</v>
          </cell>
          <cell r="Y1910">
            <v>1</v>
          </cell>
        </row>
        <row r="1911">
          <cell r="D1911">
            <v>301455</v>
          </cell>
          <cell r="E1911" t="str">
            <v>Rizal National Science HS</v>
          </cell>
          <cell r="F1911">
            <v>1</v>
          </cell>
          <cell r="G1911">
            <v>1</v>
          </cell>
          <cell r="H1911">
            <v>0</v>
          </cell>
          <cell r="I1911">
            <v>0</v>
          </cell>
          <cell r="J1911">
            <v>1</v>
          </cell>
          <cell r="K1911">
            <v>0</v>
          </cell>
          <cell r="L1911">
            <v>0</v>
          </cell>
          <cell r="M1911">
            <v>0</v>
          </cell>
          <cell r="N1911">
            <v>1</v>
          </cell>
          <cell r="O1911">
            <v>43617</v>
          </cell>
          <cell r="P1911">
            <v>0</v>
          </cell>
          <cell r="Q1911">
            <v>0</v>
          </cell>
          <cell r="R1911">
            <v>1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</row>
        <row r="1912">
          <cell r="D1912">
            <v>342566</v>
          </cell>
          <cell r="E1912" t="str">
            <v>Stand alone SHS 5</v>
          </cell>
          <cell r="F1912">
            <v>1</v>
          </cell>
          <cell r="G1912">
            <v>0</v>
          </cell>
          <cell r="H1912">
            <v>1</v>
          </cell>
          <cell r="I1912">
            <v>0</v>
          </cell>
          <cell r="J1912">
            <v>0</v>
          </cell>
          <cell r="K1912">
            <v>1</v>
          </cell>
          <cell r="L1912">
            <v>0</v>
          </cell>
          <cell r="M1912">
            <v>0</v>
          </cell>
          <cell r="N1912">
            <v>1</v>
          </cell>
          <cell r="O1912" t="str">
            <v>06/03/2019</v>
          </cell>
          <cell r="P1912" t="str">
            <v>10/30/2019</v>
          </cell>
          <cell r="Q1912">
            <v>0</v>
          </cell>
          <cell r="R1912">
            <v>1</v>
          </cell>
          <cell r="S1912">
            <v>0</v>
          </cell>
          <cell r="T1912">
            <v>0</v>
          </cell>
          <cell r="U1912">
            <v>0</v>
          </cell>
          <cell r="V1912">
            <v>1</v>
          </cell>
          <cell r="W1912">
            <v>1</v>
          </cell>
          <cell r="X1912">
            <v>1</v>
          </cell>
          <cell r="Y1912">
            <v>1</v>
          </cell>
        </row>
        <row r="1913">
          <cell r="D1913">
            <v>308128</v>
          </cell>
          <cell r="E1913" t="str">
            <v>TANAY EAST NATIONAL HIGH SCHOOL</v>
          </cell>
          <cell r="F1913">
            <v>1</v>
          </cell>
          <cell r="G1913">
            <v>1</v>
          </cell>
          <cell r="H1913">
            <v>1</v>
          </cell>
          <cell r="I1913">
            <v>0</v>
          </cell>
          <cell r="J1913">
            <v>1</v>
          </cell>
          <cell r="K1913">
            <v>0</v>
          </cell>
          <cell r="L1913">
            <v>0</v>
          </cell>
          <cell r="M1913">
            <v>0</v>
          </cell>
          <cell r="N1913">
            <v>1</v>
          </cell>
          <cell r="O1913">
            <v>43596</v>
          </cell>
          <cell r="P1913">
            <v>43596</v>
          </cell>
          <cell r="Q1913">
            <v>0</v>
          </cell>
          <cell r="R1913">
            <v>1</v>
          </cell>
          <cell r="S1913">
            <v>0</v>
          </cell>
          <cell r="T1913">
            <v>0</v>
          </cell>
          <cell r="U1913" t="str">
            <v>every Semester</v>
          </cell>
          <cell r="V1913">
            <v>1</v>
          </cell>
          <cell r="W1913">
            <v>5</v>
          </cell>
          <cell r="X1913">
            <v>5</v>
          </cell>
          <cell r="Y1913">
            <v>3</v>
          </cell>
        </row>
        <row r="1914">
          <cell r="D1914">
            <v>342613</v>
          </cell>
          <cell r="E1914" t="str">
            <v>Lipa City Sports Academy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1</v>
          </cell>
          <cell r="M1914" t="str">
            <v>no CPC</v>
          </cell>
          <cell r="N1914">
            <v>0</v>
          </cell>
          <cell r="O1914">
            <v>0</v>
          </cell>
          <cell r="P1914" t="str">
            <v>n/a</v>
          </cell>
          <cell r="Q1914">
            <v>0</v>
          </cell>
          <cell r="R1914">
            <v>0</v>
          </cell>
          <cell r="S1914">
            <v>0</v>
          </cell>
          <cell r="T1914">
            <v>1</v>
          </cell>
          <cell r="U1914" t="str">
            <v>no CPC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</row>
        <row r="1915">
          <cell r="D1915">
            <v>307907</v>
          </cell>
          <cell r="E1915" t="str">
            <v>San Pedro Relocation Center National High School, Main (Langgam) Campus</v>
          </cell>
          <cell r="F1915">
            <v>1</v>
          </cell>
          <cell r="G1915">
            <v>1</v>
          </cell>
          <cell r="H1915">
            <v>1</v>
          </cell>
          <cell r="I1915">
            <v>0</v>
          </cell>
          <cell r="J1915">
            <v>1</v>
          </cell>
          <cell r="K1915">
            <v>0</v>
          </cell>
          <cell r="L1915">
            <v>0</v>
          </cell>
          <cell r="M1915">
            <v>0</v>
          </cell>
          <cell r="N1915">
            <v>1</v>
          </cell>
          <cell r="O1915">
            <v>0</v>
          </cell>
          <cell r="P1915">
            <v>2018</v>
          </cell>
          <cell r="Q1915">
            <v>0</v>
          </cell>
          <cell r="R1915">
            <v>0</v>
          </cell>
          <cell r="S1915">
            <v>1</v>
          </cell>
          <cell r="T1915">
            <v>0</v>
          </cell>
          <cell r="U1915">
            <v>0</v>
          </cell>
          <cell r="V1915">
            <v>1</v>
          </cell>
          <cell r="W1915">
            <v>2</v>
          </cell>
          <cell r="X1915">
            <v>0</v>
          </cell>
          <cell r="Y1915">
            <v>0</v>
          </cell>
        </row>
        <row r="1916">
          <cell r="D1916">
            <v>301447</v>
          </cell>
          <cell r="E1916" t="str">
            <v>Malaya NHS</v>
          </cell>
          <cell r="F1916">
            <v>1</v>
          </cell>
          <cell r="G1916">
            <v>0</v>
          </cell>
          <cell r="H1916">
            <v>1</v>
          </cell>
          <cell r="I1916">
            <v>0</v>
          </cell>
          <cell r="J1916">
            <v>0</v>
          </cell>
          <cell r="K1916">
            <v>1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</row>
        <row r="1917">
          <cell r="D1917">
            <v>307941</v>
          </cell>
          <cell r="E1917" t="str">
            <v>PHILIPPINE HIGH SCHOOL FOR THE  ARTS</v>
          </cell>
          <cell r="F1917">
            <v>1</v>
          </cell>
          <cell r="G1917">
            <v>1</v>
          </cell>
          <cell r="H1917">
            <v>1</v>
          </cell>
          <cell r="I1917">
            <v>0</v>
          </cell>
          <cell r="J1917">
            <v>1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43770</v>
          </cell>
          <cell r="P1917">
            <v>0</v>
          </cell>
          <cell r="Q1917">
            <v>0</v>
          </cell>
          <cell r="R1917">
            <v>1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</row>
        <row r="1918">
          <cell r="D1918">
            <v>301436</v>
          </cell>
          <cell r="E1918" t="str">
            <v>Don Jose M. Ynares,Sr. Memorial National High School</v>
          </cell>
          <cell r="F1918">
            <v>0</v>
          </cell>
          <cell r="G1918">
            <v>0</v>
          </cell>
          <cell r="H1918">
            <v>0</v>
          </cell>
          <cell r="I1918">
            <v>0</v>
          </cell>
          <cell r="J1918">
            <v>0</v>
          </cell>
          <cell r="K1918">
            <v>1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4</v>
          </cell>
          <cell r="X1918">
            <v>2</v>
          </cell>
          <cell r="Y1918">
            <v>1</v>
          </cell>
        </row>
        <row r="1919">
          <cell r="D1919">
            <v>308132</v>
          </cell>
          <cell r="E1919" t="str">
            <v>Bugarin NHS</v>
          </cell>
          <cell r="F1919">
            <v>1</v>
          </cell>
          <cell r="G1919">
            <v>0</v>
          </cell>
          <cell r="H1919">
            <v>1</v>
          </cell>
          <cell r="I1919">
            <v>0</v>
          </cell>
          <cell r="J1919">
            <v>1</v>
          </cell>
          <cell r="K1919">
            <v>0</v>
          </cell>
          <cell r="L1919">
            <v>0</v>
          </cell>
          <cell r="M1919">
            <v>0</v>
          </cell>
          <cell r="N1919">
            <v>1</v>
          </cell>
          <cell r="O1919" t="str">
            <v>June 3, 2019</v>
          </cell>
          <cell r="P1919" t="str">
            <v>N/A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5</v>
          </cell>
          <cell r="X1919">
            <v>5</v>
          </cell>
          <cell r="Y1919">
            <v>0</v>
          </cell>
        </row>
        <row r="1920">
          <cell r="D1920">
            <v>342348</v>
          </cell>
          <cell r="E1920" t="str">
            <v>Victoria Senior High School</v>
          </cell>
          <cell r="F1920">
            <v>1</v>
          </cell>
          <cell r="G1920">
            <v>1</v>
          </cell>
          <cell r="H1920">
            <v>1</v>
          </cell>
          <cell r="I1920">
            <v>0</v>
          </cell>
          <cell r="J1920">
            <v>0</v>
          </cell>
          <cell r="K1920">
            <v>1</v>
          </cell>
          <cell r="L1920">
            <v>0</v>
          </cell>
          <cell r="M1920">
            <v>0</v>
          </cell>
          <cell r="N1920">
            <v>1</v>
          </cell>
          <cell r="O1920">
            <v>0</v>
          </cell>
          <cell r="P1920">
            <v>43647</v>
          </cell>
          <cell r="Q1920">
            <v>0</v>
          </cell>
          <cell r="R1920">
            <v>0</v>
          </cell>
          <cell r="S1920">
            <v>1</v>
          </cell>
          <cell r="T1920">
            <v>0</v>
          </cell>
          <cell r="U1920">
            <v>0</v>
          </cell>
          <cell r="V1920">
            <v>1</v>
          </cell>
          <cell r="W1920">
            <v>6</v>
          </cell>
          <cell r="X1920">
            <v>6</v>
          </cell>
          <cell r="Y1920">
            <v>6</v>
          </cell>
        </row>
        <row r="1921">
          <cell r="D1921">
            <v>308138</v>
          </cell>
          <cell r="E1921" t="str">
            <v>Tanay West NHS</v>
          </cell>
          <cell r="F1921">
            <v>1</v>
          </cell>
          <cell r="G1921">
            <v>1</v>
          </cell>
          <cell r="H1921">
            <v>1</v>
          </cell>
          <cell r="I1921">
            <v>0</v>
          </cell>
          <cell r="J1921">
            <v>0</v>
          </cell>
          <cell r="K1921">
            <v>0</v>
          </cell>
          <cell r="L1921">
            <v>1</v>
          </cell>
          <cell r="M1921" t="str">
            <v>Biannualy</v>
          </cell>
          <cell r="N1921">
            <v>0</v>
          </cell>
          <cell r="O1921">
            <v>0</v>
          </cell>
          <cell r="P1921" t="str">
            <v>05/30/2019</v>
          </cell>
          <cell r="Q1921">
            <v>0</v>
          </cell>
          <cell r="R1921">
            <v>0</v>
          </cell>
          <cell r="S1921">
            <v>1</v>
          </cell>
          <cell r="T1921">
            <v>0</v>
          </cell>
          <cell r="U1921">
            <v>0</v>
          </cell>
          <cell r="V1921">
            <v>1</v>
          </cell>
          <cell r="W1921">
            <v>0</v>
          </cell>
          <cell r="X1921">
            <v>0</v>
          </cell>
          <cell r="Y1921">
            <v>0</v>
          </cell>
        </row>
        <row r="1922">
          <cell r="D1922">
            <v>308040</v>
          </cell>
          <cell r="E1922" t="str">
            <v>Dr. Panfilo Castro NHS - Masalukot I Annex</v>
          </cell>
          <cell r="F1922">
            <v>1</v>
          </cell>
          <cell r="G1922">
            <v>0</v>
          </cell>
          <cell r="H1922">
            <v>1</v>
          </cell>
          <cell r="I1922">
            <v>0</v>
          </cell>
          <cell r="J1922">
            <v>0</v>
          </cell>
          <cell r="K1922">
            <v>0</v>
          </cell>
          <cell r="L1922">
            <v>1</v>
          </cell>
          <cell r="M1922" t="str">
            <v>NONE</v>
          </cell>
          <cell r="N1922">
            <v>0</v>
          </cell>
          <cell r="O1922" t="str">
            <v>06/28/2019</v>
          </cell>
          <cell r="P1922" t="str">
            <v>08/30/2019</v>
          </cell>
          <cell r="Q1922">
            <v>1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1</v>
          </cell>
          <cell r="W1922">
            <v>2</v>
          </cell>
          <cell r="X1922">
            <v>1</v>
          </cell>
          <cell r="Y1922">
            <v>0</v>
          </cell>
        </row>
        <row r="1923">
          <cell r="D1923">
            <v>307923</v>
          </cell>
          <cell r="E1923" t="str">
            <v>Southville I Integrated National High School</v>
          </cell>
          <cell r="F1923">
            <v>0</v>
          </cell>
          <cell r="G1923">
            <v>0</v>
          </cell>
          <cell r="H1923">
            <v>1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</row>
        <row r="1924">
          <cell r="D1924">
            <v>304846</v>
          </cell>
          <cell r="E1924" t="str">
            <v>Liliw Senior High School</v>
          </cell>
          <cell r="F1924">
            <v>1</v>
          </cell>
          <cell r="G1924">
            <v>0</v>
          </cell>
          <cell r="H1924">
            <v>1</v>
          </cell>
          <cell r="I1924">
            <v>0</v>
          </cell>
          <cell r="J1924">
            <v>0</v>
          </cell>
          <cell r="K1924">
            <v>1</v>
          </cell>
          <cell r="L1924">
            <v>0</v>
          </cell>
          <cell r="M1924">
            <v>0</v>
          </cell>
          <cell r="N1924">
            <v>0</v>
          </cell>
          <cell r="O1924">
            <v>43709</v>
          </cell>
          <cell r="P1924">
            <v>43709</v>
          </cell>
          <cell r="Q1924">
            <v>1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1</v>
          </cell>
          <cell r="W1924">
            <v>0</v>
          </cell>
          <cell r="X1924">
            <v>0</v>
          </cell>
          <cell r="Y1924">
            <v>0</v>
          </cell>
        </row>
        <row r="1925">
          <cell r="D1925">
            <v>342570</v>
          </cell>
          <cell r="E1925" t="str">
            <v>San Isidro Senior High School</v>
          </cell>
          <cell r="F1925">
            <v>1</v>
          </cell>
          <cell r="G1925">
            <v>0</v>
          </cell>
          <cell r="H1925">
            <v>1</v>
          </cell>
          <cell r="I1925">
            <v>0</v>
          </cell>
          <cell r="J1925">
            <v>0</v>
          </cell>
          <cell r="K1925">
            <v>1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</row>
        <row r="1926">
          <cell r="D1926">
            <v>301433</v>
          </cell>
          <cell r="E1926" t="str">
            <v>Carlos "Botong"  V. Francisco MNHS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</row>
        <row r="1927">
          <cell r="D1927">
            <v>307930</v>
          </cell>
          <cell r="E1927" t="str">
            <v>Laguna Science NHS (Masaya NHS Annex)</v>
          </cell>
          <cell r="F1927">
            <v>1</v>
          </cell>
          <cell r="G1927">
            <v>1</v>
          </cell>
          <cell r="H1927">
            <v>1</v>
          </cell>
          <cell r="I1927">
            <v>0</v>
          </cell>
          <cell r="J1927">
            <v>0</v>
          </cell>
          <cell r="K1927">
            <v>1</v>
          </cell>
          <cell r="L1927">
            <v>0</v>
          </cell>
          <cell r="M1927">
            <v>0</v>
          </cell>
          <cell r="N1927">
            <v>1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1</v>
          </cell>
          <cell r="T1927">
            <v>0</v>
          </cell>
          <cell r="U1927">
            <v>0</v>
          </cell>
          <cell r="V1927">
            <v>1</v>
          </cell>
          <cell r="W1927">
            <v>0</v>
          </cell>
          <cell r="X1927">
            <v>0</v>
          </cell>
          <cell r="Y1927">
            <v>0</v>
          </cell>
        </row>
        <row r="1928">
          <cell r="D1928">
            <v>301235</v>
          </cell>
          <cell r="E1928" t="str">
            <v>Casile Integrated National High School</v>
          </cell>
          <cell r="F1928">
            <v>1</v>
          </cell>
          <cell r="G1928">
            <v>0</v>
          </cell>
          <cell r="H1928">
            <v>1</v>
          </cell>
          <cell r="I1928">
            <v>0</v>
          </cell>
          <cell r="J1928">
            <v>1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43647</v>
          </cell>
          <cell r="P1928">
            <v>43709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1</v>
          </cell>
          <cell r="W1928">
            <v>0</v>
          </cell>
          <cell r="X1928">
            <v>0</v>
          </cell>
          <cell r="Y1928">
            <v>0</v>
          </cell>
        </row>
        <row r="1929">
          <cell r="D1929">
            <v>301229</v>
          </cell>
          <cell r="E1929" t="str">
            <v>Bigaa Integrated National High School</v>
          </cell>
          <cell r="F1929">
            <v>1</v>
          </cell>
          <cell r="G1929">
            <v>0</v>
          </cell>
          <cell r="H1929">
            <v>1</v>
          </cell>
          <cell r="I1929">
            <v>0</v>
          </cell>
          <cell r="J1929">
            <v>1</v>
          </cell>
          <cell r="K1929">
            <v>0</v>
          </cell>
          <cell r="L1929">
            <v>0</v>
          </cell>
          <cell r="M1929">
            <v>0</v>
          </cell>
          <cell r="N1929">
            <v>1</v>
          </cell>
          <cell r="O1929">
            <v>0</v>
          </cell>
          <cell r="P1929" t="str">
            <v>June 5, 2019</v>
          </cell>
          <cell r="Q1929">
            <v>0</v>
          </cell>
          <cell r="R1929">
            <v>0</v>
          </cell>
          <cell r="S1929">
            <v>1</v>
          </cell>
          <cell r="T1929">
            <v>0</v>
          </cell>
          <cell r="U1929">
            <v>0</v>
          </cell>
          <cell r="V1929">
            <v>1</v>
          </cell>
          <cell r="W1929">
            <v>0</v>
          </cell>
          <cell r="X1929">
            <v>0</v>
          </cell>
          <cell r="Y1929">
            <v>0</v>
          </cell>
        </row>
        <row r="1930">
          <cell r="D1930">
            <v>303491</v>
          </cell>
          <cell r="E1930" t="str">
            <v>Lipa City Senior High School</v>
          </cell>
          <cell r="F1930">
            <v>1</v>
          </cell>
          <cell r="G1930">
            <v>1</v>
          </cell>
          <cell r="H1930">
            <v>1</v>
          </cell>
          <cell r="I1930">
            <v>0</v>
          </cell>
          <cell r="J1930">
            <v>1</v>
          </cell>
          <cell r="K1930">
            <v>0</v>
          </cell>
          <cell r="L1930">
            <v>0</v>
          </cell>
          <cell r="M1930">
            <v>0</v>
          </cell>
          <cell r="N1930">
            <v>1</v>
          </cell>
          <cell r="O1930">
            <v>43562</v>
          </cell>
          <cell r="P1930">
            <v>43562</v>
          </cell>
          <cell r="Q1930">
            <v>1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1</v>
          </cell>
          <cell r="W1930">
            <v>20</v>
          </cell>
          <cell r="X1930">
            <v>20</v>
          </cell>
          <cell r="Y1930">
            <v>0</v>
          </cell>
        </row>
        <row r="1931">
          <cell r="D1931">
            <v>301531</v>
          </cell>
          <cell r="E1931" t="str">
            <v>Bangbang National High School</v>
          </cell>
          <cell r="F1931">
            <v>1</v>
          </cell>
          <cell r="G1931">
            <v>1</v>
          </cell>
          <cell r="H1931">
            <v>1</v>
          </cell>
          <cell r="I1931">
            <v>0</v>
          </cell>
          <cell r="J1931">
            <v>1</v>
          </cell>
          <cell r="K1931">
            <v>0</v>
          </cell>
          <cell r="L1931">
            <v>0</v>
          </cell>
          <cell r="M1931">
            <v>0</v>
          </cell>
          <cell r="N1931">
            <v>1</v>
          </cell>
          <cell r="O1931">
            <v>0</v>
          </cell>
          <cell r="P1931">
            <v>0</v>
          </cell>
          <cell r="Q1931">
            <v>0</v>
          </cell>
          <cell r="R1931">
            <v>1</v>
          </cell>
          <cell r="S1931">
            <v>0</v>
          </cell>
          <cell r="T1931">
            <v>0</v>
          </cell>
          <cell r="U1931">
            <v>0</v>
          </cell>
          <cell r="V1931">
            <v>1</v>
          </cell>
          <cell r="W1931">
            <v>1</v>
          </cell>
          <cell r="X1931">
            <v>0</v>
          </cell>
          <cell r="Y1931">
            <v>0</v>
          </cell>
        </row>
        <row r="1932">
          <cell r="D1932">
            <v>301530</v>
          </cell>
          <cell r="E1932" t="str">
            <v>Balanacan NHS</v>
          </cell>
          <cell r="F1932">
            <v>0</v>
          </cell>
          <cell r="G1932">
            <v>0</v>
          </cell>
          <cell r="H1932">
            <v>1</v>
          </cell>
          <cell r="I1932">
            <v>0</v>
          </cell>
          <cell r="J1932">
            <v>0</v>
          </cell>
          <cell r="K1932">
            <v>1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43621</v>
          </cell>
          <cell r="Q1932">
            <v>0</v>
          </cell>
          <cell r="R1932">
            <v>1</v>
          </cell>
          <cell r="S1932">
            <v>0</v>
          </cell>
          <cell r="T1932">
            <v>0</v>
          </cell>
          <cell r="U1932">
            <v>0</v>
          </cell>
          <cell r="V1932">
            <v>1</v>
          </cell>
          <cell r="W1932">
            <v>0</v>
          </cell>
          <cell r="X1932">
            <v>0</v>
          </cell>
          <cell r="Y1932">
            <v>0</v>
          </cell>
        </row>
        <row r="1933">
          <cell r="D1933">
            <v>301549</v>
          </cell>
          <cell r="E1933" t="str">
            <v>Makapuyat NHS</v>
          </cell>
          <cell r="F1933">
            <v>1</v>
          </cell>
          <cell r="G1933">
            <v>0</v>
          </cell>
          <cell r="H1933">
            <v>1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1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</row>
        <row r="1934">
          <cell r="D1934">
            <v>301536</v>
          </cell>
          <cell r="E1934" t="str">
            <v>Buenavista NHS - Bagacay Annex</v>
          </cell>
          <cell r="F1934">
            <v>1</v>
          </cell>
          <cell r="G1934">
            <v>1</v>
          </cell>
          <cell r="H1934">
            <v>1</v>
          </cell>
          <cell r="I1934">
            <v>0</v>
          </cell>
          <cell r="J1934">
            <v>1</v>
          </cell>
          <cell r="K1934">
            <v>0</v>
          </cell>
          <cell r="L1934">
            <v>0</v>
          </cell>
          <cell r="M1934">
            <v>0</v>
          </cell>
          <cell r="N1934">
            <v>1</v>
          </cell>
          <cell r="O1934" t="str">
            <v>8/17/2019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1</v>
          </cell>
          <cell r="W1934">
            <v>0</v>
          </cell>
          <cell r="X1934">
            <v>0</v>
          </cell>
          <cell r="Y1934">
            <v>0</v>
          </cell>
        </row>
        <row r="1935">
          <cell r="D1935">
            <v>301533</v>
          </cell>
          <cell r="E1935" t="str">
            <v>Bonliw National High School</v>
          </cell>
          <cell r="F1935">
            <v>1</v>
          </cell>
          <cell r="G1935">
            <v>0</v>
          </cell>
          <cell r="H1935">
            <v>1</v>
          </cell>
          <cell r="I1935">
            <v>0</v>
          </cell>
          <cell r="J1935">
            <v>1</v>
          </cell>
          <cell r="K1935">
            <v>0</v>
          </cell>
          <cell r="L1935">
            <v>0</v>
          </cell>
          <cell r="M1935">
            <v>0</v>
          </cell>
          <cell r="N1935">
            <v>1</v>
          </cell>
          <cell r="O1935">
            <v>43647</v>
          </cell>
          <cell r="P1935" t="str">
            <v>August 10, 2019</v>
          </cell>
          <cell r="Q1935">
            <v>1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1</v>
          </cell>
          <cell r="W1935">
            <v>5</v>
          </cell>
          <cell r="X1935">
            <v>0</v>
          </cell>
          <cell r="Y1935">
            <v>0</v>
          </cell>
        </row>
        <row r="1936">
          <cell r="D1936">
            <v>301560</v>
          </cell>
          <cell r="E1936" t="str">
            <v>Punong NHS</v>
          </cell>
          <cell r="F1936">
            <v>1</v>
          </cell>
          <cell r="G1936">
            <v>1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</row>
        <row r="1937">
          <cell r="D1937">
            <v>301548</v>
          </cell>
          <cell r="E1937" t="str">
            <v>Landy National High School</v>
          </cell>
          <cell r="F1937">
            <v>1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</row>
        <row r="1938">
          <cell r="D1938">
            <v>301566</v>
          </cell>
          <cell r="E1938" t="str">
            <v>Tigwi NHS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</row>
        <row r="1939">
          <cell r="D1939">
            <v>342646</v>
          </cell>
          <cell r="E1939" t="str">
            <v>TORRIJOS SENIOR HIGH SCHOOL</v>
          </cell>
          <cell r="F1939">
            <v>0</v>
          </cell>
          <cell r="G1939">
            <v>0</v>
          </cell>
          <cell r="H1939">
            <v>1</v>
          </cell>
          <cell r="I1939">
            <v>0</v>
          </cell>
          <cell r="J1939">
            <v>0</v>
          </cell>
          <cell r="K1939">
            <v>0</v>
          </cell>
          <cell r="L1939">
            <v>1</v>
          </cell>
          <cell r="M1939" t="str">
            <v>AS NEEDS ARISES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1</v>
          </cell>
          <cell r="U1939" t="str">
            <v>AS NEEDS ARISES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</row>
        <row r="1940">
          <cell r="D1940">
            <v>301535</v>
          </cell>
          <cell r="E1940" t="str">
            <v>Buenavista NHS</v>
          </cell>
          <cell r="F1940">
            <v>1</v>
          </cell>
          <cell r="G1940">
            <v>0</v>
          </cell>
          <cell r="H1940">
            <v>1</v>
          </cell>
          <cell r="I1940">
            <v>0</v>
          </cell>
          <cell r="J1940">
            <v>1</v>
          </cell>
          <cell r="K1940">
            <v>0</v>
          </cell>
          <cell r="L1940">
            <v>0</v>
          </cell>
          <cell r="M1940">
            <v>0</v>
          </cell>
          <cell r="N1940">
            <v>1</v>
          </cell>
          <cell r="O1940">
            <v>0</v>
          </cell>
          <cell r="P1940">
            <v>0</v>
          </cell>
          <cell r="Q1940">
            <v>0</v>
          </cell>
          <cell r="R1940">
            <v>1</v>
          </cell>
          <cell r="S1940">
            <v>0</v>
          </cell>
          <cell r="T1940">
            <v>0</v>
          </cell>
          <cell r="U1940">
            <v>0</v>
          </cell>
          <cell r="V1940">
            <v>1</v>
          </cell>
          <cell r="W1940">
            <v>3</v>
          </cell>
          <cell r="X1940">
            <v>2</v>
          </cell>
          <cell r="Y1940">
            <v>0</v>
          </cell>
        </row>
        <row r="1941">
          <cell r="D1941">
            <v>301534</v>
          </cell>
          <cell r="E1941" t="str">
            <v>Botilao NHS</v>
          </cell>
          <cell r="F1941">
            <v>0</v>
          </cell>
          <cell r="G1941">
            <v>0</v>
          </cell>
          <cell r="H1941">
            <v>1</v>
          </cell>
          <cell r="I1941">
            <v>0</v>
          </cell>
          <cell r="J1941">
            <v>1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1</v>
          </cell>
          <cell r="S1941">
            <v>0</v>
          </cell>
          <cell r="T1941">
            <v>0</v>
          </cell>
          <cell r="U1941">
            <v>0</v>
          </cell>
          <cell r="V1941">
            <v>1</v>
          </cell>
          <cell r="W1941">
            <v>0</v>
          </cell>
          <cell r="X1941">
            <v>0</v>
          </cell>
          <cell r="Y1941">
            <v>0</v>
          </cell>
        </row>
        <row r="1942">
          <cell r="D1942">
            <v>301545</v>
          </cell>
          <cell r="E1942" t="str">
            <v>Ipil National High School</v>
          </cell>
          <cell r="F1942">
            <v>1</v>
          </cell>
          <cell r="G1942">
            <v>1</v>
          </cell>
          <cell r="H1942">
            <v>1</v>
          </cell>
          <cell r="I1942">
            <v>0</v>
          </cell>
          <cell r="J1942">
            <v>1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</row>
        <row r="1943">
          <cell r="D1943">
            <v>301542</v>
          </cell>
          <cell r="E1943" t="str">
            <v>Dolores NHS</v>
          </cell>
          <cell r="F1943">
            <v>1</v>
          </cell>
          <cell r="G1943">
            <v>0</v>
          </cell>
          <cell r="H1943">
            <v>1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</row>
        <row r="1944">
          <cell r="D1944">
            <v>301550</v>
          </cell>
          <cell r="E1944" t="str">
            <v>Makapuyat NHS - Masaguisi Annex</v>
          </cell>
          <cell r="F1944">
            <v>0</v>
          </cell>
          <cell r="G1944">
            <v>0</v>
          </cell>
          <cell r="H1944">
            <v>1</v>
          </cell>
          <cell r="I1944">
            <v>1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1</v>
          </cell>
          <cell r="T1944">
            <v>0</v>
          </cell>
          <cell r="U1944">
            <v>0</v>
          </cell>
          <cell r="V1944">
            <v>1</v>
          </cell>
          <cell r="W1944">
            <v>0</v>
          </cell>
          <cell r="X1944">
            <v>0</v>
          </cell>
          <cell r="Y1944">
            <v>0</v>
          </cell>
        </row>
        <row r="1945">
          <cell r="D1945">
            <v>308804</v>
          </cell>
          <cell r="E1945" t="str">
            <v>Paciano A. Sena Mem. HS (Tabionan NHS)</v>
          </cell>
          <cell r="F1945">
            <v>1</v>
          </cell>
          <cell r="G1945">
            <v>1</v>
          </cell>
          <cell r="H1945">
            <v>1</v>
          </cell>
          <cell r="I1945">
            <v>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1</v>
          </cell>
          <cell r="O1945">
            <v>0</v>
          </cell>
          <cell r="P1945">
            <v>0</v>
          </cell>
          <cell r="Q1945">
            <v>0</v>
          </cell>
          <cell r="R1945">
            <v>1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</row>
        <row r="1946">
          <cell r="D1946">
            <v>301568</v>
          </cell>
          <cell r="E1946" t="str">
            <v>Yook NHS</v>
          </cell>
          <cell r="F1946">
            <v>1</v>
          </cell>
          <cell r="G1946">
            <v>1</v>
          </cell>
          <cell r="H1946">
            <v>1</v>
          </cell>
          <cell r="I1946">
            <v>0</v>
          </cell>
          <cell r="J1946">
            <v>1</v>
          </cell>
          <cell r="K1946">
            <v>0</v>
          </cell>
          <cell r="L1946">
            <v>0</v>
          </cell>
          <cell r="M1946">
            <v>0</v>
          </cell>
          <cell r="N1946">
            <v>1</v>
          </cell>
          <cell r="O1946">
            <v>0</v>
          </cell>
          <cell r="P1946">
            <v>0</v>
          </cell>
          <cell r="Q1946">
            <v>0</v>
          </cell>
          <cell r="R1946">
            <v>1</v>
          </cell>
          <cell r="S1946">
            <v>0</v>
          </cell>
          <cell r="T1946">
            <v>0</v>
          </cell>
          <cell r="U1946">
            <v>0</v>
          </cell>
          <cell r="V1946">
            <v>1</v>
          </cell>
          <cell r="W1946">
            <v>0</v>
          </cell>
          <cell r="X1946">
            <v>0</v>
          </cell>
          <cell r="Y1946">
            <v>0</v>
          </cell>
        </row>
        <row r="1947">
          <cell r="D1947">
            <v>301562</v>
          </cell>
          <cell r="E1947" t="str">
            <v>Sibuyao NHS</v>
          </cell>
          <cell r="F1947">
            <v>1</v>
          </cell>
          <cell r="G1947">
            <v>0</v>
          </cell>
          <cell r="H1947">
            <v>1</v>
          </cell>
          <cell r="I1947">
            <v>0</v>
          </cell>
          <cell r="J1947">
            <v>1</v>
          </cell>
          <cell r="K1947">
            <v>0</v>
          </cell>
          <cell r="L1947">
            <v>0</v>
          </cell>
          <cell r="M1947">
            <v>0</v>
          </cell>
          <cell r="N1947">
            <v>1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1</v>
          </cell>
          <cell r="T1947">
            <v>0</v>
          </cell>
          <cell r="U1947">
            <v>0</v>
          </cell>
          <cell r="V1947">
            <v>1</v>
          </cell>
          <cell r="W1947">
            <v>0</v>
          </cell>
          <cell r="X1947">
            <v>0</v>
          </cell>
          <cell r="Y1947">
            <v>0</v>
          </cell>
        </row>
        <row r="1948">
          <cell r="D1948">
            <v>301567</v>
          </cell>
          <cell r="E1948" t="str">
            <v>Tiguion National High School</v>
          </cell>
          <cell r="F1948">
            <v>1</v>
          </cell>
          <cell r="G1948">
            <v>0</v>
          </cell>
          <cell r="H1948">
            <v>1</v>
          </cell>
          <cell r="I1948">
            <v>0</v>
          </cell>
          <cell r="J1948">
            <v>1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</row>
        <row r="1949">
          <cell r="D1949">
            <v>308801</v>
          </cell>
          <cell r="E1949" t="str">
            <v>Poctoy NHS (Bonliw NHS-Poctoy Annex)</v>
          </cell>
          <cell r="F1949">
            <v>1</v>
          </cell>
          <cell r="G1949">
            <v>1</v>
          </cell>
          <cell r="H1949">
            <v>1</v>
          </cell>
          <cell r="I1949">
            <v>0</v>
          </cell>
          <cell r="J1949">
            <v>0</v>
          </cell>
          <cell r="K1949">
            <v>1</v>
          </cell>
          <cell r="L1949">
            <v>0</v>
          </cell>
          <cell r="M1949">
            <v>0</v>
          </cell>
          <cell r="N1949">
            <v>1</v>
          </cell>
          <cell r="O1949">
            <v>0</v>
          </cell>
          <cell r="P1949">
            <v>0</v>
          </cell>
          <cell r="Q1949">
            <v>0</v>
          </cell>
          <cell r="R1949">
            <v>1</v>
          </cell>
          <cell r="S1949">
            <v>0</v>
          </cell>
          <cell r="T1949">
            <v>0</v>
          </cell>
          <cell r="U1949">
            <v>0</v>
          </cell>
          <cell r="V1949">
            <v>1</v>
          </cell>
          <cell r="W1949">
            <v>0</v>
          </cell>
          <cell r="X1949">
            <v>0</v>
          </cell>
          <cell r="Y1949">
            <v>0</v>
          </cell>
        </row>
        <row r="1950">
          <cell r="D1950">
            <v>301555</v>
          </cell>
          <cell r="E1950" t="str">
            <v>Matalaba NHS</v>
          </cell>
          <cell r="F1950">
            <v>0</v>
          </cell>
          <cell r="G1950">
            <v>0</v>
          </cell>
          <cell r="H1950">
            <v>1</v>
          </cell>
          <cell r="I1950">
            <v>0</v>
          </cell>
          <cell r="J1950">
            <v>1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43672</v>
          </cell>
          <cell r="Q1950">
            <v>0</v>
          </cell>
          <cell r="R1950">
            <v>1</v>
          </cell>
          <cell r="S1950">
            <v>0</v>
          </cell>
          <cell r="T1950">
            <v>0</v>
          </cell>
          <cell r="U1950">
            <v>0</v>
          </cell>
          <cell r="V1950">
            <v>1</v>
          </cell>
          <cell r="W1950">
            <v>0</v>
          </cell>
          <cell r="X1950">
            <v>0</v>
          </cell>
          <cell r="Y1950">
            <v>0</v>
          </cell>
        </row>
        <row r="1951">
          <cell r="D1951">
            <v>301538</v>
          </cell>
          <cell r="E1951" t="str">
            <v>Buenavista NHS - Lipata-Tungib Annex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</row>
        <row r="1952">
          <cell r="D1952">
            <v>301552</v>
          </cell>
          <cell r="E1952" t="str">
            <v>Maniwaya National High School</v>
          </cell>
          <cell r="F1952">
            <v>0</v>
          </cell>
          <cell r="G1952">
            <v>0</v>
          </cell>
          <cell r="H1952">
            <v>1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</row>
        <row r="1953">
          <cell r="D1953">
            <v>301547</v>
          </cell>
          <cell r="E1953" t="str">
            <v>Kilo-Kilo National High School</v>
          </cell>
          <cell r="F1953">
            <v>1</v>
          </cell>
          <cell r="G1953">
            <v>0</v>
          </cell>
          <cell r="H1953">
            <v>1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1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1</v>
          </cell>
          <cell r="W1953">
            <v>0</v>
          </cell>
          <cell r="X1953">
            <v>0</v>
          </cell>
          <cell r="Y1953">
            <v>0</v>
          </cell>
        </row>
        <row r="1954">
          <cell r="D1954">
            <v>301557</v>
          </cell>
          <cell r="E1954" t="str">
            <v>Mogpog National Comprehensive High School</v>
          </cell>
          <cell r="F1954">
            <v>1</v>
          </cell>
          <cell r="G1954">
            <v>0</v>
          </cell>
          <cell r="H1954">
            <v>1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1</v>
          </cell>
          <cell r="O1954">
            <v>0</v>
          </cell>
          <cell r="P1954">
            <v>43665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1</v>
          </cell>
          <cell r="X1954">
            <v>0</v>
          </cell>
          <cell r="Y1954">
            <v>0</v>
          </cell>
        </row>
        <row r="1955">
          <cell r="D1955">
            <v>301556</v>
          </cell>
          <cell r="E1955" t="str">
            <v>Matuyatuya National High School</v>
          </cell>
          <cell r="F1955">
            <v>1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</row>
        <row r="1956">
          <cell r="D1956">
            <v>301563</v>
          </cell>
          <cell r="E1956" t="str">
            <v>Tagum National High School</v>
          </cell>
          <cell r="F1956">
            <v>1</v>
          </cell>
          <cell r="G1956">
            <v>0</v>
          </cell>
          <cell r="H1956">
            <v>1</v>
          </cell>
          <cell r="I1956">
            <v>0</v>
          </cell>
          <cell r="J1956">
            <v>0</v>
          </cell>
          <cell r="K1956">
            <v>1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</row>
        <row r="1957">
          <cell r="D1957">
            <v>301543</v>
          </cell>
          <cell r="E1957" t="str">
            <v>Hupi National High School</v>
          </cell>
          <cell r="F1957">
            <v>1</v>
          </cell>
          <cell r="G1957">
            <v>1</v>
          </cell>
          <cell r="H1957">
            <v>1</v>
          </cell>
          <cell r="I1957">
            <v>0</v>
          </cell>
          <cell r="J1957">
            <v>1</v>
          </cell>
          <cell r="K1957">
            <v>0</v>
          </cell>
          <cell r="L1957">
            <v>0</v>
          </cell>
          <cell r="M1957">
            <v>0</v>
          </cell>
          <cell r="N1957">
            <v>1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1</v>
          </cell>
          <cell r="W1957">
            <v>0</v>
          </cell>
          <cell r="X1957">
            <v>0</v>
          </cell>
          <cell r="Y1957">
            <v>0</v>
          </cell>
        </row>
        <row r="1958">
          <cell r="D1958">
            <v>301553</v>
          </cell>
          <cell r="E1958" t="str">
            <v>Maranlig National High School</v>
          </cell>
          <cell r="F1958">
            <v>1</v>
          </cell>
          <cell r="G1958">
            <v>1</v>
          </cell>
          <cell r="H1958">
            <v>1</v>
          </cell>
          <cell r="I1958">
            <v>0</v>
          </cell>
          <cell r="J1958">
            <v>1</v>
          </cell>
          <cell r="K1958">
            <v>0</v>
          </cell>
          <cell r="L1958">
            <v>0</v>
          </cell>
          <cell r="M1958">
            <v>0</v>
          </cell>
          <cell r="N1958">
            <v>1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1</v>
          </cell>
          <cell r="T1958">
            <v>0</v>
          </cell>
          <cell r="U1958">
            <v>0</v>
          </cell>
          <cell r="V1958">
            <v>1</v>
          </cell>
          <cell r="W1958">
            <v>0</v>
          </cell>
          <cell r="X1958">
            <v>0</v>
          </cell>
          <cell r="Y1958">
            <v>0</v>
          </cell>
        </row>
        <row r="1959">
          <cell r="D1959">
            <v>301565</v>
          </cell>
          <cell r="E1959" t="str">
            <v>Tapuyan NHS</v>
          </cell>
          <cell r="F1959">
            <v>1</v>
          </cell>
          <cell r="G1959">
            <v>0</v>
          </cell>
          <cell r="H1959">
            <v>1</v>
          </cell>
          <cell r="I1959">
            <v>0</v>
          </cell>
          <cell r="J1959">
            <v>0</v>
          </cell>
          <cell r="K1959">
            <v>1</v>
          </cell>
          <cell r="L1959">
            <v>0</v>
          </cell>
          <cell r="M1959">
            <v>0</v>
          </cell>
          <cell r="N1959">
            <v>1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1</v>
          </cell>
          <cell r="T1959">
            <v>0</v>
          </cell>
          <cell r="U1959">
            <v>0</v>
          </cell>
          <cell r="V1959">
            <v>1</v>
          </cell>
          <cell r="W1959">
            <v>0</v>
          </cell>
          <cell r="X1959">
            <v>0</v>
          </cell>
          <cell r="Y1959">
            <v>0</v>
          </cell>
        </row>
        <row r="1960">
          <cell r="D1960">
            <v>301541</v>
          </cell>
          <cell r="E1960" t="str">
            <v>Cawit National Comprehensive High School</v>
          </cell>
          <cell r="F1960">
            <v>1</v>
          </cell>
          <cell r="G1960">
            <v>0</v>
          </cell>
          <cell r="H1960">
            <v>1</v>
          </cell>
          <cell r="I1960">
            <v>0</v>
          </cell>
          <cell r="J1960">
            <v>0</v>
          </cell>
          <cell r="K1960">
            <v>1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</row>
        <row r="1961">
          <cell r="D1961">
            <v>301561</v>
          </cell>
          <cell r="E1961" t="str">
            <v>Sayao National High School</v>
          </cell>
          <cell r="F1961">
            <v>0</v>
          </cell>
          <cell r="G1961">
            <v>0</v>
          </cell>
          <cell r="H1961">
            <v>1</v>
          </cell>
          <cell r="I1961">
            <v>1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1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1</v>
          </cell>
          <cell r="W1961">
            <v>0</v>
          </cell>
          <cell r="X1961">
            <v>0</v>
          </cell>
          <cell r="Y1961">
            <v>0</v>
          </cell>
        </row>
        <row r="1962">
          <cell r="D1962">
            <v>301532</v>
          </cell>
          <cell r="E1962" t="str">
            <v>Bognuyan NHS</v>
          </cell>
          <cell r="F1962">
            <v>1</v>
          </cell>
          <cell r="G1962">
            <v>1</v>
          </cell>
          <cell r="H1962">
            <v>1</v>
          </cell>
          <cell r="I1962">
            <v>0</v>
          </cell>
          <cell r="J1962">
            <v>0</v>
          </cell>
          <cell r="K1962">
            <v>1</v>
          </cell>
          <cell r="L1962">
            <v>0</v>
          </cell>
          <cell r="M1962">
            <v>0</v>
          </cell>
          <cell r="N1962">
            <v>1</v>
          </cell>
          <cell r="O1962" t="str">
            <v>DURING 1ST PTA MEETING</v>
          </cell>
          <cell r="P1962" t="str">
            <v>LAST QUARTER</v>
          </cell>
          <cell r="Q1962">
            <v>0</v>
          </cell>
          <cell r="R1962">
            <v>1</v>
          </cell>
          <cell r="S1962">
            <v>0</v>
          </cell>
          <cell r="T1962">
            <v>0</v>
          </cell>
          <cell r="U1962">
            <v>0</v>
          </cell>
          <cell r="V1962">
            <v>1</v>
          </cell>
          <cell r="W1962">
            <v>0</v>
          </cell>
          <cell r="X1962">
            <v>0</v>
          </cell>
          <cell r="Y1962">
            <v>0</v>
          </cell>
        </row>
        <row r="1963">
          <cell r="D1963">
            <v>301544</v>
          </cell>
          <cell r="E1963" t="str">
            <v>Ilaya NHS</v>
          </cell>
          <cell r="F1963">
            <v>1</v>
          </cell>
          <cell r="G1963">
            <v>0</v>
          </cell>
          <cell r="H1963">
            <v>1</v>
          </cell>
          <cell r="I1963">
            <v>0</v>
          </cell>
          <cell r="J1963">
            <v>1</v>
          </cell>
          <cell r="K1963">
            <v>0</v>
          </cell>
          <cell r="L1963">
            <v>0</v>
          </cell>
          <cell r="M1963">
            <v>0</v>
          </cell>
          <cell r="N1963">
            <v>1</v>
          </cell>
          <cell r="O1963">
            <v>43665</v>
          </cell>
          <cell r="P1963">
            <v>43679</v>
          </cell>
          <cell r="Q1963">
            <v>1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1</v>
          </cell>
          <cell r="W1963">
            <v>0</v>
          </cell>
          <cell r="X1963">
            <v>0</v>
          </cell>
          <cell r="Y1963">
            <v>0</v>
          </cell>
        </row>
        <row r="1964">
          <cell r="D1964">
            <v>301551</v>
          </cell>
          <cell r="E1964" t="str">
            <v>Malibago National High School</v>
          </cell>
          <cell r="F1964">
            <v>1</v>
          </cell>
          <cell r="G1964">
            <v>1</v>
          </cell>
          <cell r="H1964">
            <v>1</v>
          </cell>
          <cell r="I1964">
            <v>0</v>
          </cell>
          <cell r="J1964">
            <v>1</v>
          </cell>
          <cell r="K1964">
            <v>0</v>
          </cell>
          <cell r="L1964">
            <v>0</v>
          </cell>
          <cell r="M1964">
            <v>0</v>
          </cell>
          <cell r="N1964">
            <v>1</v>
          </cell>
          <cell r="O1964">
            <v>0</v>
          </cell>
          <cell r="P1964">
            <v>0</v>
          </cell>
          <cell r="Q1964">
            <v>1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  <cell r="V1964">
            <v>1</v>
          </cell>
          <cell r="W1964">
            <v>0</v>
          </cell>
          <cell r="X1964">
            <v>0</v>
          </cell>
          <cell r="Y1964">
            <v>0</v>
          </cell>
        </row>
        <row r="1965">
          <cell r="D1965">
            <v>301558</v>
          </cell>
          <cell r="E1965" t="str">
            <v>Mongpong NHS</v>
          </cell>
          <cell r="F1965">
            <v>1</v>
          </cell>
          <cell r="G1965">
            <v>0</v>
          </cell>
          <cell r="H1965">
            <v>1</v>
          </cell>
          <cell r="I1965">
            <v>0</v>
          </cell>
          <cell r="J1965">
            <v>1</v>
          </cell>
          <cell r="K1965">
            <v>0</v>
          </cell>
          <cell r="L1965">
            <v>0</v>
          </cell>
          <cell r="M1965">
            <v>0</v>
          </cell>
          <cell r="N1965">
            <v>1</v>
          </cell>
          <cell r="O1965">
            <v>0</v>
          </cell>
          <cell r="P1965">
            <v>43657</v>
          </cell>
          <cell r="Q1965">
            <v>1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1</v>
          </cell>
          <cell r="W1965">
            <v>3</v>
          </cell>
          <cell r="X1965">
            <v>0</v>
          </cell>
          <cell r="Y1965">
            <v>0</v>
          </cell>
        </row>
        <row r="1966">
          <cell r="D1966">
            <v>301554</v>
          </cell>
          <cell r="E1966" t="str">
            <v>Marinduque NHS</v>
          </cell>
          <cell r="F1966">
            <v>1</v>
          </cell>
          <cell r="G1966">
            <v>1</v>
          </cell>
          <cell r="H1966">
            <v>1</v>
          </cell>
          <cell r="I1966">
            <v>0</v>
          </cell>
          <cell r="J1966">
            <v>0</v>
          </cell>
          <cell r="K1966">
            <v>1</v>
          </cell>
          <cell r="L1966">
            <v>0</v>
          </cell>
          <cell r="M1966">
            <v>0</v>
          </cell>
          <cell r="N1966">
            <v>1</v>
          </cell>
          <cell r="O1966">
            <v>0</v>
          </cell>
          <cell r="P1966">
            <v>0</v>
          </cell>
          <cell r="Q1966">
            <v>0</v>
          </cell>
          <cell r="R1966">
            <v>1</v>
          </cell>
          <cell r="S1966">
            <v>0</v>
          </cell>
          <cell r="T1966">
            <v>0</v>
          </cell>
          <cell r="U1966">
            <v>0</v>
          </cell>
          <cell r="V1966">
            <v>1</v>
          </cell>
          <cell r="W1966">
            <v>0</v>
          </cell>
          <cell r="X1966">
            <v>0</v>
          </cell>
          <cell r="Y1966">
            <v>0</v>
          </cell>
        </row>
        <row r="1967">
          <cell r="D1967">
            <v>301589</v>
          </cell>
          <cell r="E1967" t="str">
            <v>Mapaya National High School</v>
          </cell>
          <cell r="F1967">
            <v>1</v>
          </cell>
          <cell r="G1967">
            <v>1</v>
          </cell>
          <cell r="H1967">
            <v>0</v>
          </cell>
          <cell r="I1967">
            <v>0</v>
          </cell>
          <cell r="J1967">
            <v>1</v>
          </cell>
          <cell r="K1967">
            <v>0</v>
          </cell>
          <cell r="L1967">
            <v>0</v>
          </cell>
          <cell r="M1967">
            <v>0</v>
          </cell>
          <cell r="N1967">
            <v>1</v>
          </cell>
          <cell r="O1967" t="str">
            <v>10-15-2019</v>
          </cell>
          <cell r="P1967" t="str">
            <v>9-30-2019</v>
          </cell>
          <cell r="Q1967">
            <v>1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1</v>
          </cell>
          <cell r="W1967">
            <v>1</v>
          </cell>
          <cell r="X1967">
            <v>1</v>
          </cell>
          <cell r="Y1967">
            <v>1</v>
          </cell>
        </row>
        <row r="1968">
          <cell r="D1968">
            <v>301595</v>
          </cell>
          <cell r="E1968" t="str">
            <v>RIZAL NATIONAL HIGH SCHOOL</v>
          </cell>
          <cell r="F1968">
            <v>1</v>
          </cell>
          <cell r="G1968">
            <v>0</v>
          </cell>
          <cell r="H1968">
            <v>0</v>
          </cell>
          <cell r="I1968">
            <v>0</v>
          </cell>
          <cell r="J1968">
            <v>1</v>
          </cell>
          <cell r="K1968">
            <v>0</v>
          </cell>
          <cell r="L1968">
            <v>0</v>
          </cell>
          <cell r="M1968">
            <v>0</v>
          </cell>
          <cell r="N1968">
            <v>1</v>
          </cell>
          <cell r="O1968" t="str">
            <v>SEPTEMBER 1, 2019</v>
          </cell>
          <cell r="P1968" t="str">
            <v>SEPTEMBER 30, 2019</v>
          </cell>
          <cell r="Q1968">
            <v>0</v>
          </cell>
          <cell r="R1968">
            <v>1</v>
          </cell>
          <cell r="S1968">
            <v>0</v>
          </cell>
          <cell r="T1968">
            <v>0</v>
          </cell>
          <cell r="U1968">
            <v>0</v>
          </cell>
          <cell r="V1968">
            <v>1</v>
          </cell>
          <cell r="W1968">
            <v>3</v>
          </cell>
          <cell r="X1968">
            <v>3</v>
          </cell>
          <cell r="Y1968">
            <v>2</v>
          </cell>
        </row>
        <row r="1969">
          <cell r="D1969">
            <v>301605</v>
          </cell>
          <cell r="E1969" t="str">
            <v>Sta Teresa NHS</v>
          </cell>
          <cell r="F1969">
            <v>0</v>
          </cell>
          <cell r="G1969">
            <v>0</v>
          </cell>
          <cell r="H1969">
            <v>1</v>
          </cell>
          <cell r="I1969">
            <v>0</v>
          </cell>
          <cell r="J1969">
            <v>1</v>
          </cell>
          <cell r="K1969">
            <v>0</v>
          </cell>
          <cell r="L1969">
            <v>0</v>
          </cell>
          <cell r="M1969">
            <v>0</v>
          </cell>
          <cell r="N1969">
            <v>1</v>
          </cell>
          <cell r="O1969">
            <v>0</v>
          </cell>
          <cell r="P1969">
            <v>43739</v>
          </cell>
          <cell r="Q1969">
            <v>0</v>
          </cell>
          <cell r="R1969">
            <v>1</v>
          </cell>
          <cell r="S1969">
            <v>0</v>
          </cell>
          <cell r="T1969">
            <v>0</v>
          </cell>
          <cell r="U1969">
            <v>0</v>
          </cell>
          <cell r="V1969">
            <v>1</v>
          </cell>
          <cell r="W1969">
            <v>5</v>
          </cell>
          <cell r="X1969">
            <v>5</v>
          </cell>
          <cell r="Y1969">
            <v>4</v>
          </cell>
        </row>
        <row r="1970">
          <cell r="D1970">
            <v>308908</v>
          </cell>
          <cell r="E1970" t="str">
            <v>Mangarin National Highschool</v>
          </cell>
          <cell r="F1970">
            <v>1</v>
          </cell>
          <cell r="G1970">
            <v>1</v>
          </cell>
          <cell r="H1970">
            <v>1</v>
          </cell>
          <cell r="I1970">
            <v>0</v>
          </cell>
          <cell r="J1970">
            <v>1</v>
          </cell>
          <cell r="K1970">
            <v>0</v>
          </cell>
          <cell r="L1970">
            <v>0</v>
          </cell>
          <cell r="M1970">
            <v>0</v>
          </cell>
          <cell r="N1970">
            <v>1</v>
          </cell>
          <cell r="O1970" t="str">
            <v>07/27/2019</v>
          </cell>
          <cell r="P1970" t="str">
            <v>07/27/2019</v>
          </cell>
          <cell r="Q1970">
            <v>0</v>
          </cell>
          <cell r="R1970">
            <v>1</v>
          </cell>
          <cell r="S1970">
            <v>0</v>
          </cell>
          <cell r="T1970">
            <v>0</v>
          </cell>
          <cell r="U1970">
            <v>0</v>
          </cell>
          <cell r="V1970">
            <v>1</v>
          </cell>
          <cell r="W1970">
            <v>2</v>
          </cell>
          <cell r="X1970">
            <v>0</v>
          </cell>
          <cell r="Y1970">
            <v>0</v>
          </cell>
        </row>
        <row r="1971">
          <cell r="D1971">
            <v>500029</v>
          </cell>
          <cell r="E1971" t="str">
            <v>Lubang IS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</row>
        <row r="1972">
          <cell r="D1972">
            <v>301600</v>
          </cell>
          <cell r="E1972" t="str">
            <v>Central NHS</v>
          </cell>
          <cell r="F1972">
            <v>1</v>
          </cell>
          <cell r="G1972">
            <v>1</v>
          </cell>
          <cell r="H1972">
            <v>1</v>
          </cell>
          <cell r="I1972">
            <v>0</v>
          </cell>
          <cell r="J1972">
            <v>1</v>
          </cell>
          <cell r="K1972">
            <v>0</v>
          </cell>
          <cell r="L1972">
            <v>0</v>
          </cell>
          <cell r="M1972">
            <v>0</v>
          </cell>
          <cell r="N1972">
            <v>1</v>
          </cell>
          <cell r="O1972" t="str">
            <v>Sept. 19, 2019</v>
          </cell>
          <cell r="P1972" t="str">
            <v>Oct. 14, 2019</v>
          </cell>
          <cell r="Q1972">
            <v>1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1</v>
          </cell>
          <cell r="W1972">
            <v>0</v>
          </cell>
          <cell r="X1972">
            <v>0</v>
          </cell>
          <cell r="Y1972">
            <v>0</v>
          </cell>
        </row>
        <row r="1973">
          <cell r="D1973">
            <v>301603</v>
          </cell>
          <cell r="E1973" t="str">
            <v>Santa Cruz NHS</v>
          </cell>
          <cell r="F1973">
            <v>1</v>
          </cell>
          <cell r="G1973">
            <v>1</v>
          </cell>
          <cell r="H1973">
            <v>1</v>
          </cell>
          <cell r="I1973">
            <v>0</v>
          </cell>
          <cell r="J1973">
            <v>1</v>
          </cell>
          <cell r="K1973">
            <v>0</v>
          </cell>
          <cell r="L1973">
            <v>0</v>
          </cell>
          <cell r="M1973">
            <v>0</v>
          </cell>
          <cell r="N1973">
            <v>1</v>
          </cell>
          <cell r="O1973" t="str">
            <v>November 9, 2019</v>
          </cell>
          <cell r="P1973" t="str">
            <v>July, 2019</v>
          </cell>
          <cell r="Q1973">
            <v>0</v>
          </cell>
          <cell r="R1973">
            <v>0</v>
          </cell>
          <cell r="S1973">
            <v>1</v>
          </cell>
          <cell r="T1973">
            <v>0</v>
          </cell>
          <cell r="U1973">
            <v>0</v>
          </cell>
          <cell r="V1973">
            <v>1</v>
          </cell>
          <cell r="W1973">
            <v>0</v>
          </cell>
          <cell r="X1973">
            <v>0</v>
          </cell>
          <cell r="Y1973">
            <v>0</v>
          </cell>
        </row>
        <row r="1974">
          <cell r="D1974">
            <v>301596</v>
          </cell>
          <cell r="E1974" t="str">
            <v>Sablayan NATIONAL COMPREHENSIVE HIGH SCHOOL</v>
          </cell>
          <cell r="F1974">
            <v>1</v>
          </cell>
          <cell r="G1974">
            <v>0</v>
          </cell>
          <cell r="H1974">
            <v>1</v>
          </cell>
          <cell r="I1974">
            <v>0</v>
          </cell>
          <cell r="J1974">
            <v>1</v>
          </cell>
          <cell r="K1974">
            <v>0</v>
          </cell>
          <cell r="L1974">
            <v>0</v>
          </cell>
          <cell r="M1974">
            <v>0</v>
          </cell>
          <cell r="N1974">
            <v>1</v>
          </cell>
          <cell r="O1974" t="str">
            <v>June 17, 2019</v>
          </cell>
          <cell r="P1974">
            <v>0</v>
          </cell>
          <cell r="Q1974">
            <v>0</v>
          </cell>
          <cell r="R1974">
            <v>0</v>
          </cell>
          <cell r="S1974">
            <v>1</v>
          </cell>
          <cell r="T1974">
            <v>0</v>
          </cell>
          <cell r="U1974">
            <v>0</v>
          </cell>
          <cell r="V1974">
            <v>1</v>
          </cell>
          <cell r="W1974">
            <v>0</v>
          </cell>
          <cell r="X1974">
            <v>0</v>
          </cell>
          <cell r="Y1974">
            <v>0</v>
          </cell>
        </row>
        <row r="1975">
          <cell r="D1975">
            <v>301569</v>
          </cell>
          <cell r="E1975" t="str">
            <v>Abra de Ilog NHS</v>
          </cell>
          <cell r="F1975">
            <v>0</v>
          </cell>
          <cell r="G1975">
            <v>0</v>
          </cell>
          <cell r="H1975">
            <v>1</v>
          </cell>
          <cell r="I1975">
            <v>0</v>
          </cell>
          <cell r="J1975">
            <v>0</v>
          </cell>
          <cell r="K1975">
            <v>1</v>
          </cell>
          <cell r="L1975">
            <v>0</v>
          </cell>
          <cell r="M1975">
            <v>0</v>
          </cell>
          <cell r="N1975">
            <v>0</v>
          </cell>
          <cell r="O1975" t="str">
            <v>June 6, 2019</v>
          </cell>
          <cell r="P1975" t="str">
            <v>June 4, 2019</v>
          </cell>
          <cell r="Q1975">
            <v>0</v>
          </cell>
          <cell r="R1975">
            <v>1</v>
          </cell>
          <cell r="S1975">
            <v>0</v>
          </cell>
          <cell r="T1975">
            <v>0</v>
          </cell>
          <cell r="U1975">
            <v>0</v>
          </cell>
          <cell r="V1975">
            <v>1</v>
          </cell>
          <cell r="W1975">
            <v>0</v>
          </cell>
          <cell r="X1975">
            <v>0</v>
          </cell>
          <cell r="Y1975">
            <v>0</v>
          </cell>
        </row>
        <row r="1976">
          <cell r="D1976">
            <v>301599</v>
          </cell>
          <cell r="E1976" t="str">
            <v>San Jose NHS</v>
          </cell>
          <cell r="F1976">
            <v>1</v>
          </cell>
          <cell r="G1976">
            <v>1</v>
          </cell>
          <cell r="H1976">
            <v>1</v>
          </cell>
          <cell r="I1976">
            <v>0</v>
          </cell>
          <cell r="J1976">
            <v>1</v>
          </cell>
          <cell r="K1976">
            <v>0</v>
          </cell>
          <cell r="L1976">
            <v>0</v>
          </cell>
          <cell r="M1976">
            <v>0</v>
          </cell>
          <cell r="N1976">
            <v>1</v>
          </cell>
          <cell r="O1976">
            <v>0</v>
          </cell>
          <cell r="P1976">
            <v>0</v>
          </cell>
          <cell r="Q1976">
            <v>0</v>
          </cell>
          <cell r="R1976">
            <v>1</v>
          </cell>
          <cell r="S1976">
            <v>0</v>
          </cell>
          <cell r="T1976">
            <v>0</v>
          </cell>
          <cell r="U1976">
            <v>0</v>
          </cell>
          <cell r="V1976">
            <v>1</v>
          </cell>
          <cell r="W1976">
            <v>0</v>
          </cell>
          <cell r="X1976">
            <v>0</v>
          </cell>
          <cell r="Y1976">
            <v>0</v>
          </cell>
        </row>
        <row r="1977">
          <cell r="D1977">
            <v>301573</v>
          </cell>
          <cell r="E1977" t="str">
            <v>Barahan NHS</v>
          </cell>
          <cell r="F1977">
            <v>0</v>
          </cell>
          <cell r="G1977">
            <v>0</v>
          </cell>
          <cell r="H1977">
            <v>1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</row>
        <row r="1978">
          <cell r="D1978">
            <v>301578</v>
          </cell>
          <cell r="E1978" t="str">
            <v>Iling NHS</v>
          </cell>
          <cell r="F1978">
            <v>1</v>
          </cell>
          <cell r="G1978">
            <v>1</v>
          </cell>
          <cell r="H1978">
            <v>1</v>
          </cell>
          <cell r="I1978">
            <v>0</v>
          </cell>
          <cell r="J1978">
            <v>0</v>
          </cell>
          <cell r="K1978">
            <v>1</v>
          </cell>
          <cell r="L1978">
            <v>0</v>
          </cell>
          <cell r="M1978">
            <v>0</v>
          </cell>
          <cell r="N1978">
            <v>0</v>
          </cell>
          <cell r="O1978" t="str">
            <v>July 15, 2019</v>
          </cell>
          <cell r="P1978">
            <v>0</v>
          </cell>
          <cell r="Q1978">
            <v>1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1</v>
          </cell>
          <cell r="W1978">
            <v>2</v>
          </cell>
          <cell r="X1978">
            <v>0</v>
          </cell>
          <cell r="Y1978">
            <v>0</v>
          </cell>
        </row>
        <row r="1979">
          <cell r="D1979">
            <v>301586</v>
          </cell>
          <cell r="E1979" t="str">
            <v>LUBANG VOCATIONAL HIGH SCHOOL</v>
          </cell>
          <cell r="F1979">
            <v>1</v>
          </cell>
          <cell r="G1979">
            <v>0</v>
          </cell>
          <cell r="H1979">
            <v>0</v>
          </cell>
          <cell r="I1979">
            <v>0</v>
          </cell>
          <cell r="J1979">
            <v>1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</row>
        <row r="1980">
          <cell r="D1980">
            <v>301580</v>
          </cell>
          <cell r="E1980" t="str">
            <v>Iriron NHS</v>
          </cell>
          <cell r="F1980">
            <v>1</v>
          </cell>
          <cell r="G1980">
            <v>0</v>
          </cell>
          <cell r="H1980">
            <v>1</v>
          </cell>
          <cell r="I1980">
            <v>0</v>
          </cell>
          <cell r="J1980">
            <v>0</v>
          </cell>
          <cell r="K1980">
            <v>1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 t="str">
            <v>N/A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</row>
        <row r="1981">
          <cell r="D1981">
            <v>301606</v>
          </cell>
          <cell r="E1981" t="str">
            <v>Tanyag NHS</v>
          </cell>
          <cell r="F1981">
            <v>0</v>
          </cell>
          <cell r="G1981">
            <v>0</v>
          </cell>
          <cell r="H1981">
            <v>1</v>
          </cell>
          <cell r="I1981">
            <v>0</v>
          </cell>
          <cell r="J1981">
            <v>0</v>
          </cell>
          <cell r="K1981">
            <v>1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1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</row>
        <row r="1982">
          <cell r="D1982">
            <v>308904</v>
          </cell>
          <cell r="E1982" t="str">
            <v>Manoot National High School</v>
          </cell>
          <cell r="F1982">
            <v>1</v>
          </cell>
          <cell r="G1982">
            <v>0</v>
          </cell>
          <cell r="H1982">
            <v>1</v>
          </cell>
          <cell r="I1982">
            <v>1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1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1</v>
          </cell>
          <cell r="W1982">
            <v>3</v>
          </cell>
          <cell r="X1982">
            <v>3</v>
          </cell>
          <cell r="Y1982">
            <v>3</v>
          </cell>
        </row>
        <row r="1983">
          <cell r="D1983">
            <v>301583</v>
          </cell>
          <cell r="E1983" t="str">
            <v>Looc National School Of Fisheries</v>
          </cell>
          <cell r="F1983">
            <v>1</v>
          </cell>
          <cell r="G1983">
            <v>1</v>
          </cell>
          <cell r="H1983">
            <v>1</v>
          </cell>
          <cell r="I1983">
            <v>0</v>
          </cell>
          <cell r="J1983">
            <v>0</v>
          </cell>
          <cell r="K1983">
            <v>1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</row>
        <row r="1984">
          <cell r="D1984">
            <v>301574</v>
          </cell>
          <cell r="E1984" t="str">
            <v>CALINTAAN NATIONAL HIGH SCHOOL</v>
          </cell>
          <cell r="F1984">
            <v>0</v>
          </cell>
          <cell r="G1984">
            <v>0</v>
          </cell>
          <cell r="H1984">
            <v>1</v>
          </cell>
          <cell r="I1984">
            <v>0</v>
          </cell>
          <cell r="J1984">
            <v>1</v>
          </cell>
          <cell r="K1984">
            <v>0</v>
          </cell>
          <cell r="L1984">
            <v>0</v>
          </cell>
          <cell r="M1984">
            <v>0</v>
          </cell>
          <cell r="N1984">
            <v>1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1</v>
          </cell>
          <cell r="T1984">
            <v>0</v>
          </cell>
          <cell r="U1984">
            <v>0</v>
          </cell>
          <cell r="V1984">
            <v>1</v>
          </cell>
          <cell r="W1984">
            <v>0</v>
          </cell>
          <cell r="X1984">
            <v>0</v>
          </cell>
          <cell r="Y1984">
            <v>0</v>
          </cell>
        </row>
        <row r="1985">
          <cell r="D1985">
            <v>301601</v>
          </cell>
          <cell r="E1985" t="str">
            <v>San Vicente NHS</v>
          </cell>
          <cell r="F1985">
            <v>1</v>
          </cell>
          <cell r="G1985">
            <v>1</v>
          </cell>
          <cell r="H1985">
            <v>1</v>
          </cell>
          <cell r="I1985">
            <v>0</v>
          </cell>
          <cell r="J1985">
            <v>1</v>
          </cell>
          <cell r="K1985">
            <v>0</v>
          </cell>
          <cell r="L1985">
            <v>1</v>
          </cell>
          <cell r="M1985" t="str">
            <v>AS THE NEED ARISES</v>
          </cell>
          <cell r="N1985">
            <v>1</v>
          </cell>
          <cell r="O1985" t="str">
            <v>AUGUST 30, 2019</v>
          </cell>
          <cell r="P1985" t="str">
            <v>AUGUST 30, 2019</v>
          </cell>
          <cell r="Q1985">
            <v>0</v>
          </cell>
          <cell r="R1985">
            <v>1</v>
          </cell>
          <cell r="S1985">
            <v>0</v>
          </cell>
          <cell r="T1985">
            <v>0</v>
          </cell>
          <cell r="U1985" t="str">
            <v>AS THE NEED ARISES</v>
          </cell>
          <cell r="V1985">
            <v>1</v>
          </cell>
          <cell r="W1985">
            <v>0</v>
          </cell>
          <cell r="X1985">
            <v>0</v>
          </cell>
          <cell r="Y1985">
            <v>0</v>
          </cell>
        </row>
        <row r="1986">
          <cell r="D1986">
            <v>301604</v>
          </cell>
          <cell r="E1986" t="str">
            <v>Pinagturilan National High School</v>
          </cell>
          <cell r="F1986">
            <v>1</v>
          </cell>
          <cell r="G1986">
            <v>0</v>
          </cell>
          <cell r="H1986">
            <v>1</v>
          </cell>
          <cell r="I1986">
            <v>0</v>
          </cell>
          <cell r="J1986">
            <v>1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</row>
        <row r="1987">
          <cell r="D1987">
            <v>301577</v>
          </cell>
          <cell r="E1987" t="str">
            <v>Concepcion NHS</v>
          </cell>
          <cell r="F1987">
            <v>1</v>
          </cell>
          <cell r="G1987">
            <v>1</v>
          </cell>
          <cell r="H1987">
            <v>1</v>
          </cell>
          <cell r="I1987">
            <v>0</v>
          </cell>
          <cell r="J1987">
            <v>0</v>
          </cell>
          <cell r="K1987">
            <v>1</v>
          </cell>
          <cell r="L1987">
            <v>0</v>
          </cell>
          <cell r="M1987">
            <v>0</v>
          </cell>
          <cell r="N1987">
            <v>1</v>
          </cell>
          <cell r="O1987">
            <v>43505</v>
          </cell>
          <cell r="P1987">
            <v>43808</v>
          </cell>
          <cell r="Q1987">
            <v>0</v>
          </cell>
          <cell r="R1987">
            <v>1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</row>
        <row r="1988">
          <cell r="D1988">
            <v>301582</v>
          </cell>
          <cell r="E1988" t="str">
            <v>Paulino Legaspi, Sr. Memorial. NHS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 t="str">
            <v>JUNE 7, 2019</v>
          </cell>
          <cell r="P1988" t="str">
            <v>NONE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</row>
        <row r="1989">
          <cell r="D1989">
            <v>301588</v>
          </cell>
          <cell r="E1989" t="str">
            <v>Magsaysay National High School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</row>
        <row r="1990">
          <cell r="D1990">
            <v>301594</v>
          </cell>
          <cell r="E1990" t="str">
            <v>Paluan NHS</v>
          </cell>
          <cell r="F1990">
            <v>1</v>
          </cell>
          <cell r="G1990">
            <v>1</v>
          </cell>
          <cell r="H1990">
            <v>1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1</v>
          </cell>
          <cell r="W1990">
            <v>0</v>
          </cell>
          <cell r="X1990">
            <v>0</v>
          </cell>
          <cell r="Y1990">
            <v>0</v>
          </cell>
        </row>
        <row r="1991">
          <cell r="D1991">
            <v>301593</v>
          </cell>
          <cell r="E1991" t="str">
            <v>Occidental Mindoro NHS</v>
          </cell>
          <cell r="F1991">
            <v>1</v>
          </cell>
          <cell r="G1991">
            <v>0</v>
          </cell>
          <cell r="H1991">
            <v>1</v>
          </cell>
          <cell r="I1991">
            <v>0</v>
          </cell>
          <cell r="J1991">
            <v>0</v>
          </cell>
          <cell r="K1991">
            <v>0</v>
          </cell>
          <cell r="L1991">
            <v>1</v>
          </cell>
          <cell r="M1991" t="str">
            <v>As need arises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1</v>
          </cell>
          <cell r="T1991">
            <v>1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</row>
        <row r="1992">
          <cell r="D1992">
            <v>308901</v>
          </cell>
          <cell r="E1992" t="str">
            <v>San Jose National Agricultural and Industrial High School</v>
          </cell>
          <cell r="F1992">
            <v>1</v>
          </cell>
          <cell r="G1992">
            <v>0</v>
          </cell>
          <cell r="H1992">
            <v>1</v>
          </cell>
          <cell r="I1992">
            <v>0</v>
          </cell>
          <cell r="J1992">
            <v>1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 t="str">
            <v>june 2019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</row>
        <row r="1993">
          <cell r="D1993">
            <v>301592</v>
          </cell>
          <cell r="E1993" t="str">
            <v>Pedro T. Mendiola Sr. Memorial National High School</v>
          </cell>
          <cell r="F1993">
            <v>1</v>
          </cell>
          <cell r="G1993">
            <v>1</v>
          </cell>
          <cell r="H1993">
            <v>1</v>
          </cell>
          <cell r="I1993">
            <v>1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43257</v>
          </cell>
          <cell r="P1993">
            <v>43647</v>
          </cell>
          <cell r="Q1993">
            <v>1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1</v>
          </cell>
          <cell r="W1993">
            <v>0</v>
          </cell>
          <cell r="X1993">
            <v>0</v>
          </cell>
          <cell r="Y1993">
            <v>0</v>
          </cell>
        </row>
        <row r="1994">
          <cell r="D1994">
            <v>301602</v>
          </cell>
          <cell r="E1994" t="str">
            <v>San Vicente NHS - Yapang Annex</v>
          </cell>
          <cell r="F1994">
            <v>1</v>
          </cell>
          <cell r="G1994">
            <v>0</v>
          </cell>
          <cell r="H1994">
            <v>1</v>
          </cell>
          <cell r="I1994">
            <v>0</v>
          </cell>
          <cell r="J1994">
            <v>1</v>
          </cell>
          <cell r="K1994">
            <v>0</v>
          </cell>
          <cell r="L1994">
            <v>0</v>
          </cell>
          <cell r="M1994">
            <v>0</v>
          </cell>
          <cell r="N1994">
            <v>1</v>
          </cell>
          <cell r="O1994">
            <v>43678</v>
          </cell>
          <cell r="P1994">
            <v>43739</v>
          </cell>
          <cell r="Q1994">
            <v>1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1</v>
          </cell>
          <cell r="W1994">
            <v>2</v>
          </cell>
          <cell r="X1994">
            <v>0</v>
          </cell>
          <cell r="Y1994">
            <v>0</v>
          </cell>
        </row>
        <row r="1995">
          <cell r="D1995">
            <v>301581</v>
          </cell>
          <cell r="E1995" t="str">
            <v>Ligaya NHS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</row>
        <row r="1996">
          <cell r="D1996">
            <v>301609</v>
          </cell>
          <cell r="E1996" t="str">
            <v>Victoria NHS - Ilvita Annex</v>
          </cell>
          <cell r="F1996">
            <v>1</v>
          </cell>
          <cell r="G1996">
            <v>0</v>
          </cell>
          <cell r="H1996">
            <v>1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</row>
        <row r="1997">
          <cell r="D1997">
            <v>301597</v>
          </cell>
          <cell r="E1997" t="str">
            <v>Sablayan NCHS - Claudio Salgado Annex</v>
          </cell>
          <cell r="F1997">
            <v>0</v>
          </cell>
          <cell r="G1997">
            <v>0</v>
          </cell>
          <cell r="H1997">
            <v>1</v>
          </cell>
          <cell r="I1997">
            <v>0</v>
          </cell>
          <cell r="J1997">
            <v>1</v>
          </cell>
          <cell r="K1997">
            <v>0</v>
          </cell>
          <cell r="L1997">
            <v>0</v>
          </cell>
          <cell r="M1997">
            <v>0</v>
          </cell>
          <cell r="N1997">
            <v>1</v>
          </cell>
          <cell r="O1997">
            <v>0</v>
          </cell>
          <cell r="P1997">
            <v>0</v>
          </cell>
          <cell r="Q1997">
            <v>0</v>
          </cell>
          <cell r="R1997">
            <v>1</v>
          </cell>
          <cell r="S1997">
            <v>0</v>
          </cell>
          <cell r="T1997">
            <v>0</v>
          </cell>
          <cell r="U1997">
            <v>0</v>
          </cell>
          <cell r="V1997">
            <v>1</v>
          </cell>
          <cell r="W1997">
            <v>0</v>
          </cell>
          <cell r="X1997">
            <v>0</v>
          </cell>
          <cell r="Y1997">
            <v>0</v>
          </cell>
        </row>
        <row r="1998">
          <cell r="D1998">
            <v>301598</v>
          </cell>
          <cell r="E1998" t="str">
            <v>Prudencio L. Gadiano National High School</v>
          </cell>
          <cell r="F1998">
            <v>1</v>
          </cell>
          <cell r="G1998">
            <v>1</v>
          </cell>
          <cell r="H1998">
            <v>1</v>
          </cell>
          <cell r="I1998">
            <v>0</v>
          </cell>
          <cell r="J1998">
            <v>1</v>
          </cell>
          <cell r="K1998">
            <v>0</v>
          </cell>
          <cell r="L1998">
            <v>0</v>
          </cell>
          <cell r="M1998">
            <v>0</v>
          </cell>
          <cell r="N1998">
            <v>1</v>
          </cell>
          <cell r="O1998">
            <v>0</v>
          </cell>
          <cell r="P1998">
            <v>0</v>
          </cell>
          <cell r="Q1998">
            <v>0</v>
          </cell>
          <cell r="R1998">
            <v>1</v>
          </cell>
          <cell r="S1998">
            <v>0</v>
          </cell>
          <cell r="T1998">
            <v>0</v>
          </cell>
          <cell r="U1998">
            <v>0</v>
          </cell>
          <cell r="V1998">
            <v>1</v>
          </cell>
          <cell r="W1998">
            <v>0</v>
          </cell>
          <cell r="X1998">
            <v>0</v>
          </cell>
          <cell r="Y1998">
            <v>0</v>
          </cell>
        </row>
        <row r="1999">
          <cell r="D1999">
            <v>301652</v>
          </cell>
          <cell r="E1999" t="str">
            <v>San Mariano NHS</v>
          </cell>
          <cell r="F1999">
            <v>1</v>
          </cell>
          <cell r="G1999">
            <v>1</v>
          </cell>
          <cell r="H1999">
            <v>1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1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</row>
        <row r="2000">
          <cell r="D2000">
            <v>309035</v>
          </cell>
          <cell r="E2000" t="str">
            <v>Puerto Galera NHS - San Isidro Ext.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</row>
        <row r="2001">
          <cell r="D2001">
            <v>301640</v>
          </cell>
          <cell r="E2001" t="str">
            <v>Dangay NHS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</row>
        <row r="2002">
          <cell r="D2002">
            <v>309006</v>
          </cell>
          <cell r="E2002" t="str">
            <v>Carmundo NHS</v>
          </cell>
          <cell r="F2002">
            <v>1</v>
          </cell>
          <cell r="G2002">
            <v>1</v>
          </cell>
          <cell r="H2002">
            <v>1</v>
          </cell>
          <cell r="I2002">
            <v>1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1</v>
          </cell>
          <cell r="O2002">
            <v>0</v>
          </cell>
          <cell r="P2002">
            <v>43766</v>
          </cell>
          <cell r="Q2002">
            <v>1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1</v>
          </cell>
          <cell r="W2002">
            <v>1</v>
          </cell>
          <cell r="X2002">
            <v>0</v>
          </cell>
          <cell r="Y2002">
            <v>0</v>
          </cell>
        </row>
        <row r="2003">
          <cell r="D2003">
            <v>301636</v>
          </cell>
          <cell r="E2003" t="str">
            <v>Malamig NHS</v>
          </cell>
          <cell r="F2003">
            <v>1</v>
          </cell>
          <cell r="G2003">
            <v>0</v>
          </cell>
          <cell r="H2003">
            <v>1</v>
          </cell>
          <cell r="I2003">
            <v>0</v>
          </cell>
          <cell r="J2003">
            <v>0</v>
          </cell>
          <cell r="K2003">
            <v>1</v>
          </cell>
          <cell r="L2003">
            <v>0</v>
          </cell>
          <cell r="M2003">
            <v>0</v>
          </cell>
          <cell r="N2003">
            <v>1</v>
          </cell>
          <cell r="O2003">
            <v>0</v>
          </cell>
          <cell r="P2003">
            <v>0</v>
          </cell>
          <cell r="Q2003">
            <v>1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1</v>
          </cell>
          <cell r="W2003">
            <v>0</v>
          </cell>
          <cell r="X2003">
            <v>0</v>
          </cell>
          <cell r="Y2003">
            <v>0</v>
          </cell>
        </row>
        <row r="2004">
          <cell r="D2004">
            <v>301642</v>
          </cell>
          <cell r="E2004" t="str">
            <v>Melgar NHS</v>
          </cell>
          <cell r="F2004">
            <v>1</v>
          </cell>
          <cell r="G2004">
            <v>0</v>
          </cell>
          <cell r="H2004">
            <v>1</v>
          </cell>
          <cell r="I2004">
            <v>0</v>
          </cell>
          <cell r="J2004">
            <v>1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</row>
        <row r="2005">
          <cell r="D2005">
            <v>309019</v>
          </cell>
          <cell r="E2005" t="str">
            <v>Pag-asa NHS</v>
          </cell>
          <cell r="F2005">
            <v>1</v>
          </cell>
          <cell r="G2005">
            <v>1</v>
          </cell>
          <cell r="H2005">
            <v>1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1</v>
          </cell>
          <cell r="W2005">
            <v>0</v>
          </cell>
          <cell r="X2005">
            <v>0</v>
          </cell>
          <cell r="Y2005">
            <v>0</v>
          </cell>
        </row>
        <row r="2006">
          <cell r="D2006">
            <v>301648</v>
          </cell>
          <cell r="E2006" t="str">
            <v>Porfirio Comia MNHS</v>
          </cell>
          <cell r="F2006">
            <v>1</v>
          </cell>
          <cell r="G2006">
            <v>1</v>
          </cell>
          <cell r="H2006">
            <v>1</v>
          </cell>
          <cell r="I2006">
            <v>0</v>
          </cell>
          <cell r="J2006">
            <v>1</v>
          </cell>
          <cell r="K2006">
            <v>0</v>
          </cell>
          <cell r="L2006">
            <v>0</v>
          </cell>
          <cell r="M2006">
            <v>0</v>
          </cell>
          <cell r="N2006">
            <v>1</v>
          </cell>
          <cell r="O2006">
            <v>0</v>
          </cell>
          <cell r="P2006">
            <v>0</v>
          </cell>
          <cell r="Q2006">
            <v>0</v>
          </cell>
          <cell r="R2006">
            <v>1</v>
          </cell>
          <cell r="S2006">
            <v>0</v>
          </cell>
          <cell r="T2006">
            <v>0</v>
          </cell>
          <cell r="U2006">
            <v>0</v>
          </cell>
          <cell r="V2006">
            <v>1</v>
          </cell>
          <cell r="W2006">
            <v>0</v>
          </cell>
          <cell r="X2006">
            <v>0</v>
          </cell>
          <cell r="Y2006">
            <v>0</v>
          </cell>
        </row>
        <row r="2007">
          <cell r="D2007">
            <v>301649</v>
          </cell>
          <cell r="E2007" t="str">
            <v>Quinabigan NHS</v>
          </cell>
          <cell r="F2007">
            <v>1</v>
          </cell>
          <cell r="G2007">
            <v>1</v>
          </cell>
          <cell r="H2007">
            <v>1</v>
          </cell>
          <cell r="I2007">
            <v>0</v>
          </cell>
          <cell r="J2007">
            <v>1</v>
          </cell>
          <cell r="K2007">
            <v>0</v>
          </cell>
          <cell r="L2007">
            <v>0</v>
          </cell>
          <cell r="M2007">
            <v>0</v>
          </cell>
          <cell r="N2007">
            <v>1</v>
          </cell>
          <cell r="O2007">
            <v>0</v>
          </cell>
          <cell r="P2007">
            <v>43126</v>
          </cell>
          <cell r="Q2007">
            <v>0</v>
          </cell>
          <cell r="R2007">
            <v>1</v>
          </cell>
          <cell r="S2007">
            <v>0</v>
          </cell>
          <cell r="T2007">
            <v>0</v>
          </cell>
          <cell r="U2007">
            <v>0</v>
          </cell>
          <cell r="V2007">
            <v>1</v>
          </cell>
          <cell r="W2007">
            <v>0</v>
          </cell>
          <cell r="X2007">
            <v>0</v>
          </cell>
          <cell r="Y2007">
            <v>0</v>
          </cell>
        </row>
        <row r="2008">
          <cell r="D2008">
            <v>301654</v>
          </cell>
          <cell r="E2008" t="str">
            <v>Vicente B. Ylagan NHS</v>
          </cell>
          <cell r="F2008">
            <v>1</v>
          </cell>
          <cell r="G2008">
            <v>1</v>
          </cell>
          <cell r="H2008">
            <v>1</v>
          </cell>
          <cell r="I2008">
            <v>0</v>
          </cell>
          <cell r="J2008">
            <v>1</v>
          </cell>
          <cell r="K2008">
            <v>0</v>
          </cell>
          <cell r="L2008">
            <v>0</v>
          </cell>
          <cell r="M2008">
            <v>0</v>
          </cell>
          <cell r="N2008">
            <v>1</v>
          </cell>
          <cell r="O2008" t="str">
            <v>n/a</v>
          </cell>
          <cell r="P2008">
            <v>0</v>
          </cell>
          <cell r="Q2008">
            <v>1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1</v>
          </cell>
          <cell r="W2008">
            <v>0</v>
          </cell>
          <cell r="X2008">
            <v>0</v>
          </cell>
          <cell r="Y2008">
            <v>0</v>
          </cell>
        </row>
        <row r="2009">
          <cell r="D2009">
            <v>301641</v>
          </cell>
          <cell r="E2009" t="str">
            <v>Masaguisi NHS</v>
          </cell>
          <cell r="F2009">
            <v>0</v>
          </cell>
          <cell r="G2009">
            <v>0</v>
          </cell>
          <cell r="H2009">
            <v>1</v>
          </cell>
          <cell r="I2009">
            <v>0</v>
          </cell>
          <cell r="J2009">
            <v>1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43631</v>
          </cell>
          <cell r="Q2009">
            <v>0</v>
          </cell>
          <cell r="R2009">
            <v>0</v>
          </cell>
          <cell r="S2009">
            <v>1</v>
          </cell>
          <cell r="T2009">
            <v>0</v>
          </cell>
          <cell r="U2009">
            <v>0</v>
          </cell>
          <cell r="V2009">
            <v>1</v>
          </cell>
          <cell r="W2009">
            <v>1</v>
          </cell>
          <cell r="X2009">
            <v>0</v>
          </cell>
          <cell r="Y2009">
            <v>0</v>
          </cell>
        </row>
        <row r="2010">
          <cell r="D2010">
            <v>301633</v>
          </cell>
          <cell r="E2010" t="str">
            <v>Kaligtasan NHS</v>
          </cell>
          <cell r="F2010">
            <v>1</v>
          </cell>
          <cell r="G2010">
            <v>1</v>
          </cell>
          <cell r="H2010">
            <v>1</v>
          </cell>
          <cell r="I2010">
            <v>0</v>
          </cell>
          <cell r="J2010">
            <v>0</v>
          </cell>
          <cell r="K2010">
            <v>1</v>
          </cell>
          <cell r="L2010">
            <v>0</v>
          </cell>
          <cell r="M2010">
            <v>0</v>
          </cell>
          <cell r="N2010">
            <v>1</v>
          </cell>
          <cell r="O2010">
            <v>43661</v>
          </cell>
          <cell r="P2010">
            <v>43756</v>
          </cell>
          <cell r="Q2010">
            <v>0</v>
          </cell>
          <cell r="R2010">
            <v>1</v>
          </cell>
          <cell r="S2010">
            <v>0</v>
          </cell>
          <cell r="T2010">
            <v>0</v>
          </cell>
          <cell r="U2010">
            <v>0</v>
          </cell>
          <cell r="V2010">
            <v>1</v>
          </cell>
          <cell r="W2010">
            <v>0</v>
          </cell>
          <cell r="X2010">
            <v>0</v>
          </cell>
          <cell r="Y2010">
            <v>0</v>
          </cell>
        </row>
        <row r="2011">
          <cell r="D2011">
            <v>309023</v>
          </cell>
          <cell r="E2011" t="str">
            <v>Guillermo Raymundo - Calima High School</v>
          </cell>
          <cell r="F2011">
            <v>1</v>
          </cell>
          <cell r="G2011">
            <v>0</v>
          </cell>
          <cell r="H2011">
            <v>1</v>
          </cell>
          <cell r="I2011">
            <v>0</v>
          </cell>
          <cell r="J2011">
            <v>1</v>
          </cell>
          <cell r="K2011">
            <v>0</v>
          </cell>
          <cell r="L2011">
            <v>0</v>
          </cell>
          <cell r="M2011">
            <v>0</v>
          </cell>
          <cell r="N2011">
            <v>1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</row>
        <row r="2012">
          <cell r="D2012">
            <v>309004</v>
          </cell>
          <cell r="E2012" t="str">
            <v>Puerto Galera NHS</v>
          </cell>
          <cell r="F2012">
            <v>1</v>
          </cell>
          <cell r="G2012">
            <v>1</v>
          </cell>
          <cell r="H2012">
            <v>1</v>
          </cell>
          <cell r="I2012">
            <v>1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</row>
        <row r="2013">
          <cell r="D2013">
            <v>301612</v>
          </cell>
          <cell r="E2013" t="str">
            <v>Macatoc NHS</v>
          </cell>
          <cell r="F2013">
            <v>1</v>
          </cell>
          <cell r="G2013">
            <v>0</v>
          </cell>
          <cell r="H2013">
            <v>1</v>
          </cell>
          <cell r="I2013">
            <v>0</v>
          </cell>
          <cell r="J2013">
            <v>1</v>
          </cell>
          <cell r="K2013">
            <v>0</v>
          </cell>
          <cell r="L2013">
            <v>0</v>
          </cell>
          <cell r="M2013">
            <v>0</v>
          </cell>
          <cell r="N2013">
            <v>1</v>
          </cell>
          <cell r="O2013">
            <v>43776</v>
          </cell>
          <cell r="P2013" t="str">
            <v>weekly</v>
          </cell>
          <cell r="Q2013">
            <v>0</v>
          </cell>
          <cell r="R2013">
            <v>0</v>
          </cell>
          <cell r="S2013">
            <v>0</v>
          </cell>
          <cell r="T2013">
            <v>1</v>
          </cell>
          <cell r="U2013">
            <v>43776</v>
          </cell>
          <cell r="V2013">
            <v>1</v>
          </cell>
          <cell r="W2013">
            <v>0</v>
          </cell>
          <cell r="X2013">
            <v>0</v>
          </cell>
          <cell r="Y2013">
            <v>0</v>
          </cell>
        </row>
        <row r="2014">
          <cell r="D2014">
            <v>301627</v>
          </cell>
          <cell r="E2014" t="str">
            <v>Domingo Yu Chu NHS</v>
          </cell>
          <cell r="F2014">
            <v>1</v>
          </cell>
          <cell r="G2014">
            <v>1</v>
          </cell>
          <cell r="H2014">
            <v>1</v>
          </cell>
          <cell r="I2014">
            <v>0</v>
          </cell>
          <cell r="J2014">
            <v>1</v>
          </cell>
          <cell r="K2014">
            <v>0</v>
          </cell>
          <cell r="L2014">
            <v>0</v>
          </cell>
          <cell r="M2014">
            <v>0</v>
          </cell>
          <cell r="N2014">
            <v>1</v>
          </cell>
          <cell r="O2014">
            <v>43630</v>
          </cell>
          <cell r="P2014">
            <v>43682</v>
          </cell>
          <cell r="Q2014">
            <v>0</v>
          </cell>
          <cell r="R2014">
            <v>1</v>
          </cell>
          <cell r="S2014">
            <v>0</v>
          </cell>
          <cell r="T2014">
            <v>0</v>
          </cell>
          <cell r="U2014">
            <v>0</v>
          </cell>
          <cell r="V2014">
            <v>1</v>
          </cell>
          <cell r="W2014">
            <v>0</v>
          </cell>
          <cell r="X2014">
            <v>0</v>
          </cell>
          <cell r="Y2014">
            <v>0</v>
          </cell>
        </row>
        <row r="2015">
          <cell r="D2015">
            <v>301614</v>
          </cell>
          <cell r="E2015" t="str">
            <v>Aurora NHS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</row>
        <row r="2016">
          <cell r="D2016">
            <v>301621</v>
          </cell>
          <cell r="E2016" t="str">
            <v>Maujao NHS</v>
          </cell>
          <cell r="F2016">
            <v>1</v>
          </cell>
          <cell r="G2016">
            <v>1</v>
          </cell>
          <cell r="H2016">
            <v>1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1</v>
          </cell>
          <cell r="O2016">
            <v>0</v>
          </cell>
          <cell r="P2016" t="str">
            <v>08/15/2019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1</v>
          </cell>
          <cell r="W2016">
            <v>0</v>
          </cell>
          <cell r="X2016">
            <v>0</v>
          </cell>
          <cell r="Y2016">
            <v>0</v>
          </cell>
        </row>
        <row r="2017">
          <cell r="D2017">
            <v>301645</v>
          </cell>
          <cell r="E2017" t="str">
            <v>Naujan Municipal High School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</row>
        <row r="2018">
          <cell r="D2018">
            <v>301631</v>
          </cell>
          <cell r="E2018" t="str">
            <v>Fe del Mundo NHS</v>
          </cell>
          <cell r="F2018">
            <v>1</v>
          </cell>
          <cell r="G2018">
            <v>0</v>
          </cell>
          <cell r="H2018">
            <v>1</v>
          </cell>
          <cell r="I2018">
            <v>0</v>
          </cell>
          <cell r="J2018">
            <v>1</v>
          </cell>
          <cell r="K2018">
            <v>0</v>
          </cell>
          <cell r="L2018">
            <v>0</v>
          </cell>
          <cell r="M2018">
            <v>0</v>
          </cell>
          <cell r="N2018">
            <v>1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1</v>
          </cell>
          <cell r="W2018">
            <v>0</v>
          </cell>
          <cell r="X2018">
            <v>0</v>
          </cell>
          <cell r="Y2018">
            <v>0</v>
          </cell>
        </row>
        <row r="2019">
          <cell r="D2019">
            <v>301634</v>
          </cell>
          <cell r="E2019" t="str">
            <v>Leuteboro NHS</v>
          </cell>
          <cell r="F2019">
            <v>1</v>
          </cell>
          <cell r="G2019">
            <v>1</v>
          </cell>
          <cell r="H2019">
            <v>1</v>
          </cell>
          <cell r="I2019">
            <v>0</v>
          </cell>
          <cell r="J2019">
            <v>0</v>
          </cell>
          <cell r="K2019">
            <v>1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1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</row>
        <row r="2020">
          <cell r="D2020">
            <v>301619</v>
          </cell>
          <cell r="E2020" t="str">
            <v>Bayuin NHS</v>
          </cell>
          <cell r="F2020">
            <v>1</v>
          </cell>
          <cell r="G2020">
            <v>0</v>
          </cell>
          <cell r="H2020">
            <v>1</v>
          </cell>
          <cell r="I2020">
            <v>0</v>
          </cell>
          <cell r="J2020">
            <v>0</v>
          </cell>
          <cell r="K2020">
            <v>1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</row>
        <row r="2021">
          <cell r="D2021">
            <v>301644</v>
          </cell>
          <cell r="E2021" t="str">
            <v>Nabuslot NHS</v>
          </cell>
          <cell r="F2021">
            <v>1</v>
          </cell>
          <cell r="G2021">
            <v>1</v>
          </cell>
          <cell r="H2021">
            <v>1</v>
          </cell>
          <cell r="I2021">
            <v>0</v>
          </cell>
          <cell r="J2021">
            <v>0</v>
          </cell>
          <cell r="K2021">
            <v>1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1</v>
          </cell>
          <cell r="S2021">
            <v>0</v>
          </cell>
          <cell r="T2021">
            <v>0</v>
          </cell>
          <cell r="U2021">
            <v>0</v>
          </cell>
          <cell r="V2021">
            <v>1</v>
          </cell>
          <cell r="W2021">
            <v>0</v>
          </cell>
          <cell r="X2021">
            <v>0</v>
          </cell>
          <cell r="Y2021">
            <v>0</v>
          </cell>
        </row>
        <row r="2022">
          <cell r="D2022">
            <v>309002</v>
          </cell>
          <cell r="E2022" t="str">
            <v>President Diosdado Macapagal MNHS</v>
          </cell>
          <cell r="F2022">
            <v>0</v>
          </cell>
          <cell r="G2022">
            <v>0</v>
          </cell>
          <cell r="H2022">
            <v>1</v>
          </cell>
          <cell r="I2022">
            <v>0</v>
          </cell>
          <cell r="J2022">
            <v>0</v>
          </cell>
          <cell r="K2022">
            <v>1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</row>
        <row r="2023">
          <cell r="D2023">
            <v>301624</v>
          </cell>
          <cell r="E2023" t="str">
            <v>Cawayan NHS</v>
          </cell>
          <cell r="F2023">
            <v>1</v>
          </cell>
          <cell r="G2023">
            <v>0</v>
          </cell>
          <cell r="H2023">
            <v>1</v>
          </cell>
          <cell r="I2023">
            <v>0</v>
          </cell>
          <cell r="J2023">
            <v>0</v>
          </cell>
          <cell r="K2023">
            <v>1</v>
          </cell>
          <cell r="L2023">
            <v>0</v>
          </cell>
          <cell r="M2023">
            <v>0</v>
          </cell>
          <cell r="N2023">
            <v>1</v>
          </cell>
          <cell r="O2023" t="str">
            <v>May 27, 2019</v>
          </cell>
          <cell r="P2023" t="str">
            <v>None</v>
          </cell>
          <cell r="Q2023">
            <v>1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1</v>
          </cell>
          <cell r="W2023">
            <v>0</v>
          </cell>
          <cell r="X2023">
            <v>0</v>
          </cell>
          <cell r="Y2023">
            <v>0</v>
          </cell>
        </row>
        <row r="2024">
          <cell r="D2024">
            <v>309001</v>
          </cell>
          <cell r="E2024" t="str">
            <v>Inarawan NHS</v>
          </cell>
          <cell r="F2024">
            <v>1</v>
          </cell>
          <cell r="G2024">
            <v>1</v>
          </cell>
          <cell r="H2024">
            <v>1</v>
          </cell>
          <cell r="I2024">
            <v>0</v>
          </cell>
          <cell r="J2024">
            <v>1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1</v>
          </cell>
          <cell r="S2024">
            <v>0</v>
          </cell>
          <cell r="T2024">
            <v>0</v>
          </cell>
          <cell r="U2024">
            <v>0</v>
          </cell>
          <cell r="V2024">
            <v>1</v>
          </cell>
          <cell r="W2024">
            <v>0</v>
          </cell>
          <cell r="X2024">
            <v>0</v>
          </cell>
          <cell r="Y2024">
            <v>0</v>
          </cell>
        </row>
        <row r="2025">
          <cell r="D2025">
            <v>309008</v>
          </cell>
          <cell r="E2025" t="str">
            <v>Anastacio Dela Chica High School</v>
          </cell>
          <cell r="F2025">
            <v>1</v>
          </cell>
          <cell r="G2025">
            <v>0</v>
          </cell>
          <cell r="H2025">
            <v>1</v>
          </cell>
          <cell r="I2025">
            <v>0</v>
          </cell>
          <cell r="J2025">
            <v>1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43658</v>
          </cell>
          <cell r="P2025">
            <v>43766</v>
          </cell>
          <cell r="Q2025">
            <v>0</v>
          </cell>
          <cell r="R2025">
            <v>1</v>
          </cell>
          <cell r="S2025">
            <v>0</v>
          </cell>
          <cell r="T2025">
            <v>0</v>
          </cell>
          <cell r="U2025">
            <v>0</v>
          </cell>
          <cell r="V2025">
            <v>1</v>
          </cell>
          <cell r="W2025">
            <v>0</v>
          </cell>
          <cell r="X2025">
            <v>0</v>
          </cell>
          <cell r="Y2025">
            <v>0</v>
          </cell>
        </row>
        <row r="2026">
          <cell r="D2026">
            <v>309011</v>
          </cell>
          <cell r="E2026" t="str">
            <v>Rufino Asi National High School</v>
          </cell>
          <cell r="F2026">
            <v>0</v>
          </cell>
          <cell r="G2026">
            <v>0</v>
          </cell>
          <cell r="H2026">
            <v>1</v>
          </cell>
          <cell r="I2026">
            <v>0</v>
          </cell>
          <cell r="J2026">
            <v>1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</row>
        <row r="2027">
          <cell r="D2027">
            <v>301611</v>
          </cell>
          <cell r="E2027" t="str">
            <v>Apitong NHS</v>
          </cell>
          <cell r="F2027">
            <v>1</v>
          </cell>
          <cell r="G2027">
            <v>1</v>
          </cell>
          <cell r="H2027">
            <v>1</v>
          </cell>
          <cell r="I2027">
            <v>0</v>
          </cell>
          <cell r="J2027">
            <v>0</v>
          </cell>
          <cell r="K2027">
            <v>1</v>
          </cell>
          <cell r="L2027">
            <v>0</v>
          </cell>
          <cell r="M2027">
            <v>0</v>
          </cell>
          <cell r="N2027">
            <v>1</v>
          </cell>
          <cell r="O2027" t="str">
            <v>06/21/2019</v>
          </cell>
          <cell r="P2027">
            <v>0</v>
          </cell>
          <cell r="Q2027">
            <v>0</v>
          </cell>
          <cell r="R2027">
            <v>1</v>
          </cell>
          <cell r="S2027">
            <v>0</v>
          </cell>
          <cell r="T2027">
            <v>0</v>
          </cell>
          <cell r="U2027">
            <v>0</v>
          </cell>
          <cell r="V2027">
            <v>1</v>
          </cell>
          <cell r="W2027">
            <v>0</v>
          </cell>
          <cell r="X2027">
            <v>0</v>
          </cell>
          <cell r="Y2027">
            <v>0</v>
          </cell>
        </row>
        <row r="2028">
          <cell r="D2028">
            <v>301639</v>
          </cell>
          <cell r="E2028" t="str">
            <v>Marcelo I. Cabrera Vocational High School</v>
          </cell>
          <cell r="F2028">
            <v>1</v>
          </cell>
          <cell r="G2028">
            <v>1</v>
          </cell>
          <cell r="H2028">
            <v>1</v>
          </cell>
          <cell r="I2028">
            <v>0</v>
          </cell>
          <cell r="J2028">
            <v>1</v>
          </cell>
          <cell r="K2028">
            <v>0</v>
          </cell>
          <cell r="L2028">
            <v>0</v>
          </cell>
          <cell r="M2028">
            <v>0</v>
          </cell>
          <cell r="N2028">
            <v>1</v>
          </cell>
          <cell r="O2028" t="str">
            <v>7/22/2019</v>
          </cell>
          <cell r="P2028">
            <v>43718</v>
          </cell>
          <cell r="Q2028">
            <v>0</v>
          </cell>
          <cell r="R2028">
            <v>1</v>
          </cell>
          <cell r="S2028">
            <v>0</v>
          </cell>
          <cell r="T2028">
            <v>0</v>
          </cell>
          <cell r="U2028">
            <v>0</v>
          </cell>
          <cell r="V2028">
            <v>1</v>
          </cell>
          <cell r="W2028">
            <v>3</v>
          </cell>
          <cell r="X2028">
            <v>3</v>
          </cell>
          <cell r="Y2028">
            <v>3</v>
          </cell>
        </row>
        <row r="2029">
          <cell r="D2029">
            <v>301630</v>
          </cell>
          <cell r="E2029" t="str">
            <v>Doroteo S. Mendoza Sr. MNHS</v>
          </cell>
          <cell r="F2029">
            <v>0</v>
          </cell>
          <cell r="G2029">
            <v>0</v>
          </cell>
          <cell r="H2029">
            <v>1</v>
          </cell>
          <cell r="I2029">
            <v>0</v>
          </cell>
          <cell r="J2029">
            <v>1</v>
          </cell>
          <cell r="K2029">
            <v>0</v>
          </cell>
          <cell r="L2029">
            <v>0</v>
          </cell>
          <cell r="M2029">
            <v>0</v>
          </cell>
          <cell r="N2029">
            <v>1</v>
          </cell>
          <cell r="O2029">
            <v>0</v>
          </cell>
          <cell r="P2029">
            <v>43610</v>
          </cell>
          <cell r="Q2029">
            <v>0</v>
          </cell>
          <cell r="R2029">
            <v>1</v>
          </cell>
          <cell r="S2029">
            <v>0</v>
          </cell>
          <cell r="T2029">
            <v>0</v>
          </cell>
          <cell r="U2029">
            <v>0</v>
          </cell>
          <cell r="V2029">
            <v>1</v>
          </cell>
          <cell r="W2029">
            <v>3</v>
          </cell>
          <cell r="X2029">
            <v>0</v>
          </cell>
          <cell r="Y2029">
            <v>0</v>
          </cell>
        </row>
        <row r="2030">
          <cell r="D2030">
            <v>301628</v>
          </cell>
          <cell r="E2030" t="str">
            <v>Araceli B. Pantilanan - Bacawan High  School</v>
          </cell>
          <cell r="F2030">
            <v>1</v>
          </cell>
          <cell r="G2030">
            <v>0</v>
          </cell>
          <cell r="H2030">
            <v>1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1</v>
          </cell>
          <cell r="O2030" t="str">
            <v>June, 2019</v>
          </cell>
          <cell r="P2030" t="str">
            <v>September, 2019</v>
          </cell>
          <cell r="Q2030">
            <v>1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1</v>
          </cell>
          <cell r="W2030">
            <v>0</v>
          </cell>
          <cell r="X2030">
            <v>0</v>
          </cell>
          <cell r="Y2030">
            <v>0</v>
          </cell>
        </row>
        <row r="2031">
          <cell r="D2031">
            <v>301629</v>
          </cell>
          <cell r="E2031" t="str">
            <v>Matulatula High School</v>
          </cell>
          <cell r="F2031">
            <v>1</v>
          </cell>
          <cell r="G2031">
            <v>0</v>
          </cell>
          <cell r="H2031">
            <v>1</v>
          </cell>
          <cell r="I2031">
            <v>0</v>
          </cell>
          <cell r="J2031">
            <v>1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</row>
        <row r="2032">
          <cell r="D2032">
            <v>301643</v>
          </cell>
          <cell r="E2032" t="str">
            <v>Morente NHS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</row>
        <row r="2033">
          <cell r="D2033">
            <v>301638</v>
          </cell>
          <cell r="E2033" t="str">
            <v>Manaul National High School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</row>
        <row r="2034">
          <cell r="D2034">
            <v>301623</v>
          </cell>
          <cell r="E2034" t="str">
            <v>Bulbugan NHS</v>
          </cell>
          <cell r="F2034">
            <v>1</v>
          </cell>
          <cell r="G2034">
            <v>1</v>
          </cell>
          <cell r="H2034">
            <v>1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</row>
        <row r="2035">
          <cell r="D2035">
            <v>301647</v>
          </cell>
          <cell r="E2035" t="str">
            <v>Pili NHS</v>
          </cell>
          <cell r="F2035">
            <v>1</v>
          </cell>
          <cell r="G2035">
            <v>0</v>
          </cell>
          <cell r="H2035">
            <v>1</v>
          </cell>
          <cell r="I2035">
            <v>0</v>
          </cell>
          <cell r="J2035">
            <v>0</v>
          </cell>
          <cell r="K2035">
            <v>1</v>
          </cell>
          <cell r="L2035">
            <v>0</v>
          </cell>
          <cell r="M2035">
            <v>0</v>
          </cell>
          <cell r="N2035">
            <v>0</v>
          </cell>
          <cell r="O2035" t="str">
            <v>N/A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</row>
        <row r="2036">
          <cell r="D2036">
            <v>309025</v>
          </cell>
          <cell r="E2036" t="str">
            <v>Leandro Panganiban Sr. - Tagumpay High School</v>
          </cell>
          <cell r="F2036">
            <v>1</v>
          </cell>
          <cell r="G2036">
            <v>0</v>
          </cell>
          <cell r="H2036">
            <v>1</v>
          </cell>
          <cell r="I2036">
            <v>0</v>
          </cell>
          <cell r="J2036">
            <v>1</v>
          </cell>
          <cell r="K2036">
            <v>0</v>
          </cell>
          <cell r="L2036">
            <v>0</v>
          </cell>
          <cell r="M2036">
            <v>0</v>
          </cell>
          <cell r="N2036">
            <v>1</v>
          </cell>
          <cell r="O2036">
            <v>0</v>
          </cell>
          <cell r="P2036">
            <v>0</v>
          </cell>
          <cell r="Q2036">
            <v>1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1</v>
          </cell>
          <cell r="W2036">
            <v>0</v>
          </cell>
          <cell r="X2036">
            <v>0</v>
          </cell>
          <cell r="Y2036">
            <v>0</v>
          </cell>
        </row>
        <row r="2037">
          <cell r="D2037">
            <v>301610</v>
          </cell>
          <cell r="E2037" t="str">
            <v>Alcadesma NHS</v>
          </cell>
          <cell r="F2037">
            <v>1</v>
          </cell>
          <cell r="G2037">
            <v>1</v>
          </cell>
          <cell r="H2037">
            <v>1</v>
          </cell>
          <cell r="I2037">
            <v>0</v>
          </cell>
          <cell r="J2037">
            <v>0</v>
          </cell>
          <cell r="K2037">
            <v>1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1</v>
          </cell>
          <cell r="T2037">
            <v>0</v>
          </cell>
          <cell r="U2037">
            <v>0</v>
          </cell>
          <cell r="V2037">
            <v>1</v>
          </cell>
          <cell r="W2037">
            <v>0</v>
          </cell>
          <cell r="X2037">
            <v>0</v>
          </cell>
          <cell r="Y2037">
            <v>0</v>
          </cell>
        </row>
        <row r="2038">
          <cell r="D2038">
            <v>301615</v>
          </cell>
          <cell r="E2038" t="str">
            <v>Evangelista NHS</v>
          </cell>
          <cell r="F2038">
            <v>0</v>
          </cell>
          <cell r="G2038">
            <v>0</v>
          </cell>
          <cell r="H2038">
            <v>0</v>
          </cell>
          <cell r="I2038">
            <v>0</v>
          </cell>
          <cell r="J2038">
            <v>1</v>
          </cell>
          <cell r="K2038">
            <v>0</v>
          </cell>
          <cell r="L2038">
            <v>0</v>
          </cell>
          <cell r="M2038">
            <v>0</v>
          </cell>
          <cell r="N2038">
            <v>1</v>
          </cell>
          <cell r="O2038">
            <v>43631</v>
          </cell>
          <cell r="P2038">
            <v>43631</v>
          </cell>
          <cell r="Q2038">
            <v>0</v>
          </cell>
          <cell r="R2038">
            <v>0</v>
          </cell>
          <cell r="S2038">
            <v>1</v>
          </cell>
          <cell r="T2038">
            <v>0</v>
          </cell>
          <cell r="U2038">
            <v>0</v>
          </cell>
          <cell r="V2038">
            <v>0</v>
          </cell>
          <cell r="W2038">
            <v>4</v>
          </cell>
          <cell r="X2038">
            <v>0</v>
          </cell>
          <cell r="Y2038">
            <v>0</v>
          </cell>
        </row>
        <row r="2039">
          <cell r="D2039">
            <v>309027</v>
          </cell>
          <cell r="E2039" t="str">
            <v>Felimon M. Salcedo Sr. MNHS</v>
          </cell>
          <cell r="F2039">
            <v>1</v>
          </cell>
          <cell r="G2039">
            <v>1</v>
          </cell>
          <cell r="H2039">
            <v>1</v>
          </cell>
          <cell r="I2039">
            <v>0</v>
          </cell>
          <cell r="J2039">
            <v>1</v>
          </cell>
          <cell r="K2039">
            <v>0</v>
          </cell>
          <cell r="L2039">
            <v>0</v>
          </cell>
          <cell r="M2039">
            <v>0</v>
          </cell>
          <cell r="N2039">
            <v>1</v>
          </cell>
          <cell r="O2039">
            <v>43739</v>
          </cell>
          <cell r="P2039">
            <v>43773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</row>
        <row r="2040">
          <cell r="D2040">
            <v>309033</v>
          </cell>
          <cell r="E2040" t="str">
            <v>Cabugao National High School</v>
          </cell>
          <cell r="F2040">
            <v>1</v>
          </cell>
          <cell r="G2040">
            <v>1</v>
          </cell>
          <cell r="H2040">
            <v>1</v>
          </cell>
          <cell r="I2040">
            <v>0</v>
          </cell>
          <cell r="J2040">
            <v>1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1</v>
          </cell>
          <cell r="S2040">
            <v>0</v>
          </cell>
          <cell r="T2040">
            <v>0</v>
          </cell>
          <cell r="U2040">
            <v>0</v>
          </cell>
          <cell r="V2040">
            <v>1</v>
          </cell>
          <cell r="W2040">
            <v>0</v>
          </cell>
          <cell r="X2040">
            <v>0</v>
          </cell>
          <cell r="Y2040">
            <v>0</v>
          </cell>
        </row>
        <row r="2041">
          <cell r="D2041">
            <v>301632</v>
          </cell>
          <cell r="E2041" t="str">
            <v>Formon NHS</v>
          </cell>
          <cell r="F2041">
            <v>1</v>
          </cell>
          <cell r="G2041">
            <v>1</v>
          </cell>
          <cell r="H2041">
            <v>0</v>
          </cell>
          <cell r="I2041">
            <v>0</v>
          </cell>
          <cell r="J2041">
            <v>1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1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</row>
        <row r="2042">
          <cell r="D2042">
            <v>309022</v>
          </cell>
          <cell r="E2042" t="str">
            <v>Benli NHS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</row>
        <row r="2043">
          <cell r="D2043">
            <v>309005</v>
          </cell>
          <cell r="E2043" t="str">
            <v>Labasan National High School</v>
          </cell>
          <cell r="F2043">
            <v>1</v>
          </cell>
          <cell r="G2043">
            <v>1</v>
          </cell>
          <cell r="H2043">
            <v>1</v>
          </cell>
          <cell r="I2043">
            <v>0</v>
          </cell>
          <cell r="J2043">
            <v>0</v>
          </cell>
          <cell r="K2043">
            <v>1</v>
          </cell>
          <cell r="L2043">
            <v>0</v>
          </cell>
          <cell r="M2043">
            <v>0</v>
          </cell>
          <cell r="N2043">
            <v>0</v>
          </cell>
          <cell r="O2043">
            <v>43617</v>
          </cell>
          <cell r="P2043">
            <v>43617</v>
          </cell>
          <cell r="Q2043">
            <v>0</v>
          </cell>
          <cell r="R2043">
            <v>0</v>
          </cell>
          <cell r="S2043">
            <v>1</v>
          </cell>
          <cell r="T2043">
            <v>0</v>
          </cell>
          <cell r="U2043">
            <v>0</v>
          </cell>
          <cell r="V2043">
            <v>1</v>
          </cell>
          <cell r="W2043">
            <v>1</v>
          </cell>
          <cell r="X2043">
            <v>0</v>
          </cell>
          <cell r="Y2043">
            <v>0</v>
          </cell>
        </row>
        <row r="2044">
          <cell r="D2044">
            <v>301635</v>
          </cell>
          <cell r="E2044" t="str">
            <v>Fortuna NHS</v>
          </cell>
          <cell r="F2044">
            <v>1</v>
          </cell>
          <cell r="G2044">
            <v>1</v>
          </cell>
          <cell r="H2044">
            <v>1</v>
          </cell>
          <cell r="I2044">
            <v>0</v>
          </cell>
          <cell r="J2044">
            <v>1</v>
          </cell>
          <cell r="K2044">
            <v>0</v>
          </cell>
          <cell r="L2044">
            <v>0</v>
          </cell>
          <cell r="M2044">
            <v>0</v>
          </cell>
          <cell r="N2044">
            <v>1</v>
          </cell>
          <cell r="O2044">
            <v>43622</v>
          </cell>
          <cell r="P2044">
            <v>0</v>
          </cell>
          <cell r="Q2044">
            <v>0</v>
          </cell>
          <cell r="R2044">
            <v>1</v>
          </cell>
          <cell r="S2044">
            <v>0</v>
          </cell>
          <cell r="T2044">
            <v>0</v>
          </cell>
          <cell r="U2044">
            <v>0</v>
          </cell>
          <cell r="V2044">
            <v>1</v>
          </cell>
          <cell r="W2044">
            <v>0</v>
          </cell>
          <cell r="X2044">
            <v>0</v>
          </cell>
          <cell r="Y2044">
            <v>0</v>
          </cell>
        </row>
        <row r="2045">
          <cell r="D2045">
            <v>301651</v>
          </cell>
          <cell r="E2045" t="str">
            <v>San Agustin NHS</v>
          </cell>
          <cell r="F2045">
            <v>1</v>
          </cell>
          <cell r="G2045">
            <v>0</v>
          </cell>
          <cell r="H2045">
            <v>1</v>
          </cell>
          <cell r="I2045">
            <v>0</v>
          </cell>
          <cell r="J2045">
            <v>1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1</v>
          </cell>
          <cell r="T2045">
            <v>0</v>
          </cell>
          <cell r="U2045">
            <v>0</v>
          </cell>
          <cell r="V2045">
            <v>1</v>
          </cell>
          <cell r="W2045">
            <v>0</v>
          </cell>
          <cell r="X2045">
            <v>0</v>
          </cell>
          <cell r="Y2045">
            <v>0</v>
          </cell>
        </row>
        <row r="2046">
          <cell r="D2046">
            <v>301620</v>
          </cell>
          <cell r="E2046" t="str">
            <v>Bulalacao NHS</v>
          </cell>
          <cell r="F2046">
            <v>1</v>
          </cell>
          <cell r="G2046">
            <v>1</v>
          </cell>
          <cell r="H2046">
            <v>1</v>
          </cell>
          <cell r="I2046">
            <v>0</v>
          </cell>
          <cell r="J2046">
            <v>0</v>
          </cell>
          <cell r="K2046">
            <v>1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</row>
        <row r="2047">
          <cell r="D2047">
            <v>309020</v>
          </cell>
          <cell r="E2047" t="str">
            <v>Villapagasa NHS - Apnagan Ext.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1</v>
          </cell>
          <cell r="L2047">
            <v>0</v>
          </cell>
          <cell r="M2047">
            <v>0</v>
          </cell>
          <cell r="N2047">
            <v>1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1</v>
          </cell>
          <cell r="U2047" t="str">
            <v>NONE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</row>
        <row r="2048">
          <cell r="D2048">
            <v>301625</v>
          </cell>
          <cell r="E2048" t="str">
            <v>Dayhagan NHS</v>
          </cell>
          <cell r="F2048">
            <v>1</v>
          </cell>
          <cell r="G2048">
            <v>1</v>
          </cell>
          <cell r="H2048">
            <v>1</v>
          </cell>
          <cell r="I2048">
            <v>1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1</v>
          </cell>
          <cell r="O2048">
            <v>43688</v>
          </cell>
          <cell r="P2048">
            <v>43435</v>
          </cell>
          <cell r="Q2048">
            <v>1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1</v>
          </cell>
          <cell r="W2048">
            <v>3</v>
          </cell>
          <cell r="X2048">
            <v>3</v>
          </cell>
          <cell r="Y2048">
            <v>3</v>
          </cell>
        </row>
        <row r="2049">
          <cell r="D2049">
            <v>301653</v>
          </cell>
          <cell r="E2049" t="str">
            <v>San Teodoro NHS</v>
          </cell>
          <cell r="F2049">
            <v>1</v>
          </cell>
          <cell r="G2049">
            <v>1</v>
          </cell>
          <cell r="H2049">
            <v>1</v>
          </cell>
          <cell r="I2049">
            <v>1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1</v>
          </cell>
          <cell r="O2049">
            <v>0</v>
          </cell>
          <cell r="P2049" t="str">
            <v>06/04/2019</v>
          </cell>
          <cell r="Q2049">
            <v>1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1</v>
          </cell>
          <cell r="W2049">
            <v>0</v>
          </cell>
          <cell r="X2049">
            <v>0</v>
          </cell>
          <cell r="Y2049">
            <v>0</v>
          </cell>
        </row>
        <row r="2050">
          <cell r="D2050">
            <v>309009</v>
          </cell>
          <cell r="E2050" t="str">
            <v>Jose D. Udasco Mangangan I NHS</v>
          </cell>
          <cell r="F2050">
            <v>1</v>
          </cell>
          <cell r="G2050">
            <v>0</v>
          </cell>
          <cell r="H2050">
            <v>1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</row>
        <row r="2051">
          <cell r="D2051">
            <v>301646</v>
          </cell>
          <cell r="E2051" t="str">
            <v>Pambisan NHS</v>
          </cell>
          <cell r="F2051">
            <v>1</v>
          </cell>
          <cell r="G2051">
            <v>1</v>
          </cell>
          <cell r="H2051">
            <v>1</v>
          </cell>
          <cell r="I2051">
            <v>0</v>
          </cell>
          <cell r="J2051">
            <v>1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1</v>
          </cell>
          <cell r="W2051">
            <v>0</v>
          </cell>
          <cell r="X2051">
            <v>0</v>
          </cell>
          <cell r="Y2051">
            <v>0</v>
          </cell>
        </row>
        <row r="2052">
          <cell r="D2052">
            <v>309013</v>
          </cell>
          <cell r="E2052" t="str">
            <v>Conrazon High School</v>
          </cell>
          <cell r="F2052">
            <v>1</v>
          </cell>
          <cell r="G2052">
            <v>1</v>
          </cell>
          <cell r="H2052">
            <v>1</v>
          </cell>
          <cell r="I2052">
            <v>0</v>
          </cell>
          <cell r="J2052">
            <v>0</v>
          </cell>
          <cell r="K2052">
            <v>1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</row>
        <row r="2053">
          <cell r="D2053">
            <v>301613</v>
          </cell>
          <cell r="E2053" t="str">
            <v>Aurelio Arago MNHS</v>
          </cell>
          <cell r="F2053">
            <v>1</v>
          </cell>
          <cell r="G2053">
            <v>1</v>
          </cell>
          <cell r="H2053">
            <v>1</v>
          </cell>
          <cell r="I2053">
            <v>0</v>
          </cell>
          <cell r="J2053">
            <v>1</v>
          </cell>
          <cell r="K2053">
            <v>0</v>
          </cell>
          <cell r="L2053">
            <v>0</v>
          </cell>
          <cell r="M2053">
            <v>0</v>
          </cell>
          <cell r="N2053">
            <v>1</v>
          </cell>
          <cell r="O2053">
            <v>0</v>
          </cell>
          <cell r="P2053">
            <v>0</v>
          </cell>
          <cell r="Q2053">
            <v>1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1</v>
          </cell>
          <cell r="W2053">
            <v>0</v>
          </cell>
          <cell r="X2053">
            <v>0</v>
          </cell>
          <cell r="Y2053">
            <v>0</v>
          </cell>
        </row>
        <row r="2054">
          <cell r="D2054">
            <v>301617</v>
          </cell>
          <cell r="E2054" t="str">
            <v>Balugo NHS</v>
          </cell>
          <cell r="F2054">
            <v>1</v>
          </cell>
          <cell r="G2054">
            <v>1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</row>
        <row r="2055">
          <cell r="D2055">
            <v>301616</v>
          </cell>
          <cell r="E2055" t="str">
            <v>Baco NHS</v>
          </cell>
          <cell r="F2055">
            <v>1</v>
          </cell>
          <cell r="G2055">
            <v>1</v>
          </cell>
          <cell r="H2055">
            <v>1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1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1</v>
          </cell>
          <cell r="W2055">
            <v>0</v>
          </cell>
          <cell r="X2055">
            <v>0</v>
          </cell>
          <cell r="Y2055">
            <v>0</v>
          </cell>
        </row>
        <row r="2056">
          <cell r="D2056">
            <v>301655</v>
          </cell>
          <cell r="E2056" t="str">
            <v>Villapagasa NHS</v>
          </cell>
          <cell r="F2056">
            <v>1</v>
          </cell>
          <cell r="G2056">
            <v>1</v>
          </cell>
          <cell r="H2056">
            <v>1</v>
          </cell>
          <cell r="I2056">
            <v>0</v>
          </cell>
          <cell r="J2056">
            <v>0</v>
          </cell>
          <cell r="K2056">
            <v>1</v>
          </cell>
          <cell r="L2056">
            <v>0</v>
          </cell>
          <cell r="M2056">
            <v>0</v>
          </cell>
          <cell r="N2056">
            <v>1</v>
          </cell>
          <cell r="O2056" t="str">
            <v>October 17, 2019</v>
          </cell>
          <cell r="P2056" t="str">
            <v>July 26, 2019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1</v>
          </cell>
          <cell r="W2056">
            <v>1</v>
          </cell>
          <cell r="X2056">
            <v>0</v>
          </cell>
          <cell r="Y2056">
            <v>0</v>
          </cell>
        </row>
        <row r="2057">
          <cell r="D2057">
            <v>301622</v>
          </cell>
          <cell r="E2057" t="str">
            <v>San Roque NHS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</row>
        <row r="2058">
          <cell r="D2058">
            <v>309018</v>
          </cell>
          <cell r="E2058" t="str">
            <v>Sabang High School</v>
          </cell>
          <cell r="F2058">
            <v>1</v>
          </cell>
          <cell r="G2058">
            <v>1</v>
          </cell>
          <cell r="H2058">
            <v>1</v>
          </cell>
          <cell r="I2058">
            <v>0</v>
          </cell>
          <cell r="J2058">
            <v>0</v>
          </cell>
          <cell r="K2058">
            <v>1</v>
          </cell>
          <cell r="L2058">
            <v>0</v>
          </cell>
          <cell r="M2058">
            <v>0</v>
          </cell>
          <cell r="N2058">
            <v>0</v>
          </cell>
          <cell r="O2058" t="str">
            <v>MARCH 5,2019</v>
          </cell>
          <cell r="P2058">
            <v>0</v>
          </cell>
          <cell r="Q2058">
            <v>0</v>
          </cell>
          <cell r="R2058">
            <v>0</v>
          </cell>
          <cell r="S2058">
            <v>1</v>
          </cell>
          <cell r="T2058">
            <v>0</v>
          </cell>
          <cell r="U2058">
            <v>0</v>
          </cell>
          <cell r="V2058">
            <v>1</v>
          </cell>
          <cell r="W2058">
            <v>0</v>
          </cell>
          <cell r="X2058">
            <v>0</v>
          </cell>
          <cell r="Y2058">
            <v>0</v>
          </cell>
        </row>
        <row r="2059">
          <cell r="D2059">
            <v>301618</v>
          </cell>
          <cell r="E2059" t="str">
            <v>Bansud NHS - Regional Science High School</v>
          </cell>
          <cell r="F2059">
            <v>1</v>
          </cell>
          <cell r="G2059">
            <v>1</v>
          </cell>
          <cell r="H2059">
            <v>1</v>
          </cell>
          <cell r="I2059">
            <v>0</v>
          </cell>
          <cell r="J2059">
            <v>1</v>
          </cell>
          <cell r="K2059">
            <v>0</v>
          </cell>
          <cell r="L2059">
            <v>0</v>
          </cell>
          <cell r="M2059">
            <v>0</v>
          </cell>
          <cell r="N2059">
            <v>1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</row>
        <row r="2060">
          <cell r="D2060">
            <v>301687</v>
          </cell>
          <cell r="E2060" t="str">
            <v>Culion Sanitarium Special National High School</v>
          </cell>
          <cell r="F2060">
            <v>1</v>
          </cell>
          <cell r="G2060">
            <v>1</v>
          </cell>
          <cell r="H2060">
            <v>1</v>
          </cell>
          <cell r="I2060">
            <v>0</v>
          </cell>
          <cell r="J2060">
            <v>0</v>
          </cell>
          <cell r="K2060">
            <v>1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1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1</v>
          </cell>
          <cell r="W2060">
            <v>0</v>
          </cell>
          <cell r="X2060">
            <v>0</v>
          </cell>
          <cell r="Y2060">
            <v>0</v>
          </cell>
        </row>
        <row r="2061">
          <cell r="D2061">
            <v>309165</v>
          </cell>
          <cell r="E2061" t="str">
            <v>Nangalao National High School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</row>
        <row r="2062">
          <cell r="D2062">
            <v>309149</v>
          </cell>
          <cell r="E2062" t="str">
            <v>Taburi National High School</v>
          </cell>
          <cell r="F2062">
            <v>1</v>
          </cell>
          <cell r="G2062">
            <v>1</v>
          </cell>
          <cell r="H2062">
            <v>1</v>
          </cell>
          <cell r="I2062">
            <v>1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1</v>
          </cell>
          <cell r="O2062">
            <v>0</v>
          </cell>
          <cell r="P2062">
            <v>0</v>
          </cell>
          <cell r="Q2062">
            <v>1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1</v>
          </cell>
          <cell r="W2062">
            <v>0</v>
          </cell>
          <cell r="X2062">
            <v>0</v>
          </cell>
          <cell r="Y2062">
            <v>0</v>
          </cell>
        </row>
        <row r="2063">
          <cell r="D2063">
            <v>309146</v>
          </cell>
          <cell r="E2063" t="str">
            <v>Panalingaan National High School</v>
          </cell>
          <cell r="F2063">
            <v>1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</row>
        <row r="2064">
          <cell r="D2064">
            <v>301661</v>
          </cell>
          <cell r="E2064" t="str">
            <v>Apurawan National High School</v>
          </cell>
          <cell r="F2064">
            <v>1</v>
          </cell>
          <cell r="G2064">
            <v>0</v>
          </cell>
          <cell r="H2064">
            <v>0</v>
          </cell>
          <cell r="I2064">
            <v>0</v>
          </cell>
          <cell r="J2064">
            <v>1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</row>
        <row r="2065">
          <cell r="D2065">
            <v>309109</v>
          </cell>
          <cell r="E2065" t="str">
            <v>Bacao National High School (Dumaran NHS - Bacao NHS)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</row>
        <row r="2066">
          <cell r="D2066">
            <v>301667</v>
          </cell>
          <cell r="E2066" t="str">
            <v>Barotuan National High School</v>
          </cell>
          <cell r="F2066">
            <v>1</v>
          </cell>
          <cell r="G2066">
            <v>1</v>
          </cell>
          <cell r="H2066">
            <v>1</v>
          </cell>
          <cell r="I2066">
            <v>0</v>
          </cell>
          <cell r="J2066">
            <v>1</v>
          </cell>
          <cell r="K2066">
            <v>0</v>
          </cell>
          <cell r="L2066">
            <v>0</v>
          </cell>
          <cell r="M2066">
            <v>0</v>
          </cell>
          <cell r="N2066">
            <v>1</v>
          </cell>
          <cell r="O2066">
            <v>0</v>
          </cell>
          <cell r="P2066">
            <v>0</v>
          </cell>
          <cell r="Q2066">
            <v>0</v>
          </cell>
          <cell r="R2066">
            <v>1</v>
          </cell>
          <cell r="S2066">
            <v>0</v>
          </cell>
          <cell r="T2066">
            <v>0</v>
          </cell>
          <cell r="U2066">
            <v>0</v>
          </cell>
          <cell r="V2066">
            <v>1</v>
          </cell>
          <cell r="W2066">
            <v>1</v>
          </cell>
          <cell r="X2066">
            <v>0</v>
          </cell>
          <cell r="Y2066">
            <v>0</v>
          </cell>
        </row>
        <row r="2067">
          <cell r="D2067">
            <v>301692</v>
          </cell>
          <cell r="E2067" t="str">
            <v>Dumaran Mainland National High School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1</v>
          </cell>
          <cell r="X2067">
            <v>1</v>
          </cell>
          <cell r="Y2067">
            <v>1</v>
          </cell>
        </row>
        <row r="2068">
          <cell r="D2068">
            <v>309107</v>
          </cell>
          <cell r="E2068" t="str">
            <v>Pancol National High School</v>
          </cell>
          <cell r="F2068">
            <v>1</v>
          </cell>
          <cell r="G2068">
            <v>1</v>
          </cell>
          <cell r="H2068">
            <v>1</v>
          </cell>
          <cell r="I2068">
            <v>0</v>
          </cell>
          <cell r="J2068">
            <v>1</v>
          </cell>
          <cell r="K2068">
            <v>0</v>
          </cell>
          <cell r="L2068">
            <v>0</v>
          </cell>
          <cell r="M2068">
            <v>0</v>
          </cell>
          <cell r="N2068">
            <v>1</v>
          </cell>
          <cell r="O2068">
            <v>43747</v>
          </cell>
          <cell r="P2068">
            <v>43696</v>
          </cell>
          <cell r="Q2068">
            <v>1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1</v>
          </cell>
          <cell r="W2068">
            <v>0</v>
          </cell>
          <cell r="X2068">
            <v>0</v>
          </cell>
          <cell r="Y2068">
            <v>0</v>
          </cell>
        </row>
        <row r="2069">
          <cell r="D2069">
            <v>301738</v>
          </cell>
          <cell r="E2069" t="str">
            <v>San Vicente National High School</v>
          </cell>
          <cell r="F2069">
            <v>0</v>
          </cell>
          <cell r="G2069">
            <v>0</v>
          </cell>
          <cell r="H2069">
            <v>1</v>
          </cell>
          <cell r="I2069">
            <v>0</v>
          </cell>
          <cell r="J2069">
            <v>1</v>
          </cell>
          <cell r="K2069">
            <v>0</v>
          </cell>
          <cell r="L2069">
            <v>0</v>
          </cell>
          <cell r="M2069">
            <v>0</v>
          </cell>
          <cell r="N2069">
            <v>1</v>
          </cell>
          <cell r="O2069">
            <v>43618</v>
          </cell>
          <cell r="P2069">
            <v>43539</v>
          </cell>
          <cell r="Q2069">
            <v>0</v>
          </cell>
          <cell r="R2069">
            <v>1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2</v>
          </cell>
          <cell r="X2069">
            <v>2</v>
          </cell>
          <cell r="Y2069">
            <v>0</v>
          </cell>
        </row>
        <row r="2070">
          <cell r="D2070">
            <v>301713</v>
          </cell>
          <cell r="E2070" t="str">
            <v>New Ibajay National High School</v>
          </cell>
          <cell r="F2070">
            <v>0</v>
          </cell>
          <cell r="G2070">
            <v>0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 t="str">
            <v>NONE</v>
          </cell>
          <cell r="Q2070">
            <v>0</v>
          </cell>
          <cell r="R2070">
            <v>0</v>
          </cell>
          <cell r="S2070">
            <v>0</v>
          </cell>
          <cell r="T2070">
            <v>1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</row>
        <row r="2071">
          <cell r="D2071">
            <v>301703</v>
          </cell>
          <cell r="E2071" t="str">
            <v>Liminangcong National High School</v>
          </cell>
          <cell r="F2071">
            <v>0</v>
          </cell>
          <cell r="G2071">
            <v>0</v>
          </cell>
          <cell r="H2071">
            <v>1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</row>
        <row r="2072">
          <cell r="D2072">
            <v>301683</v>
          </cell>
          <cell r="E2072" t="str">
            <v>Sandoval National High School</v>
          </cell>
          <cell r="F2072">
            <v>1</v>
          </cell>
          <cell r="G2072">
            <v>1</v>
          </cell>
          <cell r="H2072">
            <v>0</v>
          </cell>
          <cell r="I2072">
            <v>0</v>
          </cell>
          <cell r="J2072">
            <v>1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1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</row>
        <row r="2073">
          <cell r="D2073">
            <v>301731</v>
          </cell>
          <cell r="E2073" t="str">
            <v>Roxas National Comprehensive High School</v>
          </cell>
          <cell r="F2073">
            <v>1</v>
          </cell>
          <cell r="G2073">
            <v>1</v>
          </cell>
          <cell r="H2073">
            <v>1</v>
          </cell>
          <cell r="I2073">
            <v>0</v>
          </cell>
          <cell r="J2073">
            <v>0</v>
          </cell>
          <cell r="K2073">
            <v>1</v>
          </cell>
          <cell r="L2073">
            <v>0</v>
          </cell>
          <cell r="M2073">
            <v>0</v>
          </cell>
          <cell r="N2073">
            <v>1</v>
          </cell>
          <cell r="O2073">
            <v>43684</v>
          </cell>
          <cell r="P2073" t="str">
            <v>None</v>
          </cell>
          <cell r="Q2073">
            <v>1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1</v>
          </cell>
          <cell r="W2073">
            <v>0</v>
          </cell>
          <cell r="X2073">
            <v>0</v>
          </cell>
          <cell r="Y2073">
            <v>0</v>
          </cell>
        </row>
        <row r="2074">
          <cell r="D2074">
            <v>309108</v>
          </cell>
          <cell r="E2074" t="str">
            <v>New Canipo National High School</v>
          </cell>
          <cell r="F2074">
            <v>1</v>
          </cell>
          <cell r="G2074">
            <v>0</v>
          </cell>
          <cell r="H2074">
            <v>1</v>
          </cell>
          <cell r="I2074">
            <v>0</v>
          </cell>
          <cell r="J2074">
            <v>0</v>
          </cell>
          <cell r="K2074">
            <v>1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</row>
        <row r="2075">
          <cell r="D2075">
            <v>301734</v>
          </cell>
          <cell r="E2075" t="str">
            <v>Salvacion National High School</v>
          </cell>
          <cell r="F2075">
            <v>1</v>
          </cell>
          <cell r="G2075">
            <v>1</v>
          </cell>
          <cell r="H2075">
            <v>1</v>
          </cell>
          <cell r="I2075">
            <v>0</v>
          </cell>
          <cell r="J2075">
            <v>1</v>
          </cell>
          <cell r="K2075">
            <v>0</v>
          </cell>
          <cell r="L2075">
            <v>0</v>
          </cell>
          <cell r="M2075">
            <v>0</v>
          </cell>
          <cell r="N2075">
            <v>1</v>
          </cell>
          <cell r="O2075" t="str">
            <v>10/30/2019</v>
          </cell>
          <cell r="P2075" t="str">
            <v>10/30/2019</v>
          </cell>
          <cell r="Q2075">
            <v>1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1</v>
          </cell>
          <cell r="W2075">
            <v>0</v>
          </cell>
          <cell r="X2075">
            <v>0</v>
          </cell>
          <cell r="Y2075">
            <v>0</v>
          </cell>
        </row>
        <row r="2076">
          <cell r="D2076">
            <v>309126</v>
          </cell>
          <cell r="E2076" t="str">
            <v>Tarusan National High School</v>
          </cell>
          <cell r="F2076">
            <v>1</v>
          </cell>
          <cell r="G2076">
            <v>1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</row>
        <row r="2077">
          <cell r="D2077">
            <v>301681</v>
          </cell>
          <cell r="E2077" t="str">
            <v>Caruray National High School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</row>
        <row r="2078">
          <cell r="D2078">
            <v>342752</v>
          </cell>
          <cell r="E2078" t="str">
            <v>Central Taytay Senior High School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1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43617</v>
          </cell>
          <cell r="Q2078">
            <v>0</v>
          </cell>
          <cell r="R2078">
            <v>0</v>
          </cell>
          <cell r="S2078">
            <v>1</v>
          </cell>
          <cell r="T2078">
            <v>0</v>
          </cell>
          <cell r="U2078">
            <v>0</v>
          </cell>
          <cell r="V2078">
            <v>1</v>
          </cell>
          <cell r="W2078">
            <v>0</v>
          </cell>
          <cell r="X2078">
            <v>0</v>
          </cell>
          <cell r="Y2078">
            <v>0</v>
          </cell>
        </row>
        <row r="2079">
          <cell r="D2079">
            <v>309134</v>
          </cell>
          <cell r="E2079" t="str">
            <v>Cheey National High School</v>
          </cell>
          <cell r="F2079">
            <v>1</v>
          </cell>
          <cell r="G2079">
            <v>0</v>
          </cell>
          <cell r="H2079">
            <v>1</v>
          </cell>
          <cell r="I2079">
            <v>0</v>
          </cell>
          <cell r="J2079">
            <v>1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1</v>
          </cell>
          <cell r="S2079">
            <v>0</v>
          </cell>
          <cell r="T2079">
            <v>0</v>
          </cell>
          <cell r="U2079">
            <v>0</v>
          </cell>
          <cell r="V2079">
            <v>1</v>
          </cell>
          <cell r="W2079">
            <v>0</v>
          </cell>
          <cell r="X2079">
            <v>0</v>
          </cell>
          <cell r="Y2079">
            <v>0</v>
          </cell>
        </row>
        <row r="2080">
          <cell r="D2080">
            <v>301708</v>
          </cell>
          <cell r="E2080" t="str">
            <v>Manamoc National High School</v>
          </cell>
          <cell r="F2080">
            <v>1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</row>
        <row r="2081">
          <cell r="D2081">
            <v>301693</v>
          </cell>
          <cell r="E2081" t="str">
            <v>El Nido National High School</v>
          </cell>
          <cell r="F2081">
            <v>1</v>
          </cell>
          <cell r="G2081">
            <v>1</v>
          </cell>
          <cell r="H2081">
            <v>1</v>
          </cell>
          <cell r="I2081">
            <v>0</v>
          </cell>
          <cell r="J2081">
            <v>1</v>
          </cell>
          <cell r="K2081">
            <v>0</v>
          </cell>
          <cell r="L2081">
            <v>0</v>
          </cell>
          <cell r="M2081">
            <v>0</v>
          </cell>
          <cell r="N2081">
            <v>1</v>
          </cell>
          <cell r="O2081">
            <v>2017</v>
          </cell>
          <cell r="P2081">
            <v>2017</v>
          </cell>
          <cell r="Q2081">
            <v>0</v>
          </cell>
          <cell r="R2081">
            <v>0</v>
          </cell>
          <cell r="S2081">
            <v>1</v>
          </cell>
          <cell r="T2081">
            <v>0</v>
          </cell>
          <cell r="U2081">
            <v>0</v>
          </cell>
          <cell r="V2081">
            <v>0</v>
          </cell>
          <cell r="W2081">
            <v>2</v>
          </cell>
          <cell r="X2081">
            <v>2</v>
          </cell>
          <cell r="Y2081">
            <v>2</v>
          </cell>
        </row>
        <row r="2082">
          <cell r="D2082">
            <v>301732</v>
          </cell>
          <cell r="E2082" t="str">
            <v>San Jose (Roxas) National High School</v>
          </cell>
          <cell r="F2082">
            <v>1</v>
          </cell>
          <cell r="G2082">
            <v>1</v>
          </cell>
          <cell r="H2082">
            <v>1</v>
          </cell>
          <cell r="I2082">
            <v>1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1</v>
          </cell>
          <cell r="O2082">
            <v>0</v>
          </cell>
          <cell r="P2082">
            <v>0</v>
          </cell>
          <cell r="Q2082">
            <v>1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1</v>
          </cell>
          <cell r="W2082">
            <v>0</v>
          </cell>
          <cell r="X2082">
            <v>0</v>
          </cell>
          <cell r="Y2082">
            <v>0</v>
          </cell>
        </row>
        <row r="2083">
          <cell r="D2083">
            <v>309129</v>
          </cell>
          <cell r="E2083" t="str">
            <v>Southern Bataraza National High School</v>
          </cell>
          <cell r="F2083">
            <v>1</v>
          </cell>
          <cell r="G2083">
            <v>1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</row>
        <row r="2084">
          <cell r="D2084">
            <v>301684</v>
          </cell>
          <cell r="E2084" t="str">
            <v>Coron School of Fisheries</v>
          </cell>
          <cell r="F2084">
            <v>1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</row>
        <row r="2085">
          <cell r="D2085">
            <v>301745</v>
          </cell>
          <cell r="E2085" t="str">
            <v>Tumarbong National High School</v>
          </cell>
          <cell r="F2085">
            <v>1</v>
          </cell>
          <cell r="G2085">
            <v>1</v>
          </cell>
          <cell r="H2085">
            <v>1</v>
          </cell>
          <cell r="I2085">
            <v>0</v>
          </cell>
          <cell r="J2085">
            <v>1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 t="str">
            <v>N/A</v>
          </cell>
          <cell r="Q2085">
            <v>0</v>
          </cell>
          <cell r="R2085">
            <v>1</v>
          </cell>
          <cell r="S2085">
            <v>0</v>
          </cell>
          <cell r="T2085">
            <v>0</v>
          </cell>
          <cell r="U2085">
            <v>0</v>
          </cell>
          <cell r="V2085">
            <v>1</v>
          </cell>
          <cell r="W2085">
            <v>0</v>
          </cell>
          <cell r="X2085">
            <v>0</v>
          </cell>
          <cell r="Y2085">
            <v>0</v>
          </cell>
        </row>
        <row r="2086">
          <cell r="D2086">
            <v>301711</v>
          </cell>
          <cell r="E2086" t="str">
            <v>New Busuanga National High School</v>
          </cell>
          <cell r="F2086">
            <v>1</v>
          </cell>
          <cell r="G2086">
            <v>1</v>
          </cell>
          <cell r="H2086">
            <v>1</v>
          </cell>
          <cell r="I2086">
            <v>1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1</v>
          </cell>
          <cell r="O2086">
            <v>0</v>
          </cell>
          <cell r="P2086">
            <v>0</v>
          </cell>
          <cell r="Q2086">
            <v>1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1</v>
          </cell>
          <cell r="W2086">
            <v>5</v>
          </cell>
          <cell r="X2086">
            <v>0</v>
          </cell>
          <cell r="Y2086">
            <v>0</v>
          </cell>
        </row>
        <row r="2087">
          <cell r="D2087">
            <v>301662</v>
          </cell>
          <cell r="E2087" t="str">
            <v>Araceli National High School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</row>
        <row r="2088">
          <cell r="D2088">
            <v>301677</v>
          </cell>
          <cell r="E2088" t="str">
            <v>Cagayancillo National High School</v>
          </cell>
          <cell r="F2088">
            <v>1</v>
          </cell>
          <cell r="G2088">
            <v>1</v>
          </cell>
          <cell r="H2088">
            <v>1</v>
          </cell>
          <cell r="I2088">
            <v>0</v>
          </cell>
          <cell r="J2088">
            <v>0</v>
          </cell>
          <cell r="K2088">
            <v>1</v>
          </cell>
          <cell r="L2088">
            <v>0</v>
          </cell>
          <cell r="M2088">
            <v>0</v>
          </cell>
          <cell r="N2088">
            <v>1</v>
          </cell>
          <cell r="O2088" t="str">
            <v>October 27,2019</v>
          </cell>
          <cell r="P2088">
            <v>0</v>
          </cell>
          <cell r="Q2088">
            <v>0</v>
          </cell>
          <cell r="R2088">
            <v>0</v>
          </cell>
          <cell r="S2088">
            <v>1</v>
          </cell>
          <cell r="T2088">
            <v>0</v>
          </cell>
          <cell r="U2088">
            <v>0</v>
          </cell>
          <cell r="V2088">
            <v>0</v>
          </cell>
          <cell r="W2088">
            <v>1</v>
          </cell>
          <cell r="X2088">
            <v>0</v>
          </cell>
          <cell r="Y2088">
            <v>0</v>
          </cell>
        </row>
        <row r="2089">
          <cell r="D2089">
            <v>301690</v>
          </cell>
          <cell r="E2089" t="str">
            <v>Dumangeña National High School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</row>
        <row r="2090">
          <cell r="D2090">
            <v>301726</v>
          </cell>
          <cell r="E2090" t="str">
            <v>Quezon National High School</v>
          </cell>
          <cell r="F2090">
            <v>1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</row>
        <row r="2091">
          <cell r="D2091">
            <v>301685</v>
          </cell>
          <cell r="E2091" t="str">
            <v>Borac National High School</v>
          </cell>
          <cell r="F2091">
            <v>1</v>
          </cell>
          <cell r="G2091">
            <v>0</v>
          </cell>
          <cell r="H2091">
            <v>1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1</v>
          </cell>
          <cell r="O2091">
            <v>0</v>
          </cell>
          <cell r="P2091">
            <v>43396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</row>
        <row r="2092">
          <cell r="D2092">
            <v>301743</v>
          </cell>
          <cell r="E2092" t="str">
            <v>Tagusao National High School</v>
          </cell>
          <cell r="F2092">
            <v>1</v>
          </cell>
          <cell r="G2092">
            <v>0</v>
          </cell>
          <cell r="H2092">
            <v>1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</row>
        <row r="2093">
          <cell r="D2093">
            <v>309113</v>
          </cell>
          <cell r="E2093" t="str">
            <v>Bancalaan National High School</v>
          </cell>
          <cell r="F2093">
            <v>1</v>
          </cell>
          <cell r="G2093">
            <v>1</v>
          </cell>
          <cell r="H2093">
            <v>1</v>
          </cell>
          <cell r="I2093">
            <v>0</v>
          </cell>
          <cell r="J2093">
            <v>1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1</v>
          </cell>
          <cell r="S2093">
            <v>0</v>
          </cell>
          <cell r="T2093">
            <v>0</v>
          </cell>
          <cell r="U2093">
            <v>0</v>
          </cell>
          <cell r="V2093">
            <v>1</v>
          </cell>
          <cell r="W2093">
            <v>2</v>
          </cell>
          <cell r="X2093">
            <v>0</v>
          </cell>
          <cell r="Y2093">
            <v>0</v>
          </cell>
        </row>
        <row r="2094">
          <cell r="D2094">
            <v>301701</v>
          </cell>
          <cell r="E2094" t="str">
            <v>Isaub National High School</v>
          </cell>
          <cell r="F2094">
            <v>0</v>
          </cell>
          <cell r="G2094">
            <v>0</v>
          </cell>
          <cell r="H2094">
            <v>1</v>
          </cell>
          <cell r="I2094">
            <v>0</v>
          </cell>
          <cell r="J2094">
            <v>1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5</v>
          </cell>
          <cell r="X2094">
            <v>5</v>
          </cell>
          <cell r="Y2094">
            <v>0</v>
          </cell>
        </row>
        <row r="2095">
          <cell r="D2095">
            <v>301695</v>
          </cell>
          <cell r="E2095" t="str">
            <v>Gaudencio E. Abordo Mem. National High School</v>
          </cell>
          <cell r="F2095">
            <v>0</v>
          </cell>
          <cell r="G2095">
            <v>0</v>
          </cell>
          <cell r="H2095">
            <v>1</v>
          </cell>
          <cell r="I2095">
            <v>0</v>
          </cell>
          <cell r="J2095">
            <v>1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43617</v>
          </cell>
          <cell r="P2095">
            <v>0</v>
          </cell>
          <cell r="Q2095">
            <v>1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3</v>
          </cell>
          <cell r="X2095">
            <v>0</v>
          </cell>
          <cell r="Y2095">
            <v>0</v>
          </cell>
        </row>
        <row r="2096">
          <cell r="D2096">
            <v>301691</v>
          </cell>
          <cell r="E2096" t="str">
            <v>Dumaran National High School</v>
          </cell>
          <cell r="F2096">
            <v>0</v>
          </cell>
          <cell r="G2096">
            <v>0</v>
          </cell>
          <cell r="H2096">
            <v>1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 t="str">
            <v>n/a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</row>
        <row r="2097">
          <cell r="D2097">
            <v>301666</v>
          </cell>
          <cell r="E2097" t="str">
            <v>Balabac National High School</v>
          </cell>
          <cell r="F2097">
            <v>1</v>
          </cell>
          <cell r="G2097">
            <v>0</v>
          </cell>
          <cell r="H2097">
            <v>1</v>
          </cell>
          <cell r="I2097">
            <v>0</v>
          </cell>
          <cell r="J2097">
            <v>0</v>
          </cell>
          <cell r="K2097">
            <v>1</v>
          </cell>
          <cell r="L2097">
            <v>0</v>
          </cell>
          <cell r="M2097">
            <v>0</v>
          </cell>
          <cell r="N2097">
            <v>1</v>
          </cell>
          <cell r="O2097">
            <v>0</v>
          </cell>
          <cell r="P2097" t="str">
            <v>6-18-2019</v>
          </cell>
          <cell r="Q2097">
            <v>0</v>
          </cell>
          <cell r="R2097">
            <v>1</v>
          </cell>
          <cell r="S2097">
            <v>0</v>
          </cell>
          <cell r="T2097">
            <v>0</v>
          </cell>
          <cell r="U2097">
            <v>0</v>
          </cell>
          <cell r="V2097">
            <v>1</v>
          </cell>
          <cell r="W2097">
            <v>1</v>
          </cell>
          <cell r="X2097">
            <v>1</v>
          </cell>
          <cell r="Y2097">
            <v>0</v>
          </cell>
        </row>
        <row r="2098">
          <cell r="D2098">
            <v>301663</v>
          </cell>
          <cell r="E2098" t="str">
            <v>Aramaywan National High School</v>
          </cell>
          <cell r="F2098">
            <v>1</v>
          </cell>
          <cell r="G2098">
            <v>1</v>
          </cell>
          <cell r="H2098">
            <v>1</v>
          </cell>
          <cell r="I2098">
            <v>0</v>
          </cell>
          <cell r="J2098">
            <v>1</v>
          </cell>
          <cell r="K2098">
            <v>0</v>
          </cell>
          <cell r="L2098">
            <v>0</v>
          </cell>
          <cell r="M2098">
            <v>0</v>
          </cell>
          <cell r="N2098">
            <v>1</v>
          </cell>
          <cell r="O2098">
            <v>43682</v>
          </cell>
          <cell r="P2098">
            <v>0</v>
          </cell>
          <cell r="Q2098">
            <v>0</v>
          </cell>
          <cell r="R2098">
            <v>1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</row>
        <row r="2099">
          <cell r="D2099">
            <v>301680</v>
          </cell>
          <cell r="E2099" t="str">
            <v>Candawaga National High School</v>
          </cell>
          <cell r="F2099">
            <v>0</v>
          </cell>
          <cell r="G2099">
            <v>1</v>
          </cell>
          <cell r="H2099">
            <v>1</v>
          </cell>
          <cell r="I2099">
            <v>0</v>
          </cell>
          <cell r="J2099">
            <v>0</v>
          </cell>
          <cell r="K2099">
            <v>1</v>
          </cell>
          <cell r="L2099">
            <v>0</v>
          </cell>
          <cell r="M2099">
            <v>0</v>
          </cell>
          <cell r="N2099">
            <v>1</v>
          </cell>
          <cell r="O2099">
            <v>0</v>
          </cell>
          <cell r="P2099">
            <v>0</v>
          </cell>
          <cell r="Q2099">
            <v>0</v>
          </cell>
          <cell r="R2099">
            <v>1</v>
          </cell>
          <cell r="S2099">
            <v>0</v>
          </cell>
          <cell r="T2099">
            <v>0</v>
          </cell>
          <cell r="U2099">
            <v>0</v>
          </cell>
          <cell r="V2099">
            <v>1</v>
          </cell>
          <cell r="W2099">
            <v>0</v>
          </cell>
          <cell r="X2099">
            <v>0</v>
          </cell>
          <cell r="Y2099">
            <v>0</v>
          </cell>
        </row>
        <row r="2100">
          <cell r="D2100">
            <v>301722</v>
          </cell>
          <cell r="E2100" t="str">
            <v>Plaridel National High School</v>
          </cell>
          <cell r="F2100">
            <v>1</v>
          </cell>
          <cell r="G2100">
            <v>1</v>
          </cell>
          <cell r="H2100">
            <v>1</v>
          </cell>
          <cell r="I2100">
            <v>0</v>
          </cell>
          <cell r="J2100">
            <v>1</v>
          </cell>
          <cell r="K2100">
            <v>0</v>
          </cell>
          <cell r="L2100">
            <v>0</v>
          </cell>
          <cell r="M2100">
            <v>0</v>
          </cell>
          <cell r="N2100">
            <v>1</v>
          </cell>
          <cell r="O2100">
            <v>43760</v>
          </cell>
          <cell r="P2100">
            <v>0</v>
          </cell>
          <cell r="Q2100">
            <v>1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1</v>
          </cell>
          <cell r="W2100">
            <v>1</v>
          </cell>
          <cell r="X2100">
            <v>0</v>
          </cell>
          <cell r="Y2100">
            <v>0</v>
          </cell>
        </row>
        <row r="2101">
          <cell r="D2101">
            <v>301688</v>
          </cell>
          <cell r="E2101" t="str">
            <v>Cuyo National High School</v>
          </cell>
          <cell r="F2101">
            <v>0</v>
          </cell>
          <cell r="G2101">
            <v>0</v>
          </cell>
          <cell r="H2101">
            <v>1</v>
          </cell>
          <cell r="I2101">
            <v>1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</row>
        <row r="2102">
          <cell r="D2102">
            <v>301725</v>
          </cell>
          <cell r="E2102" t="str">
            <v>Pulot National High School</v>
          </cell>
          <cell r="F2102">
            <v>1</v>
          </cell>
          <cell r="G2102">
            <v>1</v>
          </cell>
          <cell r="H2102">
            <v>1</v>
          </cell>
          <cell r="I2102">
            <v>0</v>
          </cell>
          <cell r="J2102">
            <v>1</v>
          </cell>
          <cell r="K2102">
            <v>0</v>
          </cell>
          <cell r="L2102">
            <v>0</v>
          </cell>
          <cell r="M2102">
            <v>0</v>
          </cell>
          <cell r="N2102">
            <v>1</v>
          </cell>
          <cell r="O2102">
            <v>43748</v>
          </cell>
          <cell r="P2102" t="str">
            <v>6/17/2019</v>
          </cell>
          <cell r="Q2102">
            <v>0</v>
          </cell>
          <cell r="R2102">
            <v>1</v>
          </cell>
          <cell r="S2102">
            <v>0</v>
          </cell>
          <cell r="T2102">
            <v>0</v>
          </cell>
          <cell r="U2102">
            <v>0</v>
          </cell>
          <cell r="V2102">
            <v>1</v>
          </cell>
          <cell r="W2102">
            <v>0</v>
          </cell>
          <cell r="X2102">
            <v>0</v>
          </cell>
          <cell r="Y2102">
            <v>0</v>
          </cell>
        </row>
        <row r="2103">
          <cell r="D2103">
            <v>301724</v>
          </cell>
          <cell r="E2103" t="str">
            <v>Princess Urduja National High School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</row>
        <row r="2104">
          <cell r="D2104">
            <v>301719</v>
          </cell>
          <cell r="E2104" t="str">
            <v>Panitian National High School</v>
          </cell>
          <cell r="F2104">
            <v>1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</row>
        <row r="2105">
          <cell r="D2105">
            <v>309114</v>
          </cell>
          <cell r="E2105" t="str">
            <v>Berong BHS (Quezon-Aramaywan NHS - Berong Brgy. HS)</v>
          </cell>
          <cell r="F2105">
            <v>1</v>
          </cell>
          <cell r="G2105">
            <v>0</v>
          </cell>
          <cell r="H2105">
            <v>1</v>
          </cell>
          <cell r="I2105">
            <v>0</v>
          </cell>
          <cell r="J2105">
            <v>1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1</v>
          </cell>
          <cell r="T2105">
            <v>1</v>
          </cell>
          <cell r="U2105">
            <v>43252</v>
          </cell>
          <cell r="V2105">
            <v>1</v>
          </cell>
          <cell r="W2105">
            <v>0</v>
          </cell>
          <cell r="X2105">
            <v>0</v>
          </cell>
          <cell r="Y2105">
            <v>0</v>
          </cell>
        </row>
        <row r="2106">
          <cell r="D2106">
            <v>301659</v>
          </cell>
          <cell r="E2106" t="str">
            <v>Aborlan National High School</v>
          </cell>
          <cell r="F2106">
            <v>1</v>
          </cell>
          <cell r="G2106">
            <v>1</v>
          </cell>
          <cell r="H2106">
            <v>1</v>
          </cell>
          <cell r="I2106">
            <v>0</v>
          </cell>
          <cell r="J2106">
            <v>1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1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1</v>
          </cell>
          <cell r="W2106">
            <v>0</v>
          </cell>
          <cell r="X2106">
            <v>0</v>
          </cell>
          <cell r="Y2106">
            <v>0</v>
          </cell>
        </row>
        <row r="2107">
          <cell r="D2107">
            <v>301730</v>
          </cell>
          <cell r="E2107" t="str">
            <v>Rio Tuba National High School</v>
          </cell>
          <cell r="F2107">
            <v>1</v>
          </cell>
          <cell r="G2107">
            <v>1</v>
          </cell>
          <cell r="H2107">
            <v>1</v>
          </cell>
          <cell r="I2107">
            <v>0</v>
          </cell>
          <cell r="J2107">
            <v>1</v>
          </cell>
          <cell r="K2107">
            <v>0</v>
          </cell>
          <cell r="L2107">
            <v>0</v>
          </cell>
          <cell r="M2107">
            <v>0</v>
          </cell>
          <cell r="N2107">
            <v>1</v>
          </cell>
          <cell r="O2107">
            <v>0</v>
          </cell>
          <cell r="P2107">
            <v>0</v>
          </cell>
          <cell r="Q2107">
            <v>0</v>
          </cell>
          <cell r="R2107">
            <v>1</v>
          </cell>
          <cell r="S2107">
            <v>0</v>
          </cell>
          <cell r="T2107">
            <v>0</v>
          </cell>
          <cell r="U2107">
            <v>0</v>
          </cell>
          <cell r="V2107">
            <v>1</v>
          </cell>
          <cell r="W2107">
            <v>4</v>
          </cell>
          <cell r="X2107">
            <v>0</v>
          </cell>
          <cell r="Y2107">
            <v>0</v>
          </cell>
        </row>
        <row r="2108">
          <cell r="D2108">
            <v>301678</v>
          </cell>
          <cell r="E2108" t="str">
            <v>Calandagan National High School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1</v>
          </cell>
          <cell r="W2108">
            <v>0</v>
          </cell>
          <cell r="X2108">
            <v>0</v>
          </cell>
          <cell r="Y2108">
            <v>0</v>
          </cell>
        </row>
        <row r="2109">
          <cell r="D2109">
            <v>301729</v>
          </cell>
          <cell r="E2109" t="str">
            <v>Quinlogan National High School</v>
          </cell>
          <cell r="F2109">
            <v>1</v>
          </cell>
          <cell r="G2109">
            <v>0</v>
          </cell>
          <cell r="H2109">
            <v>1</v>
          </cell>
          <cell r="I2109">
            <v>0</v>
          </cell>
          <cell r="J2109">
            <v>0</v>
          </cell>
          <cell r="K2109">
            <v>1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43619</v>
          </cell>
          <cell r="Q2109">
            <v>0</v>
          </cell>
          <cell r="R2109">
            <v>0</v>
          </cell>
          <cell r="S2109">
            <v>1</v>
          </cell>
          <cell r="T2109">
            <v>0</v>
          </cell>
          <cell r="U2109">
            <v>0</v>
          </cell>
          <cell r="V2109">
            <v>1</v>
          </cell>
          <cell r="W2109">
            <v>0</v>
          </cell>
          <cell r="X2109">
            <v>0</v>
          </cell>
          <cell r="Y2109">
            <v>0</v>
          </cell>
        </row>
        <row r="2110">
          <cell r="D2110">
            <v>301720</v>
          </cell>
          <cell r="E2110" t="str">
            <v>Panlaitan National High School</v>
          </cell>
          <cell r="F2110">
            <v>0</v>
          </cell>
          <cell r="G2110">
            <v>0</v>
          </cell>
          <cell r="H2110">
            <v>1</v>
          </cell>
          <cell r="I2110">
            <v>0</v>
          </cell>
          <cell r="J2110">
            <v>1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 t="str">
            <v>NONE</v>
          </cell>
          <cell r="P2110">
            <v>43471</v>
          </cell>
          <cell r="Q2110">
            <v>1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</row>
        <row r="2111">
          <cell r="D2111">
            <v>301705</v>
          </cell>
          <cell r="E2111" t="str">
            <v>Magara School for Philippine Craftsmen</v>
          </cell>
          <cell r="F2111">
            <v>0</v>
          </cell>
          <cell r="G2111">
            <v>0</v>
          </cell>
          <cell r="H2111">
            <v>1</v>
          </cell>
          <cell r="I2111">
            <v>0</v>
          </cell>
          <cell r="J2111">
            <v>1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 t="str">
            <v>6/16/2019</v>
          </cell>
          <cell r="Q2111">
            <v>0</v>
          </cell>
          <cell r="R2111">
            <v>1</v>
          </cell>
          <cell r="S2111">
            <v>0</v>
          </cell>
          <cell r="T2111">
            <v>0</v>
          </cell>
          <cell r="U2111">
            <v>0</v>
          </cell>
          <cell r="V2111">
            <v>1</v>
          </cell>
          <cell r="W2111">
            <v>0</v>
          </cell>
          <cell r="X2111">
            <v>0</v>
          </cell>
          <cell r="Y2111">
            <v>0</v>
          </cell>
        </row>
        <row r="2112">
          <cell r="D2112">
            <v>301727</v>
          </cell>
          <cell r="E2112" t="str">
            <v>Quezon-Aramaywan National High School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</row>
        <row r="2113">
          <cell r="D2113">
            <v>301728</v>
          </cell>
          <cell r="E2113" t="str">
            <v>Quezon-Panitian National High School</v>
          </cell>
          <cell r="F2113">
            <v>1</v>
          </cell>
          <cell r="G2113">
            <v>1</v>
          </cell>
          <cell r="H2113">
            <v>1</v>
          </cell>
          <cell r="I2113">
            <v>0</v>
          </cell>
          <cell r="J2113">
            <v>1</v>
          </cell>
          <cell r="K2113">
            <v>0</v>
          </cell>
          <cell r="L2113">
            <v>0</v>
          </cell>
          <cell r="M2113">
            <v>0</v>
          </cell>
          <cell r="N2113">
            <v>1</v>
          </cell>
          <cell r="O2113">
            <v>43710</v>
          </cell>
          <cell r="P2113" t="str">
            <v>11/042019</v>
          </cell>
          <cell r="Q2113">
            <v>1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1</v>
          </cell>
          <cell r="W2113">
            <v>1</v>
          </cell>
          <cell r="X2113">
            <v>0</v>
          </cell>
          <cell r="Y2113">
            <v>0</v>
          </cell>
        </row>
        <row r="2114">
          <cell r="D2114">
            <v>309120</v>
          </cell>
          <cell r="E2114" t="str">
            <v>Concepcion National High School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</row>
        <row r="2115">
          <cell r="D2115">
            <v>309168</v>
          </cell>
          <cell r="E2115" t="str">
            <v>Decalachao National High School</v>
          </cell>
          <cell r="F2115">
            <v>1</v>
          </cell>
          <cell r="G2115">
            <v>0</v>
          </cell>
          <cell r="H2115">
            <v>1</v>
          </cell>
          <cell r="I2115">
            <v>0</v>
          </cell>
          <cell r="J2115">
            <v>1</v>
          </cell>
          <cell r="K2115">
            <v>0</v>
          </cell>
          <cell r="L2115">
            <v>0</v>
          </cell>
          <cell r="M2115">
            <v>0</v>
          </cell>
          <cell r="N2115">
            <v>1</v>
          </cell>
          <cell r="O2115" t="str">
            <v>SEPTEMBER 27, 2019</v>
          </cell>
          <cell r="P2115" t="str">
            <v>SEPTEMBER 28, 2019</v>
          </cell>
          <cell r="Q2115">
            <v>0</v>
          </cell>
          <cell r="R2115">
            <v>1</v>
          </cell>
          <cell r="S2115">
            <v>0</v>
          </cell>
          <cell r="T2115">
            <v>0</v>
          </cell>
          <cell r="U2115">
            <v>0</v>
          </cell>
          <cell r="V2115">
            <v>1</v>
          </cell>
          <cell r="W2115">
            <v>0</v>
          </cell>
          <cell r="X2115">
            <v>0</v>
          </cell>
          <cell r="Y2115">
            <v>0</v>
          </cell>
        </row>
        <row r="2116">
          <cell r="D2116">
            <v>309128</v>
          </cell>
          <cell r="E2116" t="str">
            <v>Bulawit National High School (Gaudencio Abordo NHS R.A.6992)</v>
          </cell>
          <cell r="F2116">
            <v>1</v>
          </cell>
          <cell r="G2116">
            <v>1</v>
          </cell>
          <cell r="H2116">
            <v>1</v>
          </cell>
          <cell r="I2116">
            <v>0</v>
          </cell>
          <cell r="J2116">
            <v>1</v>
          </cell>
          <cell r="K2116">
            <v>0</v>
          </cell>
          <cell r="L2116">
            <v>0</v>
          </cell>
          <cell r="M2116">
            <v>0</v>
          </cell>
          <cell r="N2116">
            <v>1</v>
          </cell>
          <cell r="O2116">
            <v>0</v>
          </cell>
          <cell r="P2116">
            <v>0</v>
          </cell>
          <cell r="Q2116">
            <v>0</v>
          </cell>
          <cell r="R2116">
            <v>1</v>
          </cell>
          <cell r="S2116">
            <v>0</v>
          </cell>
          <cell r="T2116">
            <v>0</v>
          </cell>
          <cell r="U2116">
            <v>0</v>
          </cell>
          <cell r="V2116">
            <v>1</v>
          </cell>
          <cell r="W2116">
            <v>0</v>
          </cell>
          <cell r="X2116">
            <v>0</v>
          </cell>
          <cell r="Y2116">
            <v>0</v>
          </cell>
        </row>
        <row r="2117">
          <cell r="D2117">
            <v>301669</v>
          </cell>
          <cell r="E2117" t="str">
            <v>Bato National High School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</row>
        <row r="2118">
          <cell r="D2118">
            <v>309140</v>
          </cell>
          <cell r="E2118" t="str">
            <v>Caponayan National High School</v>
          </cell>
          <cell r="F2118">
            <v>1</v>
          </cell>
          <cell r="G2118">
            <v>0</v>
          </cell>
          <cell r="H2118">
            <v>1</v>
          </cell>
          <cell r="I2118">
            <v>0</v>
          </cell>
          <cell r="J2118">
            <v>0</v>
          </cell>
          <cell r="K2118">
            <v>1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</row>
        <row r="2119">
          <cell r="D2119">
            <v>301660</v>
          </cell>
          <cell r="E2119" t="str">
            <v>Alimanguan National High School</v>
          </cell>
          <cell r="F2119">
            <v>1</v>
          </cell>
          <cell r="G2119">
            <v>1</v>
          </cell>
          <cell r="H2119">
            <v>1</v>
          </cell>
          <cell r="I2119">
            <v>0</v>
          </cell>
          <cell r="J2119">
            <v>1</v>
          </cell>
          <cell r="K2119">
            <v>0</v>
          </cell>
          <cell r="L2119">
            <v>0</v>
          </cell>
          <cell r="M2119">
            <v>0</v>
          </cell>
          <cell r="N2119">
            <v>1</v>
          </cell>
          <cell r="O2119">
            <v>0</v>
          </cell>
          <cell r="P2119">
            <v>0</v>
          </cell>
          <cell r="Q2119">
            <v>0</v>
          </cell>
          <cell r="R2119">
            <v>1</v>
          </cell>
          <cell r="S2119">
            <v>0</v>
          </cell>
          <cell r="T2119">
            <v>0</v>
          </cell>
          <cell r="U2119">
            <v>0</v>
          </cell>
          <cell r="V2119">
            <v>1</v>
          </cell>
          <cell r="W2119">
            <v>0</v>
          </cell>
          <cell r="X2119">
            <v>0</v>
          </cell>
          <cell r="Y2119">
            <v>0</v>
          </cell>
        </row>
        <row r="2120">
          <cell r="D2120">
            <v>301702</v>
          </cell>
          <cell r="E2120" t="str">
            <v>Jose P. Rizal National High School</v>
          </cell>
          <cell r="F2120">
            <v>1</v>
          </cell>
          <cell r="G2120">
            <v>1</v>
          </cell>
          <cell r="H2120">
            <v>1</v>
          </cell>
          <cell r="I2120">
            <v>0</v>
          </cell>
          <cell r="J2120">
            <v>1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 t="str">
            <v>01/19/19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</row>
        <row r="2121">
          <cell r="D2121">
            <v>301737</v>
          </cell>
          <cell r="E2121" t="str">
            <v>San Miguel National High School (Gaudencio Abordo NHS)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</row>
        <row r="2122">
          <cell r="D2122">
            <v>301710</v>
          </cell>
          <cell r="E2122" t="str">
            <v>Narra National High School</v>
          </cell>
          <cell r="F2122">
            <v>1</v>
          </cell>
          <cell r="G2122">
            <v>1</v>
          </cell>
          <cell r="H2122">
            <v>1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 t="str">
            <v>None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2</v>
          </cell>
          <cell r="Y2122">
            <v>0</v>
          </cell>
        </row>
        <row r="2123">
          <cell r="D2123">
            <v>301740</v>
          </cell>
          <cell r="E2123" t="str">
            <v>Sta. Teresita National High School</v>
          </cell>
          <cell r="F2123">
            <v>1</v>
          </cell>
          <cell r="G2123">
            <v>1</v>
          </cell>
          <cell r="H2123">
            <v>1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</row>
        <row r="2124">
          <cell r="D2124">
            <v>301668</v>
          </cell>
          <cell r="E2124" t="str">
            <v>Bataraza National High School</v>
          </cell>
          <cell r="F2124">
            <v>0</v>
          </cell>
          <cell r="G2124">
            <v>0</v>
          </cell>
          <cell r="H2124">
            <v>1</v>
          </cell>
          <cell r="I2124">
            <v>0</v>
          </cell>
          <cell r="J2124">
            <v>0</v>
          </cell>
          <cell r="K2124">
            <v>0</v>
          </cell>
          <cell r="L2124">
            <v>1</v>
          </cell>
          <cell r="M2124" t="str">
            <v>Weekly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</row>
        <row r="2125">
          <cell r="D2125">
            <v>301699</v>
          </cell>
          <cell r="E2125" t="str">
            <v>Gov. Alfredo Abueg Sr. National Technology &amp; Vocational Memorial High School</v>
          </cell>
          <cell r="F2125">
            <v>1</v>
          </cell>
          <cell r="G2125">
            <v>1</v>
          </cell>
          <cell r="H2125">
            <v>1</v>
          </cell>
          <cell r="I2125">
            <v>0</v>
          </cell>
          <cell r="J2125">
            <v>1</v>
          </cell>
          <cell r="K2125">
            <v>0</v>
          </cell>
          <cell r="L2125">
            <v>0</v>
          </cell>
          <cell r="M2125">
            <v>0</v>
          </cell>
          <cell r="N2125">
            <v>1</v>
          </cell>
          <cell r="O2125">
            <v>43746</v>
          </cell>
          <cell r="P2125">
            <v>43803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1</v>
          </cell>
          <cell r="W2125">
            <v>0</v>
          </cell>
          <cell r="X2125">
            <v>0</v>
          </cell>
          <cell r="Y2125">
            <v>0</v>
          </cell>
        </row>
        <row r="2126">
          <cell r="D2126">
            <v>301674</v>
          </cell>
          <cell r="E2126" t="str">
            <v>Mangsee National High School</v>
          </cell>
          <cell r="F2126">
            <v>1</v>
          </cell>
          <cell r="G2126">
            <v>1</v>
          </cell>
          <cell r="H2126">
            <v>1</v>
          </cell>
          <cell r="I2126">
            <v>1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1</v>
          </cell>
          <cell r="O2126">
            <v>0</v>
          </cell>
          <cell r="P2126">
            <v>0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1</v>
          </cell>
          <cell r="W2126">
            <v>4</v>
          </cell>
          <cell r="X2126">
            <v>1</v>
          </cell>
          <cell r="Y2126">
            <v>0</v>
          </cell>
        </row>
        <row r="2127">
          <cell r="D2127">
            <v>309127</v>
          </cell>
          <cell r="E2127" t="str">
            <v>Sibaring National High School</v>
          </cell>
          <cell r="F2127">
            <v>0</v>
          </cell>
          <cell r="G2127">
            <v>0</v>
          </cell>
          <cell r="H2127">
            <v>1</v>
          </cell>
          <cell r="I2127">
            <v>0</v>
          </cell>
          <cell r="J2127">
            <v>0</v>
          </cell>
          <cell r="K2127">
            <v>0</v>
          </cell>
          <cell r="L2127">
            <v>1</v>
          </cell>
          <cell r="M2127" t="str">
            <v>AGREED SCHEDULE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</row>
        <row r="2128">
          <cell r="D2128">
            <v>301739</v>
          </cell>
          <cell r="E2128" t="str">
            <v>Sandoval National High School</v>
          </cell>
          <cell r="F2128">
            <v>1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1</v>
          </cell>
          <cell r="O2128">
            <v>0</v>
          </cell>
          <cell r="P2128">
            <v>42917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1</v>
          </cell>
          <cell r="W2128">
            <v>0</v>
          </cell>
          <cell r="X2128">
            <v>0</v>
          </cell>
          <cell r="Y2128">
            <v>0</v>
          </cell>
        </row>
        <row r="2129">
          <cell r="D2129">
            <v>309136</v>
          </cell>
          <cell r="E2129" t="str">
            <v>Inil U. Taha National High School</v>
          </cell>
          <cell r="F2129">
            <v>1</v>
          </cell>
          <cell r="G2129">
            <v>1</v>
          </cell>
          <cell r="H2129">
            <v>1</v>
          </cell>
          <cell r="I2129">
            <v>0</v>
          </cell>
          <cell r="J2129">
            <v>0</v>
          </cell>
          <cell r="K2129">
            <v>1</v>
          </cell>
          <cell r="L2129">
            <v>0</v>
          </cell>
          <cell r="M2129">
            <v>0</v>
          </cell>
          <cell r="N2129">
            <v>1</v>
          </cell>
          <cell r="O2129">
            <v>0</v>
          </cell>
          <cell r="P2129">
            <v>0</v>
          </cell>
          <cell r="Q2129">
            <v>0</v>
          </cell>
          <cell r="R2129">
            <v>1</v>
          </cell>
          <cell r="S2129">
            <v>0</v>
          </cell>
          <cell r="T2129">
            <v>0</v>
          </cell>
          <cell r="U2129">
            <v>0</v>
          </cell>
          <cell r="V2129">
            <v>1</v>
          </cell>
          <cell r="W2129">
            <v>0</v>
          </cell>
          <cell r="X2129">
            <v>0</v>
          </cell>
          <cell r="Y2129">
            <v>0</v>
          </cell>
        </row>
        <row r="2130">
          <cell r="D2130">
            <v>301723</v>
          </cell>
          <cell r="E2130" t="str">
            <v>Port Barton National High School</v>
          </cell>
          <cell r="F2130">
            <v>1</v>
          </cell>
          <cell r="G2130">
            <v>0</v>
          </cell>
          <cell r="H2130">
            <v>1</v>
          </cell>
          <cell r="I2130">
            <v>0</v>
          </cell>
          <cell r="J2130">
            <v>1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</row>
        <row r="2131">
          <cell r="D2131">
            <v>301700</v>
          </cell>
          <cell r="E2131" t="str">
            <v>Ipilan National High School</v>
          </cell>
          <cell r="F2131">
            <v>1</v>
          </cell>
          <cell r="G2131">
            <v>1</v>
          </cell>
          <cell r="H2131">
            <v>1</v>
          </cell>
          <cell r="I2131">
            <v>0</v>
          </cell>
          <cell r="J2131">
            <v>1</v>
          </cell>
          <cell r="K2131">
            <v>0</v>
          </cell>
          <cell r="L2131">
            <v>0</v>
          </cell>
          <cell r="M2131">
            <v>0</v>
          </cell>
          <cell r="N2131">
            <v>1</v>
          </cell>
          <cell r="O2131">
            <v>43474</v>
          </cell>
          <cell r="P2131">
            <v>0</v>
          </cell>
          <cell r="Q2131">
            <v>0</v>
          </cell>
          <cell r="R2131">
            <v>1</v>
          </cell>
          <cell r="S2131">
            <v>0</v>
          </cell>
          <cell r="T2131">
            <v>0</v>
          </cell>
          <cell r="U2131">
            <v>0</v>
          </cell>
          <cell r="V2131">
            <v>1</v>
          </cell>
          <cell r="W2131">
            <v>0</v>
          </cell>
          <cell r="X2131">
            <v>0</v>
          </cell>
          <cell r="Y2131">
            <v>0</v>
          </cell>
        </row>
        <row r="2132">
          <cell r="D2132">
            <v>301657</v>
          </cell>
          <cell r="E2132" t="str">
            <v>Abo-Abo National High School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</row>
        <row r="2133">
          <cell r="D2133">
            <v>301682</v>
          </cell>
          <cell r="E2133" t="str">
            <v>Casian National High School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</row>
        <row r="2134">
          <cell r="D2134">
            <v>301671</v>
          </cell>
          <cell r="E2134" t="str">
            <v>Brooke's Point National High School - Pangobilian NHS</v>
          </cell>
          <cell r="F2134">
            <v>1</v>
          </cell>
          <cell r="G2134">
            <v>1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1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</row>
        <row r="2135">
          <cell r="D2135">
            <v>309115</v>
          </cell>
          <cell r="E2135" t="str">
            <v>Sumbiling National High School</v>
          </cell>
          <cell r="F2135">
            <v>1</v>
          </cell>
          <cell r="G2135">
            <v>1</v>
          </cell>
          <cell r="H2135">
            <v>1</v>
          </cell>
          <cell r="I2135">
            <v>0</v>
          </cell>
          <cell r="J2135">
            <v>1</v>
          </cell>
          <cell r="K2135">
            <v>0</v>
          </cell>
          <cell r="L2135">
            <v>0</v>
          </cell>
          <cell r="M2135">
            <v>0</v>
          </cell>
          <cell r="N2135">
            <v>1</v>
          </cell>
          <cell r="O2135">
            <v>0</v>
          </cell>
          <cell r="P2135">
            <v>0</v>
          </cell>
          <cell r="Q2135">
            <v>0</v>
          </cell>
          <cell r="R2135">
            <v>1</v>
          </cell>
          <cell r="S2135">
            <v>0</v>
          </cell>
          <cell r="T2135">
            <v>0</v>
          </cell>
          <cell r="U2135">
            <v>0</v>
          </cell>
          <cell r="V2135">
            <v>1</v>
          </cell>
          <cell r="W2135">
            <v>15</v>
          </cell>
          <cell r="X2135">
            <v>15</v>
          </cell>
          <cell r="Y2135">
            <v>15</v>
          </cell>
        </row>
        <row r="2136">
          <cell r="D2136">
            <v>309160</v>
          </cell>
          <cell r="E2136" t="str">
            <v>Canipaan National High School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</row>
        <row r="2137">
          <cell r="D2137">
            <v>309201</v>
          </cell>
          <cell r="E2137" t="str">
            <v>Calatrava National High School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</row>
        <row r="2138">
          <cell r="D2138">
            <v>301752</v>
          </cell>
          <cell r="E2138" t="str">
            <v>Cajidiocan National High School</v>
          </cell>
          <cell r="F2138">
            <v>1</v>
          </cell>
          <cell r="G2138">
            <v>0</v>
          </cell>
          <cell r="H2138">
            <v>1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</row>
        <row r="2139">
          <cell r="D2139">
            <v>301771</v>
          </cell>
          <cell r="E2139" t="str">
            <v>San Andres NHS</v>
          </cell>
          <cell r="F2139">
            <v>1</v>
          </cell>
          <cell r="G2139">
            <v>1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</row>
        <row r="2140">
          <cell r="D2140">
            <v>301761</v>
          </cell>
          <cell r="E2140" t="str">
            <v>Ferrol National High School</v>
          </cell>
          <cell r="F2140">
            <v>1</v>
          </cell>
          <cell r="G2140">
            <v>1</v>
          </cell>
          <cell r="H2140">
            <v>0</v>
          </cell>
          <cell r="I2140">
            <v>1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1</v>
          </cell>
          <cell r="O2140">
            <v>0</v>
          </cell>
          <cell r="P2140">
            <v>0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1</v>
          </cell>
          <cell r="W2140">
            <v>0</v>
          </cell>
          <cell r="X2140">
            <v>0</v>
          </cell>
          <cell r="Y2140">
            <v>0</v>
          </cell>
        </row>
        <row r="2141">
          <cell r="D2141">
            <v>301768</v>
          </cell>
          <cell r="E2141" t="str">
            <v>Magdiwang NHS</v>
          </cell>
          <cell r="F2141">
            <v>1</v>
          </cell>
          <cell r="G2141">
            <v>1</v>
          </cell>
          <cell r="H2141">
            <v>1</v>
          </cell>
          <cell r="I2141">
            <v>0</v>
          </cell>
          <cell r="J2141">
            <v>0</v>
          </cell>
          <cell r="K2141">
            <v>1</v>
          </cell>
          <cell r="L2141">
            <v>0</v>
          </cell>
          <cell r="M2141">
            <v>0</v>
          </cell>
          <cell r="N2141">
            <v>1</v>
          </cell>
          <cell r="O2141">
            <v>0</v>
          </cell>
          <cell r="P2141">
            <v>43617</v>
          </cell>
          <cell r="Q2141">
            <v>0</v>
          </cell>
          <cell r="R2141">
            <v>0</v>
          </cell>
          <cell r="S2141">
            <v>1</v>
          </cell>
          <cell r="T2141">
            <v>0</v>
          </cell>
          <cell r="U2141">
            <v>0</v>
          </cell>
          <cell r="V2141">
            <v>1</v>
          </cell>
          <cell r="W2141">
            <v>0</v>
          </cell>
          <cell r="X2141">
            <v>0</v>
          </cell>
          <cell r="Y2141">
            <v>0</v>
          </cell>
        </row>
        <row r="2142">
          <cell r="D2142">
            <v>301750</v>
          </cell>
          <cell r="E2142" t="str">
            <v>Banton NHS</v>
          </cell>
          <cell r="F2142">
            <v>1</v>
          </cell>
          <cell r="G2142">
            <v>1</v>
          </cell>
          <cell r="H2142">
            <v>1</v>
          </cell>
          <cell r="I2142">
            <v>0</v>
          </cell>
          <cell r="J2142">
            <v>1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 t="str">
            <v>10/312019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1</v>
          </cell>
          <cell r="W2142">
            <v>0</v>
          </cell>
          <cell r="X2142">
            <v>0</v>
          </cell>
          <cell r="Y2142">
            <v>0</v>
          </cell>
        </row>
        <row r="2143">
          <cell r="D2143">
            <v>301774</v>
          </cell>
          <cell r="E2143" t="str">
            <v>Santa Maria NHS</v>
          </cell>
          <cell r="F2143">
            <v>0</v>
          </cell>
          <cell r="G2143">
            <v>0</v>
          </cell>
          <cell r="H2143">
            <v>1</v>
          </cell>
          <cell r="I2143">
            <v>0</v>
          </cell>
          <cell r="J2143">
            <v>0</v>
          </cell>
          <cell r="K2143">
            <v>1</v>
          </cell>
          <cell r="L2143">
            <v>0</v>
          </cell>
          <cell r="M2143">
            <v>0</v>
          </cell>
          <cell r="N2143">
            <v>1</v>
          </cell>
          <cell r="O2143">
            <v>43669</v>
          </cell>
          <cell r="P2143">
            <v>43669</v>
          </cell>
          <cell r="Q2143">
            <v>0</v>
          </cell>
          <cell r="R2143">
            <v>1</v>
          </cell>
          <cell r="S2143">
            <v>0</v>
          </cell>
          <cell r="T2143">
            <v>0</v>
          </cell>
          <cell r="U2143">
            <v>0</v>
          </cell>
          <cell r="V2143">
            <v>1</v>
          </cell>
          <cell r="W2143">
            <v>5</v>
          </cell>
          <cell r="X2143">
            <v>0</v>
          </cell>
          <cell r="Y2143">
            <v>0</v>
          </cell>
        </row>
        <row r="2144">
          <cell r="D2144">
            <v>301756</v>
          </cell>
          <cell r="E2144" t="str">
            <v>Concepcion NHS (Main)</v>
          </cell>
          <cell r="F2144">
            <v>1</v>
          </cell>
          <cell r="G2144">
            <v>0</v>
          </cell>
          <cell r="H2144">
            <v>1</v>
          </cell>
          <cell r="I2144">
            <v>0</v>
          </cell>
          <cell r="J2144">
            <v>0</v>
          </cell>
          <cell r="K2144">
            <v>1</v>
          </cell>
          <cell r="L2144">
            <v>1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1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</row>
        <row r="2145">
          <cell r="D2145">
            <v>301763</v>
          </cell>
          <cell r="E2145" t="str">
            <v>Sta. Fe NHS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</row>
        <row r="2146">
          <cell r="D2146">
            <v>301772</v>
          </cell>
          <cell r="E2146" t="str">
            <v>San Jose Agricultural HS</v>
          </cell>
          <cell r="F2146">
            <v>1</v>
          </cell>
          <cell r="G2146">
            <v>0</v>
          </cell>
          <cell r="H2146">
            <v>1</v>
          </cell>
          <cell r="I2146">
            <v>0</v>
          </cell>
          <cell r="J2146">
            <v>1</v>
          </cell>
          <cell r="K2146">
            <v>0</v>
          </cell>
          <cell r="L2146">
            <v>0</v>
          </cell>
          <cell r="M2146">
            <v>0</v>
          </cell>
          <cell r="N2146">
            <v>1</v>
          </cell>
          <cell r="O2146" t="str">
            <v>JULY 1, 2019</v>
          </cell>
          <cell r="P2146" t="str">
            <v>NONE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1</v>
          </cell>
          <cell r="W2146">
            <v>0</v>
          </cell>
          <cell r="X2146">
            <v>0</v>
          </cell>
          <cell r="Y2146">
            <v>0</v>
          </cell>
        </row>
        <row r="2147">
          <cell r="D2147">
            <v>301749</v>
          </cell>
          <cell r="E2147" t="str">
            <v>Esteban Madrona National High School</v>
          </cell>
          <cell r="F2147">
            <v>1</v>
          </cell>
          <cell r="G2147">
            <v>0</v>
          </cell>
          <cell r="H2147">
            <v>1</v>
          </cell>
          <cell r="I2147">
            <v>0</v>
          </cell>
          <cell r="J2147">
            <v>0</v>
          </cell>
          <cell r="K2147">
            <v>0</v>
          </cell>
          <cell r="L2147">
            <v>1</v>
          </cell>
          <cell r="M2147" t="str">
            <v>IF NECESSARY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</row>
        <row r="2148">
          <cell r="D2148">
            <v>301764</v>
          </cell>
          <cell r="E2148" t="str">
            <v>Libertad National High School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</row>
        <row r="2149">
          <cell r="D2149">
            <v>301747</v>
          </cell>
          <cell r="E2149" t="str">
            <v>Alcantara National High School</v>
          </cell>
          <cell r="F2149">
            <v>0</v>
          </cell>
          <cell r="G2149">
            <v>0</v>
          </cell>
          <cell r="H2149">
            <v>1</v>
          </cell>
          <cell r="I2149">
            <v>0</v>
          </cell>
          <cell r="J2149">
            <v>1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</row>
        <row r="2150">
          <cell r="D2150">
            <v>301765</v>
          </cell>
          <cell r="E2150" t="str">
            <v>LOOC NATIONAL HIGH SCHOOL</v>
          </cell>
          <cell r="F2150">
            <v>0</v>
          </cell>
          <cell r="G2150">
            <v>0</v>
          </cell>
          <cell r="H2150">
            <v>1</v>
          </cell>
          <cell r="I2150">
            <v>0</v>
          </cell>
          <cell r="J2150">
            <v>0</v>
          </cell>
          <cell r="K2150">
            <v>0</v>
          </cell>
          <cell r="L2150">
            <v>1</v>
          </cell>
          <cell r="M2150" t="str">
            <v>RANDOM</v>
          </cell>
          <cell r="N2150">
            <v>1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</row>
        <row r="2151">
          <cell r="D2151">
            <v>301755</v>
          </cell>
          <cell r="E2151" t="str">
            <v>Cambalo NHS</v>
          </cell>
          <cell r="F2151">
            <v>1</v>
          </cell>
          <cell r="G2151">
            <v>1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</row>
        <row r="2152">
          <cell r="D2152">
            <v>301767</v>
          </cell>
          <cell r="E2152" t="str">
            <v>Macario Molina NHS</v>
          </cell>
          <cell r="F2152">
            <v>1</v>
          </cell>
          <cell r="G2152">
            <v>0</v>
          </cell>
          <cell r="H2152">
            <v>1</v>
          </cell>
          <cell r="I2152">
            <v>0</v>
          </cell>
          <cell r="J2152">
            <v>1</v>
          </cell>
          <cell r="K2152">
            <v>0</v>
          </cell>
          <cell r="L2152">
            <v>0</v>
          </cell>
          <cell r="M2152">
            <v>0</v>
          </cell>
          <cell r="N2152">
            <v>1</v>
          </cell>
          <cell r="O2152">
            <v>0</v>
          </cell>
          <cell r="P2152">
            <v>0</v>
          </cell>
          <cell r="Q2152">
            <v>0</v>
          </cell>
          <cell r="R2152">
            <v>1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</row>
        <row r="2153">
          <cell r="D2153">
            <v>301769</v>
          </cell>
          <cell r="E2153" t="str">
            <v>Odiongan National High School</v>
          </cell>
          <cell r="F2153">
            <v>1</v>
          </cell>
          <cell r="G2153">
            <v>1</v>
          </cell>
          <cell r="H2153">
            <v>1</v>
          </cell>
          <cell r="I2153">
            <v>0</v>
          </cell>
          <cell r="J2153">
            <v>0</v>
          </cell>
          <cell r="K2153">
            <v>1</v>
          </cell>
          <cell r="L2153">
            <v>0</v>
          </cell>
          <cell r="M2153">
            <v>0</v>
          </cell>
          <cell r="N2153">
            <v>1</v>
          </cell>
          <cell r="O2153">
            <v>43586</v>
          </cell>
          <cell r="P2153">
            <v>43781</v>
          </cell>
          <cell r="Q2153">
            <v>0</v>
          </cell>
          <cell r="R2153">
            <v>1</v>
          </cell>
          <cell r="S2153">
            <v>0</v>
          </cell>
          <cell r="T2153">
            <v>0</v>
          </cell>
          <cell r="U2153">
            <v>0</v>
          </cell>
          <cell r="V2153">
            <v>1</v>
          </cell>
          <cell r="W2153">
            <v>0</v>
          </cell>
          <cell r="X2153">
            <v>0</v>
          </cell>
          <cell r="Y2153">
            <v>0</v>
          </cell>
        </row>
        <row r="2154">
          <cell r="D2154">
            <v>301757</v>
          </cell>
          <cell r="E2154" t="str">
            <v>Corcuera National High School</v>
          </cell>
          <cell r="F2154">
            <v>1</v>
          </cell>
          <cell r="G2154">
            <v>1</v>
          </cell>
          <cell r="H2154">
            <v>1</v>
          </cell>
          <cell r="I2154">
            <v>0</v>
          </cell>
          <cell r="J2154">
            <v>1</v>
          </cell>
          <cell r="K2154">
            <v>0</v>
          </cell>
          <cell r="L2154">
            <v>0</v>
          </cell>
          <cell r="M2154">
            <v>0</v>
          </cell>
          <cell r="N2154">
            <v>1</v>
          </cell>
          <cell r="O2154">
            <v>0</v>
          </cell>
          <cell r="P2154">
            <v>0</v>
          </cell>
          <cell r="Q2154">
            <v>0</v>
          </cell>
          <cell r="R2154">
            <v>1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</row>
        <row r="2155">
          <cell r="D2155">
            <v>301760</v>
          </cell>
          <cell r="E2155" t="str">
            <v>España National High School</v>
          </cell>
          <cell r="F2155">
            <v>1</v>
          </cell>
          <cell r="G2155">
            <v>0</v>
          </cell>
          <cell r="H2155">
            <v>1</v>
          </cell>
          <cell r="I2155">
            <v>0</v>
          </cell>
          <cell r="J2155">
            <v>0</v>
          </cell>
          <cell r="K2155">
            <v>1</v>
          </cell>
          <cell r="L2155">
            <v>0</v>
          </cell>
          <cell r="M2155">
            <v>0</v>
          </cell>
          <cell r="N2155">
            <v>1</v>
          </cell>
          <cell r="O2155" t="str">
            <v>Oct. 21, 2019</v>
          </cell>
          <cell r="P2155" t="str">
            <v>None</v>
          </cell>
          <cell r="Q2155">
            <v>0</v>
          </cell>
          <cell r="R2155">
            <v>0</v>
          </cell>
          <cell r="S2155">
            <v>1</v>
          </cell>
          <cell r="T2155">
            <v>0</v>
          </cell>
          <cell r="U2155">
            <v>0</v>
          </cell>
          <cell r="V2155">
            <v>1</v>
          </cell>
          <cell r="W2155">
            <v>0</v>
          </cell>
          <cell r="X2155">
            <v>0</v>
          </cell>
          <cell r="Y2155">
            <v>0</v>
          </cell>
        </row>
        <row r="2156">
          <cell r="D2156">
            <v>309205</v>
          </cell>
          <cell r="E2156" t="str">
            <v>Carmen NHS (Cabolutan NHS Ext.)</v>
          </cell>
          <cell r="F2156">
            <v>1</v>
          </cell>
          <cell r="G2156">
            <v>1</v>
          </cell>
          <cell r="H2156">
            <v>1</v>
          </cell>
          <cell r="I2156">
            <v>0</v>
          </cell>
          <cell r="J2156">
            <v>1</v>
          </cell>
          <cell r="K2156">
            <v>0</v>
          </cell>
          <cell r="L2156">
            <v>0</v>
          </cell>
          <cell r="M2156">
            <v>0</v>
          </cell>
          <cell r="N2156">
            <v>1</v>
          </cell>
          <cell r="O2156">
            <v>0</v>
          </cell>
          <cell r="P2156">
            <v>0</v>
          </cell>
          <cell r="Q2156">
            <v>0</v>
          </cell>
          <cell r="R2156">
            <v>1</v>
          </cell>
          <cell r="S2156">
            <v>0</v>
          </cell>
          <cell r="T2156">
            <v>0</v>
          </cell>
          <cell r="U2156">
            <v>0</v>
          </cell>
          <cell r="V2156">
            <v>1</v>
          </cell>
          <cell r="W2156">
            <v>2</v>
          </cell>
          <cell r="X2156">
            <v>0</v>
          </cell>
          <cell r="Y2156">
            <v>0</v>
          </cell>
        </row>
        <row r="2157">
          <cell r="D2157">
            <v>301766</v>
          </cell>
          <cell r="E2157" t="str">
            <v>Mabini NHS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</row>
        <row r="2158">
          <cell r="D2158">
            <v>301759</v>
          </cell>
          <cell r="E2158" t="str">
            <v>Don Carlos M. Mejias Memorial NHS</v>
          </cell>
          <cell r="F2158">
            <v>1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</row>
        <row r="2159">
          <cell r="D2159">
            <v>301753</v>
          </cell>
          <cell r="E2159" t="str">
            <v>Lumbang East National High School</v>
          </cell>
          <cell r="F2159">
            <v>1</v>
          </cell>
          <cell r="G2159">
            <v>1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</row>
        <row r="2160">
          <cell r="D2160">
            <v>301746</v>
          </cell>
          <cell r="E2160" t="str">
            <v>Agnipa National High School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</row>
        <row r="2161">
          <cell r="D2161">
            <v>301780</v>
          </cell>
          <cell r="E2161" t="str">
            <v>Bahile NHS</v>
          </cell>
          <cell r="F2161">
            <v>1</v>
          </cell>
          <cell r="G2161">
            <v>0</v>
          </cell>
          <cell r="H2161">
            <v>0</v>
          </cell>
          <cell r="I2161">
            <v>0</v>
          </cell>
          <cell r="J2161">
            <v>1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 t="str">
            <v>8/18/2019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</row>
        <row r="2162">
          <cell r="D2162">
            <v>301787</v>
          </cell>
          <cell r="E2162" t="str">
            <v>Babuyan NHS</v>
          </cell>
          <cell r="F2162">
            <v>0</v>
          </cell>
          <cell r="G2162">
            <v>0</v>
          </cell>
          <cell r="H2162">
            <v>1</v>
          </cell>
          <cell r="I2162">
            <v>0</v>
          </cell>
          <cell r="J2162">
            <v>1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</row>
        <row r="2163">
          <cell r="D2163">
            <v>301793</v>
          </cell>
          <cell r="E2163" t="str">
            <v>San Jose NHS</v>
          </cell>
          <cell r="F2163">
            <v>1</v>
          </cell>
          <cell r="G2163">
            <v>0</v>
          </cell>
          <cell r="H2163">
            <v>1</v>
          </cell>
          <cell r="I2163">
            <v>0</v>
          </cell>
          <cell r="J2163">
            <v>1</v>
          </cell>
          <cell r="K2163">
            <v>0</v>
          </cell>
          <cell r="L2163">
            <v>0</v>
          </cell>
          <cell r="M2163">
            <v>0</v>
          </cell>
          <cell r="N2163">
            <v>1</v>
          </cell>
          <cell r="O2163">
            <v>43775</v>
          </cell>
          <cell r="P2163">
            <v>43775</v>
          </cell>
          <cell r="Q2163">
            <v>0</v>
          </cell>
          <cell r="R2163">
            <v>1</v>
          </cell>
          <cell r="S2163">
            <v>0</v>
          </cell>
          <cell r="T2163">
            <v>0</v>
          </cell>
          <cell r="U2163">
            <v>0</v>
          </cell>
          <cell r="V2163">
            <v>1</v>
          </cell>
          <cell r="W2163">
            <v>4</v>
          </cell>
          <cell r="X2163">
            <v>2</v>
          </cell>
          <cell r="Y2163">
            <v>0</v>
          </cell>
        </row>
        <row r="2164">
          <cell r="D2164">
            <v>301785</v>
          </cell>
          <cell r="E2164" t="str">
            <v>Macarascas NHS</v>
          </cell>
          <cell r="F2164">
            <v>1</v>
          </cell>
          <cell r="G2164">
            <v>0</v>
          </cell>
          <cell r="H2164">
            <v>1</v>
          </cell>
          <cell r="I2164">
            <v>0</v>
          </cell>
          <cell r="J2164">
            <v>1</v>
          </cell>
          <cell r="K2164">
            <v>0</v>
          </cell>
          <cell r="L2164">
            <v>0</v>
          </cell>
          <cell r="M2164">
            <v>0</v>
          </cell>
          <cell r="N2164">
            <v>1</v>
          </cell>
          <cell r="O2164">
            <v>0</v>
          </cell>
          <cell r="P2164">
            <v>0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1</v>
          </cell>
          <cell r="W2164">
            <v>3</v>
          </cell>
          <cell r="X2164">
            <v>0</v>
          </cell>
          <cell r="Y2164">
            <v>0</v>
          </cell>
        </row>
        <row r="2165">
          <cell r="D2165">
            <v>301789</v>
          </cell>
          <cell r="E2165" t="str">
            <v>Mangingisda NHS</v>
          </cell>
          <cell r="F2165">
            <v>1</v>
          </cell>
          <cell r="G2165">
            <v>0</v>
          </cell>
          <cell r="H2165">
            <v>1</v>
          </cell>
          <cell r="I2165">
            <v>0</v>
          </cell>
          <cell r="J2165">
            <v>1</v>
          </cell>
          <cell r="K2165">
            <v>0</v>
          </cell>
          <cell r="L2165">
            <v>0</v>
          </cell>
          <cell r="M2165">
            <v>0</v>
          </cell>
          <cell r="N2165">
            <v>1</v>
          </cell>
          <cell r="O2165">
            <v>0</v>
          </cell>
          <cell r="P2165">
            <v>0</v>
          </cell>
          <cell r="Q2165">
            <v>0</v>
          </cell>
          <cell r="R2165">
            <v>1</v>
          </cell>
          <cell r="S2165">
            <v>0</v>
          </cell>
          <cell r="T2165">
            <v>0</v>
          </cell>
          <cell r="U2165">
            <v>0</v>
          </cell>
          <cell r="V2165">
            <v>1</v>
          </cell>
          <cell r="W2165">
            <v>4</v>
          </cell>
          <cell r="X2165">
            <v>0</v>
          </cell>
          <cell r="Y2165">
            <v>0</v>
          </cell>
        </row>
        <row r="2166">
          <cell r="D2166">
            <v>330506</v>
          </cell>
          <cell r="E2166" t="str">
            <v>Sta. Monica High School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</row>
        <row r="2167">
          <cell r="D2167">
            <v>301779</v>
          </cell>
          <cell r="E2167" t="str">
            <v>Bacungan National High School</v>
          </cell>
          <cell r="F2167">
            <v>0</v>
          </cell>
          <cell r="G2167">
            <v>0</v>
          </cell>
          <cell r="H2167">
            <v>1</v>
          </cell>
          <cell r="I2167">
            <v>0</v>
          </cell>
          <cell r="J2167">
            <v>0</v>
          </cell>
          <cell r="K2167">
            <v>1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</row>
        <row r="2168">
          <cell r="D2168">
            <v>301792</v>
          </cell>
          <cell r="E2168" t="str">
            <v>Marcelino Abadiano Javarez National High School</v>
          </cell>
          <cell r="F2168">
            <v>0</v>
          </cell>
          <cell r="G2168">
            <v>0</v>
          </cell>
          <cell r="H2168">
            <v>1</v>
          </cell>
          <cell r="I2168">
            <v>0</v>
          </cell>
          <cell r="J2168">
            <v>0</v>
          </cell>
          <cell r="K2168">
            <v>1</v>
          </cell>
          <cell r="L2168">
            <v>0</v>
          </cell>
          <cell r="M2168">
            <v>0</v>
          </cell>
          <cell r="N2168">
            <v>1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1</v>
          </cell>
          <cell r="T2168">
            <v>0</v>
          </cell>
          <cell r="U2168">
            <v>0</v>
          </cell>
          <cell r="V2168">
            <v>1</v>
          </cell>
          <cell r="W2168">
            <v>1</v>
          </cell>
          <cell r="X2168">
            <v>1</v>
          </cell>
          <cell r="Y2168">
            <v>1</v>
          </cell>
        </row>
        <row r="2169">
          <cell r="D2169">
            <v>301784</v>
          </cell>
          <cell r="E2169" t="str">
            <v>LANGOGAN NATIONAL HIGH SCHOOL</v>
          </cell>
          <cell r="F2169">
            <v>1</v>
          </cell>
          <cell r="G2169">
            <v>1</v>
          </cell>
          <cell r="H2169">
            <v>1</v>
          </cell>
          <cell r="I2169">
            <v>0</v>
          </cell>
          <cell r="J2169">
            <v>1</v>
          </cell>
          <cell r="K2169">
            <v>0</v>
          </cell>
          <cell r="L2169">
            <v>0</v>
          </cell>
          <cell r="M2169">
            <v>0</v>
          </cell>
          <cell r="N2169">
            <v>1</v>
          </cell>
          <cell r="O2169" t="str">
            <v>none</v>
          </cell>
          <cell r="P2169" t="str">
            <v>none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1</v>
          </cell>
          <cell r="W2169">
            <v>0</v>
          </cell>
          <cell r="X2169">
            <v>0</v>
          </cell>
          <cell r="Y2169">
            <v>0</v>
          </cell>
        </row>
        <row r="2170">
          <cell r="D2170">
            <v>342797</v>
          </cell>
          <cell r="E2170" t="str">
            <v>SHS in Puerto Princesa City</v>
          </cell>
          <cell r="F2170">
            <v>1</v>
          </cell>
          <cell r="G2170">
            <v>0</v>
          </cell>
          <cell r="H2170">
            <v>1</v>
          </cell>
          <cell r="I2170">
            <v>0</v>
          </cell>
          <cell r="J2170">
            <v>1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1</v>
          </cell>
          <cell r="S2170">
            <v>0</v>
          </cell>
          <cell r="T2170">
            <v>0</v>
          </cell>
          <cell r="U2170">
            <v>0</v>
          </cell>
          <cell r="V2170">
            <v>1</v>
          </cell>
          <cell r="W2170">
            <v>0</v>
          </cell>
          <cell r="X2170">
            <v>0</v>
          </cell>
          <cell r="Y2170">
            <v>0</v>
          </cell>
        </row>
        <row r="2171">
          <cell r="D2171">
            <v>301795</v>
          </cell>
          <cell r="E2171" t="str">
            <v>San Rafael National High School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</row>
        <row r="2172">
          <cell r="D2172">
            <v>309301</v>
          </cell>
          <cell r="E2172" t="str">
            <v>PALAWAN NATIONAL SCHOOL</v>
          </cell>
          <cell r="F2172">
            <v>1</v>
          </cell>
          <cell r="G2172">
            <v>1</v>
          </cell>
          <cell r="H2172">
            <v>1</v>
          </cell>
          <cell r="I2172">
            <v>0</v>
          </cell>
          <cell r="J2172">
            <v>1</v>
          </cell>
          <cell r="K2172">
            <v>0</v>
          </cell>
          <cell r="L2172">
            <v>0</v>
          </cell>
          <cell r="M2172">
            <v>0</v>
          </cell>
          <cell r="N2172">
            <v>1</v>
          </cell>
          <cell r="O2172" t="str">
            <v>January 28, 2019</v>
          </cell>
          <cell r="P2172" t="str">
            <v>August 16, 2019</v>
          </cell>
          <cell r="Q2172">
            <v>0</v>
          </cell>
          <cell r="R2172">
            <v>1</v>
          </cell>
          <cell r="S2172">
            <v>0</v>
          </cell>
          <cell r="T2172">
            <v>0</v>
          </cell>
          <cell r="U2172">
            <v>0</v>
          </cell>
          <cell r="V2172">
            <v>1</v>
          </cell>
          <cell r="W2172">
            <v>0</v>
          </cell>
          <cell r="X2172">
            <v>0</v>
          </cell>
          <cell r="Y2172">
            <v>0</v>
          </cell>
        </row>
        <row r="2173">
          <cell r="D2173">
            <v>301796</v>
          </cell>
          <cell r="E2173" t="str">
            <v>Sicsican NHS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</row>
        <row r="2174">
          <cell r="D2174">
            <v>301783</v>
          </cell>
          <cell r="E2174" t="str">
            <v>Irawan NHS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</row>
        <row r="2175">
          <cell r="D2175">
            <v>301790</v>
          </cell>
          <cell r="E2175" t="str">
            <v>Sta. Lourdes NHS</v>
          </cell>
          <cell r="F2175">
            <v>0</v>
          </cell>
          <cell r="G2175">
            <v>0</v>
          </cell>
          <cell r="H2175">
            <v>1</v>
          </cell>
          <cell r="I2175">
            <v>0</v>
          </cell>
          <cell r="J2175">
            <v>1</v>
          </cell>
          <cell r="K2175">
            <v>0</v>
          </cell>
          <cell r="L2175">
            <v>0</v>
          </cell>
          <cell r="M2175">
            <v>0</v>
          </cell>
          <cell r="N2175">
            <v>1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</row>
        <row r="2176">
          <cell r="D2176">
            <v>301781</v>
          </cell>
          <cell r="E2176" t="str">
            <v>Cabayugan NHS</v>
          </cell>
          <cell r="F2176">
            <v>1</v>
          </cell>
          <cell r="G2176">
            <v>0</v>
          </cell>
          <cell r="H2176">
            <v>1</v>
          </cell>
          <cell r="I2176">
            <v>0</v>
          </cell>
          <cell r="J2176">
            <v>0</v>
          </cell>
          <cell r="K2176">
            <v>1</v>
          </cell>
          <cell r="L2176">
            <v>0</v>
          </cell>
          <cell r="M2176">
            <v>0</v>
          </cell>
          <cell r="N2176">
            <v>1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1</v>
          </cell>
          <cell r="U2176" t="str">
            <v>no</v>
          </cell>
          <cell r="V2176">
            <v>1</v>
          </cell>
          <cell r="W2176">
            <v>0</v>
          </cell>
          <cell r="X2176">
            <v>0</v>
          </cell>
          <cell r="Y2176">
            <v>0</v>
          </cell>
        </row>
        <row r="2177">
          <cell r="D2177">
            <v>301782</v>
          </cell>
          <cell r="E2177" t="str">
            <v>Inagawan NHS</v>
          </cell>
          <cell r="F2177">
            <v>0</v>
          </cell>
          <cell r="G2177">
            <v>0</v>
          </cell>
          <cell r="H2177">
            <v>1</v>
          </cell>
          <cell r="I2177">
            <v>0</v>
          </cell>
          <cell r="J2177">
            <v>1</v>
          </cell>
          <cell r="K2177">
            <v>0</v>
          </cell>
          <cell r="L2177">
            <v>0</v>
          </cell>
          <cell r="M2177">
            <v>0</v>
          </cell>
          <cell r="N2177">
            <v>1</v>
          </cell>
          <cell r="O2177">
            <v>0</v>
          </cell>
          <cell r="P2177">
            <v>43617</v>
          </cell>
          <cell r="Q2177">
            <v>0</v>
          </cell>
          <cell r="R2177">
            <v>1</v>
          </cell>
          <cell r="S2177">
            <v>0</v>
          </cell>
          <cell r="T2177">
            <v>0</v>
          </cell>
          <cell r="U2177">
            <v>0</v>
          </cell>
          <cell r="V2177">
            <v>1</v>
          </cell>
          <cell r="W2177">
            <v>0</v>
          </cell>
          <cell r="X2177">
            <v>0</v>
          </cell>
          <cell r="Y2177">
            <v>0</v>
          </cell>
        </row>
        <row r="2178">
          <cell r="D2178">
            <v>301786</v>
          </cell>
          <cell r="E2178" t="str">
            <v>Napsan National High School</v>
          </cell>
          <cell r="F2178">
            <v>1</v>
          </cell>
          <cell r="G2178">
            <v>0</v>
          </cell>
          <cell r="H2178">
            <v>1</v>
          </cell>
          <cell r="I2178">
            <v>0</v>
          </cell>
          <cell r="J2178">
            <v>1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1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</row>
        <row r="2179">
          <cell r="D2179">
            <v>301791</v>
          </cell>
          <cell r="E2179" t="str">
            <v>Pto. Princesa City Nat. Sci. HS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</row>
        <row r="2180">
          <cell r="D2180">
            <v>309302</v>
          </cell>
          <cell r="E2180" t="str">
            <v>Simpucan NHS (Napsan NHS - Simpucan Annex)</v>
          </cell>
          <cell r="F2180">
            <v>1</v>
          </cell>
          <cell r="G2180">
            <v>1</v>
          </cell>
          <cell r="H2180">
            <v>1</v>
          </cell>
          <cell r="I2180">
            <v>0</v>
          </cell>
          <cell r="J2180">
            <v>0</v>
          </cell>
          <cell r="K2180">
            <v>1</v>
          </cell>
          <cell r="L2180">
            <v>0</v>
          </cell>
          <cell r="M2180">
            <v>0</v>
          </cell>
          <cell r="N2180">
            <v>0</v>
          </cell>
          <cell r="O2180" t="str">
            <v>NA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 t="str">
            <v>NA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</row>
        <row r="2181">
          <cell r="D2181">
            <v>301788</v>
          </cell>
          <cell r="E2181" t="str">
            <v>Luzviminda National High School</v>
          </cell>
          <cell r="F2181">
            <v>1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</row>
        <row r="2182">
          <cell r="D2182">
            <v>301802</v>
          </cell>
          <cell r="E2182" t="str">
            <v>Nag-iba National High School</v>
          </cell>
          <cell r="F2182">
            <v>1</v>
          </cell>
          <cell r="G2182">
            <v>1</v>
          </cell>
          <cell r="H2182">
            <v>1</v>
          </cell>
          <cell r="I2182">
            <v>0</v>
          </cell>
          <cell r="J2182">
            <v>1</v>
          </cell>
          <cell r="K2182">
            <v>0</v>
          </cell>
          <cell r="L2182">
            <v>0</v>
          </cell>
          <cell r="M2182">
            <v>0</v>
          </cell>
          <cell r="N2182">
            <v>1</v>
          </cell>
          <cell r="O2182" t="str">
            <v>July 24, 2019</v>
          </cell>
          <cell r="P2182" t="str">
            <v>September 27, 2019</v>
          </cell>
          <cell r="Q2182">
            <v>0</v>
          </cell>
          <cell r="R2182">
            <v>1</v>
          </cell>
          <cell r="S2182">
            <v>0</v>
          </cell>
          <cell r="T2182">
            <v>0</v>
          </cell>
          <cell r="U2182">
            <v>0</v>
          </cell>
          <cell r="V2182">
            <v>1</v>
          </cell>
          <cell r="W2182">
            <v>1</v>
          </cell>
          <cell r="X2182">
            <v>0</v>
          </cell>
          <cell r="Y2182">
            <v>0</v>
          </cell>
        </row>
        <row r="2183">
          <cell r="D2183">
            <v>301803</v>
          </cell>
          <cell r="E2183" t="str">
            <v>Pedro V. Panaligan Memorial National High School</v>
          </cell>
          <cell r="F2183">
            <v>1</v>
          </cell>
          <cell r="G2183">
            <v>1</v>
          </cell>
          <cell r="H2183">
            <v>1</v>
          </cell>
          <cell r="I2183">
            <v>0</v>
          </cell>
          <cell r="J2183">
            <v>1</v>
          </cell>
          <cell r="K2183">
            <v>0</v>
          </cell>
          <cell r="L2183">
            <v>0</v>
          </cell>
          <cell r="M2183">
            <v>0</v>
          </cell>
          <cell r="N2183">
            <v>1</v>
          </cell>
          <cell r="O2183" t="str">
            <v>-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</row>
        <row r="2184">
          <cell r="D2184">
            <v>301805</v>
          </cell>
          <cell r="E2184" t="str">
            <v>Managpi National High School</v>
          </cell>
          <cell r="F2184">
            <v>1</v>
          </cell>
          <cell r="G2184">
            <v>0</v>
          </cell>
          <cell r="H2184">
            <v>1</v>
          </cell>
          <cell r="I2184">
            <v>0</v>
          </cell>
          <cell r="J2184">
            <v>0</v>
          </cell>
          <cell r="K2184">
            <v>1</v>
          </cell>
          <cell r="L2184">
            <v>0</v>
          </cell>
          <cell r="M2184">
            <v>0</v>
          </cell>
          <cell r="N2184">
            <v>0</v>
          </cell>
          <cell r="O2184" t="str">
            <v>n/a</v>
          </cell>
          <cell r="P2184">
            <v>43663</v>
          </cell>
          <cell r="Q2184">
            <v>0</v>
          </cell>
          <cell r="R2184">
            <v>1</v>
          </cell>
          <cell r="S2184">
            <v>0</v>
          </cell>
          <cell r="T2184">
            <v>0</v>
          </cell>
          <cell r="U2184">
            <v>0</v>
          </cell>
          <cell r="V2184">
            <v>1</v>
          </cell>
          <cell r="W2184">
            <v>1</v>
          </cell>
          <cell r="X2184">
            <v>0</v>
          </cell>
          <cell r="Y2184">
            <v>0</v>
          </cell>
        </row>
        <row r="2185">
          <cell r="D2185">
            <v>301798</v>
          </cell>
          <cell r="E2185" t="str">
            <v>Canubing National High School</v>
          </cell>
          <cell r="F2185">
            <v>1</v>
          </cell>
          <cell r="G2185">
            <v>1</v>
          </cell>
          <cell r="H2185">
            <v>1</v>
          </cell>
          <cell r="I2185">
            <v>0</v>
          </cell>
          <cell r="J2185">
            <v>0</v>
          </cell>
          <cell r="K2185">
            <v>1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1</v>
          </cell>
          <cell r="T2185">
            <v>0</v>
          </cell>
          <cell r="U2185">
            <v>0</v>
          </cell>
          <cell r="V2185">
            <v>1</v>
          </cell>
          <cell r="W2185">
            <v>0</v>
          </cell>
          <cell r="X2185">
            <v>0</v>
          </cell>
          <cell r="Y2185">
            <v>0</v>
          </cell>
        </row>
        <row r="2186">
          <cell r="D2186">
            <v>301800</v>
          </cell>
          <cell r="E2186" t="str">
            <v>Oriental Mindoro National High School</v>
          </cell>
          <cell r="F2186">
            <v>1</v>
          </cell>
          <cell r="G2186">
            <v>1</v>
          </cell>
          <cell r="H2186">
            <v>0</v>
          </cell>
          <cell r="I2186">
            <v>0</v>
          </cell>
          <cell r="J2186">
            <v>1</v>
          </cell>
          <cell r="K2186">
            <v>0</v>
          </cell>
          <cell r="L2186">
            <v>0</v>
          </cell>
          <cell r="M2186">
            <v>0</v>
          </cell>
          <cell r="N2186">
            <v>1</v>
          </cell>
          <cell r="O2186">
            <v>0</v>
          </cell>
          <cell r="P2186" t="str">
            <v>August, 2019</v>
          </cell>
          <cell r="Q2186">
            <v>0</v>
          </cell>
          <cell r="R2186">
            <v>1</v>
          </cell>
          <cell r="S2186">
            <v>0</v>
          </cell>
          <cell r="T2186">
            <v>0</v>
          </cell>
          <cell r="U2186">
            <v>0</v>
          </cell>
          <cell r="V2186">
            <v>1</v>
          </cell>
          <cell r="W2186">
            <v>5</v>
          </cell>
          <cell r="X2186">
            <v>0</v>
          </cell>
          <cell r="Y2186">
            <v>0</v>
          </cell>
        </row>
        <row r="2187">
          <cell r="D2187">
            <v>301804</v>
          </cell>
          <cell r="E2187" t="str">
            <v>Parang National High School</v>
          </cell>
          <cell r="F2187">
            <v>1</v>
          </cell>
          <cell r="G2187">
            <v>1</v>
          </cell>
          <cell r="H2187">
            <v>1</v>
          </cell>
          <cell r="I2187">
            <v>0</v>
          </cell>
          <cell r="J2187">
            <v>1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</row>
        <row r="2188">
          <cell r="D2188">
            <v>309402</v>
          </cell>
          <cell r="E2188" t="str">
            <v>Bucayao National High School</v>
          </cell>
          <cell r="F2188">
            <v>1</v>
          </cell>
          <cell r="G2188">
            <v>1</v>
          </cell>
          <cell r="H2188">
            <v>1</v>
          </cell>
          <cell r="I2188">
            <v>0</v>
          </cell>
          <cell r="J2188">
            <v>0</v>
          </cell>
          <cell r="K2188">
            <v>1</v>
          </cell>
          <cell r="L2188">
            <v>0</v>
          </cell>
          <cell r="M2188">
            <v>0</v>
          </cell>
          <cell r="N2188">
            <v>1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1</v>
          </cell>
          <cell r="T2188">
            <v>0</v>
          </cell>
          <cell r="U2188">
            <v>0</v>
          </cell>
          <cell r="V2188">
            <v>1</v>
          </cell>
          <cell r="W2188">
            <v>2</v>
          </cell>
          <cell r="X2188">
            <v>0</v>
          </cell>
          <cell r="Y2188">
            <v>0</v>
          </cell>
        </row>
        <row r="2189">
          <cell r="D2189">
            <v>301801</v>
          </cell>
          <cell r="E2189" t="str">
            <v>Ceriaco A. Abes Memorial National High School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</row>
        <row r="2190">
          <cell r="D2190">
            <v>301797</v>
          </cell>
          <cell r="E2190" t="str">
            <v>Community Vocational High School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1</v>
          </cell>
          <cell r="U2190" t="str">
            <v>n/a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</row>
        <row r="2191">
          <cell r="D2191">
            <v>309705</v>
          </cell>
          <cell r="E2191" t="str">
            <v>Pinamasagan National High School</v>
          </cell>
          <cell r="F2191">
            <v>1</v>
          </cell>
          <cell r="G2191">
            <v>0</v>
          </cell>
          <cell r="H2191">
            <v>1</v>
          </cell>
          <cell r="I2191">
            <v>1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1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1</v>
          </cell>
          <cell r="T2191">
            <v>0</v>
          </cell>
          <cell r="U2191">
            <v>0</v>
          </cell>
          <cell r="V2191">
            <v>1</v>
          </cell>
          <cell r="W2191">
            <v>0</v>
          </cell>
          <cell r="X2191">
            <v>0</v>
          </cell>
          <cell r="Y2191">
            <v>0</v>
          </cell>
        </row>
        <row r="2192">
          <cell r="D2192">
            <v>302192</v>
          </cell>
          <cell r="E2192" t="str">
            <v>Bulusan NHS</v>
          </cell>
          <cell r="F2192">
            <v>1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1</v>
          </cell>
          <cell r="X2192">
            <v>1</v>
          </cell>
          <cell r="Y2192">
            <v>0</v>
          </cell>
        </row>
        <row r="2193">
          <cell r="D2193">
            <v>309514</v>
          </cell>
          <cell r="E2193" t="str">
            <v>Macabugos High School</v>
          </cell>
          <cell r="F2193">
            <v>1</v>
          </cell>
          <cell r="G2193">
            <v>0</v>
          </cell>
          <cell r="H2193">
            <v>1</v>
          </cell>
          <cell r="I2193">
            <v>0</v>
          </cell>
          <cell r="J2193">
            <v>0</v>
          </cell>
          <cell r="K2193">
            <v>1</v>
          </cell>
          <cell r="L2193">
            <v>0</v>
          </cell>
          <cell r="M2193">
            <v>0</v>
          </cell>
          <cell r="N2193">
            <v>1</v>
          </cell>
          <cell r="O2193" t="str">
            <v>n/a</v>
          </cell>
          <cell r="P2193" t="str">
            <v>n/a</v>
          </cell>
          <cell r="Q2193">
            <v>0</v>
          </cell>
          <cell r="R2193">
            <v>0</v>
          </cell>
          <cell r="S2193">
            <v>1</v>
          </cell>
          <cell r="T2193">
            <v>0</v>
          </cell>
          <cell r="U2193">
            <v>0</v>
          </cell>
          <cell r="V2193">
            <v>1</v>
          </cell>
          <cell r="W2193">
            <v>0</v>
          </cell>
          <cell r="X2193">
            <v>0</v>
          </cell>
          <cell r="Y2193">
            <v>0</v>
          </cell>
        </row>
        <row r="2194">
          <cell r="D2194">
            <v>302266</v>
          </cell>
          <cell r="E2194" t="str">
            <v>Carolina National High School</v>
          </cell>
          <cell r="F2194">
            <v>1</v>
          </cell>
          <cell r="G2194">
            <v>1</v>
          </cell>
          <cell r="H2194">
            <v>1</v>
          </cell>
          <cell r="I2194">
            <v>0</v>
          </cell>
          <cell r="J2194">
            <v>1</v>
          </cell>
          <cell r="K2194">
            <v>0</v>
          </cell>
          <cell r="L2194">
            <v>0</v>
          </cell>
          <cell r="M2194">
            <v>0</v>
          </cell>
          <cell r="N2194">
            <v>1</v>
          </cell>
          <cell r="O2194">
            <v>0</v>
          </cell>
          <cell r="P2194">
            <v>0</v>
          </cell>
          <cell r="Q2194">
            <v>0</v>
          </cell>
          <cell r="R2194">
            <v>1</v>
          </cell>
          <cell r="S2194">
            <v>0</v>
          </cell>
          <cell r="T2194">
            <v>0</v>
          </cell>
          <cell r="U2194">
            <v>0</v>
          </cell>
          <cell r="V2194">
            <v>1</v>
          </cell>
          <cell r="W2194">
            <v>0</v>
          </cell>
          <cell r="X2194">
            <v>0</v>
          </cell>
          <cell r="Y2194">
            <v>0</v>
          </cell>
        </row>
        <row r="2195">
          <cell r="D2195">
            <v>301990</v>
          </cell>
          <cell r="E2195" t="str">
            <v>Malansad Nuevo High School</v>
          </cell>
          <cell r="F2195">
            <v>1</v>
          </cell>
          <cell r="G2195">
            <v>1</v>
          </cell>
          <cell r="H2195">
            <v>1</v>
          </cell>
          <cell r="I2195">
            <v>1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1</v>
          </cell>
          <cell r="O2195" t="str">
            <v>9/12/2019</v>
          </cell>
          <cell r="P2195" t="str">
            <v>9/15/2019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1</v>
          </cell>
          <cell r="W2195">
            <v>1</v>
          </cell>
          <cell r="X2195">
            <v>1</v>
          </cell>
          <cell r="Y2195">
            <v>1</v>
          </cell>
        </row>
        <row r="2196">
          <cell r="D2196">
            <v>301988</v>
          </cell>
          <cell r="E2196" t="str">
            <v>Lupi-Iligan National High School</v>
          </cell>
          <cell r="F2196">
            <v>1</v>
          </cell>
          <cell r="G2196">
            <v>1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</row>
        <row r="2197">
          <cell r="D2197">
            <v>302162</v>
          </cell>
          <cell r="E2197" t="str">
            <v>PURO NATIONAL HIGH SCHOOL</v>
          </cell>
          <cell r="F2197">
            <v>1</v>
          </cell>
          <cell r="G2197">
            <v>0</v>
          </cell>
          <cell r="H2197">
            <v>1</v>
          </cell>
          <cell r="I2197">
            <v>0</v>
          </cell>
          <cell r="J2197">
            <v>0</v>
          </cell>
          <cell r="K2197">
            <v>0</v>
          </cell>
          <cell r="L2197">
            <v>1</v>
          </cell>
          <cell r="M2197" t="str">
            <v>AS THE NEED ARISE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</row>
        <row r="2198">
          <cell r="D2198">
            <v>500917</v>
          </cell>
          <cell r="E2198" t="str">
            <v>Sumaoy ES</v>
          </cell>
          <cell r="F2198">
            <v>1</v>
          </cell>
          <cell r="G2198">
            <v>1</v>
          </cell>
          <cell r="H2198">
            <v>1</v>
          </cell>
          <cell r="I2198">
            <v>0</v>
          </cell>
          <cell r="J2198">
            <v>1</v>
          </cell>
          <cell r="K2198">
            <v>0</v>
          </cell>
          <cell r="L2198">
            <v>0</v>
          </cell>
          <cell r="M2198">
            <v>0</v>
          </cell>
          <cell r="N2198">
            <v>1</v>
          </cell>
          <cell r="O2198">
            <v>0</v>
          </cell>
          <cell r="P2198">
            <v>0</v>
          </cell>
          <cell r="Q2198">
            <v>0</v>
          </cell>
          <cell r="R2198">
            <v>1</v>
          </cell>
          <cell r="S2198">
            <v>0</v>
          </cell>
          <cell r="T2198">
            <v>0</v>
          </cell>
          <cell r="U2198">
            <v>0</v>
          </cell>
          <cell r="V2198">
            <v>1</v>
          </cell>
          <cell r="W2198">
            <v>4</v>
          </cell>
          <cell r="X2198">
            <v>4</v>
          </cell>
          <cell r="Y2198">
            <v>8</v>
          </cell>
        </row>
        <row r="2199">
          <cell r="D2199">
            <v>301929</v>
          </cell>
          <cell r="E2199" t="str">
            <v>Simeon Tycangco Memorial High School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</row>
        <row r="2200">
          <cell r="D2200">
            <v>301886</v>
          </cell>
          <cell r="E2200" t="str">
            <v>Bagong Silang I HS</v>
          </cell>
          <cell r="F2200">
            <v>1</v>
          </cell>
          <cell r="G2200">
            <v>1</v>
          </cell>
          <cell r="H2200">
            <v>1</v>
          </cell>
          <cell r="I2200">
            <v>0</v>
          </cell>
          <cell r="J2200">
            <v>0</v>
          </cell>
          <cell r="K2200">
            <v>1</v>
          </cell>
          <cell r="L2200">
            <v>0</v>
          </cell>
          <cell r="M2200">
            <v>0</v>
          </cell>
          <cell r="N2200">
            <v>1</v>
          </cell>
          <cell r="O2200">
            <v>43694</v>
          </cell>
          <cell r="P2200">
            <v>43694</v>
          </cell>
          <cell r="Q2200">
            <v>0</v>
          </cell>
          <cell r="R2200">
            <v>0</v>
          </cell>
          <cell r="S2200">
            <v>1</v>
          </cell>
          <cell r="T2200">
            <v>0</v>
          </cell>
          <cell r="U2200">
            <v>0</v>
          </cell>
          <cell r="V2200">
            <v>1</v>
          </cell>
          <cell r="W2200">
            <v>0</v>
          </cell>
          <cell r="X2200">
            <v>0</v>
          </cell>
          <cell r="Y2200">
            <v>0</v>
          </cell>
        </row>
        <row r="2201">
          <cell r="D2201">
            <v>309762</v>
          </cell>
          <cell r="E2201" t="str">
            <v>Binanuaanan NHS - Sagurong  Annex HS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</row>
        <row r="2202">
          <cell r="D2202">
            <v>302032</v>
          </cell>
          <cell r="E2202" t="str">
            <v>Maura N. Sibulo National High School</v>
          </cell>
          <cell r="F2202">
            <v>1</v>
          </cell>
          <cell r="G2202">
            <v>1</v>
          </cell>
          <cell r="H2202">
            <v>1</v>
          </cell>
          <cell r="I2202">
            <v>1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</row>
        <row r="2203">
          <cell r="D2203">
            <v>301823</v>
          </cell>
          <cell r="E2203" t="str">
            <v>Ilawod National High School</v>
          </cell>
          <cell r="F2203">
            <v>1</v>
          </cell>
          <cell r="G2203">
            <v>1</v>
          </cell>
          <cell r="H2203">
            <v>1</v>
          </cell>
          <cell r="I2203">
            <v>0</v>
          </cell>
          <cell r="J2203">
            <v>0</v>
          </cell>
          <cell r="K2203">
            <v>0</v>
          </cell>
          <cell r="L2203">
            <v>1</v>
          </cell>
          <cell r="M2203" t="str">
            <v>as needed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1</v>
          </cell>
          <cell r="S2203">
            <v>0</v>
          </cell>
          <cell r="T2203">
            <v>0</v>
          </cell>
          <cell r="U2203">
            <v>0</v>
          </cell>
          <cell r="V2203">
            <v>1</v>
          </cell>
          <cell r="W2203">
            <v>0</v>
          </cell>
          <cell r="X2203">
            <v>0</v>
          </cell>
          <cell r="Y2203">
            <v>0</v>
          </cell>
        </row>
        <row r="2204">
          <cell r="D2204">
            <v>309770</v>
          </cell>
          <cell r="E2204" t="str">
            <v>San  Pablo Integrated School</v>
          </cell>
          <cell r="F2204">
            <v>0</v>
          </cell>
          <cell r="G2204">
            <v>0</v>
          </cell>
          <cell r="H2204">
            <v>1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</row>
        <row r="2205">
          <cell r="D2205">
            <v>301851</v>
          </cell>
          <cell r="E2205" t="str">
            <v>Masarawag National High School</v>
          </cell>
          <cell r="F2205">
            <v>1</v>
          </cell>
          <cell r="G2205">
            <v>1</v>
          </cell>
          <cell r="H2205">
            <v>1</v>
          </cell>
          <cell r="I2205">
            <v>0</v>
          </cell>
          <cell r="J2205">
            <v>1</v>
          </cell>
          <cell r="K2205">
            <v>0</v>
          </cell>
          <cell r="L2205">
            <v>0</v>
          </cell>
          <cell r="M2205">
            <v>0</v>
          </cell>
          <cell r="N2205">
            <v>1</v>
          </cell>
          <cell r="O2205">
            <v>43633</v>
          </cell>
          <cell r="P2205">
            <v>43634</v>
          </cell>
          <cell r="Q2205">
            <v>0</v>
          </cell>
          <cell r="R2205">
            <v>0</v>
          </cell>
          <cell r="S2205">
            <v>0</v>
          </cell>
          <cell r="T2205">
            <v>1</v>
          </cell>
          <cell r="U2205" t="str">
            <v>weekly</v>
          </cell>
          <cell r="V2205">
            <v>1</v>
          </cell>
          <cell r="W2205">
            <v>0</v>
          </cell>
          <cell r="X2205">
            <v>0</v>
          </cell>
          <cell r="Y2205">
            <v>0</v>
          </cell>
        </row>
        <row r="2206">
          <cell r="D2206">
            <v>302028</v>
          </cell>
          <cell r="E2206" t="str">
            <v>Dr. Rodolfo V. Pamor, Jr. MNHS (frmer: Salvacion NHS, Tigaon)</v>
          </cell>
          <cell r="F2206">
            <v>1</v>
          </cell>
          <cell r="G2206">
            <v>0</v>
          </cell>
          <cell r="H2206">
            <v>1</v>
          </cell>
          <cell r="I2206">
            <v>0</v>
          </cell>
          <cell r="J2206">
            <v>0</v>
          </cell>
          <cell r="K2206">
            <v>1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1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</row>
        <row r="2207">
          <cell r="D2207">
            <v>302058</v>
          </cell>
          <cell r="E2207" t="str">
            <v>Tandoc HS</v>
          </cell>
          <cell r="F2207">
            <v>1</v>
          </cell>
          <cell r="G2207">
            <v>1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1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</row>
        <row r="2208">
          <cell r="D2208">
            <v>301998</v>
          </cell>
          <cell r="E2208" t="str">
            <v>Medroso-Mendoza NHS</v>
          </cell>
          <cell r="F2208">
            <v>1</v>
          </cell>
          <cell r="G2208">
            <v>0</v>
          </cell>
          <cell r="H2208">
            <v>0</v>
          </cell>
          <cell r="I2208">
            <v>1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</row>
        <row r="2209">
          <cell r="D2209">
            <v>500468</v>
          </cell>
          <cell r="E2209" t="str">
            <v>Harrison Integrated School</v>
          </cell>
          <cell r="F2209">
            <v>0</v>
          </cell>
          <cell r="G2209">
            <v>0</v>
          </cell>
          <cell r="H2209">
            <v>1</v>
          </cell>
          <cell r="I2209">
            <v>0</v>
          </cell>
          <cell r="J2209">
            <v>1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</row>
        <row r="2210">
          <cell r="D2210">
            <v>309748</v>
          </cell>
          <cell r="E2210" t="str">
            <v>Milaor NHS - Dalipay Annex HS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1</v>
          </cell>
          <cell r="K2210">
            <v>0</v>
          </cell>
          <cell r="L2210">
            <v>0</v>
          </cell>
          <cell r="M2210">
            <v>0</v>
          </cell>
          <cell r="N2210">
            <v>1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0</v>
          </cell>
          <cell r="T2210">
            <v>1</v>
          </cell>
          <cell r="U2210">
            <v>0</v>
          </cell>
          <cell r="V2210">
            <v>0</v>
          </cell>
          <cell r="W2210">
            <v>0</v>
          </cell>
          <cell r="X2210">
            <v>0</v>
          </cell>
          <cell r="Y2210">
            <v>0</v>
          </cell>
        </row>
        <row r="2211">
          <cell r="D2211">
            <v>302090</v>
          </cell>
          <cell r="E2211" t="str">
            <v>Magnesia National High School</v>
          </cell>
          <cell r="F2211">
            <v>1</v>
          </cell>
          <cell r="G2211">
            <v>1</v>
          </cell>
          <cell r="H2211">
            <v>1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</row>
        <row r="2212">
          <cell r="D2212">
            <v>330529</v>
          </cell>
          <cell r="E2212" t="str">
            <v>Marangi High School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1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1</v>
          </cell>
          <cell r="W2212">
            <v>0</v>
          </cell>
          <cell r="X2212">
            <v>0</v>
          </cell>
          <cell r="Y2212">
            <v>0</v>
          </cell>
        </row>
        <row r="2213">
          <cell r="D2213">
            <v>309745</v>
          </cell>
          <cell r="E2213" t="str">
            <v>Northern Plain HS</v>
          </cell>
          <cell r="F2213">
            <v>1</v>
          </cell>
          <cell r="G2213">
            <v>1</v>
          </cell>
          <cell r="H2213">
            <v>1</v>
          </cell>
          <cell r="I2213">
            <v>0</v>
          </cell>
          <cell r="J2213">
            <v>1</v>
          </cell>
          <cell r="K2213">
            <v>0</v>
          </cell>
          <cell r="L2213">
            <v>0</v>
          </cell>
          <cell r="M2213">
            <v>0</v>
          </cell>
          <cell r="N2213">
            <v>1</v>
          </cell>
          <cell r="O2213">
            <v>43644</v>
          </cell>
          <cell r="P2213">
            <v>43644</v>
          </cell>
          <cell r="Q2213">
            <v>0</v>
          </cell>
          <cell r="R2213">
            <v>1</v>
          </cell>
          <cell r="S2213">
            <v>0</v>
          </cell>
          <cell r="T2213">
            <v>0</v>
          </cell>
          <cell r="U2213">
            <v>0</v>
          </cell>
          <cell r="V2213">
            <v>1</v>
          </cell>
          <cell r="W2213">
            <v>0</v>
          </cell>
          <cell r="X2213">
            <v>0</v>
          </cell>
          <cell r="Y2213">
            <v>0</v>
          </cell>
        </row>
        <row r="2214">
          <cell r="D2214">
            <v>500158</v>
          </cell>
          <cell r="E2214" t="str">
            <v>Antipolo Heights Integrated School</v>
          </cell>
          <cell r="F2214">
            <v>1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</row>
        <row r="2215">
          <cell r="D2215">
            <v>301970</v>
          </cell>
          <cell r="E2215" t="str">
            <v>Don Teofilo H. Dilanco MHS</v>
          </cell>
          <cell r="F2215">
            <v>1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</row>
        <row r="2216">
          <cell r="D2216">
            <v>301933</v>
          </cell>
          <cell r="E2216" t="str">
            <v>Eusebia Paz Arroyo Mem. NHS</v>
          </cell>
          <cell r="F2216">
            <v>1</v>
          </cell>
          <cell r="G2216">
            <v>0</v>
          </cell>
          <cell r="H2216">
            <v>1</v>
          </cell>
          <cell r="I2216">
            <v>0</v>
          </cell>
          <cell r="J2216">
            <v>1</v>
          </cell>
          <cell r="K2216">
            <v>0</v>
          </cell>
          <cell r="L2216">
            <v>0</v>
          </cell>
          <cell r="M2216">
            <v>0</v>
          </cell>
          <cell r="N2216">
            <v>1</v>
          </cell>
          <cell r="O2216">
            <v>43565</v>
          </cell>
          <cell r="P2216">
            <v>43566</v>
          </cell>
          <cell r="Q2216">
            <v>0</v>
          </cell>
          <cell r="R2216">
            <v>1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0</v>
          </cell>
          <cell r="Y2216">
            <v>0</v>
          </cell>
        </row>
        <row r="2217">
          <cell r="D2217">
            <v>302040</v>
          </cell>
          <cell r="E2217" t="str">
            <v>Panagan National High School</v>
          </cell>
          <cell r="F2217">
            <v>1</v>
          </cell>
          <cell r="G2217">
            <v>1</v>
          </cell>
          <cell r="H2217">
            <v>1</v>
          </cell>
          <cell r="I2217">
            <v>0</v>
          </cell>
          <cell r="J2217">
            <v>0</v>
          </cell>
          <cell r="K2217">
            <v>1</v>
          </cell>
          <cell r="L2217">
            <v>0</v>
          </cell>
          <cell r="M2217">
            <v>0</v>
          </cell>
          <cell r="N2217">
            <v>1</v>
          </cell>
          <cell r="O2217">
            <v>43678</v>
          </cell>
          <cell r="P2217" t="str">
            <v>June-september 2019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1</v>
          </cell>
          <cell r="W2217">
            <v>3</v>
          </cell>
          <cell r="X2217">
            <v>3</v>
          </cell>
          <cell r="Y2217">
            <v>3</v>
          </cell>
        </row>
        <row r="2218">
          <cell r="D2218">
            <v>301937</v>
          </cell>
          <cell r="E2218" t="str">
            <v>Bahi National HS</v>
          </cell>
          <cell r="F2218">
            <v>1</v>
          </cell>
          <cell r="G2218">
            <v>1</v>
          </cell>
          <cell r="H2218">
            <v>1</v>
          </cell>
          <cell r="I2218">
            <v>0</v>
          </cell>
          <cell r="J2218">
            <v>0</v>
          </cell>
          <cell r="K2218">
            <v>1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43479</v>
          </cell>
          <cell r="Q2218">
            <v>0</v>
          </cell>
          <cell r="R2218">
            <v>0</v>
          </cell>
          <cell r="S2218">
            <v>1</v>
          </cell>
          <cell r="T2218">
            <v>0</v>
          </cell>
          <cell r="U2218">
            <v>0</v>
          </cell>
          <cell r="V2218">
            <v>1</v>
          </cell>
          <cell r="W2218">
            <v>0</v>
          </cell>
          <cell r="X2218">
            <v>0</v>
          </cell>
          <cell r="Y2218">
            <v>0</v>
          </cell>
        </row>
        <row r="2219">
          <cell r="D2219">
            <v>302068</v>
          </cell>
          <cell r="E2219" t="str">
            <v>Villazar National High School</v>
          </cell>
          <cell r="F2219">
            <v>0</v>
          </cell>
          <cell r="G2219">
            <v>0</v>
          </cell>
          <cell r="H2219">
            <v>1</v>
          </cell>
          <cell r="I2219">
            <v>1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</row>
        <row r="2220">
          <cell r="D2220">
            <v>301939</v>
          </cell>
          <cell r="E2220" t="str">
            <v>Balaton National High School</v>
          </cell>
          <cell r="F2220">
            <v>1</v>
          </cell>
          <cell r="G2220">
            <v>1</v>
          </cell>
          <cell r="H2220">
            <v>1</v>
          </cell>
          <cell r="I2220">
            <v>0</v>
          </cell>
          <cell r="J2220">
            <v>1</v>
          </cell>
          <cell r="K2220">
            <v>0</v>
          </cell>
          <cell r="L2220">
            <v>0</v>
          </cell>
          <cell r="M2220">
            <v>0</v>
          </cell>
          <cell r="N2220">
            <v>1</v>
          </cell>
          <cell r="O2220">
            <v>0</v>
          </cell>
          <cell r="P2220" t="str">
            <v>AUG. 2019</v>
          </cell>
          <cell r="Q2220">
            <v>0</v>
          </cell>
          <cell r="R2220">
            <v>1</v>
          </cell>
          <cell r="S2220">
            <v>0</v>
          </cell>
          <cell r="T2220">
            <v>0</v>
          </cell>
          <cell r="U2220">
            <v>0</v>
          </cell>
          <cell r="V2220">
            <v>1</v>
          </cell>
          <cell r="W2220">
            <v>0</v>
          </cell>
          <cell r="X2220">
            <v>0</v>
          </cell>
          <cell r="Y2220">
            <v>0</v>
          </cell>
        </row>
        <row r="2221">
          <cell r="D2221">
            <v>302056</v>
          </cell>
          <cell r="E2221" t="str">
            <v>Tamban NHS</v>
          </cell>
          <cell r="F2221">
            <v>0</v>
          </cell>
          <cell r="G2221">
            <v>0</v>
          </cell>
          <cell r="H2221">
            <v>1</v>
          </cell>
          <cell r="I2221">
            <v>1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</row>
        <row r="2222">
          <cell r="D2222">
            <v>301831</v>
          </cell>
          <cell r="E2222" t="str">
            <v>Labnig National High School</v>
          </cell>
          <cell r="F2222">
            <v>1</v>
          </cell>
          <cell r="G2222">
            <v>0</v>
          </cell>
          <cell r="H2222">
            <v>1</v>
          </cell>
          <cell r="I2222">
            <v>0</v>
          </cell>
          <cell r="J2222">
            <v>0</v>
          </cell>
          <cell r="K2222">
            <v>1</v>
          </cell>
          <cell r="L2222">
            <v>0</v>
          </cell>
          <cell r="M2222">
            <v>0</v>
          </cell>
          <cell r="N2222">
            <v>1</v>
          </cell>
          <cell r="O2222">
            <v>43647</v>
          </cell>
          <cell r="P2222">
            <v>43647</v>
          </cell>
          <cell r="Q2222">
            <v>0</v>
          </cell>
          <cell r="R2222">
            <v>1</v>
          </cell>
          <cell r="S2222">
            <v>0</v>
          </cell>
          <cell r="T2222">
            <v>0</v>
          </cell>
          <cell r="U2222">
            <v>0</v>
          </cell>
          <cell r="V2222">
            <v>1</v>
          </cell>
          <cell r="W2222">
            <v>0</v>
          </cell>
          <cell r="X2222">
            <v>0</v>
          </cell>
          <cell r="Y2222">
            <v>0</v>
          </cell>
        </row>
        <row r="2223">
          <cell r="D2223">
            <v>309703</v>
          </cell>
          <cell r="E2223" t="str">
            <v>Bitaogan National High School</v>
          </cell>
          <cell r="F2223">
            <v>0</v>
          </cell>
          <cell r="G2223">
            <v>0</v>
          </cell>
          <cell r="H2223">
            <v>1</v>
          </cell>
          <cell r="I2223">
            <v>0</v>
          </cell>
          <cell r="J2223">
            <v>0</v>
          </cell>
          <cell r="K2223">
            <v>0</v>
          </cell>
          <cell r="L2223">
            <v>1</v>
          </cell>
          <cell r="M2223" t="str">
            <v>IF NEEDED</v>
          </cell>
          <cell r="N2223">
            <v>0</v>
          </cell>
          <cell r="O2223">
            <v>0</v>
          </cell>
          <cell r="P2223" t="str">
            <v>N/A</v>
          </cell>
          <cell r="Q2223">
            <v>0</v>
          </cell>
          <cell r="R2223">
            <v>0</v>
          </cell>
          <cell r="S2223">
            <v>0</v>
          </cell>
          <cell r="T2223">
            <v>1</v>
          </cell>
          <cell r="U2223" t="str">
            <v>N/A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</row>
        <row r="2224">
          <cell r="D2224">
            <v>309752</v>
          </cell>
          <cell r="E2224" t="str">
            <v>Tinorongan National High School (Formerly SagÃ±ay Western  HS)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</row>
        <row r="2225">
          <cell r="D2225">
            <v>301819</v>
          </cell>
          <cell r="E2225" t="str">
            <v>Caguiba National High School</v>
          </cell>
          <cell r="F2225">
            <v>1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1</v>
          </cell>
          <cell r="M2225" t="str">
            <v>NONE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1</v>
          </cell>
          <cell r="U2225" t="str">
            <v>NONE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</row>
        <row r="2226">
          <cell r="D2226">
            <v>302009</v>
          </cell>
          <cell r="E2226" t="str">
            <v>Palangon High School</v>
          </cell>
          <cell r="F2226">
            <v>1</v>
          </cell>
          <cell r="G2226">
            <v>1</v>
          </cell>
          <cell r="H2226">
            <v>1</v>
          </cell>
          <cell r="I2226">
            <v>0</v>
          </cell>
          <cell r="J2226">
            <v>1</v>
          </cell>
          <cell r="K2226">
            <v>0</v>
          </cell>
          <cell r="L2226">
            <v>0</v>
          </cell>
          <cell r="M2226">
            <v>0</v>
          </cell>
          <cell r="N2226">
            <v>1</v>
          </cell>
          <cell r="O2226">
            <v>0</v>
          </cell>
          <cell r="P2226">
            <v>0</v>
          </cell>
          <cell r="Q2226">
            <v>0</v>
          </cell>
          <cell r="R2226">
            <v>1</v>
          </cell>
          <cell r="S2226">
            <v>0</v>
          </cell>
          <cell r="T2226">
            <v>0</v>
          </cell>
          <cell r="U2226">
            <v>0</v>
          </cell>
          <cell r="V2226">
            <v>1</v>
          </cell>
          <cell r="W2226">
            <v>2</v>
          </cell>
          <cell r="X2226">
            <v>0</v>
          </cell>
          <cell r="Y2226">
            <v>0</v>
          </cell>
        </row>
        <row r="2227">
          <cell r="D2227">
            <v>301857</v>
          </cell>
          <cell r="E2227" t="str">
            <v>Sabino Rebagay Memorial High School</v>
          </cell>
          <cell r="F2227">
            <v>1</v>
          </cell>
          <cell r="G2227">
            <v>1</v>
          </cell>
          <cell r="H2227">
            <v>1</v>
          </cell>
          <cell r="I2227">
            <v>1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1</v>
          </cell>
          <cell r="O2227">
            <v>0</v>
          </cell>
          <cell r="P2227">
            <v>43735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1</v>
          </cell>
          <cell r="W2227">
            <v>0</v>
          </cell>
          <cell r="X2227">
            <v>0</v>
          </cell>
          <cell r="Y2227">
            <v>0</v>
          </cell>
        </row>
        <row r="2228">
          <cell r="D2228">
            <v>301822</v>
          </cell>
          <cell r="E2228" t="str">
            <v>Cotmon National High School</v>
          </cell>
          <cell r="F2228">
            <v>1</v>
          </cell>
          <cell r="G2228">
            <v>1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1</v>
          </cell>
          <cell r="W2228">
            <v>0</v>
          </cell>
          <cell r="X2228">
            <v>0</v>
          </cell>
          <cell r="Y2228">
            <v>0</v>
          </cell>
        </row>
        <row r="2229">
          <cell r="D2229">
            <v>301813</v>
          </cell>
          <cell r="E2229" t="str">
            <v>Batan National High School</v>
          </cell>
          <cell r="F2229">
            <v>1</v>
          </cell>
          <cell r="G2229">
            <v>1</v>
          </cell>
          <cell r="H2229">
            <v>0</v>
          </cell>
          <cell r="I2229">
            <v>1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1</v>
          </cell>
          <cell r="O2229" t="str">
            <v>July 2019</v>
          </cell>
          <cell r="P2229" t="str">
            <v>July 2019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1</v>
          </cell>
          <cell r="W2229">
            <v>0</v>
          </cell>
          <cell r="X2229">
            <v>0</v>
          </cell>
          <cell r="Y2229">
            <v>0</v>
          </cell>
        </row>
        <row r="2230">
          <cell r="D2230">
            <v>301966</v>
          </cell>
          <cell r="E2230" t="str">
            <v>Del Gallego National High School</v>
          </cell>
          <cell r="F2230">
            <v>1</v>
          </cell>
          <cell r="G2230">
            <v>1</v>
          </cell>
          <cell r="H2230">
            <v>1</v>
          </cell>
          <cell r="I2230">
            <v>0</v>
          </cell>
          <cell r="J2230">
            <v>0</v>
          </cell>
          <cell r="K2230">
            <v>0</v>
          </cell>
          <cell r="L2230">
            <v>1</v>
          </cell>
          <cell r="M2230" t="str">
            <v>or as need arises</v>
          </cell>
          <cell r="N2230">
            <v>0</v>
          </cell>
          <cell r="O2230">
            <v>43739</v>
          </cell>
          <cell r="P2230">
            <v>43773</v>
          </cell>
          <cell r="Q2230">
            <v>0</v>
          </cell>
          <cell r="R2230">
            <v>0</v>
          </cell>
          <cell r="S2230">
            <v>0</v>
          </cell>
          <cell r="T2230">
            <v>1</v>
          </cell>
          <cell r="U2230" t="str">
            <v>sometimes weekly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</row>
        <row r="2231">
          <cell r="D2231">
            <v>301959</v>
          </cell>
          <cell r="E2231" t="str">
            <v>Casugad High School</v>
          </cell>
          <cell r="F2231">
            <v>0</v>
          </cell>
          <cell r="G2231">
            <v>0</v>
          </cell>
          <cell r="H2231">
            <v>1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</row>
        <row r="2232">
          <cell r="D2232">
            <v>301836</v>
          </cell>
          <cell r="E2232" t="str">
            <v>San Pascual National High School</v>
          </cell>
          <cell r="F2232">
            <v>1</v>
          </cell>
          <cell r="G2232">
            <v>1</v>
          </cell>
          <cell r="H2232">
            <v>1</v>
          </cell>
          <cell r="I2232">
            <v>0</v>
          </cell>
          <cell r="J2232">
            <v>1</v>
          </cell>
          <cell r="K2232">
            <v>0</v>
          </cell>
          <cell r="L2232">
            <v>0</v>
          </cell>
          <cell r="M2232">
            <v>0</v>
          </cell>
          <cell r="N2232">
            <v>1</v>
          </cell>
          <cell r="O2232" t="str">
            <v>8/14/19</v>
          </cell>
          <cell r="P2232" t="str">
            <v>8/15/19</v>
          </cell>
          <cell r="Q2232">
            <v>0</v>
          </cell>
          <cell r="R2232">
            <v>1</v>
          </cell>
          <cell r="S2232">
            <v>0</v>
          </cell>
          <cell r="T2232">
            <v>0</v>
          </cell>
          <cell r="U2232">
            <v>0</v>
          </cell>
          <cell r="V2232">
            <v>1</v>
          </cell>
          <cell r="W2232">
            <v>0</v>
          </cell>
          <cell r="X2232">
            <v>0</v>
          </cell>
          <cell r="Y2232">
            <v>0</v>
          </cell>
        </row>
        <row r="2233">
          <cell r="D2233">
            <v>301881</v>
          </cell>
          <cell r="E2233" t="str">
            <v>Joroan High School</v>
          </cell>
          <cell r="F2233">
            <v>1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</row>
        <row r="2234">
          <cell r="D2234">
            <v>301879</v>
          </cell>
          <cell r="E2234" t="str">
            <v>Sto. Domingo National High School</v>
          </cell>
          <cell r="F2234">
            <v>1</v>
          </cell>
          <cell r="G2234">
            <v>1</v>
          </cell>
          <cell r="H2234">
            <v>1</v>
          </cell>
          <cell r="I2234">
            <v>0</v>
          </cell>
          <cell r="J2234">
            <v>1</v>
          </cell>
          <cell r="K2234">
            <v>1</v>
          </cell>
          <cell r="L2234">
            <v>0</v>
          </cell>
          <cell r="M2234">
            <v>0</v>
          </cell>
          <cell r="N2234">
            <v>0</v>
          </cell>
          <cell r="O2234" t="str">
            <v>PTA Meeting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1</v>
          </cell>
          <cell r="W2234">
            <v>0</v>
          </cell>
          <cell r="X2234">
            <v>0</v>
          </cell>
          <cell r="Y2234">
            <v>0</v>
          </cell>
        </row>
        <row r="2235">
          <cell r="D2235">
            <v>309731</v>
          </cell>
          <cell r="E2235" t="str">
            <v>Antipolo HS, Minalabac</v>
          </cell>
          <cell r="F2235">
            <v>1</v>
          </cell>
          <cell r="G2235">
            <v>1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</row>
        <row r="2236">
          <cell r="D2236">
            <v>302064</v>
          </cell>
          <cell r="E2236" t="str">
            <v>Tomas A. Andaya, Sr. National High School</v>
          </cell>
          <cell r="F2236">
            <v>1</v>
          </cell>
          <cell r="G2236">
            <v>1</v>
          </cell>
          <cell r="H2236">
            <v>1</v>
          </cell>
          <cell r="I2236">
            <v>0</v>
          </cell>
          <cell r="J2236">
            <v>0</v>
          </cell>
          <cell r="K2236">
            <v>1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1</v>
          </cell>
          <cell r="U2236" t="str">
            <v>NONE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</row>
        <row r="2237">
          <cell r="D2237">
            <v>301861</v>
          </cell>
          <cell r="E2237" t="str">
            <v>Pariaan National High School</v>
          </cell>
          <cell r="F2237">
            <v>1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1</v>
          </cell>
          <cell r="L2237">
            <v>0</v>
          </cell>
          <cell r="M2237">
            <v>0</v>
          </cell>
          <cell r="N2237">
            <v>0</v>
          </cell>
          <cell r="O2237" t="str">
            <v>N/A</v>
          </cell>
          <cell r="P2237" t="str">
            <v>N/A</v>
          </cell>
          <cell r="Q2237">
            <v>0</v>
          </cell>
          <cell r="R2237">
            <v>0</v>
          </cell>
          <cell r="S2237">
            <v>0</v>
          </cell>
          <cell r="T2237">
            <v>1</v>
          </cell>
          <cell r="U2237" t="str">
            <v>N/A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</row>
        <row r="2238">
          <cell r="D2238">
            <v>301821</v>
          </cell>
          <cell r="E2238" t="str">
            <v>Cawayan National High School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1</v>
          </cell>
          <cell r="M2238" t="str">
            <v>NONE</v>
          </cell>
          <cell r="N2238">
            <v>0</v>
          </cell>
          <cell r="O2238">
            <v>42557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1</v>
          </cell>
          <cell r="U2238" t="str">
            <v>NONE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</row>
        <row r="2239">
          <cell r="D2239">
            <v>301812</v>
          </cell>
          <cell r="E2239" t="str">
            <v>Bariw National High School</v>
          </cell>
          <cell r="F2239">
            <v>1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1</v>
          </cell>
          <cell r="M2239" t="str">
            <v>as need arises</v>
          </cell>
          <cell r="N2239">
            <v>1</v>
          </cell>
          <cell r="O2239" t="str">
            <v>Sept. 30, 2019</v>
          </cell>
          <cell r="P2239" t="str">
            <v>Oct. 17, 2019</v>
          </cell>
          <cell r="Q2239">
            <v>0</v>
          </cell>
          <cell r="R2239">
            <v>0</v>
          </cell>
          <cell r="S2239">
            <v>0</v>
          </cell>
          <cell r="T2239">
            <v>1</v>
          </cell>
          <cell r="U2239" t="str">
            <v>as need arises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</row>
        <row r="2240">
          <cell r="D2240">
            <v>301871</v>
          </cell>
          <cell r="E2240" t="str">
            <v>San Antonio National High School</v>
          </cell>
          <cell r="F2240">
            <v>1</v>
          </cell>
          <cell r="G2240">
            <v>1</v>
          </cell>
          <cell r="H2240">
            <v>1</v>
          </cell>
          <cell r="I2240">
            <v>0</v>
          </cell>
          <cell r="J2240">
            <v>1</v>
          </cell>
          <cell r="K2240">
            <v>0</v>
          </cell>
          <cell r="L2240">
            <v>0</v>
          </cell>
          <cell r="M2240">
            <v>0</v>
          </cell>
          <cell r="N2240">
            <v>1</v>
          </cell>
          <cell r="O2240" t="str">
            <v>May 30, 2019</v>
          </cell>
          <cell r="P2240" t="str">
            <v>September 24, 2019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1</v>
          </cell>
          <cell r="W2240">
            <v>0</v>
          </cell>
          <cell r="X2240">
            <v>0</v>
          </cell>
          <cell r="Y2240">
            <v>0</v>
          </cell>
        </row>
        <row r="2241">
          <cell r="D2241">
            <v>309520</v>
          </cell>
          <cell r="E2241" t="str">
            <v>Malabiga High School</v>
          </cell>
          <cell r="F2241">
            <v>0</v>
          </cell>
          <cell r="G2241">
            <v>0</v>
          </cell>
          <cell r="H2241">
            <v>1</v>
          </cell>
          <cell r="I2241">
            <v>0</v>
          </cell>
          <cell r="J2241">
            <v>0</v>
          </cell>
          <cell r="K2241">
            <v>1</v>
          </cell>
          <cell r="L2241">
            <v>0</v>
          </cell>
          <cell r="M2241">
            <v>0</v>
          </cell>
          <cell r="N2241">
            <v>1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1</v>
          </cell>
          <cell r="T2241">
            <v>0</v>
          </cell>
          <cell r="U2241">
            <v>0</v>
          </cell>
          <cell r="V2241">
            <v>1</v>
          </cell>
          <cell r="W2241">
            <v>0</v>
          </cell>
          <cell r="X2241">
            <v>0</v>
          </cell>
          <cell r="Y2241">
            <v>0</v>
          </cell>
        </row>
        <row r="2242">
          <cell r="D2242">
            <v>500155</v>
          </cell>
          <cell r="E2242" t="str">
            <v>San Agustin Elementary School</v>
          </cell>
          <cell r="F2242">
            <v>1</v>
          </cell>
          <cell r="G2242">
            <v>0</v>
          </cell>
          <cell r="H2242">
            <v>1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1</v>
          </cell>
          <cell r="O2242">
            <v>0</v>
          </cell>
          <cell r="P2242">
            <v>0</v>
          </cell>
          <cell r="Q2242">
            <v>0</v>
          </cell>
          <cell r="R2242">
            <v>1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</row>
        <row r="2243">
          <cell r="D2243">
            <v>343238</v>
          </cell>
          <cell r="E2243" t="str">
            <v>San Agustin (Stand Alone) Senior High School</v>
          </cell>
          <cell r="F2243">
            <v>0</v>
          </cell>
          <cell r="G2243">
            <v>0</v>
          </cell>
          <cell r="H2243">
            <v>1</v>
          </cell>
          <cell r="I2243">
            <v>0</v>
          </cell>
          <cell r="J2243">
            <v>0</v>
          </cell>
          <cell r="K2243">
            <v>0</v>
          </cell>
          <cell r="L2243">
            <v>1</v>
          </cell>
          <cell r="M2243" t="str">
            <v>as necessary</v>
          </cell>
          <cell r="N2243">
            <v>0</v>
          </cell>
          <cell r="O2243">
            <v>0</v>
          </cell>
          <cell r="P2243" t="str">
            <v>Mid of June</v>
          </cell>
          <cell r="Q2243">
            <v>0</v>
          </cell>
          <cell r="R2243">
            <v>0</v>
          </cell>
          <cell r="S2243">
            <v>1</v>
          </cell>
          <cell r="T2243">
            <v>0</v>
          </cell>
          <cell r="U2243">
            <v>0</v>
          </cell>
          <cell r="V2243">
            <v>0</v>
          </cell>
          <cell r="W2243">
            <v>10</v>
          </cell>
          <cell r="X2243">
            <v>10</v>
          </cell>
          <cell r="Y2243">
            <v>10</v>
          </cell>
        </row>
        <row r="2244">
          <cell r="D2244">
            <v>302277</v>
          </cell>
          <cell r="E2244" t="str">
            <v>San Isidro National High School</v>
          </cell>
          <cell r="F2244">
            <v>1</v>
          </cell>
          <cell r="G2244">
            <v>0</v>
          </cell>
          <cell r="H2244">
            <v>1</v>
          </cell>
          <cell r="I2244">
            <v>0</v>
          </cell>
          <cell r="J2244">
            <v>1</v>
          </cell>
          <cell r="K2244">
            <v>0</v>
          </cell>
          <cell r="L2244">
            <v>0</v>
          </cell>
          <cell r="M2244">
            <v>0</v>
          </cell>
          <cell r="N2244">
            <v>1</v>
          </cell>
          <cell r="O2244">
            <v>0</v>
          </cell>
          <cell r="P2244">
            <v>0</v>
          </cell>
          <cell r="Q2244">
            <v>0</v>
          </cell>
          <cell r="R2244">
            <v>1</v>
          </cell>
          <cell r="S2244">
            <v>0</v>
          </cell>
          <cell r="T2244">
            <v>0</v>
          </cell>
          <cell r="U2244">
            <v>0</v>
          </cell>
          <cell r="V2244">
            <v>1</v>
          </cell>
          <cell r="W2244">
            <v>9</v>
          </cell>
          <cell r="X2244">
            <v>9</v>
          </cell>
          <cell r="Y2244">
            <v>9</v>
          </cell>
        </row>
        <row r="2245">
          <cell r="D2245">
            <v>302046</v>
          </cell>
          <cell r="E2245" t="str">
            <v>Sinuknipan NHS</v>
          </cell>
          <cell r="F2245">
            <v>1</v>
          </cell>
          <cell r="G2245">
            <v>1</v>
          </cell>
          <cell r="H2245">
            <v>1</v>
          </cell>
          <cell r="I2245">
            <v>0</v>
          </cell>
          <cell r="J2245">
            <v>1</v>
          </cell>
          <cell r="K2245">
            <v>0</v>
          </cell>
          <cell r="L2245">
            <v>0</v>
          </cell>
          <cell r="M2245">
            <v>0</v>
          </cell>
          <cell r="N2245">
            <v>1</v>
          </cell>
          <cell r="O2245">
            <v>0</v>
          </cell>
          <cell r="P2245" t="str">
            <v>4/15/2018</v>
          </cell>
          <cell r="Q2245">
            <v>0</v>
          </cell>
          <cell r="R2245">
            <v>1</v>
          </cell>
          <cell r="S2245">
            <v>0</v>
          </cell>
          <cell r="T2245">
            <v>0</v>
          </cell>
          <cell r="U2245">
            <v>0</v>
          </cell>
          <cell r="V2245">
            <v>1</v>
          </cell>
          <cell r="W2245">
            <v>0</v>
          </cell>
          <cell r="X2245">
            <v>0</v>
          </cell>
          <cell r="Y2245">
            <v>0</v>
          </cell>
        </row>
        <row r="2246">
          <cell r="D2246">
            <v>500167</v>
          </cell>
          <cell r="E2246" t="str">
            <v>Cristo Rey IS</v>
          </cell>
          <cell r="F2246">
            <v>0</v>
          </cell>
          <cell r="G2246">
            <v>0</v>
          </cell>
          <cell r="H2246">
            <v>1</v>
          </cell>
          <cell r="I2246">
            <v>0</v>
          </cell>
          <cell r="J2246">
            <v>0</v>
          </cell>
          <cell r="K2246">
            <v>1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</row>
        <row r="2247">
          <cell r="D2247">
            <v>302250</v>
          </cell>
          <cell r="E2247" t="str">
            <v>Sta. Maria HS</v>
          </cell>
          <cell r="F2247">
            <v>1</v>
          </cell>
          <cell r="G2247">
            <v>0</v>
          </cell>
          <cell r="H2247">
            <v>0</v>
          </cell>
          <cell r="I2247">
            <v>0</v>
          </cell>
          <cell r="J2247">
            <v>1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</row>
        <row r="2248">
          <cell r="D2248">
            <v>301826</v>
          </cell>
          <cell r="E2248" t="str">
            <v>BaÃ±adero High School</v>
          </cell>
          <cell r="F2248">
            <v>0</v>
          </cell>
          <cell r="G2248">
            <v>0</v>
          </cell>
          <cell r="H2248">
            <v>1</v>
          </cell>
          <cell r="I2248">
            <v>0</v>
          </cell>
          <cell r="J2248">
            <v>0</v>
          </cell>
          <cell r="K2248">
            <v>0</v>
          </cell>
          <cell r="L2248">
            <v>1</v>
          </cell>
          <cell r="M2248" t="str">
            <v>As need arises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</row>
        <row r="2249">
          <cell r="D2249">
            <v>500154</v>
          </cell>
          <cell r="E2249" t="str">
            <v>Alimsog Integrated School</v>
          </cell>
          <cell r="F2249">
            <v>1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</row>
        <row r="2250">
          <cell r="D2250">
            <v>301815</v>
          </cell>
          <cell r="E2250" t="str">
            <v>Bical High School</v>
          </cell>
          <cell r="F2250">
            <v>1</v>
          </cell>
          <cell r="G2250">
            <v>0</v>
          </cell>
          <cell r="H2250">
            <v>1</v>
          </cell>
          <cell r="I2250">
            <v>1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43656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1</v>
          </cell>
          <cell r="W2250">
            <v>0</v>
          </cell>
          <cell r="X2250">
            <v>0</v>
          </cell>
          <cell r="Y2250">
            <v>0</v>
          </cell>
        </row>
        <row r="2251">
          <cell r="D2251">
            <v>302017</v>
          </cell>
          <cell r="E2251" t="str">
            <v>Pili NHS, Pili - Gov.Mariano E. Villafuerte Annex HS</v>
          </cell>
          <cell r="F2251">
            <v>1</v>
          </cell>
          <cell r="G2251">
            <v>1</v>
          </cell>
          <cell r="H2251">
            <v>1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</row>
        <row r="2252">
          <cell r="D2252">
            <v>302044</v>
          </cell>
          <cell r="E2252" t="str">
            <v>Bato National High School</v>
          </cell>
          <cell r="F2252">
            <v>1</v>
          </cell>
          <cell r="G2252">
            <v>1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</row>
        <row r="2253">
          <cell r="D2253">
            <v>309502</v>
          </cell>
          <cell r="E2253" t="str">
            <v>San Pablo High School</v>
          </cell>
          <cell r="F2253">
            <v>1</v>
          </cell>
          <cell r="G2253">
            <v>1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</row>
        <row r="2254">
          <cell r="D2254">
            <v>302020</v>
          </cell>
          <cell r="E2254" t="str">
            <v>Ragay National Agricultural and Fisheries School (RNAFS)</v>
          </cell>
          <cell r="F2254">
            <v>1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</row>
        <row r="2255">
          <cell r="D2255">
            <v>309519</v>
          </cell>
          <cell r="E2255" t="str">
            <v>Tinopan High School</v>
          </cell>
          <cell r="F2255">
            <v>1</v>
          </cell>
          <cell r="G2255">
            <v>0</v>
          </cell>
          <cell r="H2255">
            <v>1</v>
          </cell>
          <cell r="I2255">
            <v>0</v>
          </cell>
          <cell r="J2255">
            <v>1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1</v>
          </cell>
          <cell r="S2255">
            <v>0</v>
          </cell>
          <cell r="T2255">
            <v>0</v>
          </cell>
          <cell r="U2255">
            <v>0</v>
          </cell>
          <cell r="V2255">
            <v>1</v>
          </cell>
          <cell r="W2255">
            <v>0</v>
          </cell>
          <cell r="X2255">
            <v>0</v>
          </cell>
          <cell r="Y2255">
            <v>0</v>
          </cell>
        </row>
        <row r="2256">
          <cell r="D2256">
            <v>301961</v>
          </cell>
          <cell r="E2256" t="str">
            <v>Colacling National High School</v>
          </cell>
          <cell r="F2256">
            <v>1</v>
          </cell>
          <cell r="G2256">
            <v>1</v>
          </cell>
          <cell r="H2256">
            <v>1</v>
          </cell>
          <cell r="I2256">
            <v>0</v>
          </cell>
          <cell r="J2256">
            <v>1</v>
          </cell>
          <cell r="K2256">
            <v>0</v>
          </cell>
          <cell r="L2256">
            <v>0</v>
          </cell>
          <cell r="M2256">
            <v>0</v>
          </cell>
          <cell r="N2256">
            <v>1</v>
          </cell>
          <cell r="O2256" t="str">
            <v>July 10, 2019</v>
          </cell>
          <cell r="P2256" t="str">
            <v>none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1</v>
          </cell>
          <cell r="W2256">
            <v>0</v>
          </cell>
          <cell r="X2256">
            <v>0</v>
          </cell>
          <cell r="Y2256">
            <v>0</v>
          </cell>
        </row>
        <row r="2257">
          <cell r="D2257">
            <v>301882</v>
          </cell>
          <cell r="E2257" t="str">
            <v>Villahermosa National High School</v>
          </cell>
          <cell r="F2257">
            <v>1</v>
          </cell>
          <cell r="G2257">
            <v>0</v>
          </cell>
          <cell r="H2257">
            <v>1</v>
          </cell>
          <cell r="I2257">
            <v>0</v>
          </cell>
          <cell r="J2257">
            <v>0</v>
          </cell>
          <cell r="K2257">
            <v>1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</row>
        <row r="2258">
          <cell r="D2258">
            <v>301872</v>
          </cell>
          <cell r="E2258" t="str">
            <v>San Fernando National High School</v>
          </cell>
          <cell r="F2258">
            <v>1</v>
          </cell>
          <cell r="G2258">
            <v>1</v>
          </cell>
          <cell r="H2258">
            <v>1</v>
          </cell>
          <cell r="I2258">
            <v>0</v>
          </cell>
          <cell r="J2258">
            <v>1</v>
          </cell>
          <cell r="K2258">
            <v>0</v>
          </cell>
          <cell r="L2258">
            <v>0</v>
          </cell>
          <cell r="M2258">
            <v>0</v>
          </cell>
          <cell r="N2258">
            <v>1</v>
          </cell>
          <cell r="O2258" t="str">
            <v>Sept. 2019</v>
          </cell>
          <cell r="P2258" t="str">
            <v>July 2019</v>
          </cell>
          <cell r="Q2258">
            <v>0</v>
          </cell>
          <cell r="R2258">
            <v>1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</row>
        <row r="2259">
          <cell r="D2259">
            <v>302031</v>
          </cell>
          <cell r="E2259" t="str">
            <v>San Fernando NHS</v>
          </cell>
          <cell r="F2259">
            <v>1</v>
          </cell>
          <cell r="G2259">
            <v>1</v>
          </cell>
          <cell r="H2259">
            <v>1</v>
          </cell>
          <cell r="I2259">
            <v>1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1</v>
          </cell>
          <cell r="O2259">
            <v>0</v>
          </cell>
          <cell r="P2259">
            <v>0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1</v>
          </cell>
          <cell r="W2259">
            <v>0</v>
          </cell>
          <cell r="X2259">
            <v>0</v>
          </cell>
          <cell r="Y2259">
            <v>0</v>
          </cell>
        </row>
        <row r="2260">
          <cell r="D2260">
            <v>301839</v>
          </cell>
          <cell r="E2260" t="str">
            <v>Malapay High School</v>
          </cell>
          <cell r="F2260">
            <v>1</v>
          </cell>
          <cell r="G2260">
            <v>1</v>
          </cell>
          <cell r="H2260">
            <v>1</v>
          </cell>
          <cell r="I2260">
            <v>0</v>
          </cell>
          <cell r="J2260">
            <v>1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43623</v>
          </cell>
          <cell r="P2260">
            <v>43619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1</v>
          </cell>
          <cell r="W2260">
            <v>0</v>
          </cell>
          <cell r="X2260">
            <v>0</v>
          </cell>
          <cell r="Y2260">
            <v>0</v>
          </cell>
        </row>
        <row r="2261">
          <cell r="D2261">
            <v>309927</v>
          </cell>
          <cell r="E2261" t="str">
            <v>Buenasuerte Integrated School</v>
          </cell>
          <cell r="F2261">
            <v>1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</row>
        <row r="2262">
          <cell r="D2262">
            <v>302030</v>
          </cell>
          <cell r="E2262" t="str">
            <v>San Antonio NHS</v>
          </cell>
          <cell r="F2262">
            <v>1</v>
          </cell>
          <cell r="G2262">
            <v>0</v>
          </cell>
          <cell r="H2262">
            <v>1</v>
          </cell>
          <cell r="I2262">
            <v>0</v>
          </cell>
          <cell r="J2262">
            <v>0</v>
          </cell>
          <cell r="K2262">
            <v>1</v>
          </cell>
          <cell r="L2262">
            <v>0</v>
          </cell>
          <cell r="M2262">
            <v>0</v>
          </cell>
          <cell r="N2262">
            <v>1</v>
          </cell>
          <cell r="O2262">
            <v>43285</v>
          </cell>
          <cell r="P2262">
            <v>43285</v>
          </cell>
          <cell r="Q2262">
            <v>0</v>
          </cell>
          <cell r="R2262">
            <v>0</v>
          </cell>
          <cell r="S2262">
            <v>1</v>
          </cell>
          <cell r="T2262">
            <v>0</v>
          </cell>
          <cell r="U2262">
            <v>0</v>
          </cell>
          <cell r="V2262">
            <v>1</v>
          </cell>
          <cell r="W2262">
            <v>0</v>
          </cell>
          <cell r="X2262">
            <v>0</v>
          </cell>
          <cell r="Y2262">
            <v>0</v>
          </cell>
        </row>
        <row r="2263">
          <cell r="D2263">
            <v>302249</v>
          </cell>
          <cell r="E2263" t="str">
            <v>Perpetual Help NHS</v>
          </cell>
          <cell r="F2263">
            <v>1</v>
          </cell>
          <cell r="G2263">
            <v>1</v>
          </cell>
          <cell r="H2263">
            <v>1</v>
          </cell>
          <cell r="I2263">
            <v>0</v>
          </cell>
          <cell r="J2263">
            <v>0</v>
          </cell>
          <cell r="K2263">
            <v>0</v>
          </cell>
          <cell r="L2263">
            <v>1</v>
          </cell>
          <cell r="M2263" t="str">
            <v>as necessary</v>
          </cell>
          <cell r="N2263">
            <v>1</v>
          </cell>
          <cell r="O2263">
            <v>43637</v>
          </cell>
          <cell r="P2263">
            <v>43637</v>
          </cell>
          <cell r="Q2263">
            <v>0</v>
          </cell>
          <cell r="R2263">
            <v>0</v>
          </cell>
          <cell r="S2263">
            <v>1</v>
          </cell>
          <cell r="T2263">
            <v>0</v>
          </cell>
          <cell r="U2263">
            <v>0</v>
          </cell>
          <cell r="V2263">
            <v>1</v>
          </cell>
          <cell r="W2263">
            <v>0</v>
          </cell>
          <cell r="X2263">
            <v>0</v>
          </cell>
          <cell r="Y2263">
            <v>0</v>
          </cell>
        </row>
        <row r="2264">
          <cell r="D2264">
            <v>301847</v>
          </cell>
          <cell r="E2264" t="str">
            <v>Nagotgot High School</v>
          </cell>
          <cell r="F2264">
            <v>0</v>
          </cell>
          <cell r="G2264">
            <v>0</v>
          </cell>
          <cell r="H2264">
            <v>1</v>
          </cell>
          <cell r="I2264">
            <v>0</v>
          </cell>
          <cell r="J2264">
            <v>0</v>
          </cell>
          <cell r="K2264">
            <v>1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</row>
        <row r="2265">
          <cell r="D2265">
            <v>301947</v>
          </cell>
          <cell r="E2265" t="str">
            <v>Bula NHS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</row>
        <row r="2266">
          <cell r="D2266">
            <v>301983</v>
          </cell>
          <cell r="E2266" t="str">
            <v>Jose De Villa NHS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 t="str">
            <v>N/A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</row>
        <row r="2267">
          <cell r="D2267">
            <v>302029</v>
          </cell>
          <cell r="E2267" t="str">
            <v>Tinawagan NHS</v>
          </cell>
          <cell r="F2267">
            <v>1</v>
          </cell>
          <cell r="G2267">
            <v>0</v>
          </cell>
          <cell r="H2267">
            <v>1</v>
          </cell>
          <cell r="I2267">
            <v>0</v>
          </cell>
          <cell r="J2267">
            <v>0</v>
          </cell>
          <cell r="K2267">
            <v>1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1</v>
          </cell>
          <cell r="U2267" t="str">
            <v>as needed</v>
          </cell>
          <cell r="V2267">
            <v>1</v>
          </cell>
          <cell r="W2267">
            <v>0</v>
          </cell>
          <cell r="X2267">
            <v>0</v>
          </cell>
          <cell r="Y2267">
            <v>0</v>
          </cell>
        </row>
        <row r="2268">
          <cell r="D2268">
            <v>301816</v>
          </cell>
          <cell r="E2268" t="str">
            <v>Bonga National High School</v>
          </cell>
          <cell r="F2268">
            <v>1</v>
          </cell>
          <cell r="G2268">
            <v>1</v>
          </cell>
          <cell r="H2268">
            <v>1</v>
          </cell>
          <cell r="I2268">
            <v>0</v>
          </cell>
          <cell r="J2268">
            <v>0</v>
          </cell>
          <cell r="K2268">
            <v>0</v>
          </cell>
          <cell r="L2268">
            <v>1</v>
          </cell>
          <cell r="M2268" t="str">
            <v>As necessary</v>
          </cell>
          <cell r="N2268">
            <v>0</v>
          </cell>
          <cell r="O2268">
            <v>43672</v>
          </cell>
          <cell r="P2268">
            <v>43672</v>
          </cell>
          <cell r="Q2268">
            <v>0</v>
          </cell>
          <cell r="R2268">
            <v>0</v>
          </cell>
          <cell r="S2268">
            <v>0</v>
          </cell>
          <cell r="T2268">
            <v>1</v>
          </cell>
          <cell r="U2268" t="str">
            <v>As necessary</v>
          </cell>
          <cell r="V2268">
            <v>1</v>
          </cell>
          <cell r="W2268">
            <v>0</v>
          </cell>
          <cell r="X2268">
            <v>0</v>
          </cell>
          <cell r="Y2268">
            <v>0</v>
          </cell>
        </row>
        <row r="2269">
          <cell r="D2269">
            <v>301968</v>
          </cell>
          <cell r="E2269" t="str">
            <v>Don Mariano C. Veneracion NHS</v>
          </cell>
          <cell r="F2269">
            <v>0</v>
          </cell>
          <cell r="G2269">
            <v>0</v>
          </cell>
          <cell r="H2269">
            <v>1</v>
          </cell>
          <cell r="I2269">
            <v>0</v>
          </cell>
          <cell r="J2269">
            <v>1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</row>
        <row r="2270">
          <cell r="D2270">
            <v>309521</v>
          </cell>
          <cell r="E2270" t="str">
            <v>San Ramon High School</v>
          </cell>
          <cell r="F2270">
            <v>1</v>
          </cell>
          <cell r="G2270">
            <v>0</v>
          </cell>
          <cell r="H2270">
            <v>1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1</v>
          </cell>
          <cell r="O2270" t="str">
            <v>09/30/2019</v>
          </cell>
          <cell r="P2270" t="str">
            <v>05/21/2018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1</v>
          </cell>
          <cell r="W2270">
            <v>0</v>
          </cell>
          <cell r="X2270">
            <v>0</v>
          </cell>
          <cell r="Y2270">
            <v>0</v>
          </cell>
        </row>
        <row r="2271">
          <cell r="D2271">
            <v>301842</v>
          </cell>
          <cell r="E2271" t="str">
            <v>Malipo National High School</v>
          </cell>
          <cell r="F2271">
            <v>1</v>
          </cell>
          <cell r="G2271">
            <v>0</v>
          </cell>
          <cell r="H2271">
            <v>1</v>
          </cell>
          <cell r="I2271">
            <v>0</v>
          </cell>
          <cell r="J2271">
            <v>1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</row>
        <row r="2272">
          <cell r="D2272">
            <v>301938</v>
          </cell>
          <cell r="E2272" t="str">
            <v>Balaogan National  High School</v>
          </cell>
          <cell r="F2272">
            <v>1</v>
          </cell>
          <cell r="G2272">
            <v>1</v>
          </cell>
          <cell r="H2272">
            <v>1</v>
          </cell>
          <cell r="I2272">
            <v>0</v>
          </cell>
          <cell r="J2272">
            <v>1</v>
          </cell>
          <cell r="K2272">
            <v>0</v>
          </cell>
          <cell r="L2272">
            <v>0</v>
          </cell>
          <cell r="M2272">
            <v>0</v>
          </cell>
          <cell r="N2272">
            <v>1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1</v>
          </cell>
          <cell r="T2272">
            <v>0</v>
          </cell>
          <cell r="U2272">
            <v>0</v>
          </cell>
          <cell r="V2272">
            <v>1</v>
          </cell>
          <cell r="W2272">
            <v>0</v>
          </cell>
          <cell r="X2272">
            <v>0</v>
          </cell>
          <cell r="Y2272">
            <v>0</v>
          </cell>
        </row>
        <row r="2273">
          <cell r="D2273">
            <v>302176</v>
          </cell>
          <cell r="E2273" t="str">
            <v>Verdida-Sabrido National High School</v>
          </cell>
          <cell r="F2273">
            <v>1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</row>
        <row r="2274">
          <cell r="D2274">
            <v>309757</v>
          </cell>
          <cell r="E2274" t="str">
            <v>Cagbibi  National  High School</v>
          </cell>
          <cell r="F2274">
            <v>1</v>
          </cell>
          <cell r="G2274">
            <v>0</v>
          </cell>
          <cell r="H2274">
            <v>1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</row>
        <row r="2275">
          <cell r="D2275">
            <v>301902</v>
          </cell>
          <cell r="E2275" t="str">
            <v>Manguisoc NHS</v>
          </cell>
          <cell r="F2275">
            <v>0</v>
          </cell>
          <cell r="G2275">
            <v>0</v>
          </cell>
          <cell r="H2275">
            <v>1</v>
          </cell>
          <cell r="I2275">
            <v>0</v>
          </cell>
          <cell r="J2275">
            <v>1</v>
          </cell>
          <cell r="K2275">
            <v>0</v>
          </cell>
          <cell r="L2275">
            <v>0</v>
          </cell>
          <cell r="M2275">
            <v>0</v>
          </cell>
          <cell r="N2275">
            <v>1</v>
          </cell>
          <cell r="O2275" t="str">
            <v>JULY 25, 2019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</row>
        <row r="2276">
          <cell r="D2276">
            <v>309619</v>
          </cell>
          <cell r="E2276" t="str">
            <v>Gawad Kalinga HS</v>
          </cell>
          <cell r="F2276">
            <v>1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</row>
        <row r="2277">
          <cell r="D2277">
            <v>302055</v>
          </cell>
          <cell r="E2277" t="str">
            <v>Tabgon NHS, Caramoan</v>
          </cell>
          <cell r="F2277">
            <v>0</v>
          </cell>
          <cell r="G2277">
            <v>0</v>
          </cell>
          <cell r="H2277">
            <v>1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</row>
        <row r="2278">
          <cell r="D2278">
            <v>301844</v>
          </cell>
          <cell r="E2278" t="str">
            <v>Mauraro High School</v>
          </cell>
          <cell r="F2278">
            <v>1</v>
          </cell>
          <cell r="G2278">
            <v>0</v>
          </cell>
          <cell r="H2278">
            <v>1</v>
          </cell>
          <cell r="I2278">
            <v>0</v>
          </cell>
          <cell r="J2278">
            <v>1</v>
          </cell>
          <cell r="K2278">
            <v>0</v>
          </cell>
          <cell r="L2278">
            <v>0</v>
          </cell>
          <cell r="M2278">
            <v>0</v>
          </cell>
          <cell r="N2278">
            <v>1</v>
          </cell>
          <cell r="O2278" t="str">
            <v>None</v>
          </cell>
          <cell r="P2278">
            <v>43525</v>
          </cell>
          <cell r="Q2278">
            <v>0</v>
          </cell>
          <cell r="R2278">
            <v>1</v>
          </cell>
          <cell r="S2278">
            <v>0</v>
          </cell>
          <cell r="T2278">
            <v>0</v>
          </cell>
          <cell r="U2278">
            <v>0</v>
          </cell>
          <cell r="V2278">
            <v>1</v>
          </cell>
          <cell r="W2278">
            <v>0</v>
          </cell>
          <cell r="X2278">
            <v>0</v>
          </cell>
          <cell r="Y2278">
            <v>0</v>
          </cell>
        </row>
        <row r="2279">
          <cell r="D2279">
            <v>301932</v>
          </cell>
          <cell r="E2279" t="str">
            <v>Nonito Paz Arroyo Memorial High School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</row>
        <row r="2280">
          <cell r="D2280">
            <v>301927</v>
          </cell>
          <cell r="E2280" t="str">
            <v>Anib National High School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</row>
        <row r="2281">
          <cell r="D2281">
            <v>301874</v>
          </cell>
          <cell r="E2281" t="str">
            <v>San Jose National High School</v>
          </cell>
          <cell r="F2281">
            <v>1</v>
          </cell>
          <cell r="G2281">
            <v>1</v>
          </cell>
          <cell r="H2281">
            <v>1</v>
          </cell>
          <cell r="I2281">
            <v>0</v>
          </cell>
          <cell r="J2281">
            <v>0</v>
          </cell>
          <cell r="K2281">
            <v>1</v>
          </cell>
          <cell r="L2281">
            <v>0</v>
          </cell>
          <cell r="M2281">
            <v>0</v>
          </cell>
          <cell r="N2281">
            <v>1</v>
          </cell>
          <cell r="O2281" t="str">
            <v>02-20-2019</v>
          </cell>
          <cell r="P2281" t="str">
            <v>02-21-2019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1</v>
          </cell>
          <cell r="W2281">
            <v>0</v>
          </cell>
          <cell r="X2281">
            <v>0</v>
          </cell>
          <cell r="Y2281">
            <v>0</v>
          </cell>
        </row>
        <row r="2282">
          <cell r="D2282">
            <v>301905</v>
          </cell>
          <cell r="E2282" t="str">
            <v>Mercedes HS</v>
          </cell>
          <cell r="F2282">
            <v>0</v>
          </cell>
          <cell r="G2282">
            <v>0</v>
          </cell>
          <cell r="H2282">
            <v>1</v>
          </cell>
          <cell r="I2282">
            <v>0</v>
          </cell>
          <cell r="J2282">
            <v>0</v>
          </cell>
          <cell r="K2282">
            <v>0</v>
          </cell>
          <cell r="L2282">
            <v>1</v>
          </cell>
          <cell r="M2282" t="str">
            <v>As necessary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1</v>
          </cell>
          <cell r="W2282">
            <v>0</v>
          </cell>
          <cell r="X2282">
            <v>0</v>
          </cell>
          <cell r="Y2282">
            <v>0</v>
          </cell>
        </row>
        <row r="2283">
          <cell r="D2283">
            <v>301896</v>
          </cell>
          <cell r="E2283" t="str">
            <v>Gonzalo Aler NHS</v>
          </cell>
          <cell r="F2283">
            <v>1</v>
          </cell>
          <cell r="G2283">
            <v>0</v>
          </cell>
          <cell r="H2283">
            <v>1</v>
          </cell>
          <cell r="I2283">
            <v>0</v>
          </cell>
          <cell r="J2283">
            <v>0</v>
          </cell>
          <cell r="K2283">
            <v>1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1</v>
          </cell>
          <cell r="T2283">
            <v>0</v>
          </cell>
          <cell r="U2283">
            <v>0</v>
          </cell>
          <cell r="V2283">
            <v>1</v>
          </cell>
          <cell r="W2283">
            <v>0</v>
          </cell>
          <cell r="X2283">
            <v>0</v>
          </cell>
          <cell r="Y2283">
            <v>0</v>
          </cell>
        </row>
        <row r="2284">
          <cell r="D2284">
            <v>302254</v>
          </cell>
          <cell r="E2284" t="str">
            <v>San Antonio NHS</v>
          </cell>
          <cell r="F2284">
            <v>1</v>
          </cell>
          <cell r="G2284">
            <v>1</v>
          </cell>
          <cell r="H2284">
            <v>1</v>
          </cell>
          <cell r="I2284">
            <v>0</v>
          </cell>
          <cell r="J2284">
            <v>1</v>
          </cell>
          <cell r="K2284">
            <v>0</v>
          </cell>
          <cell r="L2284">
            <v>0</v>
          </cell>
          <cell r="M2284">
            <v>0</v>
          </cell>
          <cell r="N2284">
            <v>1</v>
          </cell>
          <cell r="O2284" t="str">
            <v>07/05/2019</v>
          </cell>
          <cell r="P2284" t="str">
            <v>07/08/2019</v>
          </cell>
          <cell r="Q2284">
            <v>0</v>
          </cell>
          <cell r="R2284">
            <v>1</v>
          </cell>
          <cell r="S2284">
            <v>0</v>
          </cell>
          <cell r="T2284">
            <v>0</v>
          </cell>
          <cell r="U2284">
            <v>0</v>
          </cell>
          <cell r="V2284">
            <v>1</v>
          </cell>
          <cell r="W2284">
            <v>3</v>
          </cell>
          <cell r="X2284">
            <v>2</v>
          </cell>
          <cell r="Y2284">
            <v>1</v>
          </cell>
        </row>
        <row r="2285">
          <cell r="D2285">
            <v>309508</v>
          </cell>
          <cell r="E2285" t="str">
            <v>Anislag NHS - Bascaran HS Ext.</v>
          </cell>
          <cell r="F2285">
            <v>0</v>
          </cell>
          <cell r="G2285">
            <v>0</v>
          </cell>
          <cell r="H2285">
            <v>1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 t="str">
            <v>none</v>
          </cell>
          <cell r="Q2285">
            <v>0</v>
          </cell>
          <cell r="R2285">
            <v>0</v>
          </cell>
          <cell r="S2285">
            <v>0</v>
          </cell>
          <cell r="T2285">
            <v>1</v>
          </cell>
          <cell r="U2285" t="str">
            <v>none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</row>
        <row r="2286">
          <cell r="D2286">
            <v>301867</v>
          </cell>
          <cell r="E2286" t="str">
            <v>La Medalla High School</v>
          </cell>
          <cell r="F2286">
            <v>1</v>
          </cell>
          <cell r="G2286">
            <v>1</v>
          </cell>
          <cell r="H2286">
            <v>0</v>
          </cell>
          <cell r="I2286">
            <v>0</v>
          </cell>
          <cell r="J2286">
            <v>1</v>
          </cell>
          <cell r="K2286">
            <v>0</v>
          </cell>
          <cell r="L2286">
            <v>0</v>
          </cell>
          <cell r="M2286">
            <v>0</v>
          </cell>
          <cell r="N2286">
            <v>1</v>
          </cell>
          <cell r="O2286">
            <v>43721</v>
          </cell>
          <cell r="P2286">
            <v>43725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1</v>
          </cell>
          <cell r="W2286">
            <v>0</v>
          </cell>
          <cell r="X2286">
            <v>0</v>
          </cell>
          <cell r="Y2286">
            <v>0</v>
          </cell>
        </row>
        <row r="2287">
          <cell r="D2287">
            <v>309503</v>
          </cell>
          <cell r="E2287" t="str">
            <v>Alabangpuro High School</v>
          </cell>
          <cell r="F2287">
            <v>1</v>
          </cell>
          <cell r="G2287">
            <v>0</v>
          </cell>
          <cell r="H2287">
            <v>1</v>
          </cell>
          <cell r="I2287">
            <v>1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1</v>
          </cell>
          <cell r="T2287">
            <v>0</v>
          </cell>
          <cell r="U2287">
            <v>43749</v>
          </cell>
          <cell r="V2287">
            <v>0</v>
          </cell>
          <cell r="W2287">
            <v>1</v>
          </cell>
          <cell r="X2287">
            <v>0</v>
          </cell>
          <cell r="Y2287">
            <v>0</v>
          </cell>
        </row>
        <row r="2288">
          <cell r="D2288">
            <v>302258</v>
          </cell>
          <cell r="E2288" t="str">
            <v>Oro Site High School</v>
          </cell>
          <cell r="F2288">
            <v>1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</row>
        <row r="2289">
          <cell r="D2289">
            <v>301873</v>
          </cell>
          <cell r="E2289" t="str">
            <v>San Isidro National High School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</row>
        <row r="2290">
          <cell r="D2290">
            <v>301834</v>
          </cell>
          <cell r="E2290" t="str">
            <v>Bonbon National High School</v>
          </cell>
          <cell r="F2290">
            <v>1</v>
          </cell>
          <cell r="G2290">
            <v>1</v>
          </cell>
          <cell r="H2290">
            <v>1</v>
          </cell>
          <cell r="I2290">
            <v>0</v>
          </cell>
          <cell r="J2290">
            <v>1</v>
          </cell>
          <cell r="K2290">
            <v>0</v>
          </cell>
          <cell r="L2290">
            <v>0</v>
          </cell>
          <cell r="M2290">
            <v>0</v>
          </cell>
          <cell r="N2290">
            <v>1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1</v>
          </cell>
          <cell r="T2290">
            <v>0</v>
          </cell>
          <cell r="U2290">
            <v>0</v>
          </cell>
          <cell r="V2290">
            <v>1</v>
          </cell>
          <cell r="W2290">
            <v>0</v>
          </cell>
          <cell r="X2290">
            <v>0</v>
          </cell>
          <cell r="Y2290">
            <v>0</v>
          </cell>
        </row>
        <row r="2291">
          <cell r="D2291">
            <v>302259</v>
          </cell>
          <cell r="E2291" t="str">
            <v>Homapon High School</v>
          </cell>
          <cell r="F2291">
            <v>1</v>
          </cell>
          <cell r="G2291">
            <v>1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</row>
        <row r="2292">
          <cell r="D2292">
            <v>301884</v>
          </cell>
          <cell r="E2292" t="str">
            <v>Mancao National High School</v>
          </cell>
          <cell r="F2292">
            <v>1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1</v>
          </cell>
          <cell r="L2292">
            <v>0</v>
          </cell>
          <cell r="M2292">
            <v>0</v>
          </cell>
          <cell r="N2292">
            <v>1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1</v>
          </cell>
          <cell r="W2292">
            <v>0</v>
          </cell>
          <cell r="X2292">
            <v>0</v>
          </cell>
          <cell r="Y2292">
            <v>0</v>
          </cell>
        </row>
        <row r="2293">
          <cell r="D2293">
            <v>302256</v>
          </cell>
          <cell r="E2293" t="str">
            <v>Sto. Niño NHS</v>
          </cell>
          <cell r="F2293">
            <v>1</v>
          </cell>
          <cell r="G2293">
            <v>1</v>
          </cell>
          <cell r="H2293">
            <v>1</v>
          </cell>
          <cell r="I2293">
            <v>0</v>
          </cell>
          <cell r="J2293">
            <v>1</v>
          </cell>
          <cell r="K2293">
            <v>0</v>
          </cell>
          <cell r="L2293">
            <v>0</v>
          </cell>
          <cell r="M2293">
            <v>0</v>
          </cell>
          <cell r="N2293">
            <v>1</v>
          </cell>
          <cell r="O2293" t="str">
            <v>08/16/2019</v>
          </cell>
          <cell r="P2293" t="str">
            <v>08/20/2019</v>
          </cell>
          <cell r="Q2293">
            <v>0</v>
          </cell>
          <cell r="R2293">
            <v>1</v>
          </cell>
          <cell r="S2293">
            <v>0</v>
          </cell>
          <cell r="T2293">
            <v>0</v>
          </cell>
          <cell r="U2293">
            <v>0</v>
          </cell>
          <cell r="V2293">
            <v>1</v>
          </cell>
          <cell r="W2293">
            <v>5</v>
          </cell>
          <cell r="X2293">
            <v>5</v>
          </cell>
          <cell r="Y2293">
            <v>5</v>
          </cell>
        </row>
        <row r="2294">
          <cell r="D2294">
            <v>310206</v>
          </cell>
          <cell r="E2294" t="str">
            <v>Cagbacong High School</v>
          </cell>
          <cell r="F2294">
            <v>1</v>
          </cell>
          <cell r="G2294">
            <v>1</v>
          </cell>
          <cell r="H2294">
            <v>1</v>
          </cell>
          <cell r="I2294">
            <v>0</v>
          </cell>
          <cell r="J2294">
            <v>1</v>
          </cell>
          <cell r="K2294">
            <v>0</v>
          </cell>
          <cell r="L2294">
            <v>0</v>
          </cell>
          <cell r="M2294">
            <v>0</v>
          </cell>
          <cell r="N2294">
            <v>1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1</v>
          </cell>
          <cell r="W2294">
            <v>0</v>
          </cell>
          <cell r="X2294">
            <v>0</v>
          </cell>
          <cell r="Y2294">
            <v>0</v>
          </cell>
        </row>
        <row r="2295">
          <cell r="D2295">
            <v>301841</v>
          </cell>
          <cell r="E2295" t="str">
            <v>Malabog National High School</v>
          </cell>
          <cell r="F2295">
            <v>1</v>
          </cell>
          <cell r="G2295">
            <v>1</v>
          </cell>
          <cell r="H2295">
            <v>1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1</v>
          </cell>
          <cell r="O2295">
            <v>43617</v>
          </cell>
          <cell r="P2295" t="str">
            <v>7/17/2019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1</v>
          </cell>
          <cell r="W2295">
            <v>0</v>
          </cell>
          <cell r="X2295">
            <v>0</v>
          </cell>
          <cell r="Y2295">
            <v>0</v>
          </cell>
        </row>
        <row r="2296">
          <cell r="D2296">
            <v>301880</v>
          </cell>
          <cell r="E2296" t="str">
            <v>Tiwi Agro-Industrial School</v>
          </cell>
          <cell r="F2296">
            <v>1</v>
          </cell>
          <cell r="G2296">
            <v>1</v>
          </cell>
          <cell r="H2296">
            <v>1</v>
          </cell>
          <cell r="I2296">
            <v>0</v>
          </cell>
          <cell r="J2296">
            <v>1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 t="str">
            <v>not yet</v>
          </cell>
          <cell r="P2296">
            <v>0</v>
          </cell>
          <cell r="Q2296">
            <v>0</v>
          </cell>
          <cell r="R2296">
            <v>1</v>
          </cell>
          <cell r="S2296">
            <v>0</v>
          </cell>
          <cell r="T2296">
            <v>0</v>
          </cell>
          <cell r="U2296">
            <v>0</v>
          </cell>
          <cell r="V2296">
            <v>1</v>
          </cell>
          <cell r="W2296">
            <v>0</v>
          </cell>
          <cell r="X2296">
            <v>0</v>
          </cell>
          <cell r="Y2296">
            <v>0</v>
          </cell>
        </row>
        <row r="2297">
          <cell r="D2297">
            <v>301971</v>
          </cell>
          <cell r="E2297" t="str">
            <v>Fabrica HS</v>
          </cell>
          <cell r="F2297">
            <v>1</v>
          </cell>
          <cell r="G2297">
            <v>1</v>
          </cell>
          <cell r="H2297">
            <v>1</v>
          </cell>
          <cell r="I2297">
            <v>0</v>
          </cell>
          <cell r="J2297">
            <v>1</v>
          </cell>
          <cell r="K2297">
            <v>0</v>
          </cell>
          <cell r="L2297">
            <v>0</v>
          </cell>
          <cell r="M2297">
            <v>0</v>
          </cell>
          <cell r="N2297">
            <v>1</v>
          </cell>
          <cell r="O2297">
            <v>0</v>
          </cell>
          <cell r="P2297">
            <v>43696</v>
          </cell>
          <cell r="Q2297">
            <v>0</v>
          </cell>
          <cell r="R2297">
            <v>1</v>
          </cell>
          <cell r="S2297">
            <v>0</v>
          </cell>
          <cell r="T2297">
            <v>0</v>
          </cell>
          <cell r="U2297">
            <v>0</v>
          </cell>
          <cell r="V2297">
            <v>1</v>
          </cell>
          <cell r="W2297">
            <v>2</v>
          </cell>
          <cell r="X2297">
            <v>2</v>
          </cell>
          <cell r="Y2297">
            <v>2</v>
          </cell>
        </row>
        <row r="2298">
          <cell r="D2298">
            <v>309518</v>
          </cell>
          <cell r="E2298" t="str">
            <v>Kilicao High School</v>
          </cell>
          <cell r="F2298">
            <v>1</v>
          </cell>
          <cell r="G2298">
            <v>1</v>
          </cell>
          <cell r="H2298">
            <v>1</v>
          </cell>
          <cell r="I2298">
            <v>0</v>
          </cell>
          <cell r="J2298">
            <v>1</v>
          </cell>
          <cell r="K2298">
            <v>0</v>
          </cell>
          <cell r="L2298">
            <v>0</v>
          </cell>
          <cell r="M2298">
            <v>0</v>
          </cell>
          <cell r="N2298">
            <v>1</v>
          </cell>
          <cell r="O2298">
            <v>43730</v>
          </cell>
          <cell r="P2298" t="str">
            <v>none</v>
          </cell>
          <cell r="Q2298">
            <v>0</v>
          </cell>
          <cell r="R2298">
            <v>1</v>
          </cell>
          <cell r="S2298">
            <v>0</v>
          </cell>
          <cell r="T2298">
            <v>0</v>
          </cell>
          <cell r="U2298">
            <v>0</v>
          </cell>
          <cell r="V2298">
            <v>1</v>
          </cell>
          <cell r="W2298">
            <v>0</v>
          </cell>
          <cell r="X2298">
            <v>0</v>
          </cell>
          <cell r="Y2298">
            <v>0</v>
          </cell>
        </row>
        <row r="2299">
          <cell r="D2299">
            <v>309735</v>
          </cell>
          <cell r="E2299" t="str">
            <v>Sta. Cruz HS - Northern Canaman Annex HS</v>
          </cell>
          <cell r="F2299">
            <v>1</v>
          </cell>
          <cell r="G2299">
            <v>0</v>
          </cell>
          <cell r="H2299">
            <v>1</v>
          </cell>
          <cell r="I2299">
            <v>0</v>
          </cell>
          <cell r="J2299">
            <v>0</v>
          </cell>
          <cell r="K2299">
            <v>1</v>
          </cell>
          <cell r="L2299">
            <v>0</v>
          </cell>
          <cell r="M2299">
            <v>0</v>
          </cell>
          <cell r="N2299">
            <v>1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1</v>
          </cell>
          <cell r="T2299">
            <v>0</v>
          </cell>
          <cell r="U2299">
            <v>0</v>
          </cell>
          <cell r="V2299">
            <v>1</v>
          </cell>
          <cell r="W2299">
            <v>0</v>
          </cell>
          <cell r="X2299">
            <v>0</v>
          </cell>
          <cell r="Y2299">
            <v>0</v>
          </cell>
        </row>
        <row r="2300">
          <cell r="D2300">
            <v>301840</v>
          </cell>
          <cell r="E2300" t="str">
            <v>Magpanambo NHS</v>
          </cell>
          <cell r="F2300">
            <v>1</v>
          </cell>
          <cell r="G2300">
            <v>1</v>
          </cell>
          <cell r="H2300">
            <v>1</v>
          </cell>
          <cell r="I2300">
            <v>0</v>
          </cell>
          <cell r="J2300">
            <v>1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43647</v>
          </cell>
          <cell r="P2300" t="str">
            <v>June 3, 2019</v>
          </cell>
          <cell r="Q2300">
            <v>0</v>
          </cell>
          <cell r="R2300">
            <v>1</v>
          </cell>
          <cell r="S2300">
            <v>0</v>
          </cell>
          <cell r="T2300">
            <v>0</v>
          </cell>
          <cell r="U2300">
            <v>0</v>
          </cell>
          <cell r="V2300">
            <v>1</v>
          </cell>
          <cell r="W2300">
            <v>0</v>
          </cell>
          <cell r="X2300">
            <v>0</v>
          </cell>
          <cell r="Y2300">
            <v>0</v>
          </cell>
        </row>
        <row r="2301">
          <cell r="D2301">
            <v>309509</v>
          </cell>
          <cell r="E2301" t="str">
            <v>Bilbao National High School</v>
          </cell>
          <cell r="F2301">
            <v>1</v>
          </cell>
          <cell r="G2301">
            <v>1</v>
          </cell>
          <cell r="H2301">
            <v>1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1</v>
          </cell>
          <cell r="O2301">
            <v>0</v>
          </cell>
          <cell r="P2301" t="str">
            <v>June 24, 2019</v>
          </cell>
          <cell r="Q2301">
            <v>1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1</v>
          </cell>
          <cell r="W2301">
            <v>0</v>
          </cell>
          <cell r="X2301">
            <v>0</v>
          </cell>
          <cell r="Y2301">
            <v>0</v>
          </cell>
        </row>
        <row r="2302">
          <cell r="D2302">
            <v>301827</v>
          </cell>
          <cell r="E2302" t="str">
            <v>Estancia National High School</v>
          </cell>
          <cell r="F2302">
            <v>0</v>
          </cell>
          <cell r="G2302">
            <v>0</v>
          </cell>
          <cell r="H2302">
            <v>1</v>
          </cell>
          <cell r="I2302">
            <v>0</v>
          </cell>
          <cell r="J2302">
            <v>1</v>
          </cell>
          <cell r="K2302">
            <v>0</v>
          </cell>
          <cell r="L2302">
            <v>0</v>
          </cell>
          <cell r="M2302">
            <v>0</v>
          </cell>
          <cell r="N2302">
            <v>1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1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</row>
        <row r="2303">
          <cell r="D2303">
            <v>302118</v>
          </cell>
          <cell r="E2303" t="str">
            <v>G. Bangalisan National High School</v>
          </cell>
          <cell r="F2303">
            <v>1</v>
          </cell>
          <cell r="G2303">
            <v>0</v>
          </cell>
          <cell r="H2303">
            <v>1</v>
          </cell>
          <cell r="I2303">
            <v>0</v>
          </cell>
          <cell r="J2303">
            <v>1</v>
          </cell>
          <cell r="K2303">
            <v>0</v>
          </cell>
          <cell r="L2303">
            <v>0</v>
          </cell>
          <cell r="M2303">
            <v>0</v>
          </cell>
          <cell r="N2303">
            <v>1</v>
          </cell>
          <cell r="O2303" t="str">
            <v>08/20/2018</v>
          </cell>
          <cell r="P2303" t="str">
            <v>02/20/2019</v>
          </cell>
          <cell r="Q2303">
            <v>0</v>
          </cell>
          <cell r="R2303">
            <v>1</v>
          </cell>
          <cell r="S2303">
            <v>0</v>
          </cell>
          <cell r="T2303">
            <v>0</v>
          </cell>
          <cell r="U2303">
            <v>0</v>
          </cell>
          <cell r="V2303">
            <v>1</v>
          </cell>
          <cell r="W2303">
            <v>0</v>
          </cell>
          <cell r="X2303">
            <v>0</v>
          </cell>
          <cell r="Y2303">
            <v>0</v>
          </cell>
        </row>
        <row r="2304">
          <cell r="D2304">
            <v>500168</v>
          </cell>
          <cell r="E2304" t="str">
            <v>Santiago IS</v>
          </cell>
          <cell r="F2304">
            <v>1</v>
          </cell>
          <cell r="G2304">
            <v>1</v>
          </cell>
          <cell r="H2304">
            <v>1</v>
          </cell>
          <cell r="I2304">
            <v>0</v>
          </cell>
          <cell r="J2304">
            <v>0</v>
          </cell>
          <cell r="K2304">
            <v>1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</row>
        <row r="2305">
          <cell r="D2305">
            <v>302007</v>
          </cell>
          <cell r="E2305" t="str">
            <v>Ombao HS</v>
          </cell>
          <cell r="F2305">
            <v>1</v>
          </cell>
          <cell r="G2305">
            <v>0</v>
          </cell>
          <cell r="H2305">
            <v>1</v>
          </cell>
          <cell r="I2305">
            <v>0</v>
          </cell>
          <cell r="J2305">
            <v>1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</row>
        <row r="2306">
          <cell r="D2306">
            <v>302039</v>
          </cell>
          <cell r="E2306" t="str">
            <v>San Ramon Pilot NHS, Lagonoy (frmerly:Sn.Ramon Pilot HS)</v>
          </cell>
          <cell r="F2306">
            <v>1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1</v>
          </cell>
          <cell r="L2306">
            <v>0</v>
          </cell>
          <cell r="M2306">
            <v>0</v>
          </cell>
          <cell r="N2306">
            <v>0</v>
          </cell>
          <cell r="O2306">
            <v>43712</v>
          </cell>
          <cell r="P2306" t="str">
            <v xml:space="preserve">none </v>
          </cell>
          <cell r="Q2306">
            <v>0</v>
          </cell>
          <cell r="R2306">
            <v>0</v>
          </cell>
          <cell r="S2306">
            <v>1</v>
          </cell>
          <cell r="T2306">
            <v>0</v>
          </cell>
          <cell r="U2306">
            <v>0</v>
          </cell>
          <cell r="V2306">
            <v>0</v>
          </cell>
          <cell r="W2306">
            <v>2</v>
          </cell>
          <cell r="X2306">
            <v>0</v>
          </cell>
          <cell r="Y2306">
            <v>0</v>
          </cell>
        </row>
        <row r="2307">
          <cell r="D2307">
            <v>309772</v>
          </cell>
          <cell r="E2307" t="str">
            <v>Lidong High School</v>
          </cell>
          <cell r="F2307">
            <v>0</v>
          </cell>
          <cell r="G2307">
            <v>0</v>
          </cell>
          <cell r="H2307">
            <v>1</v>
          </cell>
          <cell r="I2307">
            <v>0</v>
          </cell>
          <cell r="J2307">
            <v>0</v>
          </cell>
          <cell r="K2307">
            <v>1</v>
          </cell>
          <cell r="L2307">
            <v>0</v>
          </cell>
          <cell r="M2307">
            <v>0</v>
          </cell>
          <cell r="N2307">
            <v>1</v>
          </cell>
          <cell r="O2307">
            <v>0</v>
          </cell>
          <cell r="P2307">
            <v>0</v>
          </cell>
          <cell r="Q2307">
            <v>1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1</v>
          </cell>
          <cell r="W2307">
            <v>0</v>
          </cell>
          <cell r="X2307">
            <v>0</v>
          </cell>
          <cell r="Y2307">
            <v>0</v>
          </cell>
        </row>
        <row r="2308">
          <cell r="D2308">
            <v>302263</v>
          </cell>
          <cell r="E2308" t="str">
            <v>Pawa High School</v>
          </cell>
          <cell r="F2308">
            <v>1</v>
          </cell>
          <cell r="G2308">
            <v>1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</row>
        <row r="2309">
          <cell r="D2309">
            <v>302057</v>
          </cell>
          <cell r="E2309" t="str">
            <v>Tambo National High School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</row>
        <row r="2310">
          <cell r="D2310">
            <v>301901</v>
          </cell>
          <cell r="E2310" t="str">
            <v>Larap NHS</v>
          </cell>
          <cell r="F2310">
            <v>1</v>
          </cell>
          <cell r="G2310">
            <v>0</v>
          </cell>
          <cell r="H2310">
            <v>1</v>
          </cell>
          <cell r="I2310">
            <v>0</v>
          </cell>
          <cell r="J2310">
            <v>0</v>
          </cell>
          <cell r="K2310">
            <v>0</v>
          </cell>
          <cell r="L2310">
            <v>1</v>
          </cell>
          <cell r="M2310" t="str">
            <v>When necessary</v>
          </cell>
          <cell r="N2310">
            <v>0</v>
          </cell>
          <cell r="O2310">
            <v>0</v>
          </cell>
          <cell r="P2310" t="str">
            <v>Never</v>
          </cell>
          <cell r="Q2310">
            <v>0</v>
          </cell>
          <cell r="R2310">
            <v>0</v>
          </cell>
          <cell r="S2310">
            <v>0</v>
          </cell>
          <cell r="T2310">
            <v>1</v>
          </cell>
          <cell r="U2310" t="str">
            <v>Never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</row>
        <row r="2311">
          <cell r="D2311">
            <v>309510</v>
          </cell>
          <cell r="E2311" t="str">
            <v>Mamlad High School</v>
          </cell>
          <cell r="F2311">
            <v>1</v>
          </cell>
          <cell r="G2311">
            <v>0</v>
          </cell>
          <cell r="H2311">
            <v>1</v>
          </cell>
          <cell r="I2311">
            <v>0</v>
          </cell>
          <cell r="J2311">
            <v>1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 t="str">
            <v>06/21/19</v>
          </cell>
          <cell r="Q2311">
            <v>0</v>
          </cell>
          <cell r="R2311">
            <v>1</v>
          </cell>
          <cell r="S2311">
            <v>0</v>
          </cell>
          <cell r="T2311">
            <v>0</v>
          </cell>
          <cell r="U2311">
            <v>0</v>
          </cell>
          <cell r="V2311">
            <v>1</v>
          </cell>
          <cell r="W2311">
            <v>0</v>
          </cell>
          <cell r="X2311">
            <v>0</v>
          </cell>
          <cell r="Y2311">
            <v>0</v>
          </cell>
        </row>
        <row r="2312">
          <cell r="D2312">
            <v>301875</v>
          </cell>
          <cell r="E2312" t="str">
            <v>San Jose National High School</v>
          </cell>
          <cell r="F2312">
            <v>1</v>
          </cell>
          <cell r="G2312">
            <v>1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</row>
        <row r="2313">
          <cell r="D2313">
            <v>309516</v>
          </cell>
          <cell r="E2313" t="str">
            <v>Malidong National High School</v>
          </cell>
          <cell r="F2313">
            <v>1</v>
          </cell>
          <cell r="G2313">
            <v>1</v>
          </cell>
          <cell r="H2313">
            <v>1</v>
          </cell>
          <cell r="I2313">
            <v>0</v>
          </cell>
          <cell r="J2313">
            <v>1</v>
          </cell>
          <cell r="K2313">
            <v>0</v>
          </cell>
          <cell r="L2313">
            <v>0</v>
          </cell>
          <cell r="M2313">
            <v>0</v>
          </cell>
          <cell r="N2313">
            <v>1</v>
          </cell>
          <cell r="O2313" t="str">
            <v>June 7, 2019</v>
          </cell>
          <cell r="P2313" t="str">
            <v>June 10, 2019</v>
          </cell>
          <cell r="Q2313">
            <v>0</v>
          </cell>
          <cell r="R2313">
            <v>1</v>
          </cell>
          <cell r="S2313">
            <v>0</v>
          </cell>
          <cell r="T2313">
            <v>0</v>
          </cell>
          <cell r="U2313">
            <v>0</v>
          </cell>
          <cell r="V2313">
            <v>1</v>
          </cell>
          <cell r="W2313">
            <v>0</v>
          </cell>
          <cell r="X2313">
            <v>0</v>
          </cell>
          <cell r="Y2313">
            <v>0</v>
          </cell>
        </row>
        <row r="2314">
          <cell r="D2314">
            <v>302045</v>
          </cell>
          <cell r="E2314" t="str">
            <v>Sibaguan Agro-Industrial HS</v>
          </cell>
          <cell r="F2314">
            <v>0</v>
          </cell>
          <cell r="G2314">
            <v>0</v>
          </cell>
          <cell r="H2314">
            <v>1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1</v>
          </cell>
          <cell r="U2314" t="str">
            <v>none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</row>
        <row r="2315">
          <cell r="D2315">
            <v>302255</v>
          </cell>
          <cell r="E2315" t="str">
            <v>San Pedro NHS</v>
          </cell>
          <cell r="F2315">
            <v>1</v>
          </cell>
          <cell r="G2315">
            <v>1</v>
          </cell>
          <cell r="H2315">
            <v>0</v>
          </cell>
          <cell r="I2315">
            <v>0</v>
          </cell>
          <cell r="J2315">
            <v>1</v>
          </cell>
          <cell r="K2315">
            <v>0</v>
          </cell>
          <cell r="L2315">
            <v>0</v>
          </cell>
          <cell r="M2315">
            <v>0</v>
          </cell>
          <cell r="N2315">
            <v>1</v>
          </cell>
          <cell r="O2315">
            <v>43619</v>
          </cell>
          <cell r="P2315" t="str">
            <v>02/22/2019</v>
          </cell>
          <cell r="Q2315">
            <v>0</v>
          </cell>
          <cell r="R2315">
            <v>1</v>
          </cell>
          <cell r="S2315">
            <v>0</v>
          </cell>
          <cell r="T2315">
            <v>0</v>
          </cell>
          <cell r="U2315">
            <v>0</v>
          </cell>
          <cell r="V2315">
            <v>1</v>
          </cell>
          <cell r="W2315">
            <v>0</v>
          </cell>
          <cell r="X2315">
            <v>0</v>
          </cell>
          <cell r="Y2315">
            <v>0</v>
          </cell>
        </row>
        <row r="2316">
          <cell r="D2316">
            <v>302054</v>
          </cell>
          <cell r="E2316" t="str">
            <v>Tabgon HS, Goa</v>
          </cell>
          <cell r="F2316">
            <v>1</v>
          </cell>
          <cell r="G2316">
            <v>0</v>
          </cell>
          <cell r="H2316">
            <v>1</v>
          </cell>
          <cell r="I2316">
            <v>0</v>
          </cell>
          <cell r="J2316">
            <v>1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43635</v>
          </cell>
          <cell r="Q2316">
            <v>0</v>
          </cell>
          <cell r="R2316">
            <v>1</v>
          </cell>
          <cell r="S2316">
            <v>0</v>
          </cell>
          <cell r="T2316">
            <v>0</v>
          </cell>
          <cell r="U2316">
            <v>0</v>
          </cell>
          <cell r="V2316">
            <v>1</v>
          </cell>
          <cell r="W2316">
            <v>0</v>
          </cell>
          <cell r="X2316">
            <v>0</v>
          </cell>
          <cell r="Y2316">
            <v>0</v>
          </cell>
        </row>
        <row r="2317">
          <cell r="D2317">
            <v>309517</v>
          </cell>
          <cell r="E2317" t="str">
            <v>Matara High School</v>
          </cell>
          <cell r="F2317">
            <v>1</v>
          </cell>
          <cell r="G2317">
            <v>0</v>
          </cell>
          <cell r="H2317">
            <v>1</v>
          </cell>
          <cell r="I2317">
            <v>0</v>
          </cell>
          <cell r="J2317">
            <v>1</v>
          </cell>
          <cell r="K2317">
            <v>0</v>
          </cell>
          <cell r="L2317">
            <v>0</v>
          </cell>
          <cell r="M2317">
            <v>0</v>
          </cell>
          <cell r="N2317">
            <v>1</v>
          </cell>
          <cell r="O2317" t="str">
            <v>05/26/2019</v>
          </cell>
          <cell r="P2317" t="str">
            <v>08/20/2019</v>
          </cell>
          <cell r="Q2317">
            <v>1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1</v>
          </cell>
          <cell r="W2317">
            <v>0</v>
          </cell>
          <cell r="X2317">
            <v>0</v>
          </cell>
          <cell r="Y2317">
            <v>0</v>
          </cell>
        </row>
        <row r="2318">
          <cell r="D2318">
            <v>301824</v>
          </cell>
          <cell r="E2318" t="str">
            <v>Panoypoy High School</v>
          </cell>
          <cell r="F2318">
            <v>1</v>
          </cell>
          <cell r="G2318">
            <v>0</v>
          </cell>
          <cell r="H2318">
            <v>1</v>
          </cell>
          <cell r="I2318">
            <v>0</v>
          </cell>
          <cell r="J2318">
            <v>0</v>
          </cell>
          <cell r="K2318">
            <v>0</v>
          </cell>
          <cell r="L2318">
            <v>1</v>
          </cell>
          <cell r="M2318" t="str">
            <v>SELDOM</v>
          </cell>
          <cell r="N2318">
            <v>1</v>
          </cell>
          <cell r="O2318">
            <v>43355</v>
          </cell>
          <cell r="P2318">
            <v>43355</v>
          </cell>
          <cell r="Q2318">
            <v>0</v>
          </cell>
          <cell r="R2318">
            <v>0</v>
          </cell>
          <cell r="S2318">
            <v>0</v>
          </cell>
          <cell r="T2318">
            <v>1</v>
          </cell>
          <cell r="U2318" t="str">
            <v>SELDOM</v>
          </cell>
          <cell r="V2318">
            <v>1</v>
          </cell>
          <cell r="W2318">
            <v>0</v>
          </cell>
          <cell r="X2318">
            <v>0</v>
          </cell>
          <cell r="Y2318">
            <v>0</v>
          </cell>
        </row>
        <row r="2319">
          <cell r="D2319">
            <v>309507</v>
          </cell>
          <cell r="E2319" t="str">
            <v>Manuel Andaya Bustamante High School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1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</row>
        <row r="2320">
          <cell r="D2320">
            <v>301965</v>
          </cell>
          <cell r="E2320" t="str">
            <v>Rolando R. Andaya Sr. Memorial High School</v>
          </cell>
          <cell r="F2320">
            <v>1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</row>
        <row r="2321">
          <cell r="D2321">
            <v>310205</v>
          </cell>
          <cell r="E2321" t="str">
            <v>Maslog National High School</v>
          </cell>
          <cell r="F2321">
            <v>1</v>
          </cell>
          <cell r="G2321">
            <v>1</v>
          </cell>
          <cell r="H2321">
            <v>1</v>
          </cell>
          <cell r="I2321">
            <v>0</v>
          </cell>
          <cell r="J2321">
            <v>1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</row>
        <row r="2322">
          <cell r="D2322">
            <v>302127</v>
          </cell>
          <cell r="E2322" t="str">
            <v>Buyo NHS</v>
          </cell>
          <cell r="F2322">
            <v>1</v>
          </cell>
          <cell r="G2322">
            <v>1</v>
          </cell>
          <cell r="H2322">
            <v>1</v>
          </cell>
          <cell r="I2322">
            <v>0</v>
          </cell>
          <cell r="J2322">
            <v>1</v>
          </cell>
          <cell r="K2322">
            <v>0</v>
          </cell>
          <cell r="L2322">
            <v>0</v>
          </cell>
          <cell r="M2322">
            <v>0</v>
          </cell>
          <cell r="N2322">
            <v>1</v>
          </cell>
          <cell r="O2322" t="str">
            <v>7/27/2018</v>
          </cell>
          <cell r="P2322">
            <v>43331</v>
          </cell>
          <cell r="Q2322">
            <v>0</v>
          </cell>
          <cell r="R2322">
            <v>1</v>
          </cell>
          <cell r="S2322">
            <v>0</v>
          </cell>
          <cell r="T2322">
            <v>0</v>
          </cell>
          <cell r="U2322">
            <v>0</v>
          </cell>
          <cell r="V2322">
            <v>1</v>
          </cell>
          <cell r="W2322">
            <v>3</v>
          </cell>
          <cell r="X2322">
            <v>0</v>
          </cell>
          <cell r="Y2322">
            <v>0</v>
          </cell>
        </row>
        <row r="2323">
          <cell r="D2323">
            <v>301863</v>
          </cell>
          <cell r="E2323" t="str">
            <v>Pili National High School</v>
          </cell>
          <cell r="F2323">
            <v>1</v>
          </cell>
          <cell r="G2323">
            <v>1</v>
          </cell>
          <cell r="H2323">
            <v>1</v>
          </cell>
          <cell r="I2323">
            <v>0</v>
          </cell>
          <cell r="J2323">
            <v>1</v>
          </cell>
          <cell r="K2323">
            <v>0</v>
          </cell>
          <cell r="L2323">
            <v>0</v>
          </cell>
          <cell r="M2323">
            <v>0</v>
          </cell>
          <cell r="N2323">
            <v>1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1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</row>
        <row r="2324">
          <cell r="D2324">
            <v>301835</v>
          </cell>
          <cell r="E2324" t="str">
            <v>Buga National High School</v>
          </cell>
          <cell r="F2324">
            <v>1</v>
          </cell>
          <cell r="G2324">
            <v>0</v>
          </cell>
          <cell r="H2324">
            <v>1</v>
          </cell>
          <cell r="I2324">
            <v>0</v>
          </cell>
          <cell r="J2324">
            <v>0</v>
          </cell>
          <cell r="K2324">
            <v>0</v>
          </cell>
          <cell r="L2324">
            <v>1</v>
          </cell>
          <cell r="M2324" t="str">
            <v>as necessary</v>
          </cell>
          <cell r="N2324">
            <v>1</v>
          </cell>
          <cell r="O2324" t="str">
            <v>August (1st week) 2019</v>
          </cell>
          <cell r="P2324" t="str">
            <v>October 21-25, 2019</v>
          </cell>
          <cell r="Q2324">
            <v>1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1</v>
          </cell>
          <cell r="W2324">
            <v>1</v>
          </cell>
          <cell r="X2324">
            <v>0</v>
          </cell>
          <cell r="Y2324">
            <v>0</v>
          </cell>
        </row>
        <row r="2325">
          <cell r="D2325">
            <v>302243</v>
          </cell>
          <cell r="E2325" t="str">
            <v>Siuton NHS</v>
          </cell>
          <cell r="F2325">
            <v>1</v>
          </cell>
          <cell r="G2325">
            <v>1</v>
          </cell>
          <cell r="H2325">
            <v>1</v>
          </cell>
          <cell r="I2325">
            <v>0</v>
          </cell>
          <cell r="J2325">
            <v>1</v>
          </cell>
          <cell r="K2325">
            <v>0</v>
          </cell>
          <cell r="L2325">
            <v>0</v>
          </cell>
          <cell r="M2325">
            <v>0</v>
          </cell>
          <cell r="N2325">
            <v>1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</row>
        <row r="2326">
          <cell r="D2326">
            <v>302202</v>
          </cell>
          <cell r="E2326" t="str">
            <v>Dinapa NHS</v>
          </cell>
          <cell r="F2326">
            <v>1</v>
          </cell>
          <cell r="G2326">
            <v>1</v>
          </cell>
          <cell r="H2326">
            <v>1</v>
          </cell>
          <cell r="I2326">
            <v>0</v>
          </cell>
          <cell r="J2326">
            <v>1</v>
          </cell>
          <cell r="K2326">
            <v>0</v>
          </cell>
          <cell r="L2326">
            <v>0</v>
          </cell>
          <cell r="M2326">
            <v>0</v>
          </cell>
          <cell r="N2326">
            <v>1</v>
          </cell>
          <cell r="O2326">
            <v>43283</v>
          </cell>
          <cell r="P2326">
            <v>43317</v>
          </cell>
          <cell r="Q2326">
            <v>0</v>
          </cell>
          <cell r="R2326">
            <v>1</v>
          </cell>
          <cell r="S2326">
            <v>0</v>
          </cell>
          <cell r="T2326">
            <v>0</v>
          </cell>
          <cell r="U2326">
            <v>0</v>
          </cell>
          <cell r="V2326">
            <v>1</v>
          </cell>
          <cell r="W2326">
            <v>2</v>
          </cell>
          <cell r="X2326">
            <v>2</v>
          </cell>
          <cell r="Y2326">
            <v>2</v>
          </cell>
        </row>
        <row r="2327">
          <cell r="D2327">
            <v>500465</v>
          </cell>
          <cell r="E2327" t="str">
            <v>Pamurayan Integrated School</v>
          </cell>
          <cell r="F2327">
            <v>1</v>
          </cell>
          <cell r="G2327">
            <v>0</v>
          </cell>
          <cell r="H2327">
            <v>1</v>
          </cell>
          <cell r="I2327">
            <v>0</v>
          </cell>
          <cell r="J2327">
            <v>1</v>
          </cell>
          <cell r="K2327">
            <v>0</v>
          </cell>
          <cell r="L2327">
            <v>0</v>
          </cell>
          <cell r="M2327">
            <v>0</v>
          </cell>
          <cell r="N2327">
            <v>1</v>
          </cell>
          <cell r="O2327">
            <v>43694</v>
          </cell>
          <cell r="P2327">
            <v>43749</v>
          </cell>
          <cell r="Q2327">
            <v>0</v>
          </cell>
          <cell r="R2327">
            <v>1</v>
          </cell>
          <cell r="S2327">
            <v>0</v>
          </cell>
          <cell r="T2327">
            <v>0</v>
          </cell>
          <cell r="U2327">
            <v>0</v>
          </cell>
          <cell r="V2327">
            <v>1</v>
          </cell>
          <cell r="W2327">
            <v>0</v>
          </cell>
          <cell r="X2327">
            <v>0</v>
          </cell>
          <cell r="Y2327">
            <v>0</v>
          </cell>
        </row>
        <row r="2328">
          <cell r="D2328">
            <v>301957</v>
          </cell>
          <cell r="E2328" t="str">
            <v>Doroteo Federis, Sr. NHS (frmerly: Carangcang HS)</v>
          </cell>
          <cell r="F2328">
            <v>1</v>
          </cell>
          <cell r="G2328">
            <v>1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1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</row>
        <row r="2329">
          <cell r="D2329">
            <v>302179</v>
          </cell>
          <cell r="E2329" t="str">
            <v>Abucay National High School</v>
          </cell>
          <cell r="F2329">
            <v>1</v>
          </cell>
          <cell r="G2329">
            <v>0</v>
          </cell>
          <cell r="H2329">
            <v>1</v>
          </cell>
          <cell r="I2329">
            <v>0</v>
          </cell>
          <cell r="J2329">
            <v>0</v>
          </cell>
          <cell r="K2329">
            <v>1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</row>
        <row r="2330">
          <cell r="D2330">
            <v>302183</v>
          </cell>
          <cell r="E2330" t="str">
            <v>Bagatao NHS</v>
          </cell>
          <cell r="F2330">
            <v>1</v>
          </cell>
          <cell r="G2330">
            <v>1</v>
          </cell>
          <cell r="H2330">
            <v>1</v>
          </cell>
          <cell r="I2330">
            <v>0</v>
          </cell>
          <cell r="J2330">
            <v>1</v>
          </cell>
          <cell r="K2330">
            <v>0</v>
          </cell>
          <cell r="L2330">
            <v>0</v>
          </cell>
          <cell r="M2330">
            <v>0</v>
          </cell>
          <cell r="N2330">
            <v>1</v>
          </cell>
          <cell r="O2330">
            <v>0</v>
          </cell>
          <cell r="P2330" t="str">
            <v>SEPTEMBER 13, 2019</v>
          </cell>
          <cell r="Q2330">
            <v>0</v>
          </cell>
          <cell r="R2330">
            <v>0</v>
          </cell>
          <cell r="S2330">
            <v>1</v>
          </cell>
          <cell r="T2330">
            <v>0</v>
          </cell>
          <cell r="U2330">
            <v>0</v>
          </cell>
          <cell r="V2330">
            <v>1</v>
          </cell>
          <cell r="W2330">
            <v>3</v>
          </cell>
          <cell r="X2330">
            <v>2</v>
          </cell>
          <cell r="Y2330">
            <v>0</v>
          </cell>
        </row>
        <row r="2331">
          <cell r="D2331">
            <v>310007</v>
          </cell>
          <cell r="E2331" t="str">
            <v>Biton High School</v>
          </cell>
          <cell r="F2331">
            <v>1</v>
          </cell>
          <cell r="G2331">
            <v>1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</row>
        <row r="2332">
          <cell r="D2332">
            <v>310008</v>
          </cell>
          <cell r="E2332" t="str">
            <v>San Rafael NHS</v>
          </cell>
          <cell r="F2332">
            <v>1</v>
          </cell>
          <cell r="G2332">
            <v>1</v>
          </cell>
          <cell r="H2332">
            <v>1</v>
          </cell>
          <cell r="I2332">
            <v>0</v>
          </cell>
          <cell r="J2332">
            <v>1</v>
          </cell>
          <cell r="K2332">
            <v>0</v>
          </cell>
          <cell r="L2332">
            <v>0</v>
          </cell>
          <cell r="M2332">
            <v>0</v>
          </cell>
          <cell r="N2332">
            <v>1</v>
          </cell>
          <cell r="O2332">
            <v>43635</v>
          </cell>
          <cell r="P2332">
            <v>0</v>
          </cell>
          <cell r="Q2332">
            <v>1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1</v>
          </cell>
          <cell r="W2332">
            <v>0</v>
          </cell>
          <cell r="X2332">
            <v>0</v>
          </cell>
          <cell r="Y2332">
            <v>0</v>
          </cell>
        </row>
        <row r="2333">
          <cell r="D2333">
            <v>302207</v>
          </cell>
          <cell r="E2333" t="str">
            <v>Donsol Vocational HS</v>
          </cell>
          <cell r="F2333">
            <v>1</v>
          </cell>
          <cell r="G2333">
            <v>1</v>
          </cell>
          <cell r="H2333">
            <v>1</v>
          </cell>
          <cell r="I2333">
            <v>0</v>
          </cell>
          <cell r="J2333">
            <v>1</v>
          </cell>
          <cell r="K2333">
            <v>0</v>
          </cell>
          <cell r="L2333">
            <v>0</v>
          </cell>
          <cell r="M2333">
            <v>0</v>
          </cell>
          <cell r="N2333">
            <v>1</v>
          </cell>
          <cell r="O2333">
            <v>43633</v>
          </cell>
          <cell r="P2333" t="str">
            <v>NONE</v>
          </cell>
          <cell r="Q2333">
            <v>0</v>
          </cell>
          <cell r="R2333">
            <v>1</v>
          </cell>
          <cell r="S2333">
            <v>0</v>
          </cell>
          <cell r="T2333">
            <v>0</v>
          </cell>
          <cell r="U2333">
            <v>0</v>
          </cell>
          <cell r="V2333">
            <v>1</v>
          </cell>
          <cell r="W2333">
            <v>0</v>
          </cell>
          <cell r="X2333">
            <v>0</v>
          </cell>
          <cell r="Y2333">
            <v>0</v>
          </cell>
        </row>
        <row r="2334">
          <cell r="D2334">
            <v>309747</v>
          </cell>
          <cell r="E2334" t="str">
            <v>Carmel National High School</v>
          </cell>
          <cell r="F2334">
            <v>0</v>
          </cell>
          <cell r="G2334">
            <v>0</v>
          </cell>
          <cell r="H2334">
            <v>1</v>
          </cell>
          <cell r="I2334">
            <v>0</v>
          </cell>
          <cell r="J2334">
            <v>0</v>
          </cell>
          <cell r="K2334">
            <v>1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</row>
        <row r="2335">
          <cell r="D2335">
            <v>302224</v>
          </cell>
          <cell r="E2335" t="str">
            <v>Manuel T. Sia NHS</v>
          </cell>
          <cell r="F2335">
            <v>1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</row>
        <row r="2336">
          <cell r="D2336">
            <v>309505</v>
          </cell>
          <cell r="E2336" t="str">
            <v>San Francisco National High School</v>
          </cell>
          <cell r="F2336">
            <v>1</v>
          </cell>
          <cell r="G2336">
            <v>0</v>
          </cell>
          <cell r="H2336">
            <v>1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1</v>
          </cell>
          <cell r="T2336">
            <v>0</v>
          </cell>
          <cell r="U2336">
            <v>0</v>
          </cell>
          <cell r="V2336">
            <v>1</v>
          </cell>
          <cell r="W2336">
            <v>0</v>
          </cell>
          <cell r="X2336">
            <v>0</v>
          </cell>
          <cell r="Y2336">
            <v>0</v>
          </cell>
        </row>
        <row r="2337">
          <cell r="D2337">
            <v>302222</v>
          </cell>
          <cell r="E2337" t="str">
            <v>Magallanes National High School</v>
          </cell>
          <cell r="F2337">
            <v>1</v>
          </cell>
          <cell r="G2337">
            <v>0</v>
          </cell>
          <cell r="H2337">
            <v>0</v>
          </cell>
          <cell r="I2337">
            <v>0</v>
          </cell>
          <cell r="J2337">
            <v>1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</row>
        <row r="2338">
          <cell r="D2338">
            <v>302221</v>
          </cell>
          <cell r="E2338" t="str">
            <v>Cagbolo National Vocational HS</v>
          </cell>
          <cell r="F2338">
            <v>1</v>
          </cell>
          <cell r="G2338">
            <v>1</v>
          </cell>
          <cell r="H2338">
            <v>1</v>
          </cell>
          <cell r="I2338">
            <v>0</v>
          </cell>
          <cell r="J2338">
            <v>1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</row>
        <row r="2339">
          <cell r="D2339">
            <v>302195</v>
          </cell>
          <cell r="E2339" t="str">
            <v>Caditaan NHS</v>
          </cell>
          <cell r="F2339">
            <v>1</v>
          </cell>
          <cell r="G2339">
            <v>0</v>
          </cell>
          <cell r="H2339">
            <v>1</v>
          </cell>
          <cell r="I2339">
            <v>0</v>
          </cell>
          <cell r="J2339">
            <v>1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1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</row>
        <row r="2340">
          <cell r="D2340">
            <v>301870</v>
          </cell>
          <cell r="E2340" t="str">
            <v>Saban National High School</v>
          </cell>
          <cell r="F2340">
            <v>1</v>
          </cell>
          <cell r="G2340">
            <v>1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1</v>
          </cell>
          <cell r="M2340" t="str">
            <v>when need arises</v>
          </cell>
          <cell r="N2340">
            <v>0</v>
          </cell>
          <cell r="O2340" t="str">
            <v>n/a</v>
          </cell>
          <cell r="P2340" t="str">
            <v>n/a</v>
          </cell>
          <cell r="Q2340">
            <v>0</v>
          </cell>
          <cell r="R2340">
            <v>0</v>
          </cell>
          <cell r="S2340">
            <v>0</v>
          </cell>
          <cell r="T2340">
            <v>1</v>
          </cell>
          <cell r="U2340" t="str">
            <v>none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</row>
        <row r="2341">
          <cell r="D2341">
            <v>310005</v>
          </cell>
          <cell r="E2341" t="str">
            <v>Bagong Sirang NHS</v>
          </cell>
          <cell r="F2341">
            <v>1</v>
          </cell>
          <cell r="G2341">
            <v>1</v>
          </cell>
          <cell r="H2341">
            <v>0</v>
          </cell>
          <cell r="I2341">
            <v>1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1</v>
          </cell>
          <cell r="O2341">
            <v>43645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</row>
        <row r="2342">
          <cell r="D2342">
            <v>302231</v>
          </cell>
          <cell r="E2342" t="str">
            <v>PILI NATIONAL HIGH SCHOOL</v>
          </cell>
          <cell r="F2342">
            <v>1</v>
          </cell>
          <cell r="G2342">
            <v>1</v>
          </cell>
          <cell r="H2342">
            <v>1</v>
          </cell>
          <cell r="I2342">
            <v>0</v>
          </cell>
          <cell r="J2342">
            <v>1</v>
          </cell>
          <cell r="K2342">
            <v>1</v>
          </cell>
          <cell r="L2342">
            <v>0</v>
          </cell>
          <cell r="M2342">
            <v>0</v>
          </cell>
          <cell r="N2342">
            <v>1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</row>
        <row r="2343">
          <cell r="D2343">
            <v>301843</v>
          </cell>
          <cell r="E2343" t="str">
            <v>Batbat High School</v>
          </cell>
          <cell r="F2343">
            <v>1</v>
          </cell>
          <cell r="G2343">
            <v>0</v>
          </cell>
          <cell r="H2343">
            <v>1</v>
          </cell>
          <cell r="I2343">
            <v>0</v>
          </cell>
          <cell r="J2343">
            <v>1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 t="str">
            <v>01/19/2019</v>
          </cell>
          <cell r="Q2343">
            <v>0</v>
          </cell>
          <cell r="R2343">
            <v>1</v>
          </cell>
          <cell r="S2343">
            <v>0</v>
          </cell>
          <cell r="T2343">
            <v>0</v>
          </cell>
          <cell r="U2343">
            <v>0</v>
          </cell>
          <cell r="V2343">
            <v>1</v>
          </cell>
          <cell r="W2343">
            <v>0</v>
          </cell>
          <cell r="X2343">
            <v>0</v>
          </cell>
          <cell r="Y2343">
            <v>0</v>
          </cell>
        </row>
        <row r="2344">
          <cell r="D2344">
            <v>302219</v>
          </cell>
          <cell r="E2344" t="str">
            <v>Macalaya NHS</v>
          </cell>
          <cell r="F2344">
            <v>1</v>
          </cell>
          <cell r="G2344">
            <v>1</v>
          </cell>
          <cell r="H2344">
            <v>1</v>
          </cell>
          <cell r="I2344">
            <v>0</v>
          </cell>
          <cell r="J2344">
            <v>1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43692</v>
          </cell>
          <cell r="P2344">
            <v>43692</v>
          </cell>
          <cell r="Q2344">
            <v>1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</row>
        <row r="2345">
          <cell r="D2345">
            <v>302248</v>
          </cell>
          <cell r="E2345" t="str">
            <v>Tingco NHS</v>
          </cell>
          <cell r="F2345">
            <v>0</v>
          </cell>
          <cell r="G2345">
            <v>0</v>
          </cell>
          <cell r="H2345">
            <v>1</v>
          </cell>
          <cell r="I2345">
            <v>0</v>
          </cell>
          <cell r="J2345">
            <v>0</v>
          </cell>
          <cell r="K2345">
            <v>1</v>
          </cell>
          <cell r="L2345">
            <v>0</v>
          </cell>
          <cell r="M2345">
            <v>0</v>
          </cell>
          <cell r="N2345">
            <v>1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1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</row>
        <row r="2346">
          <cell r="D2346">
            <v>302220</v>
          </cell>
          <cell r="E2346" t="str">
            <v>Magallanes National Vocational HS</v>
          </cell>
          <cell r="F2346">
            <v>1</v>
          </cell>
          <cell r="G2346">
            <v>1</v>
          </cell>
          <cell r="H2346">
            <v>0</v>
          </cell>
          <cell r="I2346">
            <v>0</v>
          </cell>
          <cell r="J2346">
            <v>1</v>
          </cell>
          <cell r="K2346">
            <v>0</v>
          </cell>
          <cell r="L2346">
            <v>0</v>
          </cell>
          <cell r="M2346">
            <v>0</v>
          </cell>
          <cell r="N2346">
            <v>1</v>
          </cell>
          <cell r="O2346">
            <v>0</v>
          </cell>
          <cell r="P2346">
            <v>0</v>
          </cell>
          <cell r="Q2346">
            <v>0</v>
          </cell>
          <cell r="R2346">
            <v>1</v>
          </cell>
          <cell r="S2346">
            <v>0</v>
          </cell>
          <cell r="T2346">
            <v>0</v>
          </cell>
          <cell r="U2346">
            <v>0</v>
          </cell>
          <cell r="V2346">
            <v>1</v>
          </cell>
          <cell r="W2346">
            <v>0</v>
          </cell>
          <cell r="X2346">
            <v>0</v>
          </cell>
          <cell r="Y2346">
            <v>0</v>
          </cell>
        </row>
        <row r="2347">
          <cell r="D2347">
            <v>302199</v>
          </cell>
          <cell r="E2347" t="str">
            <v>Buenavista NHS</v>
          </cell>
          <cell r="F2347">
            <v>1</v>
          </cell>
          <cell r="G2347">
            <v>1</v>
          </cell>
          <cell r="H2347">
            <v>1</v>
          </cell>
          <cell r="I2347">
            <v>0</v>
          </cell>
          <cell r="J2347">
            <v>1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43633</v>
          </cell>
          <cell r="P2347">
            <v>43701</v>
          </cell>
          <cell r="Q2347">
            <v>1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1</v>
          </cell>
          <cell r="W2347">
            <v>0</v>
          </cell>
          <cell r="X2347">
            <v>0</v>
          </cell>
          <cell r="Y2347">
            <v>0</v>
          </cell>
        </row>
        <row r="2348">
          <cell r="D2348">
            <v>302227</v>
          </cell>
          <cell r="E2348" t="str">
            <v>Milagrosa NHS</v>
          </cell>
          <cell r="F2348">
            <v>1</v>
          </cell>
          <cell r="G2348">
            <v>1</v>
          </cell>
          <cell r="H2348">
            <v>0</v>
          </cell>
          <cell r="I2348">
            <v>0</v>
          </cell>
          <cell r="J2348">
            <v>0</v>
          </cell>
          <cell r="K2348">
            <v>1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</row>
        <row r="2349">
          <cell r="D2349">
            <v>302206</v>
          </cell>
          <cell r="E2349" t="str">
            <v>Donsol National Comprehensive HS - Sta. Cruz Extension HS</v>
          </cell>
          <cell r="F2349">
            <v>1</v>
          </cell>
          <cell r="G2349">
            <v>0</v>
          </cell>
          <cell r="H2349">
            <v>1</v>
          </cell>
          <cell r="I2349">
            <v>0</v>
          </cell>
          <cell r="J2349">
            <v>0</v>
          </cell>
          <cell r="K2349">
            <v>1</v>
          </cell>
          <cell r="L2349">
            <v>0</v>
          </cell>
          <cell r="M2349">
            <v>0</v>
          </cell>
          <cell r="N2349">
            <v>1</v>
          </cell>
          <cell r="O2349" t="str">
            <v>MARCH, 2019</v>
          </cell>
          <cell r="P2349" t="str">
            <v>AUGUST, 2018</v>
          </cell>
          <cell r="Q2349">
            <v>1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1</v>
          </cell>
          <cell r="W2349">
            <v>2</v>
          </cell>
          <cell r="X2349">
            <v>0</v>
          </cell>
          <cell r="Y2349">
            <v>0</v>
          </cell>
        </row>
        <row r="2350">
          <cell r="D2350">
            <v>302230</v>
          </cell>
          <cell r="E2350" t="str">
            <v>Pilar National Comprehensive HS</v>
          </cell>
          <cell r="F2350">
            <v>1</v>
          </cell>
          <cell r="G2350">
            <v>0</v>
          </cell>
          <cell r="H2350">
            <v>1</v>
          </cell>
          <cell r="I2350">
            <v>0</v>
          </cell>
          <cell r="J2350">
            <v>1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1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</row>
        <row r="2351">
          <cell r="D2351">
            <v>301869</v>
          </cell>
          <cell r="E2351" t="str">
            <v>Rapu-Rapu National High School</v>
          </cell>
          <cell r="F2351">
            <v>1</v>
          </cell>
          <cell r="G2351">
            <v>1</v>
          </cell>
          <cell r="H2351">
            <v>1</v>
          </cell>
          <cell r="I2351">
            <v>0</v>
          </cell>
          <cell r="J2351">
            <v>0</v>
          </cell>
          <cell r="K2351">
            <v>1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2018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1</v>
          </cell>
          <cell r="W2351">
            <v>0</v>
          </cell>
          <cell r="X2351">
            <v>0</v>
          </cell>
          <cell r="Y2351">
            <v>0</v>
          </cell>
        </row>
        <row r="2352">
          <cell r="D2352">
            <v>302198</v>
          </cell>
          <cell r="E2352" t="str">
            <v>Castilla NHS</v>
          </cell>
          <cell r="F2352">
            <v>1</v>
          </cell>
          <cell r="G2352">
            <v>1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</row>
        <row r="2353">
          <cell r="D2353">
            <v>302201</v>
          </cell>
          <cell r="E2353" t="str">
            <v>Cumadcad NHS</v>
          </cell>
          <cell r="F2353">
            <v>1</v>
          </cell>
          <cell r="G2353">
            <v>1</v>
          </cell>
          <cell r="H2353">
            <v>1</v>
          </cell>
          <cell r="I2353">
            <v>1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1</v>
          </cell>
          <cell r="O2353" t="str">
            <v>Nov. 8,2019</v>
          </cell>
          <cell r="P2353" t="str">
            <v>Nov. 4, 2018</v>
          </cell>
          <cell r="Q2353">
            <v>1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1</v>
          </cell>
          <cell r="W2353">
            <v>0</v>
          </cell>
          <cell r="X2353">
            <v>0</v>
          </cell>
          <cell r="Y2353">
            <v>0</v>
          </cell>
        </row>
        <row r="2354">
          <cell r="D2354">
            <v>302180</v>
          </cell>
          <cell r="E2354" t="str">
            <v>Bayasong NHS</v>
          </cell>
          <cell r="F2354">
            <v>1</v>
          </cell>
          <cell r="G2354">
            <v>1</v>
          </cell>
          <cell r="H2354">
            <v>1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1</v>
          </cell>
        </row>
        <row r="2355">
          <cell r="D2355">
            <v>302197</v>
          </cell>
          <cell r="E2355" t="str">
            <v>Casiguran Technical Vocational School</v>
          </cell>
          <cell r="F2355">
            <v>1</v>
          </cell>
          <cell r="G2355">
            <v>1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6</v>
          </cell>
          <cell r="X2355">
            <v>0</v>
          </cell>
          <cell r="Y2355">
            <v>0</v>
          </cell>
        </row>
        <row r="2356">
          <cell r="D2356">
            <v>302187</v>
          </cell>
          <cell r="E2356" t="str">
            <v>Juban National High School</v>
          </cell>
          <cell r="F2356">
            <v>1</v>
          </cell>
          <cell r="G2356">
            <v>0</v>
          </cell>
          <cell r="H2356">
            <v>1</v>
          </cell>
          <cell r="I2356">
            <v>0</v>
          </cell>
          <cell r="J2356">
            <v>0</v>
          </cell>
          <cell r="K2356">
            <v>1</v>
          </cell>
          <cell r="L2356">
            <v>0</v>
          </cell>
          <cell r="M2356">
            <v>0</v>
          </cell>
          <cell r="N2356">
            <v>1</v>
          </cell>
          <cell r="O2356">
            <v>0</v>
          </cell>
          <cell r="P2356">
            <v>43313</v>
          </cell>
          <cell r="Q2356">
            <v>0</v>
          </cell>
          <cell r="R2356">
            <v>0</v>
          </cell>
          <cell r="S2356">
            <v>1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</row>
        <row r="2357">
          <cell r="D2357">
            <v>301989</v>
          </cell>
          <cell r="E2357" t="str">
            <v>Federico P. Condat NHS (frmerly: Maangas HS )</v>
          </cell>
          <cell r="F2357">
            <v>0</v>
          </cell>
          <cell r="G2357">
            <v>0</v>
          </cell>
          <cell r="H2357">
            <v>1</v>
          </cell>
          <cell r="I2357">
            <v>0</v>
          </cell>
          <cell r="J2357">
            <v>0</v>
          </cell>
          <cell r="K2357">
            <v>1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</row>
        <row r="2358">
          <cell r="D2358">
            <v>302240</v>
          </cell>
          <cell r="E2358" t="str">
            <v>San Juan NHS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</row>
        <row r="2359">
          <cell r="D2359">
            <v>310004</v>
          </cell>
          <cell r="E2359" t="str">
            <v>Pandan HS</v>
          </cell>
          <cell r="F2359">
            <v>1</v>
          </cell>
          <cell r="G2359">
            <v>1</v>
          </cell>
          <cell r="H2359">
            <v>1</v>
          </cell>
          <cell r="I2359">
            <v>1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1</v>
          </cell>
          <cell r="O2359" t="str">
            <v>AUGUST 31.2019</v>
          </cell>
          <cell r="P2359" t="str">
            <v>SEPTEMBER 26,2019</v>
          </cell>
          <cell r="Q2359">
            <v>1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2</v>
          </cell>
          <cell r="X2359">
            <v>2</v>
          </cell>
          <cell r="Y2359">
            <v>2</v>
          </cell>
        </row>
        <row r="2360">
          <cell r="D2360">
            <v>302229</v>
          </cell>
          <cell r="E2360" t="str">
            <v>Palanas NHS</v>
          </cell>
          <cell r="F2360">
            <v>1</v>
          </cell>
          <cell r="G2360">
            <v>1</v>
          </cell>
          <cell r="H2360">
            <v>1</v>
          </cell>
          <cell r="I2360">
            <v>0</v>
          </cell>
          <cell r="J2360">
            <v>1</v>
          </cell>
          <cell r="K2360">
            <v>0</v>
          </cell>
          <cell r="L2360">
            <v>0</v>
          </cell>
          <cell r="M2360">
            <v>0</v>
          </cell>
          <cell r="N2360">
            <v>1</v>
          </cell>
          <cell r="O2360" t="str">
            <v>October 1, 2018</v>
          </cell>
          <cell r="P2360" t="str">
            <v>October 1, 2018</v>
          </cell>
          <cell r="Q2360">
            <v>0</v>
          </cell>
          <cell r="R2360">
            <v>1</v>
          </cell>
          <cell r="S2360">
            <v>0</v>
          </cell>
          <cell r="T2360">
            <v>0</v>
          </cell>
          <cell r="U2360">
            <v>0</v>
          </cell>
          <cell r="V2360">
            <v>1</v>
          </cell>
          <cell r="W2360">
            <v>2</v>
          </cell>
          <cell r="X2360">
            <v>0</v>
          </cell>
          <cell r="Y2360">
            <v>0</v>
          </cell>
        </row>
        <row r="2361">
          <cell r="D2361">
            <v>302205</v>
          </cell>
          <cell r="E2361" t="str">
            <v>Banuang Gurang NHS</v>
          </cell>
          <cell r="F2361">
            <v>1</v>
          </cell>
          <cell r="G2361">
            <v>0</v>
          </cell>
          <cell r="H2361">
            <v>1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</row>
        <row r="2362">
          <cell r="D2362">
            <v>302251</v>
          </cell>
          <cell r="E2362" t="str">
            <v>Rinconada National Technical Vocational School</v>
          </cell>
          <cell r="F2362">
            <v>1</v>
          </cell>
          <cell r="G2362">
            <v>1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</row>
        <row r="2363">
          <cell r="D2363">
            <v>302241</v>
          </cell>
          <cell r="E2363" t="str">
            <v>San Rafael NHS</v>
          </cell>
          <cell r="F2363">
            <v>1</v>
          </cell>
          <cell r="G2363">
            <v>1</v>
          </cell>
          <cell r="H2363">
            <v>1</v>
          </cell>
          <cell r="I2363">
            <v>0</v>
          </cell>
          <cell r="J2363">
            <v>1</v>
          </cell>
          <cell r="K2363">
            <v>0</v>
          </cell>
          <cell r="L2363">
            <v>0</v>
          </cell>
          <cell r="M2363">
            <v>0</v>
          </cell>
          <cell r="N2363">
            <v>1</v>
          </cell>
          <cell r="O2363">
            <v>0</v>
          </cell>
          <cell r="P2363">
            <v>0</v>
          </cell>
          <cell r="Q2363">
            <v>0</v>
          </cell>
          <cell r="R2363">
            <v>1</v>
          </cell>
          <cell r="S2363">
            <v>0</v>
          </cell>
          <cell r="T2363">
            <v>0</v>
          </cell>
          <cell r="U2363">
            <v>0</v>
          </cell>
          <cell r="V2363">
            <v>1</v>
          </cell>
          <cell r="W2363">
            <v>0</v>
          </cell>
          <cell r="X2363">
            <v>0</v>
          </cell>
          <cell r="Y2363">
            <v>0</v>
          </cell>
        </row>
        <row r="2364">
          <cell r="D2364">
            <v>302000</v>
          </cell>
          <cell r="E2364" t="str">
            <v>Minalabac NHS</v>
          </cell>
          <cell r="F2364">
            <v>1</v>
          </cell>
          <cell r="G2364">
            <v>1</v>
          </cell>
          <cell r="H2364">
            <v>1</v>
          </cell>
          <cell r="I2364">
            <v>0</v>
          </cell>
          <cell r="J2364">
            <v>1</v>
          </cell>
          <cell r="K2364">
            <v>0</v>
          </cell>
          <cell r="L2364">
            <v>0</v>
          </cell>
          <cell r="M2364">
            <v>0</v>
          </cell>
          <cell r="N2364">
            <v>1</v>
          </cell>
          <cell r="O2364">
            <v>0</v>
          </cell>
          <cell r="P2364">
            <v>0</v>
          </cell>
          <cell r="Q2364">
            <v>0</v>
          </cell>
          <cell r="R2364">
            <v>1</v>
          </cell>
          <cell r="S2364">
            <v>0</v>
          </cell>
          <cell r="T2364">
            <v>0</v>
          </cell>
          <cell r="U2364">
            <v>0</v>
          </cell>
          <cell r="V2364">
            <v>1</v>
          </cell>
          <cell r="W2364">
            <v>0</v>
          </cell>
          <cell r="X2364">
            <v>0</v>
          </cell>
          <cell r="Y2364">
            <v>0</v>
          </cell>
        </row>
        <row r="2365">
          <cell r="D2365">
            <v>301876</v>
          </cell>
          <cell r="E2365" t="str">
            <v>San Isidro National High School</v>
          </cell>
          <cell r="F2365">
            <v>0</v>
          </cell>
          <cell r="G2365">
            <v>0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</row>
        <row r="2366">
          <cell r="D2366">
            <v>301877</v>
          </cell>
          <cell r="E2366" t="str">
            <v>San Vicente National High School</v>
          </cell>
          <cell r="F2366">
            <v>1</v>
          </cell>
          <cell r="G2366">
            <v>1</v>
          </cell>
          <cell r="H2366">
            <v>1</v>
          </cell>
          <cell r="I2366">
            <v>0</v>
          </cell>
          <cell r="J2366">
            <v>0</v>
          </cell>
          <cell r="K2366">
            <v>1</v>
          </cell>
          <cell r="L2366">
            <v>0</v>
          </cell>
          <cell r="M2366">
            <v>0</v>
          </cell>
          <cell r="N2366">
            <v>1</v>
          </cell>
          <cell r="O2366">
            <v>43617</v>
          </cell>
          <cell r="P2366">
            <v>43709</v>
          </cell>
          <cell r="Q2366">
            <v>0</v>
          </cell>
          <cell r="R2366">
            <v>1</v>
          </cell>
          <cell r="S2366">
            <v>0</v>
          </cell>
          <cell r="T2366">
            <v>0</v>
          </cell>
          <cell r="U2366">
            <v>0</v>
          </cell>
          <cell r="V2366">
            <v>1</v>
          </cell>
          <cell r="W2366">
            <v>0</v>
          </cell>
          <cell r="X2366">
            <v>0</v>
          </cell>
          <cell r="Y2366">
            <v>0</v>
          </cell>
        </row>
        <row r="2367">
          <cell r="D2367">
            <v>309613</v>
          </cell>
          <cell r="E2367" t="str">
            <v>Alawihao National High School</v>
          </cell>
          <cell r="F2367">
            <v>1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1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</row>
        <row r="2368">
          <cell r="D2368">
            <v>301916</v>
          </cell>
          <cell r="E2368" t="str">
            <v>San Francisco National High School</v>
          </cell>
          <cell r="F2368">
            <v>1</v>
          </cell>
          <cell r="G2368">
            <v>0</v>
          </cell>
          <cell r="H2368">
            <v>1</v>
          </cell>
          <cell r="I2368">
            <v>0</v>
          </cell>
          <cell r="J2368">
            <v>0</v>
          </cell>
          <cell r="K2368">
            <v>1</v>
          </cell>
          <cell r="L2368">
            <v>0</v>
          </cell>
          <cell r="M2368">
            <v>0</v>
          </cell>
          <cell r="N2368">
            <v>1</v>
          </cell>
          <cell r="O2368">
            <v>43609</v>
          </cell>
          <cell r="P2368">
            <v>43619</v>
          </cell>
          <cell r="Q2368">
            <v>1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1</v>
          </cell>
          <cell r="W2368">
            <v>3</v>
          </cell>
          <cell r="X2368">
            <v>0</v>
          </cell>
          <cell r="Y2368">
            <v>0</v>
          </cell>
        </row>
        <row r="2369">
          <cell r="D2369">
            <v>301832</v>
          </cell>
          <cell r="E2369" t="str">
            <v>Lacag National High School</v>
          </cell>
          <cell r="F2369">
            <v>1</v>
          </cell>
          <cell r="G2369">
            <v>1</v>
          </cell>
          <cell r="H2369">
            <v>1</v>
          </cell>
          <cell r="I2369">
            <v>0</v>
          </cell>
          <cell r="J2369">
            <v>0</v>
          </cell>
          <cell r="K2369">
            <v>1</v>
          </cell>
          <cell r="L2369">
            <v>0</v>
          </cell>
          <cell r="M2369">
            <v>0</v>
          </cell>
          <cell r="N2369">
            <v>1</v>
          </cell>
          <cell r="O2369">
            <v>42917</v>
          </cell>
          <cell r="P2369" t="str">
            <v>None</v>
          </cell>
          <cell r="Q2369">
            <v>0</v>
          </cell>
          <cell r="R2369">
            <v>0</v>
          </cell>
          <cell r="S2369">
            <v>1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</row>
        <row r="2370">
          <cell r="D2370">
            <v>302252</v>
          </cell>
          <cell r="E2370" t="str">
            <v>Sagrada NHS</v>
          </cell>
          <cell r="F2370">
            <v>1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</row>
        <row r="2371">
          <cell r="D2371">
            <v>301848</v>
          </cell>
          <cell r="E2371" t="str">
            <v>Maramba National High School</v>
          </cell>
          <cell r="F2371">
            <v>1</v>
          </cell>
          <cell r="G2371">
            <v>0</v>
          </cell>
          <cell r="H2371">
            <v>1</v>
          </cell>
          <cell r="I2371">
            <v>0</v>
          </cell>
          <cell r="J2371">
            <v>0</v>
          </cell>
          <cell r="K2371">
            <v>1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1</v>
          </cell>
          <cell r="T2371">
            <v>0</v>
          </cell>
          <cell r="U2371">
            <v>0</v>
          </cell>
          <cell r="V2371">
            <v>1</v>
          </cell>
          <cell r="W2371">
            <v>0</v>
          </cell>
          <cell r="X2371">
            <v>0</v>
          </cell>
          <cell r="Y2371">
            <v>0</v>
          </cell>
        </row>
        <row r="2372">
          <cell r="D2372">
            <v>301907</v>
          </cell>
          <cell r="E2372" t="str">
            <v>Pablo S. Villafuerte HS</v>
          </cell>
          <cell r="F2372">
            <v>1</v>
          </cell>
          <cell r="G2372">
            <v>1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</row>
        <row r="2373">
          <cell r="D2373">
            <v>301845</v>
          </cell>
          <cell r="E2373" t="str">
            <v>Manito National High School</v>
          </cell>
          <cell r="F2373">
            <v>1</v>
          </cell>
          <cell r="G2373">
            <v>1</v>
          </cell>
          <cell r="H2373">
            <v>1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1</v>
          </cell>
          <cell r="O2373">
            <v>0</v>
          </cell>
          <cell r="P2373">
            <v>0</v>
          </cell>
          <cell r="Q2373">
            <v>1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1</v>
          </cell>
          <cell r="W2373">
            <v>0</v>
          </cell>
          <cell r="X2373">
            <v>0</v>
          </cell>
          <cell r="Y2373">
            <v>0</v>
          </cell>
        </row>
        <row r="2374">
          <cell r="D2374">
            <v>302184</v>
          </cell>
          <cell r="E2374" t="str">
            <v>Barcelona National Comprehensive High School</v>
          </cell>
          <cell r="F2374">
            <v>1</v>
          </cell>
          <cell r="G2374">
            <v>1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</row>
        <row r="2375">
          <cell r="D2375">
            <v>302226</v>
          </cell>
          <cell r="E2375" t="str">
            <v>Mayon National High School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1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1</v>
          </cell>
          <cell r="S2375">
            <v>0</v>
          </cell>
          <cell r="T2375">
            <v>1</v>
          </cell>
          <cell r="U2375" t="str">
            <v>GENERAL PTA MEETING</v>
          </cell>
          <cell r="V2375">
            <v>1</v>
          </cell>
          <cell r="W2375">
            <v>0</v>
          </cell>
          <cell r="X2375">
            <v>0</v>
          </cell>
          <cell r="Y2375">
            <v>0</v>
          </cell>
        </row>
        <row r="2376">
          <cell r="D2376">
            <v>302214</v>
          </cell>
          <cell r="E2376" t="str">
            <v>Gubat National High School</v>
          </cell>
          <cell r="F2376">
            <v>0</v>
          </cell>
          <cell r="G2376">
            <v>0</v>
          </cell>
          <cell r="H2376">
            <v>1</v>
          </cell>
          <cell r="I2376">
            <v>0</v>
          </cell>
          <cell r="J2376">
            <v>0</v>
          </cell>
          <cell r="K2376">
            <v>1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 t="str">
            <v>3.2.2019</v>
          </cell>
          <cell r="Q2376">
            <v>0</v>
          </cell>
          <cell r="R2376">
            <v>0</v>
          </cell>
          <cell r="S2376">
            <v>1</v>
          </cell>
          <cell r="T2376">
            <v>0</v>
          </cell>
          <cell r="U2376">
            <v>0</v>
          </cell>
          <cell r="V2376">
            <v>1</v>
          </cell>
          <cell r="W2376">
            <v>0</v>
          </cell>
          <cell r="X2376">
            <v>0</v>
          </cell>
          <cell r="Y2376">
            <v>0</v>
          </cell>
        </row>
        <row r="2377">
          <cell r="D2377">
            <v>301829</v>
          </cell>
          <cell r="E2377" t="str">
            <v>Maysua High School</v>
          </cell>
          <cell r="F2377">
            <v>1</v>
          </cell>
          <cell r="G2377">
            <v>1</v>
          </cell>
          <cell r="H2377">
            <v>1</v>
          </cell>
          <cell r="I2377">
            <v>0</v>
          </cell>
          <cell r="J2377">
            <v>1</v>
          </cell>
          <cell r="K2377">
            <v>0</v>
          </cell>
          <cell r="L2377">
            <v>0</v>
          </cell>
          <cell r="M2377">
            <v>0</v>
          </cell>
          <cell r="N2377">
            <v>1</v>
          </cell>
          <cell r="O2377" t="str">
            <v>09/14/2018</v>
          </cell>
          <cell r="P2377" t="str">
            <v>05/22/2019</v>
          </cell>
          <cell r="Q2377">
            <v>0</v>
          </cell>
          <cell r="R2377">
            <v>1</v>
          </cell>
          <cell r="S2377">
            <v>0</v>
          </cell>
          <cell r="T2377">
            <v>0</v>
          </cell>
          <cell r="U2377">
            <v>0</v>
          </cell>
          <cell r="V2377">
            <v>1</v>
          </cell>
          <cell r="W2377">
            <v>0</v>
          </cell>
          <cell r="X2377">
            <v>0</v>
          </cell>
          <cell r="Y2377">
            <v>0</v>
          </cell>
        </row>
        <row r="2378">
          <cell r="D2378">
            <v>302188</v>
          </cell>
          <cell r="E2378" t="str">
            <v>Buhang National High School</v>
          </cell>
          <cell r="F2378">
            <v>1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</row>
        <row r="2379">
          <cell r="D2379">
            <v>302234</v>
          </cell>
          <cell r="E2379" t="str">
            <v>Rizal NHS</v>
          </cell>
          <cell r="F2379">
            <v>1</v>
          </cell>
          <cell r="G2379">
            <v>1</v>
          </cell>
          <cell r="H2379">
            <v>1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</row>
        <row r="2380">
          <cell r="D2380">
            <v>302102</v>
          </cell>
          <cell r="E2380" t="str">
            <v>Supang-Datag National High  School</v>
          </cell>
          <cell r="F2380">
            <v>1</v>
          </cell>
          <cell r="G2380">
            <v>1</v>
          </cell>
          <cell r="H2380">
            <v>1</v>
          </cell>
          <cell r="I2380">
            <v>0</v>
          </cell>
          <cell r="J2380">
            <v>1</v>
          </cell>
          <cell r="K2380">
            <v>0</v>
          </cell>
          <cell r="L2380">
            <v>0</v>
          </cell>
          <cell r="M2380">
            <v>0</v>
          </cell>
          <cell r="N2380">
            <v>1</v>
          </cell>
          <cell r="O2380">
            <v>0</v>
          </cell>
          <cell r="P2380" t="str">
            <v>10/15/2018</v>
          </cell>
          <cell r="Q2380">
            <v>0</v>
          </cell>
          <cell r="R2380">
            <v>1</v>
          </cell>
          <cell r="S2380">
            <v>0</v>
          </cell>
          <cell r="T2380">
            <v>0</v>
          </cell>
          <cell r="U2380">
            <v>0</v>
          </cell>
          <cell r="V2380">
            <v>1</v>
          </cell>
          <cell r="W2380">
            <v>3</v>
          </cell>
          <cell r="X2380">
            <v>0</v>
          </cell>
          <cell r="Y2380">
            <v>1</v>
          </cell>
        </row>
        <row r="2381">
          <cell r="D2381">
            <v>302218</v>
          </cell>
          <cell r="E2381" t="str">
            <v>Celso F. Falcotelo National High School</v>
          </cell>
          <cell r="F2381">
            <v>1</v>
          </cell>
          <cell r="G2381">
            <v>1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</row>
        <row r="2382">
          <cell r="D2382">
            <v>302232</v>
          </cell>
          <cell r="E2382" t="str">
            <v>Prieto Diaz National High School</v>
          </cell>
          <cell r="F2382">
            <v>1</v>
          </cell>
          <cell r="G2382">
            <v>1</v>
          </cell>
          <cell r="H2382">
            <v>0</v>
          </cell>
          <cell r="I2382">
            <v>0</v>
          </cell>
          <cell r="J2382">
            <v>1</v>
          </cell>
          <cell r="K2382">
            <v>0</v>
          </cell>
          <cell r="L2382">
            <v>0</v>
          </cell>
          <cell r="M2382">
            <v>0</v>
          </cell>
          <cell r="N2382">
            <v>1</v>
          </cell>
          <cell r="O2382">
            <v>43525</v>
          </cell>
          <cell r="P2382">
            <v>43282</v>
          </cell>
          <cell r="Q2382">
            <v>0</v>
          </cell>
          <cell r="R2382">
            <v>1</v>
          </cell>
          <cell r="S2382">
            <v>0</v>
          </cell>
          <cell r="T2382">
            <v>0</v>
          </cell>
          <cell r="U2382">
            <v>0</v>
          </cell>
          <cell r="V2382">
            <v>1</v>
          </cell>
          <cell r="W2382">
            <v>0</v>
          </cell>
          <cell r="X2382">
            <v>0</v>
          </cell>
          <cell r="Y2382">
            <v>0</v>
          </cell>
        </row>
        <row r="2383">
          <cell r="D2383">
            <v>302185</v>
          </cell>
          <cell r="E2383" t="str">
            <v>Bentuco NHS</v>
          </cell>
          <cell r="F2383">
            <v>1</v>
          </cell>
          <cell r="G2383">
            <v>0</v>
          </cell>
          <cell r="H2383">
            <v>1</v>
          </cell>
          <cell r="I2383">
            <v>0</v>
          </cell>
          <cell r="J2383">
            <v>0</v>
          </cell>
          <cell r="K2383">
            <v>1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3</v>
          </cell>
          <cell r="X2383">
            <v>0</v>
          </cell>
          <cell r="Y2383">
            <v>0</v>
          </cell>
        </row>
        <row r="2384">
          <cell r="D2384">
            <v>310009</v>
          </cell>
          <cell r="E2384" t="str">
            <v>San Antonio National High School</v>
          </cell>
          <cell r="F2384">
            <v>1</v>
          </cell>
          <cell r="G2384">
            <v>1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</row>
        <row r="2385">
          <cell r="D2385">
            <v>302193</v>
          </cell>
          <cell r="E2385" t="str">
            <v>Butag NHS</v>
          </cell>
          <cell r="F2385">
            <v>1</v>
          </cell>
          <cell r="G2385">
            <v>1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1</v>
          </cell>
          <cell r="M2385" t="str">
            <v>DAILY</v>
          </cell>
          <cell r="N2385">
            <v>1</v>
          </cell>
          <cell r="O2385">
            <v>43687</v>
          </cell>
          <cell r="P2385">
            <v>0</v>
          </cell>
          <cell r="Q2385">
            <v>1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1</v>
          </cell>
          <cell r="W2385">
            <v>6</v>
          </cell>
          <cell r="X2385">
            <v>3</v>
          </cell>
          <cell r="Y2385">
            <v>0</v>
          </cell>
        </row>
        <row r="2386">
          <cell r="D2386">
            <v>302223</v>
          </cell>
          <cell r="E2386" t="str">
            <v>Manlabong NHS</v>
          </cell>
          <cell r="F2386">
            <v>1</v>
          </cell>
          <cell r="G2386">
            <v>1</v>
          </cell>
          <cell r="H2386">
            <v>1</v>
          </cell>
          <cell r="I2386">
            <v>0</v>
          </cell>
          <cell r="J2386">
            <v>1</v>
          </cell>
          <cell r="K2386">
            <v>0</v>
          </cell>
          <cell r="L2386">
            <v>0</v>
          </cell>
          <cell r="M2386">
            <v>0</v>
          </cell>
          <cell r="N2386">
            <v>1</v>
          </cell>
          <cell r="O2386">
            <v>0</v>
          </cell>
          <cell r="P2386">
            <v>43766</v>
          </cell>
          <cell r="Q2386">
            <v>1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1</v>
          </cell>
          <cell r="W2386">
            <v>0</v>
          </cell>
          <cell r="X2386">
            <v>0</v>
          </cell>
          <cell r="Y2386">
            <v>0</v>
          </cell>
        </row>
        <row r="2387">
          <cell r="D2387">
            <v>302213</v>
          </cell>
          <cell r="E2387" t="str">
            <v>Gate NHS</v>
          </cell>
          <cell r="F2387">
            <v>0</v>
          </cell>
          <cell r="G2387">
            <v>0</v>
          </cell>
          <cell r="H2387">
            <v>1</v>
          </cell>
          <cell r="I2387">
            <v>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1</v>
          </cell>
          <cell r="X2387">
            <v>0</v>
          </cell>
          <cell r="Y2387">
            <v>0</v>
          </cell>
        </row>
        <row r="2388">
          <cell r="D2388">
            <v>302233</v>
          </cell>
          <cell r="E2388" t="str">
            <v>Quezon NHS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</row>
        <row r="2389">
          <cell r="D2389">
            <v>310002</v>
          </cell>
          <cell r="E2389" t="str">
            <v>J. P. Laurel HS</v>
          </cell>
          <cell r="F2389">
            <v>1</v>
          </cell>
          <cell r="G2389">
            <v>1</v>
          </cell>
          <cell r="H2389">
            <v>1</v>
          </cell>
          <cell r="I2389">
            <v>0</v>
          </cell>
          <cell r="J2389">
            <v>0</v>
          </cell>
          <cell r="K2389">
            <v>1</v>
          </cell>
          <cell r="L2389">
            <v>0</v>
          </cell>
          <cell r="M2389">
            <v>0</v>
          </cell>
          <cell r="N2389">
            <v>0</v>
          </cell>
          <cell r="O2389">
            <v>43617</v>
          </cell>
          <cell r="P2389">
            <v>0</v>
          </cell>
          <cell r="Q2389">
            <v>0</v>
          </cell>
          <cell r="R2389">
            <v>0</v>
          </cell>
          <cell r="S2389">
            <v>1</v>
          </cell>
          <cell r="T2389">
            <v>0</v>
          </cell>
          <cell r="U2389">
            <v>0</v>
          </cell>
          <cell r="V2389">
            <v>1</v>
          </cell>
          <cell r="W2389">
            <v>0</v>
          </cell>
          <cell r="X2389">
            <v>0</v>
          </cell>
          <cell r="Y2389">
            <v>0</v>
          </cell>
        </row>
        <row r="2390">
          <cell r="D2390">
            <v>302196</v>
          </cell>
          <cell r="E2390" t="str">
            <v>Calao NHS</v>
          </cell>
          <cell r="F2390">
            <v>1</v>
          </cell>
          <cell r="G2390">
            <v>0</v>
          </cell>
          <cell r="H2390">
            <v>1</v>
          </cell>
          <cell r="I2390">
            <v>0</v>
          </cell>
          <cell r="J2390">
            <v>1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1</v>
          </cell>
          <cell r="U2390" t="str">
            <v>n/a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</row>
        <row r="2391">
          <cell r="D2391">
            <v>302247</v>
          </cell>
          <cell r="E2391" t="str">
            <v>Talaonga National High School</v>
          </cell>
          <cell r="F2391">
            <v>1</v>
          </cell>
          <cell r="G2391">
            <v>1</v>
          </cell>
          <cell r="H2391">
            <v>1</v>
          </cell>
          <cell r="I2391">
            <v>0</v>
          </cell>
          <cell r="J2391">
            <v>0</v>
          </cell>
          <cell r="K2391">
            <v>1</v>
          </cell>
          <cell r="L2391">
            <v>0</v>
          </cell>
          <cell r="M2391">
            <v>0</v>
          </cell>
          <cell r="N2391">
            <v>1</v>
          </cell>
          <cell r="O2391">
            <v>43398</v>
          </cell>
          <cell r="P2391">
            <v>0</v>
          </cell>
          <cell r="Q2391">
            <v>0</v>
          </cell>
          <cell r="R2391">
            <v>0</v>
          </cell>
          <cell r="S2391">
            <v>1</v>
          </cell>
          <cell r="T2391">
            <v>0</v>
          </cell>
          <cell r="U2391">
            <v>0</v>
          </cell>
          <cell r="V2391">
            <v>0</v>
          </cell>
          <cell r="W2391">
            <v>2</v>
          </cell>
          <cell r="X2391">
            <v>2</v>
          </cell>
          <cell r="Y2391">
            <v>2</v>
          </cell>
        </row>
        <row r="2392">
          <cell r="D2392">
            <v>302216</v>
          </cell>
          <cell r="E2392" t="str">
            <v>Lajong NHS</v>
          </cell>
          <cell r="F2392">
            <v>1</v>
          </cell>
          <cell r="G2392">
            <v>0</v>
          </cell>
          <cell r="H2392">
            <v>1</v>
          </cell>
          <cell r="I2392">
            <v>0</v>
          </cell>
          <cell r="J2392">
            <v>0</v>
          </cell>
          <cell r="K2392">
            <v>1</v>
          </cell>
          <cell r="L2392">
            <v>0</v>
          </cell>
          <cell r="M2392">
            <v>0</v>
          </cell>
          <cell r="N2392">
            <v>1</v>
          </cell>
          <cell r="O2392">
            <v>0</v>
          </cell>
          <cell r="P2392">
            <v>0</v>
          </cell>
          <cell r="Q2392">
            <v>1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</row>
        <row r="2393">
          <cell r="D2393">
            <v>310003</v>
          </cell>
          <cell r="E2393" t="str">
            <v>Guruyan National High School</v>
          </cell>
          <cell r="F2393">
            <v>1</v>
          </cell>
          <cell r="G2393">
            <v>1</v>
          </cell>
          <cell r="H2393">
            <v>1</v>
          </cell>
          <cell r="I2393">
            <v>0</v>
          </cell>
          <cell r="J2393">
            <v>0</v>
          </cell>
          <cell r="K2393">
            <v>0</v>
          </cell>
          <cell r="L2393">
            <v>1</v>
          </cell>
          <cell r="M2393" t="str">
            <v>whenever necessary</v>
          </cell>
          <cell r="N2393">
            <v>0</v>
          </cell>
          <cell r="O2393">
            <v>0</v>
          </cell>
          <cell r="P2393" t="str">
            <v>n/a</v>
          </cell>
          <cell r="Q2393">
            <v>0</v>
          </cell>
          <cell r="R2393">
            <v>0</v>
          </cell>
          <cell r="S2393">
            <v>0</v>
          </cell>
          <cell r="T2393">
            <v>1</v>
          </cell>
          <cell r="U2393" t="str">
            <v>if there are complaints</v>
          </cell>
          <cell r="V2393">
            <v>1</v>
          </cell>
          <cell r="W2393">
            <v>0</v>
          </cell>
          <cell r="X2393">
            <v>0</v>
          </cell>
          <cell r="Y2393">
            <v>0</v>
          </cell>
        </row>
        <row r="2394">
          <cell r="D2394">
            <v>302238</v>
          </cell>
          <cell r="E2394" t="str">
            <v>Louella Gotladera Alcoba NHS</v>
          </cell>
          <cell r="F2394">
            <v>1</v>
          </cell>
          <cell r="G2394">
            <v>1</v>
          </cell>
          <cell r="H2394">
            <v>1</v>
          </cell>
          <cell r="I2394">
            <v>0</v>
          </cell>
          <cell r="J2394">
            <v>1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</row>
        <row r="2395">
          <cell r="D2395">
            <v>302215</v>
          </cell>
          <cell r="E2395" t="str">
            <v>Irosin North HS</v>
          </cell>
          <cell r="F2395">
            <v>1</v>
          </cell>
          <cell r="G2395">
            <v>1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 t="str">
            <v>n/a</v>
          </cell>
          <cell r="P2395" t="str">
            <v>n/a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</row>
        <row r="2396">
          <cell r="D2396">
            <v>302191</v>
          </cell>
          <cell r="E2396" t="str">
            <v>Beguin NHS</v>
          </cell>
          <cell r="F2396">
            <v>1</v>
          </cell>
          <cell r="G2396">
            <v>0</v>
          </cell>
          <cell r="H2396">
            <v>1</v>
          </cell>
          <cell r="I2396">
            <v>0</v>
          </cell>
          <cell r="J2396">
            <v>0</v>
          </cell>
          <cell r="K2396">
            <v>1</v>
          </cell>
          <cell r="L2396">
            <v>0</v>
          </cell>
          <cell r="M2396">
            <v>0</v>
          </cell>
          <cell r="N2396">
            <v>1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1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</row>
        <row r="2397">
          <cell r="D2397">
            <v>302186</v>
          </cell>
          <cell r="E2397" t="str">
            <v>Biriran NHS</v>
          </cell>
          <cell r="F2397">
            <v>1</v>
          </cell>
          <cell r="G2397">
            <v>1</v>
          </cell>
          <cell r="H2397">
            <v>1</v>
          </cell>
          <cell r="I2397">
            <v>0</v>
          </cell>
          <cell r="J2397">
            <v>1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1</v>
          </cell>
          <cell r="S2397">
            <v>0</v>
          </cell>
          <cell r="T2397">
            <v>0</v>
          </cell>
          <cell r="U2397">
            <v>0</v>
          </cell>
          <cell r="V2397">
            <v>1</v>
          </cell>
          <cell r="W2397">
            <v>1</v>
          </cell>
          <cell r="X2397">
            <v>1</v>
          </cell>
          <cell r="Y2397">
            <v>1</v>
          </cell>
        </row>
        <row r="2398">
          <cell r="D2398">
            <v>302246</v>
          </cell>
          <cell r="E2398" t="str">
            <v>Sua HS</v>
          </cell>
          <cell r="F2398">
            <v>1</v>
          </cell>
          <cell r="G2398">
            <v>1</v>
          </cell>
          <cell r="H2398">
            <v>1</v>
          </cell>
          <cell r="I2398">
            <v>0</v>
          </cell>
          <cell r="J2398">
            <v>0</v>
          </cell>
          <cell r="K2398">
            <v>1</v>
          </cell>
          <cell r="L2398">
            <v>0</v>
          </cell>
          <cell r="M2398">
            <v>0</v>
          </cell>
          <cell r="N2398">
            <v>1</v>
          </cell>
          <cell r="O2398">
            <v>0</v>
          </cell>
          <cell r="P2398">
            <v>0</v>
          </cell>
          <cell r="Q2398">
            <v>0</v>
          </cell>
          <cell r="R2398">
            <v>1</v>
          </cell>
          <cell r="S2398">
            <v>0</v>
          </cell>
          <cell r="T2398">
            <v>0</v>
          </cell>
          <cell r="U2398">
            <v>0</v>
          </cell>
          <cell r="V2398">
            <v>1</v>
          </cell>
          <cell r="W2398">
            <v>0</v>
          </cell>
          <cell r="X2398">
            <v>0</v>
          </cell>
          <cell r="Y2398">
            <v>0</v>
          </cell>
        </row>
        <row r="2399">
          <cell r="D2399">
            <v>302189</v>
          </cell>
          <cell r="E2399" t="str">
            <v>Bulacao NHS</v>
          </cell>
          <cell r="F2399">
            <v>1</v>
          </cell>
          <cell r="G2399">
            <v>1</v>
          </cell>
          <cell r="H2399">
            <v>1</v>
          </cell>
          <cell r="I2399">
            <v>0</v>
          </cell>
          <cell r="J2399">
            <v>1</v>
          </cell>
          <cell r="K2399">
            <v>0</v>
          </cell>
          <cell r="L2399">
            <v>0</v>
          </cell>
          <cell r="M2399">
            <v>0</v>
          </cell>
          <cell r="N2399">
            <v>1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1</v>
          </cell>
          <cell r="W2399">
            <v>0</v>
          </cell>
          <cell r="X2399">
            <v>0</v>
          </cell>
          <cell r="Y2399">
            <v>0</v>
          </cell>
        </row>
        <row r="2400">
          <cell r="D2400">
            <v>302237</v>
          </cell>
          <cell r="E2400" t="str">
            <v>San Francisco NHS</v>
          </cell>
          <cell r="F2400">
            <v>1</v>
          </cell>
          <cell r="G2400">
            <v>1</v>
          </cell>
          <cell r="H2400">
            <v>1</v>
          </cell>
          <cell r="I2400">
            <v>0</v>
          </cell>
          <cell r="J2400">
            <v>0</v>
          </cell>
          <cell r="K2400">
            <v>1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 t="str">
            <v>8/14/2019</v>
          </cell>
          <cell r="Q2400">
            <v>1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1</v>
          </cell>
          <cell r="W2400">
            <v>0</v>
          </cell>
          <cell r="X2400">
            <v>0</v>
          </cell>
          <cell r="Y2400">
            <v>0</v>
          </cell>
        </row>
        <row r="2401">
          <cell r="D2401">
            <v>302211</v>
          </cell>
          <cell r="E2401" t="str">
            <v>Gabao NHS</v>
          </cell>
          <cell r="F2401">
            <v>1</v>
          </cell>
          <cell r="G2401">
            <v>1</v>
          </cell>
          <cell r="H2401">
            <v>1</v>
          </cell>
          <cell r="I2401">
            <v>0</v>
          </cell>
          <cell r="J2401">
            <v>1</v>
          </cell>
          <cell r="K2401">
            <v>0</v>
          </cell>
          <cell r="L2401">
            <v>1</v>
          </cell>
          <cell r="M2401">
            <v>0</v>
          </cell>
          <cell r="N2401">
            <v>1</v>
          </cell>
          <cell r="O2401">
            <v>0</v>
          </cell>
          <cell r="P2401">
            <v>0</v>
          </cell>
          <cell r="Q2401">
            <v>0</v>
          </cell>
          <cell r="R2401">
            <v>1</v>
          </cell>
          <cell r="S2401">
            <v>0</v>
          </cell>
          <cell r="T2401">
            <v>0</v>
          </cell>
          <cell r="U2401">
            <v>0</v>
          </cell>
          <cell r="V2401">
            <v>1</v>
          </cell>
          <cell r="W2401">
            <v>0</v>
          </cell>
          <cell r="X2401">
            <v>0</v>
          </cell>
          <cell r="Y2401">
            <v>0</v>
          </cell>
        </row>
        <row r="2402">
          <cell r="D2402">
            <v>310010</v>
          </cell>
          <cell r="E2402" t="str">
            <v>Tiong Hen So MHS</v>
          </cell>
          <cell r="F2402">
            <v>1</v>
          </cell>
          <cell r="G2402">
            <v>1</v>
          </cell>
          <cell r="H2402">
            <v>1</v>
          </cell>
          <cell r="I2402">
            <v>0</v>
          </cell>
          <cell r="J2402">
            <v>1</v>
          </cell>
          <cell r="K2402">
            <v>0</v>
          </cell>
          <cell r="L2402">
            <v>0</v>
          </cell>
          <cell r="M2402">
            <v>0</v>
          </cell>
          <cell r="N2402">
            <v>1</v>
          </cell>
          <cell r="O2402" t="str">
            <v>9/28/2019</v>
          </cell>
          <cell r="P2402" t="str">
            <v>9/28/2019</v>
          </cell>
          <cell r="Q2402">
            <v>0</v>
          </cell>
          <cell r="R2402">
            <v>1</v>
          </cell>
          <cell r="S2402">
            <v>0</v>
          </cell>
          <cell r="T2402">
            <v>0</v>
          </cell>
          <cell r="U2402">
            <v>0</v>
          </cell>
          <cell r="V2402">
            <v>1</v>
          </cell>
          <cell r="W2402">
            <v>0</v>
          </cell>
          <cell r="X2402">
            <v>0</v>
          </cell>
          <cell r="Y2402">
            <v>0</v>
          </cell>
        </row>
        <row r="2403">
          <cell r="D2403">
            <v>302200</v>
          </cell>
          <cell r="E2403" t="str">
            <v>Culasi NHS</v>
          </cell>
          <cell r="F2403">
            <v>1</v>
          </cell>
          <cell r="G2403">
            <v>0</v>
          </cell>
          <cell r="H2403">
            <v>1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1</v>
          </cell>
          <cell r="O2403">
            <v>0</v>
          </cell>
          <cell r="P2403">
            <v>43135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3</v>
          </cell>
          <cell r="X2403">
            <v>1</v>
          </cell>
          <cell r="Y2403">
            <v>1</v>
          </cell>
        </row>
        <row r="2404">
          <cell r="D2404">
            <v>302190</v>
          </cell>
          <cell r="E2404" t="str">
            <v>Bulan NHS</v>
          </cell>
          <cell r="F2404">
            <v>1</v>
          </cell>
          <cell r="G2404">
            <v>1</v>
          </cell>
          <cell r="H2404">
            <v>1</v>
          </cell>
          <cell r="I2404">
            <v>0</v>
          </cell>
          <cell r="J2404">
            <v>0</v>
          </cell>
          <cell r="K2404">
            <v>1</v>
          </cell>
          <cell r="L2404">
            <v>0</v>
          </cell>
          <cell r="M2404">
            <v>0</v>
          </cell>
          <cell r="N2404">
            <v>1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1</v>
          </cell>
          <cell r="T2404">
            <v>0</v>
          </cell>
          <cell r="U2404">
            <v>0</v>
          </cell>
          <cell r="V2404">
            <v>1</v>
          </cell>
          <cell r="W2404">
            <v>0</v>
          </cell>
          <cell r="X2404">
            <v>0</v>
          </cell>
          <cell r="Y2404">
            <v>0</v>
          </cell>
        </row>
        <row r="2405">
          <cell r="D2405">
            <v>302271</v>
          </cell>
          <cell r="E2405" t="str">
            <v>Buenavista National High School</v>
          </cell>
          <cell r="F2405">
            <v>1</v>
          </cell>
          <cell r="G2405">
            <v>1</v>
          </cell>
          <cell r="H2405">
            <v>1</v>
          </cell>
          <cell r="I2405">
            <v>0</v>
          </cell>
          <cell r="J2405">
            <v>0</v>
          </cell>
          <cell r="K2405">
            <v>1</v>
          </cell>
          <cell r="L2405">
            <v>0</v>
          </cell>
          <cell r="M2405">
            <v>0</v>
          </cell>
          <cell r="N2405">
            <v>1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1</v>
          </cell>
          <cell r="T2405">
            <v>0</v>
          </cell>
          <cell r="U2405">
            <v>0</v>
          </cell>
          <cell r="V2405">
            <v>1</v>
          </cell>
          <cell r="W2405">
            <v>0</v>
          </cell>
          <cell r="X2405">
            <v>0</v>
          </cell>
          <cell r="Y2405">
            <v>0</v>
          </cell>
        </row>
        <row r="2406">
          <cell r="D2406">
            <v>302151</v>
          </cell>
          <cell r="E2406" t="str">
            <v>Mobo National High School</v>
          </cell>
          <cell r="F2406">
            <v>1</v>
          </cell>
          <cell r="G2406">
            <v>1</v>
          </cell>
          <cell r="H2406">
            <v>1</v>
          </cell>
          <cell r="I2406">
            <v>0</v>
          </cell>
          <cell r="J2406">
            <v>1</v>
          </cell>
          <cell r="K2406">
            <v>0</v>
          </cell>
          <cell r="L2406">
            <v>0</v>
          </cell>
          <cell r="M2406">
            <v>0</v>
          </cell>
          <cell r="N2406">
            <v>1</v>
          </cell>
          <cell r="O2406">
            <v>43294</v>
          </cell>
          <cell r="P2406">
            <v>43295</v>
          </cell>
          <cell r="Q2406">
            <v>0</v>
          </cell>
          <cell r="R2406">
            <v>1</v>
          </cell>
          <cell r="S2406">
            <v>0</v>
          </cell>
          <cell r="T2406">
            <v>0</v>
          </cell>
          <cell r="U2406">
            <v>0</v>
          </cell>
          <cell r="V2406">
            <v>1</v>
          </cell>
          <cell r="W2406">
            <v>4</v>
          </cell>
          <cell r="X2406">
            <v>0</v>
          </cell>
          <cell r="Y2406">
            <v>0</v>
          </cell>
        </row>
        <row r="2407">
          <cell r="D2407">
            <v>301807</v>
          </cell>
          <cell r="E2407" t="str">
            <v>Amtic HS</v>
          </cell>
          <cell r="F2407">
            <v>1</v>
          </cell>
          <cell r="G2407">
            <v>1</v>
          </cell>
          <cell r="H2407">
            <v>1</v>
          </cell>
          <cell r="I2407">
            <v>0</v>
          </cell>
          <cell r="J2407">
            <v>0</v>
          </cell>
          <cell r="K2407">
            <v>1</v>
          </cell>
          <cell r="L2407">
            <v>0</v>
          </cell>
          <cell r="M2407">
            <v>0</v>
          </cell>
          <cell r="N2407">
            <v>1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</row>
        <row r="2408">
          <cell r="D2408">
            <v>301864</v>
          </cell>
          <cell r="E2408" t="str">
            <v>Pio Duran National High School</v>
          </cell>
          <cell r="F2408">
            <v>1</v>
          </cell>
          <cell r="G2408">
            <v>1</v>
          </cell>
          <cell r="H2408">
            <v>1</v>
          </cell>
          <cell r="I2408">
            <v>0</v>
          </cell>
          <cell r="J2408">
            <v>0</v>
          </cell>
          <cell r="K2408">
            <v>0</v>
          </cell>
          <cell r="L2408">
            <v>1</v>
          </cell>
          <cell r="M2408" t="str">
            <v>As Needed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1</v>
          </cell>
          <cell r="U2408" t="str">
            <v>As needed</v>
          </cell>
          <cell r="V2408">
            <v>1</v>
          </cell>
          <cell r="W2408">
            <v>0</v>
          </cell>
          <cell r="X2408">
            <v>0</v>
          </cell>
          <cell r="Y2408">
            <v>0</v>
          </cell>
        </row>
        <row r="2409">
          <cell r="D2409">
            <v>301856</v>
          </cell>
          <cell r="E2409" t="str">
            <v>San Juan High School</v>
          </cell>
          <cell r="F2409">
            <v>1</v>
          </cell>
          <cell r="G2409">
            <v>1</v>
          </cell>
          <cell r="H2409">
            <v>1</v>
          </cell>
          <cell r="I2409">
            <v>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1</v>
          </cell>
          <cell r="O2409" t="str">
            <v>JUNE 7, 2019</v>
          </cell>
          <cell r="P2409" t="str">
            <v>JUNE 19,2019</v>
          </cell>
          <cell r="Q2409">
            <v>0</v>
          </cell>
          <cell r="R2409">
            <v>1</v>
          </cell>
          <cell r="S2409">
            <v>0</v>
          </cell>
          <cell r="T2409">
            <v>0</v>
          </cell>
          <cell r="U2409">
            <v>0</v>
          </cell>
          <cell r="V2409">
            <v>1</v>
          </cell>
          <cell r="W2409">
            <v>0</v>
          </cell>
          <cell r="X2409">
            <v>0</v>
          </cell>
          <cell r="Y2409">
            <v>0</v>
          </cell>
        </row>
        <row r="2410">
          <cell r="D2410">
            <v>302235</v>
          </cell>
          <cell r="E2410" t="str">
            <v>Jupi National High School</v>
          </cell>
          <cell r="F2410">
            <v>1</v>
          </cell>
          <cell r="G2410">
            <v>1</v>
          </cell>
          <cell r="H2410">
            <v>1</v>
          </cell>
          <cell r="I2410">
            <v>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1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</row>
        <row r="2411">
          <cell r="D2411">
            <v>301894</v>
          </cell>
          <cell r="E2411" t="str">
            <v>Labo Science and Tech. HS</v>
          </cell>
          <cell r="F2411">
            <v>1</v>
          </cell>
          <cell r="G2411">
            <v>1</v>
          </cell>
          <cell r="H2411">
            <v>1</v>
          </cell>
          <cell r="I2411">
            <v>0</v>
          </cell>
          <cell r="J2411">
            <v>1</v>
          </cell>
          <cell r="K2411">
            <v>0</v>
          </cell>
          <cell r="L2411">
            <v>0</v>
          </cell>
          <cell r="M2411">
            <v>0</v>
          </cell>
          <cell r="N2411">
            <v>1</v>
          </cell>
          <cell r="O2411" t="str">
            <v>JUNE 19,2019</v>
          </cell>
          <cell r="P2411" t="str">
            <v>SEPTEMBER 26,2019</v>
          </cell>
          <cell r="Q2411">
            <v>0</v>
          </cell>
          <cell r="R2411">
            <v>1</v>
          </cell>
          <cell r="S2411">
            <v>0</v>
          </cell>
          <cell r="T2411">
            <v>0</v>
          </cell>
          <cell r="U2411">
            <v>0</v>
          </cell>
          <cell r="V2411">
            <v>1</v>
          </cell>
          <cell r="W2411">
            <v>5</v>
          </cell>
          <cell r="X2411">
            <v>4</v>
          </cell>
          <cell r="Y2411">
            <v>4</v>
          </cell>
        </row>
        <row r="2412">
          <cell r="D2412">
            <v>301945</v>
          </cell>
          <cell r="E2412" t="str">
            <v>Binagasbasan NHS - Denrica Annex HS</v>
          </cell>
          <cell r="F2412">
            <v>1</v>
          </cell>
          <cell r="G2412">
            <v>1</v>
          </cell>
          <cell r="H2412">
            <v>1</v>
          </cell>
          <cell r="I2412">
            <v>0</v>
          </cell>
          <cell r="J2412">
            <v>0</v>
          </cell>
          <cell r="K2412">
            <v>1</v>
          </cell>
          <cell r="L2412">
            <v>0</v>
          </cell>
          <cell r="M2412">
            <v>0</v>
          </cell>
          <cell r="N2412">
            <v>1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1</v>
          </cell>
          <cell r="T2412">
            <v>0</v>
          </cell>
          <cell r="U2412">
            <v>0</v>
          </cell>
          <cell r="V2412">
            <v>1</v>
          </cell>
          <cell r="W2412">
            <v>0</v>
          </cell>
          <cell r="X2412">
            <v>0</v>
          </cell>
          <cell r="Y2412">
            <v>0</v>
          </cell>
        </row>
        <row r="2413">
          <cell r="D2413">
            <v>310201</v>
          </cell>
          <cell r="E2413" t="str">
            <v>Arimbay High School</v>
          </cell>
          <cell r="F2413">
            <v>1</v>
          </cell>
          <cell r="G2413">
            <v>1</v>
          </cell>
          <cell r="H2413">
            <v>0</v>
          </cell>
          <cell r="I2413">
            <v>0</v>
          </cell>
          <cell r="J2413">
            <v>1</v>
          </cell>
          <cell r="K2413">
            <v>0</v>
          </cell>
          <cell r="L2413">
            <v>0</v>
          </cell>
          <cell r="M2413">
            <v>0</v>
          </cell>
          <cell r="N2413">
            <v>1</v>
          </cell>
          <cell r="O2413">
            <v>0</v>
          </cell>
          <cell r="P2413">
            <v>43649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1</v>
          </cell>
          <cell r="W2413">
            <v>0</v>
          </cell>
          <cell r="X2413">
            <v>0</v>
          </cell>
          <cell r="Y2413">
            <v>0</v>
          </cell>
        </row>
        <row r="2414">
          <cell r="D2414">
            <v>302182</v>
          </cell>
          <cell r="E2414" t="str">
            <v>Bagacay NHS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</row>
        <row r="2415">
          <cell r="D2415">
            <v>301910</v>
          </cell>
          <cell r="E2415" t="str">
            <v>PARACALE NATIONAL HIGH SCHOOL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</row>
        <row r="2416">
          <cell r="D2416">
            <v>302270</v>
          </cell>
          <cell r="E2416" t="str">
            <v>Abuyog National High School</v>
          </cell>
          <cell r="F2416">
            <v>1</v>
          </cell>
          <cell r="G2416">
            <v>1</v>
          </cell>
          <cell r="H2416">
            <v>1</v>
          </cell>
          <cell r="I2416">
            <v>0</v>
          </cell>
          <cell r="J2416">
            <v>1</v>
          </cell>
          <cell r="K2416">
            <v>0</v>
          </cell>
          <cell r="L2416">
            <v>0</v>
          </cell>
          <cell r="M2416">
            <v>0</v>
          </cell>
          <cell r="N2416">
            <v>1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8</v>
          </cell>
          <cell r="X2416">
            <v>0</v>
          </cell>
          <cell r="Y2416">
            <v>0</v>
          </cell>
        </row>
        <row r="2417">
          <cell r="D2417">
            <v>302278</v>
          </cell>
          <cell r="E2417" t="str">
            <v>Sawanga National High School</v>
          </cell>
          <cell r="F2417">
            <v>1</v>
          </cell>
          <cell r="G2417">
            <v>1</v>
          </cell>
          <cell r="H2417">
            <v>1</v>
          </cell>
          <cell r="I2417">
            <v>0</v>
          </cell>
          <cell r="J2417">
            <v>1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</row>
        <row r="2418">
          <cell r="D2418">
            <v>301911</v>
          </cell>
          <cell r="E2418" t="str">
            <v>Gumaus NHS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0</v>
          </cell>
        </row>
        <row r="2419">
          <cell r="D2419">
            <v>301890</v>
          </cell>
          <cell r="E2419" t="str">
            <v>Batobalani National High School</v>
          </cell>
          <cell r="F2419">
            <v>0</v>
          </cell>
          <cell r="G2419">
            <v>0</v>
          </cell>
          <cell r="H2419">
            <v>1</v>
          </cell>
          <cell r="I2419">
            <v>0</v>
          </cell>
          <cell r="J2419">
            <v>0</v>
          </cell>
          <cell r="K2419">
            <v>0</v>
          </cell>
          <cell r="L2419">
            <v>1</v>
          </cell>
          <cell r="M2419" t="str">
            <v>not functional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</row>
        <row r="2420">
          <cell r="D2420">
            <v>500462</v>
          </cell>
          <cell r="E2420" t="str">
            <v>Bogña Integrated School</v>
          </cell>
          <cell r="F2420">
            <v>1</v>
          </cell>
          <cell r="G2420">
            <v>1</v>
          </cell>
          <cell r="H2420">
            <v>1</v>
          </cell>
          <cell r="I2420">
            <v>0</v>
          </cell>
          <cell r="J2420">
            <v>0</v>
          </cell>
          <cell r="K2420">
            <v>1</v>
          </cell>
          <cell r="L2420">
            <v>0</v>
          </cell>
          <cell r="M2420">
            <v>0</v>
          </cell>
          <cell r="N2420">
            <v>0</v>
          </cell>
          <cell r="O2420" t="str">
            <v>Oct. 18, 2019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1</v>
          </cell>
          <cell r="W2420">
            <v>1</v>
          </cell>
          <cell r="X2420">
            <v>0</v>
          </cell>
          <cell r="Y2420">
            <v>0</v>
          </cell>
        </row>
        <row r="2421">
          <cell r="D2421">
            <v>302099</v>
          </cell>
          <cell r="E2421" t="str">
            <v>Mabato NHS (SMRDHS Annex)</v>
          </cell>
          <cell r="F2421">
            <v>1</v>
          </cell>
          <cell r="G2421">
            <v>1</v>
          </cell>
          <cell r="H2421">
            <v>1</v>
          </cell>
          <cell r="I2421">
            <v>0</v>
          </cell>
          <cell r="J2421">
            <v>1</v>
          </cell>
          <cell r="K2421">
            <v>0</v>
          </cell>
          <cell r="L2421">
            <v>0</v>
          </cell>
          <cell r="M2421">
            <v>0</v>
          </cell>
          <cell r="N2421">
            <v>1</v>
          </cell>
          <cell r="O2421">
            <v>43525</v>
          </cell>
          <cell r="P2421">
            <v>0</v>
          </cell>
          <cell r="Q2421">
            <v>1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1</v>
          </cell>
          <cell r="W2421">
            <v>0</v>
          </cell>
          <cell r="X2421">
            <v>0</v>
          </cell>
          <cell r="Y2421">
            <v>0</v>
          </cell>
        </row>
        <row r="2422">
          <cell r="D2422">
            <v>302155</v>
          </cell>
          <cell r="E2422" t="str">
            <v>Palanas NHS</v>
          </cell>
          <cell r="F2422">
            <v>1</v>
          </cell>
          <cell r="G2422">
            <v>0</v>
          </cell>
          <cell r="H2422">
            <v>1</v>
          </cell>
          <cell r="I2422">
            <v>0</v>
          </cell>
          <cell r="J2422">
            <v>0</v>
          </cell>
          <cell r="K2422">
            <v>1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 t="str">
            <v>05/26/2019</v>
          </cell>
          <cell r="Q2422">
            <v>0</v>
          </cell>
          <cell r="R2422">
            <v>0</v>
          </cell>
          <cell r="S2422">
            <v>1</v>
          </cell>
          <cell r="T2422">
            <v>0</v>
          </cell>
          <cell r="U2422">
            <v>0</v>
          </cell>
          <cell r="V2422">
            <v>1</v>
          </cell>
          <cell r="W2422">
            <v>0</v>
          </cell>
          <cell r="X2422">
            <v>0</v>
          </cell>
          <cell r="Y2422">
            <v>0</v>
          </cell>
        </row>
        <row r="2423">
          <cell r="D2423">
            <v>500160</v>
          </cell>
          <cell r="E2423" t="str">
            <v>Lictin IS</v>
          </cell>
          <cell r="F2423">
            <v>1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</row>
        <row r="2424">
          <cell r="D2424">
            <v>301833</v>
          </cell>
          <cell r="E2424" t="str">
            <v>Libon Agro-Industrial High School</v>
          </cell>
          <cell r="F2424">
            <v>1</v>
          </cell>
          <cell r="G2424">
            <v>0</v>
          </cell>
          <cell r="H2424">
            <v>1</v>
          </cell>
          <cell r="I2424">
            <v>0</v>
          </cell>
          <cell r="J2424">
            <v>1</v>
          </cell>
          <cell r="K2424">
            <v>0</v>
          </cell>
          <cell r="L2424">
            <v>0</v>
          </cell>
          <cell r="M2424">
            <v>0</v>
          </cell>
          <cell r="N2424">
            <v>1</v>
          </cell>
          <cell r="O2424">
            <v>43593</v>
          </cell>
          <cell r="P2424">
            <v>43593</v>
          </cell>
          <cell r="Q2424">
            <v>0</v>
          </cell>
          <cell r="R2424">
            <v>1</v>
          </cell>
          <cell r="S2424">
            <v>0</v>
          </cell>
          <cell r="T2424">
            <v>0</v>
          </cell>
          <cell r="U2424">
            <v>0</v>
          </cell>
          <cell r="V2424">
            <v>1</v>
          </cell>
          <cell r="W2424">
            <v>0</v>
          </cell>
          <cell r="X2424">
            <v>0</v>
          </cell>
          <cell r="Y2424">
            <v>0</v>
          </cell>
        </row>
        <row r="2425">
          <cell r="D2425">
            <v>302204</v>
          </cell>
          <cell r="E2425" t="str">
            <v>Donsol National Comprehensive HS</v>
          </cell>
          <cell r="F2425">
            <v>1</v>
          </cell>
          <cell r="G2425">
            <v>1</v>
          </cell>
          <cell r="H2425">
            <v>1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1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1</v>
          </cell>
          <cell r="W2425">
            <v>2</v>
          </cell>
          <cell r="X2425">
            <v>2</v>
          </cell>
          <cell r="Y2425">
            <v>2</v>
          </cell>
        </row>
        <row r="2426">
          <cell r="D2426">
            <v>302282</v>
          </cell>
          <cell r="E2426" t="str">
            <v>San Antonio NHS, Tabaco</v>
          </cell>
          <cell r="F2426">
            <v>1</v>
          </cell>
          <cell r="G2426">
            <v>1</v>
          </cell>
          <cell r="H2426">
            <v>1</v>
          </cell>
          <cell r="I2426">
            <v>0</v>
          </cell>
          <cell r="J2426">
            <v>0</v>
          </cell>
          <cell r="K2426">
            <v>0</v>
          </cell>
          <cell r="L2426">
            <v>1</v>
          </cell>
          <cell r="M2426" t="str">
            <v>as the need arises</v>
          </cell>
          <cell r="N2426">
            <v>1</v>
          </cell>
          <cell r="O2426">
            <v>43678</v>
          </cell>
          <cell r="P2426">
            <v>43647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1</v>
          </cell>
          <cell r="W2426">
            <v>0</v>
          </cell>
          <cell r="X2426">
            <v>0</v>
          </cell>
          <cell r="Y2426">
            <v>0</v>
          </cell>
        </row>
        <row r="2427">
          <cell r="D2427">
            <v>301892</v>
          </cell>
          <cell r="E2427" t="str">
            <v>D. Q. Liwag NHS</v>
          </cell>
          <cell r="F2427">
            <v>1</v>
          </cell>
          <cell r="G2427">
            <v>1</v>
          </cell>
          <cell r="H2427">
            <v>1</v>
          </cell>
          <cell r="I2427">
            <v>0</v>
          </cell>
          <cell r="J2427">
            <v>0</v>
          </cell>
          <cell r="K2427">
            <v>0</v>
          </cell>
          <cell r="L2427">
            <v>1</v>
          </cell>
          <cell r="M2427" t="str">
            <v>IF NEEDED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</row>
        <row r="2428">
          <cell r="D2428">
            <v>301837</v>
          </cell>
          <cell r="E2428" t="str">
            <v>Ligao NHS</v>
          </cell>
          <cell r="F2428">
            <v>1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1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</row>
        <row r="2429">
          <cell r="D2429">
            <v>302253</v>
          </cell>
          <cell r="E2429" t="str">
            <v>Zeferino Arroyo HS</v>
          </cell>
          <cell r="F2429">
            <v>1</v>
          </cell>
          <cell r="G2429">
            <v>1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</row>
        <row r="2430">
          <cell r="D2430">
            <v>309602</v>
          </cell>
          <cell r="E2430" t="str">
            <v>Maulawin National High School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1</v>
          </cell>
          <cell r="M2430" t="str">
            <v>as necessary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1</v>
          </cell>
          <cell r="U2430" t="str">
            <v>as necessary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</row>
        <row r="2431">
          <cell r="D2431">
            <v>301955</v>
          </cell>
          <cell r="E2431" t="str">
            <v>West Coast High School</v>
          </cell>
          <cell r="F2431">
            <v>1</v>
          </cell>
          <cell r="G2431">
            <v>1</v>
          </cell>
          <cell r="H2431">
            <v>1</v>
          </cell>
          <cell r="I2431">
            <v>0</v>
          </cell>
          <cell r="J2431">
            <v>1</v>
          </cell>
          <cell r="K2431">
            <v>0</v>
          </cell>
          <cell r="L2431">
            <v>0</v>
          </cell>
          <cell r="M2431">
            <v>0</v>
          </cell>
          <cell r="N2431">
            <v>1</v>
          </cell>
          <cell r="O2431" t="str">
            <v>09/dd/2019</v>
          </cell>
          <cell r="P2431" t="str">
            <v>08/dd/2019</v>
          </cell>
          <cell r="Q2431">
            <v>0</v>
          </cell>
          <cell r="R2431">
            <v>1</v>
          </cell>
          <cell r="S2431">
            <v>0</v>
          </cell>
          <cell r="T2431">
            <v>0</v>
          </cell>
          <cell r="U2431">
            <v>0</v>
          </cell>
          <cell r="V2431">
            <v>1</v>
          </cell>
          <cell r="W2431">
            <v>0</v>
          </cell>
          <cell r="X2431">
            <v>0</v>
          </cell>
          <cell r="Y2431">
            <v>0</v>
          </cell>
        </row>
        <row r="2432">
          <cell r="D2432">
            <v>500466</v>
          </cell>
          <cell r="E2432" t="str">
            <v>Rizal Integrated National School</v>
          </cell>
          <cell r="F2432">
            <v>1</v>
          </cell>
          <cell r="G2432">
            <v>1</v>
          </cell>
          <cell r="H2432">
            <v>1</v>
          </cell>
          <cell r="I2432">
            <v>1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1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1</v>
          </cell>
          <cell r="W2432">
            <v>0</v>
          </cell>
          <cell r="X2432">
            <v>0</v>
          </cell>
          <cell r="Y2432">
            <v>0</v>
          </cell>
        </row>
        <row r="2433">
          <cell r="D2433">
            <v>309612</v>
          </cell>
          <cell r="E2433" t="str">
            <v>Porfirio R. Ponayo HS</v>
          </cell>
          <cell r="F2433">
            <v>1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1</v>
          </cell>
          <cell r="M2433">
            <v>0</v>
          </cell>
          <cell r="N2433">
            <v>0</v>
          </cell>
          <cell r="O2433" t="str">
            <v>N/A</v>
          </cell>
          <cell r="P2433" t="str">
            <v>N/A</v>
          </cell>
          <cell r="Q2433">
            <v>0</v>
          </cell>
          <cell r="R2433">
            <v>0</v>
          </cell>
          <cell r="S2433">
            <v>0</v>
          </cell>
          <cell r="T2433">
            <v>1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</row>
        <row r="2434">
          <cell r="D2434">
            <v>309621</v>
          </cell>
          <cell r="E2434" t="str">
            <v>MAXIMO MANARANG HIGH SCHOOL</v>
          </cell>
          <cell r="F2434">
            <v>1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</row>
        <row r="2435">
          <cell r="D2435">
            <v>309908</v>
          </cell>
          <cell r="E2435" t="str">
            <v>Mary Perpetua E. Brioso Memorial High School</v>
          </cell>
          <cell r="F2435">
            <v>1</v>
          </cell>
          <cell r="G2435">
            <v>0</v>
          </cell>
          <cell r="H2435">
            <v>1</v>
          </cell>
          <cell r="I2435">
            <v>0</v>
          </cell>
          <cell r="J2435">
            <v>0</v>
          </cell>
          <cell r="K2435">
            <v>1</v>
          </cell>
          <cell r="L2435">
            <v>0</v>
          </cell>
          <cell r="M2435">
            <v>0</v>
          </cell>
          <cell r="N2435">
            <v>1</v>
          </cell>
          <cell r="O2435">
            <v>43608</v>
          </cell>
          <cell r="P2435">
            <v>0</v>
          </cell>
          <cell r="Q2435">
            <v>0</v>
          </cell>
          <cell r="R2435">
            <v>0</v>
          </cell>
          <cell r="S2435">
            <v>1</v>
          </cell>
          <cell r="T2435">
            <v>0</v>
          </cell>
          <cell r="U2435">
            <v>0</v>
          </cell>
          <cell r="V2435">
            <v>1</v>
          </cell>
          <cell r="W2435">
            <v>0</v>
          </cell>
          <cell r="X2435">
            <v>0</v>
          </cell>
          <cell r="Y2435">
            <v>0</v>
          </cell>
        </row>
        <row r="2436">
          <cell r="D2436">
            <v>302041</v>
          </cell>
          <cell r="E2436" t="str">
            <v>San Ramon HS</v>
          </cell>
          <cell r="F2436">
            <v>1</v>
          </cell>
          <cell r="G2436">
            <v>1</v>
          </cell>
          <cell r="H2436">
            <v>1</v>
          </cell>
          <cell r="I2436">
            <v>0</v>
          </cell>
          <cell r="J2436">
            <v>0</v>
          </cell>
          <cell r="K2436">
            <v>1</v>
          </cell>
          <cell r="L2436">
            <v>0</v>
          </cell>
          <cell r="M2436">
            <v>0</v>
          </cell>
          <cell r="N2436">
            <v>1</v>
          </cell>
          <cell r="O2436">
            <v>0</v>
          </cell>
          <cell r="P2436">
            <v>43718</v>
          </cell>
          <cell r="Q2436">
            <v>1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</row>
        <row r="2437">
          <cell r="D2437">
            <v>301921</v>
          </cell>
          <cell r="E2437" t="str">
            <v>Tigbinan NHS</v>
          </cell>
          <cell r="F2437">
            <v>1</v>
          </cell>
          <cell r="G2437">
            <v>1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</row>
        <row r="2438">
          <cell r="D2438">
            <v>301828</v>
          </cell>
          <cell r="E2438" t="str">
            <v>Itaran National High School</v>
          </cell>
          <cell r="F2438">
            <v>0</v>
          </cell>
          <cell r="G2438">
            <v>0</v>
          </cell>
          <cell r="H2438">
            <v>1</v>
          </cell>
          <cell r="I2438">
            <v>0</v>
          </cell>
          <cell r="J2438">
            <v>0</v>
          </cell>
          <cell r="K2438">
            <v>0</v>
          </cell>
          <cell r="L2438">
            <v>1</v>
          </cell>
          <cell r="M2438" t="str">
            <v>AS THE NEEDS ARISE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</row>
        <row r="2439">
          <cell r="D2439">
            <v>309622</v>
          </cell>
          <cell r="E2439" t="str">
            <v>Camarines Norte NHS-Annex</v>
          </cell>
          <cell r="F2439">
            <v>1</v>
          </cell>
          <cell r="G2439">
            <v>1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</row>
        <row r="2440">
          <cell r="D2440">
            <v>302150</v>
          </cell>
          <cell r="E2440" t="str">
            <v>Milagros National High School</v>
          </cell>
          <cell r="F2440">
            <v>1</v>
          </cell>
          <cell r="G2440">
            <v>1</v>
          </cell>
          <cell r="H2440">
            <v>1</v>
          </cell>
          <cell r="I2440">
            <v>0</v>
          </cell>
          <cell r="J2440">
            <v>0</v>
          </cell>
          <cell r="K2440">
            <v>1</v>
          </cell>
          <cell r="L2440">
            <v>0</v>
          </cell>
          <cell r="M2440">
            <v>0</v>
          </cell>
          <cell r="N2440">
            <v>1</v>
          </cell>
          <cell r="O2440" t="str">
            <v>July 2019</v>
          </cell>
          <cell r="P2440" t="str">
            <v>July 2019</v>
          </cell>
          <cell r="Q2440">
            <v>0</v>
          </cell>
          <cell r="R2440">
            <v>0</v>
          </cell>
          <cell r="S2440">
            <v>1</v>
          </cell>
          <cell r="T2440">
            <v>0</v>
          </cell>
          <cell r="U2440">
            <v>0</v>
          </cell>
          <cell r="V2440">
            <v>1</v>
          </cell>
          <cell r="W2440">
            <v>0</v>
          </cell>
          <cell r="X2440">
            <v>0</v>
          </cell>
          <cell r="Y2440">
            <v>0</v>
          </cell>
        </row>
        <row r="2441">
          <cell r="D2441">
            <v>309765</v>
          </cell>
          <cell r="E2441" t="str">
            <v>Pag-Oring Nuevo National HS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</row>
        <row r="2442">
          <cell r="D2442">
            <v>302138</v>
          </cell>
          <cell r="E2442" t="str">
            <v>Ipil NHS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1</v>
          </cell>
          <cell r="M2442" t="str">
            <v>none</v>
          </cell>
          <cell r="N2442">
            <v>0</v>
          </cell>
          <cell r="O2442" t="str">
            <v>none</v>
          </cell>
          <cell r="P2442" t="str">
            <v>none</v>
          </cell>
          <cell r="Q2442">
            <v>0</v>
          </cell>
          <cell r="R2442">
            <v>0</v>
          </cell>
          <cell r="S2442">
            <v>0</v>
          </cell>
          <cell r="T2442">
            <v>1</v>
          </cell>
          <cell r="U2442" t="str">
            <v>none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</row>
        <row r="2443">
          <cell r="D2443">
            <v>302228</v>
          </cell>
          <cell r="E2443" t="str">
            <v>Oras National High School</v>
          </cell>
          <cell r="F2443">
            <v>0</v>
          </cell>
          <cell r="G2443">
            <v>0</v>
          </cell>
          <cell r="H2443">
            <v>1</v>
          </cell>
          <cell r="I2443">
            <v>0</v>
          </cell>
          <cell r="J2443">
            <v>0</v>
          </cell>
          <cell r="K2443">
            <v>1</v>
          </cell>
          <cell r="L2443">
            <v>0</v>
          </cell>
          <cell r="M2443">
            <v>0</v>
          </cell>
          <cell r="N2443">
            <v>1</v>
          </cell>
          <cell r="O2443" t="str">
            <v>06/00/2019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1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</row>
        <row r="2444">
          <cell r="D2444">
            <v>301855</v>
          </cell>
          <cell r="E2444" t="str">
            <v>Oas Polytechnic School</v>
          </cell>
          <cell r="F2444">
            <v>1</v>
          </cell>
          <cell r="G2444">
            <v>0</v>
          </cell>
          <cell r="H2444">
            <v>1</v>
          </cell>
          <cell r="I2444">
            <v>0</v>
          </cell>
          <cell r="J2444">
            <v>0</v>
          </cell>
          <cell r="K2444">
            <v>0</v>
          </cell>
          <cell r="L2444">
            <v>1</v>
          </cell>
          <cell r="M2444" t="str">
            <v>AS NEEDED</v>
          </cell>
          <cell r="N2444">
            <v>1</v>
          </cell>
          <cell r="O2444" t="str">
            <v>9/25/2019</v>
          </cell>
          <cell r="P2444" t="str">
            <v>9/26/2019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0</v>
          </cell>
          <cell r="V2444">
            <v>1</v>
          </cell>
          <cell r="W2444">
            <v>0</v>
          </cell>
          <cell r="X2444">
            <v>0</v>
          </cell>
          <cell r="Y2444">
            <v>0</v>
          </cell>
        </row>
        <row r="2445">
          <cell r="D2445">
            <v>302038</v>
          </cell>
          <cell r="E2445" t="str">
            <v>San Rafael National High School</v>
          </cell>
          <cell r="F2445">
            <v>1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</row>
        <row r="2446">
          <cell r="D2446">
            <v>301846</v>
          </cell>
          <cell r="E2446" t="str">
            <v>Cawayan High School</v>
          </cell>
          <cell r="F2446">
            <v>1</v>
          </cell>
          <cell r="G2446">
            <v>0</v>
          </cell>
          <cell r="H2446">
            <v>1</v>
          </cell>
          <cell r="I2446">
            <v>0</v>
          </cell>
          <cell r="J2446">
            <v>0</v>
          </cell>
          <cell r="K2446">
            <v>0</v>
          </cell>
          <cell r="L2446">
            <v>1</v>
          </cell>
          <cell r="M2446" t="str">
            <v>AS NEED ARISES</v>
          </cell>
          <cell r="N2446">
            <v>0</v>
          </cell>
          <cell r="O2446">
            <v>0</v>
          </cell>
          <cell r="P2446">
            <v>43699</v>
          </cell>
          <cell r="Q2446">
            <v>0</v>
          </cell>
          <cell r="R2446">
            <v>1</v>
          </cell>
          <cell r="S2446">
            <v>0</v>
          </cell>
          <cell r="T2446">
            <v>0</v>
          </cell>
          <cell r="U2446">
            <v>0</v>
          </cell>
          <cell r="V2446">
            <v>1</v>
          </cell>
          <cell r="W2446">
            <v>0</v>
          </cell>
          <cell r="X2446">
            <v>0</v>
          </cell>
          <cell r="Y2446">
            <v>0</v>
          </cell>
        </row>
        <row r="2447">
          <cell r="D2447">
            <v>302067</v>
          </cell>
          <cell r="E2447" t="str">
            <v>Villamayor HS - Bagolatao Annex HS</v>
          </cell>
          <cell r="F2447">
            <v>1</v>
          </cell>
          <cell r="G2447">
            <v>1</v>
          </cell>
          <cell r="H2447">
            <v>1</v>
          </cell>
          <cell r="I2447">
            <v>0</v>
          </cell>
          <cell r="J2447">
            <v>0</v>
          </cell>
          <cell r="K2447">
            <v>1</v>
          </cell>
          <cell r="L2447">
            <v>1</v>
          </cell>
          <cell r="M2447" t="str">
            <v>Twice a year</v>
          </cell>
          <cell r="N2447">
            <v>0</v>
          </cell>
          <cell r="O2447">
            <v>0</v>
          </cell>
          <cell r="P2447" t="str">
            <v>10-15-2019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1</v>
          </cell>
          <cell r="W2447">
            <v>0</v>
          </cell>
          <cell r="X2447">
            <v>0</v>
          </cell>
          <cell r="Y2447">
            <v>0</v>
          </cell>
        </row>
        <row r="2448">
          <cell r="D2448">
            <v>309723</v>
          </cell>
          <cell r="E2448" t="str">
            <v>Del Rosario National HS</v>
          </cell>
          <cell r="F2448">
            <v>1</v>
          </cell>
          <cell r="G2448">
            <v>1</v>
          </cell>
          <cell r="H2448">
            <v>1</v>
          </cell>
          <cell r="I2448">
            <v>0</v>
          </cell>
          <cell r="J2448">
            <v>1</v>
          </cell>
          <cell r="K2448">
            <v>0</v>
          </cell>
          <cell r="L2448">
            <v>0</v>
          </cell>
          <cell r="M2448">
            <v>0</v>
          </cell>
          <cell r="N2448">
            <v>1</v>
          </cell>
          <cell r="O2448" t="str">
            <v>June 11, 2019</v>
          </cell>
          <cell r="P2448" t="str">
            <v>June 15, 2019</v>
          </cell>
          <cell r="Q2448">
            <v>0</v>
          </cell>
          <cell r="R2448">
            <v>1</v>
          </cell>
          <cell r="S2448">
            <v>0</v>
          </cell>
          <cell r="T2448">
            <v>0</v>
          </cell>
          <cell r="U2448">
            <v>0</v>
          </cell>
          <cell r="V2448">
            <v>1</v>
          </cell>
          <cell r="W2448">
            <v>3</v>
          </cell>
          <cell r="X2448">
            <v>3</v>
          </cell>
          <cell r="Y2448">
            <v>3</v>
          </cell>
        </row>
        <row r="2449">
          <cell r="D2449">
            <v>301878</v>
          </cell>
          <cell r="E2449" t="str">
            <v>Sogod National High school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</row>
        <row r="2450">
          <cell r="D2450">
            <v>310402</v>
          </cell>
          <cell r="E2450" t="str">
            <v>Panlayaan Technical Vocational High School</v>
          </cell>
          <cell r="F2450">
            <v>1</v>
          </cell>
          <cell r="G2450">
            <v>1</v>
          </cell>
          <cell r="H2450">
            <v>1</v>
          </cell>
          <cell r="I2450">
            <v>0</v>
          </cell>
          <cell r="J2450">
            <v>1</v>
          </cell>
          <cell r="K2450">
            <v>0</v>
          </cell>
          <cell r="L2450">
            <v>0</v>
          </cell>
          <cell r="M2450">
            <v>0</v>
          </cell>
          <cell r="N2450">
            <v>1</v>
          </cell>
          <cell r="O2450">
            <v>0</v>
          </cell>
          <cell r="P2450">
            <v>43255</v>
          </cell>
          <cell r="Q2450">
            <v>0</v>
          </cell>
          <cell r="R2450">
            <v>1</v>
          </cell>
          <cell r="S2450">
            <v>0</v>
          </cell>
          <cell r="T2450">
            <v>0</v>
          </cell>
          <cell r="U2450">
            <v>0</v>
          </cell>
          <cell r="V2450">
            <v>1</v>
          </cell>
          <cell r="W2450">
            <v>0</v>
          </cell>
          <cell r="X2450">
            <v>0</v>
          </cell>
          <cell r="Y2450">
            <v>0</v>
          </cell>
        </row>
        <row r="2451">
          <cell r="D2451">
            <v>309755</v>
          </cell>
          <cell r="E2451" t="str">
            <v>Sacred Heart High School</v>
          </cell>
          <cell r="F2451">
            <v>1</v>
          </cell>
          <cell r="G2451">
            <v>1</v>
          </cell>
          <cell r="H2451">
            <v>1</v>
          </cell>
          <cell r="I2451">
            <v>0</v>
          </cell>
          <cell r="J2451">
            <v>1</v>
          </cell>
          <cell r="K2451">
            <v>0</v>
          </cell>
          <cell r="L2451">
            <v>0</v>
          </cell>
          <cell r="M2451">
            <v>0</v>
          </cell>
          <cell r="N2451">
            <v>1</v>
          </cell>
          <cell r="O2451">
            <v>43663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1</v>
          </cell>
          <cell r="W2451">
            <v>0</v>
          </cell>
          <cell r="X2451">
            <v>0</v>
          </cell>
          <cell r="Y2451">
            <v>0</v>
          </cell>
        </row>
        <row r="2452">
          <cell r="D2452">
            <v>309604</v>
          </cell>
          <cell r="E2452" t="str">
            <v>Eugenia M. Quintela Memorial High School</v>
          </cell>
          <cell r="F2452">
            <v>1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</row>
        <row r="2453">
          <cell r="D2453">
            <v>301883</v>
          </cell>
          <cell r="E2453" t="str">
            <v>Bogtong National High School</v>
          </cell>
          <cell r="F2453">
            <v>1</v>
          </cell>
          <cell r="G2453">
            <v>1</v>
          </cell>
          <cell r="H2453">
            <v>1</v>
          </cell>
          <cell r="I2453">
            <v>1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1</v>
          </cell>
          <cell r="O2453">
            <v>0</v>
          </cell>
          <cell r="P2453">
            <v>0</v>
          </cell>
          <cell r="Q2453">
            <v>1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1</v>
          </cell>
          <cell r="W2453">
            <v>3</v>
          </cell>
          <cell r="X2453">
            <v>1</v>
          </cell>
          <cell r="Y2453">
            <v>0</v>
          </cell>
        </row>
        <row r="2454">
          <cell r="D2454">
            <v>301914</v>
          </cell>
          <cell r="E2454" t="str">
            <v>Sabang NHS</v>
          </cell>
          <cell r="F2454">
            <v>1</v>
          </cell>
          <cell r="G2454">
            <v>1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</row>
        <row r="2455">
          <cell r="D2455">
            <v>309934</v>
          </cell>
          <cell r="E2455" t="str">
            <v>Libertad National  High School</v>
          </cell>
          <cell r="F2455">
            <v>1</v>
          </cell>
          <cell r="G2455">
            <v>1</v>
          </cell>
          <cell r="H2455">
            <v>1</v>
          </cell>
          <cell r="I2455">
            <v>0</v>
          </cell>
          <cell r="J2455">
            <v>0</v>
          </cell>
          <cell r="K2455">
            <v>1</v>
          </cell>
          <cell r="L2455">
            <v>0</v>
          </cell>
          <cell r="M2455">
            <v>0</v>
          </cell>
          <cell r="N2455">
            <v>1</v>
          </cell>
          <cell r="O2455" t="str">
            <v>10/18/2019</v>
          </cell>
          <cell r="P2455">
            <v>0</v>
          </cell>
          <cell r="Q2455">
            <v>1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1</v>
          </cell>
          <cell r="W2455">
            <v>0</v>
          </cell>
          <cell r="X2455">
            <v>0</v>
          </cell>
          <cell r="Y2455">
            <v>0</v>
          </cell>
        </row>
        <row r="2456">
          <cell r="D2456">
            <v>302083</v>
          </cell>
          <cell r="E2456" t="str">
            <v>Catanduanes NHS</v>
          </cell>
          <cell r="F2456">
            <v>1</v>
          </cell>
          <cell r="G2456">
            <v>0</v>
          </cell>
          <cell r="H2456">
            <v>0</v>
          </cell>
          <cell r="I2456">
            <v>0</v>
          </cell>
          <cell r="J2456">
            <v>1</v>
          </cell>
          <cell r="K2456">
            <v>0</v>
          </cell>
          <cell r="L2456">
            <v>0</v>
          </cell>
          <cell r="M2456">
            <v>0</v>
          </cell>
          <cell r="N2456">
            <v>1</v>
          </cell>
          <cell r="O2456">
            <v>43301</v>
          </cell>
          <cell r="P2456">
            <v>43301</v>
          </cell>
          <cell r="Q2456">
            <v>0</v>
          </cell>
          <cell r="R2456">
            <v>1</v>
          </cell>
          <cell r="S2456">
            <v>0</v>
          </cell>
          <cell r="T2456">
            <v>0</v>
          </cell>
          <cell r="U2456">
            <v>0</v>
          </cell>
          <cell r="V2456">
            <v>1</v>
          </cell>
          <cell r="W2456">
            <v>0</v>
          </cell>
          <cell r="X2456">
            <v>0</v>
          </cell>
          <cell r="Y2456">
            <v>0</v>
          </cell>
        </row>
        <row r="2457">
          <cell r="D2457">
            <v>302010</v>
          </cell>
          <cell r="E2457" t="str">
            <v>Palsong NHS</v>
          </cell>
          <cell r="F2457">
            <v>1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</row>
        <row r="2458">
          <cell r="D2458">
            <v>301895</v>
          </cell>
          <cell r="E2458" t="str">
            <v>Gonzalez-Ascutia HS</v>
          </cell>
          <cell r="F2458">
            <v>1</v>
          </cell>
          <cell r="G2458">
            <v>1</v>
          </cell>
          <cell r="H2458">
            <v>1</v>
          </cell>
          <cell r="I2458">
            <v>0</v>
          </cell>
          <cell r="J2458">
            <v>0</v>
          </cell>
          <cell r="K2458">
            <v>1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</row>
        <row r="2459">
          <cell r="D2459">
            <v>302194</v>
          </cell>
          <cell r="E2459" t="str">
            <v>Cabugao NHS</v>
          </cell>
          <cell r="F2459">
            <v>1</v>
          </cell>
          <cell r="G2459">
            <v>1</v>
          </cell>
          <cell r="H2459">
            <v>1</v>
          </cell>
          <cell r="I2459">
            <v>0</v>
          </cell>
          <cell r="J2459">
            <v>1</v>
          </cell>
          <cell r="K2459">
            <v>0</v>
          </cell>
          <cell r="L2459">
            <v>0</v>
          </cell>
          <cell r="M2459">
            <v>0</v>
          </cell>
          <cell r="N2459">
            <v>1</v>
          </cell>
          <cell r="O2459">
            <v>0</v>
          </cell>
          <cell r="P2459">
            <v>0</v>
          </cell>
          <cell r="Q2459">
            <v>0</v>
          </cell>
          <cell r="R2459">
            <v>1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2</v>
          </cell>
          <cell r="X2459">
            <v>1</v>
          </cell>
          <cell r="Y2459">
            <v>1</v>
          </cell>
        </row>
        <row r="2460">
          <cell r="D2460">
            <v>309930</v>
          </cell>
          <cell r="E2460" t="str">
            <v>Gerardo C. CardiÃ±o Sr. HS</v>
          </cell>
          <cell r="F2460">
            <v>1</v>
          </cell>
          <cell r="G2460">
            <v>1</v>
          </cell>
          <cell r="H2460">
            <v>1</v>
          </cell>
          <cell r="I2460">
            <v>0</v>
          </cell>
          <cell r="J2460">
            <v>1</v>
          </cell>
          <cell r="K2460">
            <v>0</v>
          </cell>
          <cell r="L2460">
            <v>0</v>
          </cell>
          <cell r="M2460">
            <v>0</v>
          </cell>
          <cell r="N2460">
            <v>1</v>
          </cell>
          <cell r="O2460">
            <v>43649</v>
          </cell>
          <cell r="P2460">
            <v>43651</v>
          </cell>
          <cell r="Q2460">
            <v>1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1</v>
          </cell>
          <cell r="W2460">
            <v>0</v>
          </cell>
          <cell r="X2460">
            <v>0</v>
          </cell>
          <cell r="Y2460">
            <v>0</v>
          </cell>
        </row>
        <row r="2461">
          <cell r="D2461">
            <v>301810</v>
          </cell>
          <cell r="E2461" t="str">
            <v>Malinao National High School</v>
          </cell>
          <cell r="F2461">
            <v>1</v>
          </cell>
          <cell r="G2461">
            <v>0</v>
          </cell>
          <cell r="H2461">
            <v>1</v>
          </cell>
          <cell r="I2461">
            <v>0</v>
          </cell>
          <cell r="J2461">
            <v>0</v>
          </cell>
          <cell r="K2461">
            <v>1</v>
          </cell>
          <cell r="L2461">
            <v>0</v>
          </cell>
          <cell r="M2461">
            <v>0</v>
          </cell>
          <cell r="N2461">
            <v>1</v>
          </cell>
          <cell r="O2461">
            <v>43653</v>
          </cell>
          <cell r="P2461">
            <v>43652</v>
          </cell>
          <cell r="Q2461">
            <v>0</v>
          </cell>
          <cell r="R2461">
            <v>1</v>
          </cell>
          <cell r="S2461">
            <v>0</v>
          </cell>
          <cell r="T2461">
            <v>0</v>
          </cell>
          <cell r="U2461">
            <v>0</v>
          </cell>
          <cell r="V2461">
            <v>1</v>
          </cell>
          <cell r="W2461">
            <v>0</v>
          </cell>
          <cell r="X2461">
            <v>0</v>
          </cell>
          <cell r="Y2461">
            <v>0</v>
          </cell>
        </row>
        <row r="2462">
          <cell r="D2462">
            <v>302262</v>
          </cell>
          <cell r="E2462" t="str">
            <v>Gogon High School</v>
          </cell>
          <cell r="F2462">
            <v>1</v>
          </cell>
          <cell r="G2462">
            <v>1</v>
          </cell>
          <cell r="H2462">
            <v>1</v>
          </cell>
          <cell r="I2462">
            <v>0</v>
          </cell>
          <cell r="J2462">
            <v>1</v>
          </cell>
          <cell r="K2462">
            <v>0</v>
          </cell>
          <cell r="L2462">
            <v>0</v>
          </cell>
          <cell r="M2462">
            <v>0</v>
          </cell>
          <cell r="N2462">
            <v>1</v>
          </cell>
          <cell r="O2462" t="str">
            <v>9-24-2019</v>
          </cell>
          <cell r="P2462" t="str">
            <v>9-23-2019</v>
          </cell>
          <cell r="Q2462">
            <v>0</v>
          </cell>
          <cell r="R2462">
            <v>1</v>
          </cell>
          <cell r="S2462">
            <v>0</v>
          </cell>
          <cell r="T2462">
            <v>0</v>
          </cell>
          <cell r="U2462">
            <v>0</v>
          </cell>
          <cell r="V2462">
            <v>1</v>
          </cell>
          <cell r="W2462">
            <v>2</v>
          </cell>
          <cell r="X2462">
            <v>0</v>
          </cell>
          <cell r="Y2462">
            <v>0</v>
          </cell>
        </row>
        <row r="2463">
          <cell r="D2463">
            <v>302260</v>
          </cell>
          <cell r="E2463" t="str">
            <v>Cabangan High School</v>
          </cell>
          <cell r="F2463">
            <v>1</v>
          </cell>
          <cell r="G2463">
            <v>1</v>
          </cell>
          <cell r="H2463">
            <v>1</v>
          </cell>
          <cell r="I2463">
            <v>1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1</v>
          </cell>
          <cell r="O2463">
            <v>0</v>
          </cell>
          <cell r="P2463">
            <v>0</v>
          </cell>
          <cell r="Q2463">
            <v>1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1</v>
          </cell>
          <cell r="W2463">
            <v>0</v>
          </cell>
          <cell r="X2463">
            <v>0</v>
          </cell>
          <cell r="Y2463">
            <v>0</v>
          </cell>
        </row>
        <row r="2464">
          <cell r="D2464">
            <v>302217</v>
          </cell>
          <cell r="E2464" t="str">
            <v>Lungib National High School</v>
          </cell>
          <cell r="F2464">
            <v>1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</row>
        <row r="2465">
          <cell r="D2465">
            <v>302245</v>
          </cell>
          <cell r="E2465" t="str">
            <v>Sta. Magdalena National High School</v>
          </cell>
          <cell r="F2465">
            <v>1</v>
          </cell>
          <cell r="G2465">
            <v>1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</row>
        <row r="2466">
          <cell r="D2466">
            <v>301814</v>
          </cell>
          <cell r="E2466" t="str">
            <v>Bicol Regional Science HS</v>
          </cell>
          <cell r="F2466">
            <v>1</v>
          </cell>
          <cell r="G2466">
            <v>1</v>
          </cell>
          <cell r="H2466">
            <v>1</v>
          </cell>
          <cell r="I2466">
            <v>1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1</v>
          </cell>
          <cell r="O2466" t="str">
            <v xml:space="preserve"> August 2019</v>
          </cell>
          <cell r="P2466" t="str">
            <v xml:space="preserve"> August 2019</v>
          </cell>
          <cell r="Q2466">
            <v>1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1</v>
          </cell>
          <cell r="W2466">
            <v>2</v>
          </cell>
          <cell r="X2466">
            <v>2</v>
          </cell>
          <cell r="Y2466">
            <v>2</v>
          </cell>
        </row>
        <row r="2467">
          <cell r="D2467">
            <v>302015</v>
          </cell>
          <cell r="E2467" t="str">
            <v>Partido Agro-Industrial NHS</v>
          </cell>
          <cell r="F2467">
            <v>0</v>
          </cell>
          <cell r="G2467">
            <v>0</v>
          </cell>
          <cell r="H2467">
            <v>1</v>
          </cell>
          <cell r="I2467">
            <v>0</v>
          </cell>
          <cell r="J2467">
            <v>1</v>
          </cell>
          <cell r="K2467">
            <v>0</v>
          </cell>
          <cell r="L2467">
            <v>0</v>
          </cell>
          <cell r="M2467">
            <v>0</v>
          </cell>
          <cell r="N2467">
            <v>1</v>
          </cell>
          <cell r="O2467">
            <v>0</v>
          </cell>
          <cell r="P2467">
            <v>43410</v>
          </cell>
          <cell r="Q2467">
            <v>0</v>
          </cell>
          <cell r="R2467">
            <v>0</v>
          </cell>
          <cell r="S2467">
            <v>1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</row>
        <row r="2468">
          <cell r="D2468">
            <v>500169</v>
          </cell>
          <cell r="E2468" t="str">
            <v>Taysan Resettlement Integrated School</v>
          </cell>
          <cell r="F2468">
            <v>1</v>
          </cell>
          <cell r="G2468">
            <v>0</v>
          </cell>
          <cell r="H2468">
            <v>1</v>
          </cell>
          <cell r="I2468">
            <v>0</v>
          </cell>
          <cell r="J2468">
            <v>0</v>
          </cell>
          <cell r="K2468">
            <v>1</v>
          </cell>
          <cell r="L2468">
            <v>0</v>
          </cell>
          <cell r="M2468">
            <v>0</v>
          </cell>
          <cell r="N2468">
            <v>1</v>
          </cell>
          <cell r="O2468" t="str">
            <v>06/21/2019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3</v>
          </cell>
          <cell r="X2468">
            <v>3</v>
          </cell>
          <cell r="Y2468">
            <v>3</v>
          </cell>
        </row>
        <row r="2469">
          <cell r="D2469">
            <v>301954</v>
          </cell>
          <cell r="E2469" t="str">
            <v>Sabang National High School</v>
          </cell>
          <cell r="F2469">
            <v>1</v>
          </cell>
          <cell r="G2469">
            <v>1</v>
          </cell>
          <cell r="H2469">
            <v>1</v>
          </cell>
          <cell r="I2469">
            <v>0</v>
          </cell>
          <cell r="J2469">
            <v>1</v>
          </cell>
          <cell r="K2469">
            <v>0</v>
          </cell>
          <cell r="L2469">
            <v>0</v>
          </cell>
          <cell r="M2469">
            <v>0</v>
          </cell>
          <cell r="N2469">
            <v>1</v>
          </cell>
          <cell r="O2469">
            <v>43617</v>
          </cell>
          <cell r="P2469">
            <v>0</v>
          </cell>
          <cell r="Q2469">
            <v>0</v>
          </cell>
          <cell r="R2469">
            <v>1</v>
          </cell>
          <cell r="S2469">
            <v>0</v>
          </cell>
          <cell r="T2469">
            <v>0</v>
          </cell>
          <cell r="U2469">
            <v>0</v>
          </cell>
          <cell r="V2469">
            <v>1</v>
          </cell>
          <cell r="W2469">
            <v>2</v>
          </cell>
          <cell r="X2469">
            <v>2</v>
          </cell>
          <cell r="Y2469">
            <v>2</v>
          </cell>
        </row>
        <row r="2470">
          <cell r="D2470">
            <v>301820</v>
          </cell>
          <cell r="E2470" t="str">
            <v>Deogracias P. Princesa Memorial HS</v>
          </cell>
          <cell r="F2470">
            <v>1</v>
          </cell>
          <cell r="G2470">
            <v>1</v>
          </cell>
          <cell r="H2470">
            <v>1</v>
          </cell>
          <cell r="I2470">
            <v>0</v>
          </cell>
          <cell r="J2470">
            <v>0</v>
          </cell>
          <cell r="K2470">
            <v>0</v>
          </cell>
          <cell r="L2470">
            <v>1</v>
          </cell>
          <cell r="M2470" t="str">
            <v>Weekly</v>
          </cell>
          <cell r="N2470">
            <v>1</v>
          </cell>
          <cell r="O2470" t="str">
            <v>06/27/2019</v>
          </cell>
          <cell r="P2470" t="str">
            <v>06/20/2019</v>
          </cell>
          <cell r="Q2470">
            <v>0</v>
          </cell>
          <cell r="R2470">
            <v>0</v>
          </cell>
          <cell r="S2470">
            <v>0</v>
          </cell>
          <cell r="T2470">
            <v>1</v>
          </cell>
          <cell r="U2470" t="str">
            <v>Weekly</v>
          </cell>
          <cell r="V2470">
            <v>1</v>
          </cell>
          <cell r="W2470">
            <v>1</v>
          </cell>
          <cell r="X2470">
            <v>0</v>
          </cell>
          <cell r="Y2470">
            <v>0</v>
          </cell>
        </row>
        <row r="2471">
          <cell r="D2471">
            <v>301960</v>
          </cell>
          <cell r="E2471" t="str">
            <v>Coguit HS</v>
          </cell>
          <cell r="F2471">
            <v>1</v>
          </cell>
          <cell r="G2471">
            <v>0</v>
          </cell>
          <cell r="H2471">
            <v>1</v>
          </cell>
          <cell r="I2471">
            <v>0</v>
          </cell>
          <cell r="J2471">
            <v>1</v>
          </cell>
          <cell r="K2471">
            <v>0</v>
          </cell>
          <cell r="L2471">
            <v>0</v>
          </cell>
          <cell r="M2471">
            <v>0</v>
          </cell>
          <cell r="N2471">
            <v>1</v>
          </cell>
          <cell r="O2471">
            <v>43676</v>
          </cell>
          <cell r="P2471">
            <v>43676</v>
          </cell>
          <cell r="Q2471">
            <v>0</v>
          </cell>
          <cell r="R2471">
            <v>1</v>
          </cell>
          <cell r="S2471">
            <v>0</v>
          </cell>
          <cell r="T2471">
            <v>0</v>
          </cell>
          <cell r="U2471">
            <v>0</v>
          </cell>
          <cell r="V2471">
            <v>1</v>
          </cell>
          <cell r="W2471">
            <v>1</v>
          </cell>
          <cell r="X2471">
            <v>0</v>
          </cell>
          <cell r="Y2471">
            <v>0</v>
          </cell>
        </row>
        <row r="2472">
          <cell r="D2472">
            <v>302014</v>
          </cell>
          <cell r="E2472" t="str">
            <v>Pararao High School</v>
          </cell>
          <cell r="F2472">
            <v>1</v>
          </cell>
          <cell r="G2472">
            <v>1</v>
          </cell>
          <cell r="H2472">
            <v>1</v>
          </cell>
          <cell r="I2472">
            <v>0</v>
          </cell>
          <cell r="J2472">
            <v>1</v>
          </cell>
          <cell r="K2472">
            <v>0</v>
          </cell>
          <cell r="L2472">
            <v>1</v>
          </cell>
          <cell r="M2472">
            <v>0</v>
          </cell>
          <cell r="N2472">
            <v>1</v>
          </cell>
          <cell r="O2472" t="str">
            <v>JULY 18,2019</v>
          </cell>
          <cell r="P2472" t="str">
            <v>N/A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 t="str">
            <v>N/A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</row>
        <row r="2473">
          <cell r="D2473">
            <v>309939</v>
          </cell>
          <cell r="E2473" t="str">
            <v>Lantangan High School</v>
          </cell>
          <cell r="F2473">
            <v>1</v>
          </cell>
          <cell r="G2473">
            <v>0</v>
          </cell>
          <cell r="H2473">
            <v>1</v>
          </cell>
          <cell r="I2473">
            <v>0</v>
          </cell>
          <cell r="J2473">
            <v>0</v>
          </cell>
          <cell r="K2473">
            <v>1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2</v>
          </cell>
          <cell r="X2473">
            <v>0</v>
          </cell>
          <cell r="Y2473">
            <v>0</v>
          </cell>
        </row>
        <row r="2474">
          <cell r="D2474">
            <v>309763</v>
          </cell>
          <cell r="E2474" t="str">
            <v>Camarines Sur Sports Academy</v>
          </cell>
          <cell r="F2474">
            <v>1</v>
          </cell>
          <cell r="G2474">
            <v>1</v>
          </cell>
          <cell r="H2474">
            <v>1</v>
          </cell>
          <cell r="I2474">
            <v>0</v>
          </cell>
          <cell r="J2474">
            <v>0</v>
          </cell>
          <cell r="K2474">
            <v>1</v>
          </cell>
          <cell r="L2474">
            <v>0</v>
          </cell>
          <cell r="M2474">
            <v>0</v>
          </cell>
          <cell r="N2474">
            <v>1</v>
          </cell>
          <cell r="O2474">
            <v>0</v>
          </cell>
          <cell r="P2474" t="str">
            <v>JUNE 4, 2019</v>
          </cell>
          <cell r="Q2474">
            <v>0</v>
          </cell>
          <cell r="R2474">
            <v>0</v>
          </cell>
          <cell r="S2474">
            <v>1</v>
          </cell>
          <cell r="T2474">
            <v>0</v>
          </cell>
          <cell r="U2474">
            <v>0</v>
          </cell>
          <cell r="V2474">
            <v>1</v>
          </cell>
          <cell r="W2474">
            <v>0</v>
          </cell>
          <cell r="X2474">
            <v>0</v>
          </cell>
          <cell r="Y2474">
            <v>0</v>
          </cell>
        </row>
        <row r="2475">
          <cell r="D2475">
            <v>321701</v>
          </cell>
          <cell r="E2475" t="str">
            <v>Ligao City National Technical -Vocational High School</v>
          </cell>
          <cell r="F2475">
            <v>0</v>
          </cell>
          <cell r="G2475">
            <v>0</v>
          </cell>
          <cell r="H2475">
            <v>1</v>
          </cell>
          <cell r="I2475">
            <v>0</v>
          </cell>
          <cell r="J2475">
            <v>1</v>
          </cell>
          <cell r="K2475">
            <v>0</v>
          </cell>
          <cell r="L2475">
            <v>0</v>
          </cell>
          <cell r="M2475">
            <v>0</v>
          </cell>
          <cell r="N2475">
            <v>1</v>
          </cell>
          <cell r="O2475">
            <v>43669</v>
          </cell>
          <cell r="P2475">
            <v>43710</v>
          </cell>
          <cell r="Q2475">
            <v>0</v>
          </cell>
          <cell r="R2475">
            <v>1</v>
          </cell>
          <cell r="S2475">
            <v>0</v>
          </cell>
          <cell r="T2475">
            <v>0</v>
          </cell>
          <cell r="U2475">
            <v>0</v>
          </cell>
          <cell r="V2475">
            <v>1</v>
          </cell>
          <cell r="W2475">
            <v>0</v>
          </cell>
          <cell r="X2475">
            <v>0</v>
          </cell>
          <cell r="Y2475">
            <v>0</v>
          </cell>
        </row>
        <row r="2476">
          <cell r="D2476">
            <v>309905</v>
          </cell>
          <cell r="E2476" t="str">
            <v>Osmeña NHS</v>
          </cell>
          <cell r="F2476">
            <v>1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</row>
        <row r="2477">
          <cell r="D2477">
            <v>301987</v>
          </cell>
          <cell r="E2477" t="str">
            <v>Lupi National High School</v>
          </cell>
          <cell r="F2477">
            <v>0</v>
          </cell>
          <cell r="G2477">
            <v>0</v>
          </cell>
          <cell r="H2477">
            <v>1</v>
          </cell>
          <cell r="I2477">
            <v>0</v>
          </cell>
          <cell r="J2477">
            <v>0</v>
          </cell>
          <cell r="K2477">
            <v>0</v>
          </cell>
          <cell r="L2477">
            <v>1</v>
          </cell>
          <cell r="M2477" t="str">
            <v>upon request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1</v>
          </cell>
          <cell r="T2477">
            <v>0</v>
          </cell>
          <cell r="U2477">
            <v>0</v>
          </cell>
          <cell r="V2477">
            <v>1</v>
          </cell>
          <cell r="W2477">
            <v>0</v>
          </cell>
          <cell r="X2477">
            <v>0</v>
          </cell>
          <cell r="Y2477">
            <v>0</v>
          </cell>
        </row>
        <row r="2478">
          <cell r="D2478">
            <v>302163</v>
          </cell>
          <cell r="E2478" t="str">
            <v>Quezon National High School</v>
          </cell>
          <cell r="F2478">
            <v>1</v>
          </cell>
          <cell r="G2478">
            <v>1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1</v>
          </cell>
          <cell r="W2478">
            <v>0</v>
          </cell>
          <cell r="X2478">
            <v>0</v>
          </cell>
          <cell r="Y2478">
            <v>0</v>
          </cell>
        </row>
        <row r="2479">
          <cell r="D2479">
            <v>309605</v>
          </cell>
          <cell r="E2479" t="str">
            <v>Fabrica HS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</row>
        <row r="2480">
          <cell r="D2480">
            <v>301817</v>
          </cell>
          <cell r="E2480" t="str">
            <v>Cabarian NHS</v>
          </cell>
          <cell r="F2480">
            <v>1</v>
          </cell>
          <cell r="G2480">
            <v>1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</row>
        <row r="2481">
          <cell r="D2481">
            <v>301818</v>
          </cell>
          <cell r="E2481" t="str">
            <v>Cabasan National High School</v>
          </cell>
          <cell r="F2481">
            <v>1</v>
          </cell>
          <cell r="G2481">
            <v>0</v>
          </cell>
          <cell r="H2481">
            <v>1</v>
          </cell>
          <cell r="I2481">
            <v>1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</row>
        <row r="2482">
          <cell r="D2482">
            <v>309903</v>
          </cell>
          <cell r="E2482" t="str">
            <v>Arriesgado-Sevilleno National High School</v>
          </cell>
          <cell r="F2482">
            <v>1</v>
          </cell>
          <cell r="G2482">
            <v>0</v>
          </cell>
          <cell r="H2482">
            <v>1</v>
          </cell>
          <cell r="I2482">
            <v>0</v>
          </cell>
          <cell r="J2482">
            <v>0</v>
          </cell>
          <cell r="K2482">
            <v>1</v>
          </cell>
          <cell r="L2482">
            <v>0</v>
          </cell>
          <cell r="M2482">
            <v>0</v>
          </cell>
          <cell r="N2482">
            <v>1</v>
          </cell>
          <cell r="O2482">
            <v>43525</v>
          </cell>
          <cell r="P2482">
            <v>0</v>
          </cell>
          <cell r="Q2482">
            <v>0</v>
          </cell>
          <cell r="R2482">
            <v>0</v>
          </cell>
          <cell r="S2482">
            <v>1</v>
          </cell>
          <cell r="T2482">
            <v>0</v>
          </cell>
          <cell r="U2482">
            <v>0</v>
          </cell>
          <cell r="V2482">
            <v>1</v>
          </cell>
          <cell r="W2482">
            <v>8</v>
          </cell>
          <cell r="X2482">
            <v>4</v>
          </cell>
          <cell r="Y2482">
            <v>2</v>
          </cell>
        </row>
        <row r="2483">
          <cell r="D2483">
            <v>301809</v>
          </cell>
          <cell r="E2483" t="str">
            <v>San Vicente Grande High School</v>
          </cell>
          <cell r="F2483">
            <v>1</v>
          </cell>
          <cell r="G2483">
            <v>1</v>
          </cell>
          <cell r="H2483">
            <v>1</v>
          </cell>
          <cell r="I2483">
            <v>0</v>
          </cell>
          <cell r="J2483">
            <v>1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43640</v>
          </cell>
          <cell r="Q2483">
            <v>0</v>
          </cell>
          <cell r="R2483">
            <v>1</v>
          </cell>
          <cell r="S2483">
            <v>0</v>
          </cell>
          <cell r="T2483">
            <v>0</v>
          </cell>
          <cell r="U2483">
            <v>0</v>
          </cell>
          <cell r="V2483">
            <v>1</v>
          </cell>
          <cell r="W2483">
            <v>0</v>
          </cell>
          <cell r="X2483">
            <v>0</v>
          </cell>
          <cell r="Y2483">
            <v>0</v>
          </cell>
        </row>
        <row r="2484">
          <cell r="D2484">
            <v>301859</v>
          </cell>
          <cell r="E2484" t="str">
            <v>Palapas National High School</v>
          </cell>
          <cell r="F2484">
            <v>1</v>
          </cell>
          <cell r="G2484">
            <v>1</v>
          </cell>
          <cell r="H2484">
            <v>1</v>
          </cell>
          <cell r="I2484">
            <v>0</v>
          </cell>
          <cell r="J2484">
            <v>0</v>
          </cell>
          <cell r="K2484">
            <v>0</v>
          </cell>
          <cell r="L2484">
            <v>1</v>
          </cell>
          <cell r="M2484" t="str">
            <v>As the need arises</v>
          </cell>
          <cell r="N2484">
            <v>1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1</v>
          </cell>
          <cell r="U2484" t="str">
            <v>As needed</v>
          </cell>
          <cell r="V2484">
            <v>1</v>
          </cell>
          <cell r="W2484">
            <v>0</v>
          </cell>
          <cell r="X2484">
            <v>0</v>
          </cell>
          <cell r="Y2484">
            <v>0</v>
          </cell>
        </row>
        <row r="2485">
          <cell r="D2485">
            <v>302133</v>
          </cell>
          <cell r="E2485" t="str">
            <v>Capitolina O. Legaspi Memorial High School</v>
          </cell>
          <cell r="F2485">
            <v>1</v>
          </cell>
          <cell r="G2485">
            <v>1</v>
          </cell>
          <cell r="H2485">
            <v>1</v>
          </cell>
          <cell r="I2485">
            <v>0</v>
          </cell>
          <cell r="J2485">
            <v>1</v>
          </cell>
          <cell r="K2485">
            <v>0</v>
          </cell>
          <cell r="L2485">
            <v>0</v>
          </cell>
          <cell r="M2485">
            <v>0</v>
          </cell>
          <cell r="N2485">
            <v>1</v>
          </cell>
          <cell r="O2485">
            <v>0</v>
          </cell>
          <cell r="P2485">
            <v>43678</v>
          </cell>
          <cell r="Q2485">
            <v>0</v>
          </cell>
          <cell r="R2485">
            <v>1</v>
          </cell>
          <cell r="S2485">
            <v>0</v>
          </cell>
          <cell r="T2485">
            <v>0</v>
          </cell>
          <cell r="U2485">
            <v>0</v>
          </cell>
          <cell r="V2485">
            <v>1</v>
          </cell>
          <cell r="W2485">
            <v>0</v>
          </cell>
          <cell r="X2485">
            <v>0</v>
          </cell>
          <cell r="Y2485">
            <v>0</v>
          </cell>
        </row>
        <row r="2486">
          <cell r="D2486">
            <v>301866</v>
          </cell>
          <cell r="E2486" t="str">
            <v>Balogo National High School</v>
          </cell>
          <cell r="F2486">
            <v>1</v>
          </cell>
          <cell r="G2486">
            <v>0</v>
          </cell>
          <cell r="H2486">
            <v>1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43775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</row>
        <row r="2487">
          <cell r="D2487">
            <v>302003</v>
          </cell>
          <cell r="E2487" t="str">
            <v>Victor Bernal High School</v>
          </cell>
          <cell r="F2487">
            <v>1</v>
          </cell>
          <cell r="G2487">
            <v>1</v>
          </cell>
          <cell r="H2487">
            <v>1</v>
          </cell>
          <cell r="I2487">
            <v>0</v>
          </cell>
          <cell r="J2487">
            <v>1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43322</v>
          </cell>
          <cell r="Q2487">
            <v>0</v>
          </cell>
          <cell r="R2487">
            <v>0</v>
          </cell>
          <cell r="S2487">
            <v>0</v>
          </cell>
          <cell r="T2487">
            <v>1</v>
          </cell>
          <cell r="U2487" t="str">
            <v>N/A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</row>
        <row r="2488">
          <cell r="D2488">
            <v>301889</v>
          </cell>
          <cell r="E2488" t="str">
            <v>Basud National High School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</row>
        <row r="2489">
          <cell r="D2489">
            <v>500030</v>
          </cell>
          <cell r="E2489" t="str">
            <v>Moreno Integrated School</v>
          </cell>
          <cell r="F2489">
            <v>1</v>
          </cell>
          <cell r="G2489">
            <v>1</v>
          </cell>
          <cell r="H2489">
            <v>1</v>
          </cell>
          <cell r="I2489">
            <v>0</v>
          </cell>
          <cell r="J2489">
            <v>1</v>
          </cell>
          <cell r="K2489">
            <v>0</v>
          </cell>
          <cell r="L2489">
            <v>0</v>
          </cell>
          <cell r="M2489">
            <v>0</v>
          </cell>
          <cell r="N2489">
            <v>1</v>
          </cell>
          <cell r="O2489">
            <v>43627</v>
          </cell>
          <cell r="P2489">
            <v>0</v>
          </cell>
          <cell r="Q2489">
            <v>1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1</v>
          </cell>
          <cell r="W2489">
            <v>0</v>
          </cell>
          <cell r="X2489">
            <v>0</v>
          </cell>
          <cell r="Y2489">
            <v>0</v>
          </cell>
        </row>
        <row r="2490">
          <cell r="D2490">
            <v>309721</v>
          </cell>
          <cell r="E2490" t="str">
            <v>Huyonhuyon HS</v>
          </cell>
          <cell r="F2490">
            <v>1</v>
          </cell>
          <cell r="G2490">
            <v>1</v>
          </cell>
          <cell r="H2490">
            <v>1</v>
          </cell>
          <cell r="I2490">
            <v>1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1</v>
          </cell>
          <cell r="O2490">
            <v>0</v>
          </cell>
          <cell r="P2490" t="str">
            <v>june 14, 2019</v>
          </cell>
          <cell r="Q2490">
            <v>1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4</v>
          </cell>
          <cell r="X2490">
            <v>0</v>
          </cell>
          <cell r="Y2490">
            <v>1</v>
          </cell>
        </row>
        <row r="2491">
          <cell r="D2491">
            <v>301885</v>
          </cell>
          <cell r="E2491" t="str">
            <v>Vinisitahan National High School</v>
          </cell>
          <cell r="F2491">
            <v>1</v>
          </cell>
          <cell r="G2491">
            <v>1</v>
          </cell>
          <cell r="H2491">
            <v>1</v>
          </cell>
          <cell r="I2491">
            <v>0</v>
          </cell>
          <cell r="J2491">
            <v>0</v>
          </cell>
          <cell r="K2491">
            <v>1</v>
          </cell>
          <cell r="L2491">
            <v>0</v>
          </cell>
          <cell r="M2491">
            <v>0</v>
          </cell>
          <cell r="N2491">
            <v>1</v>
          </cell>
          <cell r="O2491" t="str">
            <v>JANUARY/25/2019</v>
          </cell>
          <cell r="P2491" t="str">
            <v>JUNE/7/2019</v>
          </cell>
          <cell r="Q2491">
            <v>0</v>
          </cell>
          <cell r="R2491">
            <v>0</v>
          </cell>
          <cell r="S2491">
            <v>1</v>
          </cell>
          <cell r="T2491">
            <v>0</v>
          </cell>
          <cell r="U2491">
            <v>0</v>
          </cell>
          <cell r="V2491">
            <v>1</v>
          </cell>
          <cell r="W2491">
            <v>0</v>
          </cell>
          <cell r="X2491">
            <v>0</v>
          </cell>
          <cell r="Y2491">
            <v>0</v>
          </cell>
        </row>
        <row r="2492">
          <cell r="D2492">
            <v>301887</v>
          </cell>
          <cell r="E2492" t="str">
            <v>Bagong Silang II NHS</v>
          </cell>
          <cell r="F2492">
            <v>1</v>
          </cell>
          <cell r="G2492">
            <v>1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</row>
        <row r="2493">
          <cell r="D2493">
            <v>302212</v>
          </cell>
          <cell r="E2493" t="str">
            <v>Gallanosa National High School</v>
          </cell>
          <cell r="F2493">
            <v>1</v>
          </cell>
          <cell r="G2493">
            <v>0</v>
          </cell>
          <cell r="H2493">
            <v>1</v>
          </cell>
          <cell r="I2493">
            <v>0</v>
          </cell>
          <cell r="J2493">
            <v>0</v>
          </cell>
          <cell r="K2493">
            <v>1</v>
          </cell>
          <cell r="L2493">
            <v>0</v>
          </cell>
          <cell r="M2493">
            <v>0</v>
          </cell>
          <cell r="N2493">
            <v>1</v>
          </cell>
          <cell r="O2493" t="str">
            <v>04/16/2019</v>
          </cell>
          <cell r="P2493" t="str">
            <v>06/13/2019</v>
          </cell>
          <cell r="Q2493">
            <v>1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1</v>
          </cell>
          <cell r="W2493">
            <v>3</v>
          </cell>
          <cell r="X2493">
            <v>0</v>
          </cell>
          <cell r="Y2493">
            <v>0</v>
          </cell>
        </row>
        <row r="2494">
          <cell r="D2494">
            <v>302212</v>
          </cell>
          <cell r="E2494" t="str">
            <v>Gallanosa National High School</v>
          </cell>
          <cell r="F2494">
            <v>1</v>
          </cell>
          <cell r="G2494">
            <v>0</v>
          </cell>
          <cell r="H2494">
            <v>1</v>
          </cell>
          <cell r="I2494">
            <v>0</v>
          </cell>
          <cell r="J2494">
            <v>0</v>
          </cell>
          <cell r="K2494">
            <v>1</v>
          </cell>
          <cell r="L2494">
            <v>0</v>
          </cell>
          <cell r="M2494">
            <v>0</v>
          </cell>
          <cell r="N2494">
            <v>1</v>
          </cell>
          <cell r="O2494" t="str">
            <v>04/16/2019</v>
          </cell>
          <cell r="P2494" t="str">
            <v>06/13/2019</v>
          </cell>
          <cell r="Q2494">
            <v>1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1</v>
          </cell>
          <cell r="W2494">
            <v>3</v>
          </cell>
          <cell r="X2494">
            <v>0</v>
          </cell>
          <cell r="Y2494">
            <v>0</v>
          </cell>
        </row>
        <row r="2495">
          <cell r="D2495">
            <v>309620</v>
          </cell>
          <cell r="E2495" t="str">
            <v>Sarah Jane Ferrer HS</v>
          </cell>
          <cell r="F2495">
            <v>1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1</v>
          </cell>
          <cell r="M2495" t="str">
            <v>as the need arises</v>
          </cell>
          <cell r="N2495">
            <v>0</v>
          </cell>
          <cell r="O2495">
            <v>0</v>
          </cell>
          <cell r="P2495" t="str">
            <v>none yet</v>
          </cell>
          <cell r="Q2495">
            <v>0</v>
          </cell>
          <cell r="R2495">
            <v>0</v>
          </cell>
          <cell r="S2495">
            <v>0</v>
          </cell>
          <cell r="T2495">
            <v>1</v>
          </cell>
          <cell r="U2495" t="str">
            <v>none yet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</row>
        <row r="2496">
          <cell r="D2496">
            <v>301852</v>
          </cell>
          <cell r="E2496" t="str">
            <v>Matacon National High School</v>
          </cell>
          <cell r="F2496">
            <v>1</v>
          </cell>
          <cell r="G2496">
            <v>0</v>
          </cell>
          <cell r="H2496">
            <v>1</v>
          </cell>
          <cell r="I2496">
            <v>0</v>
          </cell>
          <cell r="J2496">
            <v>0</v>
          </cell>
          <cell r="K2496">
            <v>1</v>
          </cell>
          <cell r="L2496">
            <v>1</v>
          </cell>
          <cell r="M2496">
            <v>0</v>
          </cell>
          <cell r="N2496">
            <v>1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1</v>
          </cell>
          <cell r="U2496">
            <v>0</v>
          </cell>
          <cell r="V2496">
            <v>1</v>
          </cell>
          <cell r="W2496">
            <v>0</v>
          </cell>
          <cell r="X2496">
            <v>0</v>
          </cell>
          <cell r="Y2496">
            <v>0</v>
          </cell>
        </row>
        <row r="2497">
          <cell r="D2497">
            <v>309512</v>
          </cell>
          <cell r="E2497" t="str">
            <v>San Miguel High School</v>
          </cell>
          <cell r="F2497">
            <v>0</v>
          </cell>
          <cell r="G2497">
            <v>0</v>
          </cell>
          <cell r="H2497">
            <v>1</v>
          </cell>
          <cell r="I2497">
            <v>0</v>
          </cell>
          <cell r="J2497">
            <v>1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1</v>
          </cell>
          <cell r="S2497">
            <v>0</v>
          </cell>
          <cell r="T2497">
            <v>0</v>
          </cell>
          <cell r="U2497">
            <v>0</v>
          </cell>
          <cell r="V2497">
            <v>1</v>
          </cell>
          <cell r="W2497">
            <v>0</v>
          </cell>
          <cell r="X2497">
            <v>0</v>
          </cell>
          <cell r="Y2497">
            <v>0</v>
          </cell>
        </row>
        <row r="2498">
          <cell r="D2498">
            <v>309614</v>
          </cell>
          <cell r="E2498" t="str">
            <v>Magsaysay National High School</v>
          </cell>
          <cell r="F2498">
            <v>1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</row>
        <row r="2499">
          <cell r="D2499">
            <v>301893</v>
          </cell>
          <cell r="E2499" t="str">
            <v>Daguit NHS</v>
          </cell>
          <cell r="F2499">
            <v>1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1</v>
          </cell>
          <cell r="O2499" t="str">
            <v>March 20,2019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</row>
        <row r="2500">
          <cell r="D2500">
            <v>500464</v>
          </cell>
          <cell r="E2500" t="str">
            <v>Buhatan Integrated National School</v>
          </cell>
          <cell r="F2500">
            <v>1</v>
          </cell>
          <cell r="G2500">
            <v>1</v>
          </cell>
          <cell r="H2500">
            <v>1</v>
          </cell>
          <cell r="I2500">
            <v>0</v>
          </cell>
          <cell r="J2500">
            <v>1</v>
          </cell>
          <cell r="K2500">
            <v>0</v>
          </cell>
          <cell r="L2500">
            <v>0</v>
          </cell>
          <cell r="M2500">
            <v>0</v>
          </cell>
          <cell r="N2500">
            <v>1</v>
          </cell>
          <cell r="O2500">
            <v>0</v>
          </cell>
          <cell r="P2500">
            <v>0</v>
          </cell>
          <cell r="Q2500">
            <v>1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1</v>
          </cell>
          <cell r="W2500">
            <v>0</v>
          </cell>
          <cell r="X2500">
            <v>0</v>
          </cell>
          <cell r="Y2500">
            <v>0</v>
          </cell>
        </row>
        <row r="2501">
          <cell r="D2501">
            <v>301849</v>
          </cell>
          <cell r="E2501" t="str">
            <v>Marcial O. RaÃ±ola Memorial School</v>
          </cell>
          <cell r="F2501">
            <v>1</v>
          </cell>
          <cell r="G2501">
            <v>1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</row>
        <row r="2502">
          <cell r="D2502">
            <v>301808</v>
          </cell>
          <cell r="E2502" t="str">
            <v>Anislag National High School</v>
          </cell>
          <cell r="F2502">
            <v>1</v>
          </cell>
          <cell r="G2502">
            <v>0</v>
          </cell>
          <cell r="H2502">
            <v>1</v>
          </cell>
          <cell r="I2502">
            <v>0</v>
          </cell>
          <cell r="J2502">
            <v>1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 t="str">
            <v>n/a</v>
          </cell>
          <cell r="Q2502">
            <v>0</v>
          </cell>
          <cell r="R2502">
            <v>0</v>
          </cell>
          <cell r="S2502">
            <v>0</v>
          </cell>
          <cell r="T2502">
            <v>1</v>
          </cell>
          <cell r="U2502" t="str">
            <v>n/a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</row>
        <row r="2503">
          <cell r="D2503">
            <v>309732</v>
          </cell>
          <cell r="E2503" t="str">
            <v>Dr. Lorenzo P. Ziga Memorial High School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1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</row>
        <row r="2504">
          <cell r="D2504">
            <v>301899</v>
          </cell>
          <cell r="E2504" t="str">
            <v>Labo National High School</v>
          </cell>
          <cell r="F2504">
            <v>1</v>
          </cell>
          <cell r="G2504">
            <v>1</v>
          </cell>
          <cell r="H2504">
            <v>1</v>
          </cell>
          <cell r="I2504">
            <v>0</v>
          </cell>
          <cell r="J2504">
            <v>0</v>
          </cell>
          <cell r="K2504">
            <v>1</v>
          </cell>
          <cell r="L2504">
            <v>0</v>
          </cell>
          <cell r="M2504">
            <v>0</v>
          </cell>
          <cell r="N2504">
            <v>1</v>
          </cell>
          <cell r="O2504" t="str">
            <v>May 28,2019</v>
          </cell>
          <cell r="P2504">
            <v>43561</v>
          </cell>
          <cell r="Q2504">
            <v>0</v>
          </cell>
          <cell r="R2504">
            <v>0</v>
          </cell>
          <cell r="S2504">
            <v>1</v>
          </cell>
          <cell r="T2504">
            <v>0</v>
          </cell>
          <cell r="U2504">
            <v>0</v>
          </cell>
          <cell r="V2504">
            <v>1</v>
          </cell>
          <cell r="W2504">
            <v>0</v>
          </cell>
          <cell r="X2504">
            <v>0</v>
          </cell>
          <cell r="Y2504">
            <v>0</v>
          </cell>
        </row>
        <row r="2505">
          <cell r="D2505">
            <v>301825</v>
          </cell>
          <cell r="E2505" t="str">
            <v>Daraga National High School</v>
          </cell>
          <cell r="F2505">
            <v>1</v>
          </cell>
          <cell r="G2505">
            <v>1</v>
          </cell>
          <cell r="H2505">
            <v>1</v>
          </cell>
          <cell r="I2505">
            <v>0</v>
          </cell>
          <cell r="J2505">
            <v>1</v>
          </cell>
          <cell r="K2505">
            <v>0</v>
          </cell>
          <cell r="L2505">
            <v>0</v>
          </cell>
          <cell r="M2505">
            <v>0</v>
          </cell>
          <cell r="N2505">
            <v>1</v>
          </cell>
          <cell r="O2505">
            <v>0</v>
          </cell>
          <cell r="P2505">
            <v>0</v>
          </cell>
          <cell r="Q2505">
            <v>0</v>
          </cell>
          <cell r="R2505">
            <v>1</v>
          </cell>
          <cell r="S2505">
            <v>0</v>
          </cell>
          <cell r="T2505">
            <v>0</v>
          </cell>
          <cell r="U2505">
            <v>0</v>
          </cell>
          <cell r="V2505">
            <v>1</v>
          </cell>
          <cell r="W2505">
            <v>0</v>
          </cell>
          <cell r="X2505">
            <v>0</v>
          </cell>
          <cell r="Y2505">
            <v>0</v>
          </cell>
        </row>
        <row r="2506">
          <cell r="D2506">
            <v>301853</v>
          </cell>
          <cell r="E2506" t="str">
            <v>Naga National High School</v>
          </cell>
          <cell r="F2506">
            <v>1</v>
          </cell>
          <cell r="G2506">
            <v>0</v>
          </cell>
          <cell r="H2506">
            <v>1</v>
          </cell>
          <cell r="I2506">
            <v>0</v>
          </cell>
          <cell r="J2506">
            <v>1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</row>
        <row r="2507">
          <cell r="D2507">
            <v>321804</v>
          </cell>
          <cell r="E2507" t="str">
            <v>Bayombon High School</v>
          </cell>
          <cell r="F2507">
            <v>1</v>
          </cell>
          <cell r="G2507">
            <v>1</v>
          </cell>
          <cell r="H2507">
            <v>1</v>
          </cell>
          <cell r="I2507">
            <v>0</v>
          </cell>
          <cell r="J2507">
            <v>1</v>
          </cell>
          <cell r="K2507">
            <v>0</v>
          </cell>
          <cell r="L2507">
            <v>0</v>
          </cell>
          <cell r="M2507">
            <v>0</v>
          </cell>
          <cell r="N2507">
            <v>1</v>
          </cell>
          <cell r="O2507">
            <v>43530</v>
          </cell>
          <cell r="P2507">
            <v>43530</v>
          </cell>
          <cell r="Q2507">
            <v>0</v>
          </cell>
          <cell r="R2507">
            <v>1</v>
          </cell>
          <cell r="S2507">
            <v>0</v>
          </cell>
          <cell r="T2507">
            <v>0</v>
          </cell>
          <cell r="U2507">
            <v>0</v>
          </cell>
          <cell r="V2507">
            <v>1</v>
          </cell>
          <cell r="W2507">
            <v>1</v>
          </cell>
          <cell r="X2507">
            <v>1</v>
          </cell>
          <cell r="Y2507">
            <v>1</v>
          </cell>
        </row>
        <row r="2508">
          <cell r="D2508">
            <v>309610</v>
          </cell>
          <cell r="E2508" t="str">
            <v>Victoria J. Tuacar National HS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</row>
        <row r="2509">
          <cell r="D2509">
            <v>309943</v>
          </cell>
          <cell r="E2509" t="str">
            <v>Buenavista IS</v>
          </cell>
          <cell r="F2509">
            <v>1</v>
          </cell>
          <cell r="G2509">
            <v>1</v>
          </cell>
          <cell r="H2509">
            <v>1</v>
          </cell>
          <cell r="I2509">
            <v>0</v>
          </cell>
          <cell r="J2509">
            <v>1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43692</v>
          </cell>
          <cell r="Q2509">
            <v>0</v>
          </cell>
          <cell r="R2509">
            <v>1</v>
          </cell>
          <cell r="S2509">
            <v>0</v>
          </cell>
          <cell r="T2509">
            <v>0</v>
          </cell>
          <cell r="U2509">
            <v>0</v>
          </cell>
          <cell r="V2509">
            <v>1</v>
          </cell>
          <cell r="W2509">
            <v>0</v>
          </cell>
          <cell r="X2509">
            <v>0</v>
          </cell>
          <cell r="Y2509">
            <v>0</v>
          </cell>
        </row>
        <row r="2510">
          <cell r="D2510">
            <v>302072</v>
          </cell>
          <cell r="E2510" t="str">
            <v>Bagamanoc Rural DHS</v>
          </cell>
          <cell r="F2510">
            <v>1</v>
          </cell>
          <cell r="G2510">
            <v>0</v>
          </cell>
          <cell r="H2510">
            <v>1</v>
          </cell>
          <cell r="I2510">
            <v>0</v>
          </cell>
          <cell r="J2510">
            <v>1</v>
          </cell>
          <cell r="K2510">
            <v>0</v>
          </cell>
          <cell r="L2510">
            <v>1</v>
          </cell>
          <cell r="M2510" t="str">
            <v>as need arises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</row>
        <row r="2511">
          <cell r="D2511">
            <v>301897</v>
          </cell>
          <cell r="E2511" t="str">
            <v>Delia Diezmo National High School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</row>
        <row r="2512">
          <cell r="D2512">
            <v>321806</v>
          </cell>
          <cell r="E2512" t="str">
            <v>Nursery High School</v>
          </cell>
          <cell r="F2512">
            <v>1</v>
          </cell>
          <cell r="G2512">
            <v>0</v>
          </cell>
          <cell r="H2512">
            <v>1</v>
          </cell>
          <cell r="I2512">
            <v>0</v>
          </cell>
          <cell r="J2512">
            <v>1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</row>
        <row r="2513">
          <cell r="D2513">
            <v>309951</v>
          </cell>
          <cell r="E2513" t="str">
            <v>AMOTAG NATIONAL HIGH SCHOOL</v>
          </cell>
          <cell r="F2513">
            <v>1</v>
          </cell>
          <cell r="G2513">
            <v>1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</row>
        <row r="2514">
          <cell r="D2514">
            <v>309603</v>
          </cell>
          <cell r="E2514" t="str">
            <v>Caringo High School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</row>
        <row r="2515">
          <cell r="D2515">
            <v>301925</v>
          </cell>
          <cell r="E2515" t="str">
            <v>Vinzons Pilot High School</v>
          </cell>
          <cell r="F2515">
            <v>1</v>
          </cell>
          <cell r="G2515">
            <v>1</v>
          </cell>
          <cell r="H2515">
            <v>1</v>
          </cell>
          <cell r="I2515">
            <v>0</v>
          </cell>
          <cell r="J2515">
            <v>1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1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</row>
        <row r="2516">
          <cell r="D2516">
            <v>309616</v>
          </cell>
          <cell r="E2516" t="str">
            <v>Bulala HS</v>
          </cell>
          <cell r="F2516">
            <v>1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</row>
        <row r="2517">
          <cell r="D2517">
            <v>500156</v>
          </cell>
          <cell r="E2517" t="str">
            <v>Dumagmang IS</v>
          </cell>
          <cell r="F2517">
            <v>1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1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</row>
        <row r="2518">
          <cell r="D2518">
            <v>301854</v>
          </cell>
          <cell r="E2518" t="str">
            <v>Marigondon National High School</v>
          </cell>
          <cell r="F2518">
            <v>1</v>
          </cell>
          <cell r="G2518">
            <v>1</v>
          </cell>
          <cell r="H2518">
            <v>1</v>
          </cell>
          <cell r="I2518">
            <v>1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1</v>
          </cell>
          <cell r="O2518" t="str">
            <v>NONE</v>
          </cell>
          <cell r="P2518" t="str">
            <v>NONE</v>
          </cell>
          <cell r="Q2518">
            <v>1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</row>
        <row r="2519">
          <cell r="D2519">
            <v>302172</v>
          </cell>
          <cell r="E2519" t="str">
            <v>Tanque National High School</v>
          </cell>
          <cell r="F2519">
            <v>1</v>
          </cell>
          <cell r="G2519">
            <v>0</v>
          </cell>
          <cell r="H2519">
            <v>1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1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1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</row>
        <row r="2520">
          <cell r="D2520">
            <v>302103</v>
          </cell>
          <cell r="E2520" t="str">
            <v>Leandro I.Verceles Sr. NHS</v>
          </cell>
          <cell r="F2520">
            <v>1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</row>
        <row r="2521">
          <cell r="D2521">
            <v>301912</v>
          </cell>
          <cell r="E2521" t="str">
            <v>Tabas National High School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</row>
        <row r="2522">
          <cell r="D2522">
            <v>500031</v>
          </cell>
          <cell r="E2522" t="str">
            <v>Buyo Integrated School</v>
          </cell>
          <cell r="F2522">
            <v>1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>
            <v>0</v>
          </cell>
          <cell r="V2522">
            <v>0</v>
          </cell>
          <cell r="W2522">
            <v>0</v>
          </cell>
          <cell r="X2522">
            <v>0</v>
          </cell>
          <cell r="Y2522">
            <v>0</v>
          </cell>
        </row>
        <row r="2523">
          <cell r="D2523">
            <v>302225</v>
          </cell>
          <cell r="E2523" t="str">
            <v>Matnog NHS</v>
          </cell>
          <cell r="F2523">
            <v>1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</row>
        <row r="2524">
          <cell r="D2524">
            <v>309801</v>
          </cell>
          <cell r="E2524" t="str">
            <v>Panganiban NHS (CAIC Compound)</v>
          </cell>
          <cell r="F2524">
            <v>1</v>
          </cell>
          <cell r="G2524">
            <v>0</v>
          </cell>
          <cell r="H2524">
            <v>1</v>
          </cell>
          <cell r="I2524">
            <v>0</v>
          </cell>
          <cell r="J2524">
            <v>0</v>
          </cell>
          <cell r="K2524">
            <v>1</v>
          </cell>
          <cell r="L2524">
            <v>0</v>
          </cell>
          <cell r="M2524">
            <v>0</v>
          </cell>
          <cell r="N2524">
            <v>1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1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</row>
        <row r="2525">
          <cell r="D2525">
            <v>301904</v>
          </cell>
          <cell r="E2525" t="str">
            <v>MATANGO NATIONAL HIGH SCHOOL</v>
          </cell>
          <cell r="F2525">
            <v>0</v>
          </cell>
          <cell r="G2525">
            <v>0</v>
          </cell>
          <cell r="H2525">
            <v>1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</row>
        <row r="2526">
          <cell r="D2526">
            <v>301984</v>
          </cell>
          <cell r="E2526" t="str">
            <v>Vivencio Obias - Kinalansan NHS (formerly: Kinalansan NHS)</v>
          </cell>
          <cell r="F2526">
            <v>1</v>
          </cell>
          <cell r="G2526">
            <v>1</v>
          </cell>
          <cell r="H2526">
            <v>1</v>
          </cell>
          <cell r="I2526">
            <v>0</v>
          </cell>
          <cell r="J2526">
            <v>1</v>
          </cell>
          <cell r="K2526">
            <v>0</v>
          </cell>
          <cell r="L2526">
            <v>0</v>
          </cell>
          <cell r="M2526">
            <v>0</v>
          </cell>
          <cell r="N2526">
            <v>1</v>
          </cell>
          <cell r="O2526">
            <v>0</v>
          </cell>
          <cell r="P2526">
            <v>0</v>
          </cell>
          <cell r="Q2526">
            <v>0</v>
          </cell>
          <cell r="R2526">
            <v>1</v>
          </cell>
          <cell r="S2526">
            <v>0</v>
          </cell>
          <cell r="T2526">
            <v>0</v>
          </cell>
          <cell r="U2526">
            <v>0</v>
          </cell>
          <cell r="V2526">
            <v>1</v>
          </cell>
          <cell r="W2526">
            <v>0</v>
          </cell>
          <cell r="X2526">
            <v>0</v>
          </cell>
          <cell r="Y2526">
            <v>0</v>
          </cell>
        </row>
        <row r="2527">
          <cell r="D2527">
            <v>301865</v>
          </cell>
          <cell r="E2527" t="str">
            <v>Polangui General Comprehensive High School</v>
          </cell>
          <cell r="F2527">
            <v>1</v>
          </cell>
          <cell r="G2527">
            <v>1</v>
          </cell>
          <cell r="H2527">
            <v>1</v>
          </cell>
          <cell r="I2527">
            <v>0</v>
          </cell>
          <cell r="J2527">
            <v>0</v>
          </cell>
          <cell r="K2527">
            <v>0</v>
          </cell>
          <cell r="L2527">
            <v>1</v>
          </cell>
          <cell r="M2527" t="str">
            <v>AS NEED ARISES</v>
          </cell>
          <cell r="N2527">
            <v>1</v>
          </cell>
          <cell r="O2527">
            <v>43647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1</v>
          </cell>
          <cell r="U2527">
            <v>43678</v>
          </cell>
          <cell r="V2527">
            <v>1</v>
          </cell>
          <cell r="W2527">
            <v>0</v>
          </cell>
          <cell r="X2527">
            <v>0</v>
          </cell>
          <cell r="Y2527">
            <v>0</v>
          </cell>
        </row>
        <row r="2528">
          <cell r="D2528">
            <v>302161</v>
          </cell>
          <cell r="E2528" t="str">
            <v>Liberato P. Tacurda Sr. HS</v>
          </cell>
          <cell r="F2528">
            <v>1</v>
          </cell>
          <cell r="G2528">
            <v>1</v>
          </cell>
          <cell r="H2528">
            <v>1</v>
          </cell>
          <cell r="I2528">
            <v>1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1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1</v>
          </cell>
          <cell r="W2528">
            <v>0</v>
          </cell>
          <cell r="X2528">
            <v>0</v>
          </cell>
          <cell r="Y2528">
            <v>0</v>
          </cell>
        </row>
        <row r="2529">
          <cell r="D2529">
            <v>302086</v>
          </cell>
          <cell r="E2529" t="str">
            <v>Dariao NHS</v>
          </cell>
          <cell r="F2529">
            <v>1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</row>
        <row r="2530">
          <cell r="D2530">
            <v>309611</v>
          </cell>
          <cell r="E2530" t="str">
            <v>Dominador Narido High School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</row>
        <row r="2531">
          <cell r="D2531">
            <v>301924</v>
          </cell>
          <cell r="E2531" t="str">
            <v>Vicente L. Basit Memorial High School</v>
          </cell>
          <cell r="F2531">
            <v>1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</row>
        <row r="2532">
          <cell r="D2532">
            <v>301952</v>
          </cell>
          <cell r="E2532" t="str">
            <v>Calabanga NHS</v>
          </cell>
          <cell r="F2532">
            <v>1</v>
          </cell>
          <cell r="G2532">
            <v>1</v>
          </cell>
          <cell r="H2532">
            <v>1</v>
          </cell>
          <cell r="I2532">
            <v>0</v>
          </cell>
          <cell r="J2532">
            <v>1</v>
          </cell>
          <cell r="K2532">
            <v>0</v>
          </cell>
          <cell r="L2532">
            <v>0</v>
          </cell>
          <cell r="M2532">
            <v>0</v>
          </cell>
          <cell r="N2532">
            <v>1</v>
          </cell>
          <cell r="O2532">
            <v>43755</v>
          </cell>
          <cell r="P2532">
            <v>43605</v>
          </cell>
          <cell r="Q2532">
            <v>0</v>
          </cell>
          <cell r="R2532">
            <v>0</v>
          </cell>
          <cell r="S2532">
            <v>1</v>
          </cell>
          <cell r="T2532">
            <v>0</v>
          </cell>
          <cell r="U2532">
            <v>0</v>
          </cell>
          <cell r="V2532">
            <v>0</v>
          </cell>
          <cell r="W2532">
            <v>5</v>
          </cell>
          <cell r="X2532">
            <v>1</v>
          </cell>
          <cell r="Y2532">
            <v>0</v>
          </cell>
        </row>
        <row r="2533">
          <cell r="D2533">
            <v>301909</v>
          </cell>
          <cell r="E2533" t="str">
            <v>Pambuhan National High School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</row>
        <row r="2534">
          <cell r="D2534">
            <v>301903</v>
          </cell>
          <cell r="E2534" t="str">
            <v>San Lorenzo Ruiz National High School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</row>
        <row r="2535">
          <cell r="D2535">
            <v>301920</v>
          </cell>
          <cell r="E2535" t="str">
            <v>Sta. Cruz NHS</v>
          </cell>
          <cell r="F2535">
            <v>1</v>
          </cell>
          <cell r="G2535">
            <v>0</v>
          </cell>
          <cell r="H2535">
            <v>1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</row>
        <row r="2536">
          <cell r="D2536">
            <v>301888</v>
          </cell>
          <cell r="E2536" t="str">
            <v>E.P. Borja HS (Basiad NHS)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</row>
        <row r="2537">
          <cell r="D2537">
            <v>309607</v>
          </cell>
          <cell r="E2537" t="str">
            <v>Lazaro Cabezudo High School</v>
          </cell>
          <cell r="F2537">
            <v>1</v>
          </cell>
          <cell r="G2537">
            <v>1</v>
          </cell>
          <cell r="H2537">
            <v>0</v>
          </cell>
          <cell r="I2537">
            <v>0</v>
          </cell>
          <cell r="J2537">
            <v>1</v>
          </cell>
          <cell r="K2537">
            <v>0</v>
          </cell>
          <cell r="L2537">
            <v>0</v>
          </cell>
          <cell r="M2537">
            <v>0</v>
          </cell>
          <cell r="N2537">
            <v>1</v>
          </cell>
          <cell r="O2537">
            <v>0</v>
          </cell>
          <cell r="P2537">
            <v>0</v>
          </cell>
          <cell r="Q2537">
            <v>0</v>
          </cell>
          <cell r="R2537">
            <v>1</v>
          </cell>
          <cell r="S2537">
            <v>0</v>
          </cell>
          <cell r="T2537">
            <v>0</v>
          </cell>
          <cell r="U2537">
            <v>0</v>
          </cell>
          <cell r="V2537">
            <v>1</v>
          </cell>
          <cell r="W2537">
            <v>0</v>
          </cell>
          <cell r="X2537">
            <v>0</v>
          </cell>
          <cell r="Y2537">
            <v>0</v>
          </cell>
        </row>
        <row r="2538">
          <cell r="D2538">
            <v>301908</v>
          </cell>
          <cell r="E2538" t="str">
            <v>Pag-Asa High School</v>
          </cell>
          <cell r="F2538">
            <v>1</v>
          </cell>
          <cell r="G2538">
            <v>1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</row>
        <row r="2539">
          <cell r="D2539">
            <v>301898</v>
          </cell>
          <cell r="E2539" t="str">
            <v>Jose Panganiban NHS</v>
          </cell>
          <cell r="F2539">
            <v>0</v>
          </cell>
          <cell r="G2539">
            <v>0</v>
          </cell>
          <cell r="H2539">
            <v>1</v>
          </cell>
          <cell r="I2539">
            <v>0</v>
          </cell>
          <cell r="J2539">
            <v>1</v>
          </cell>
          <cell r="K2539">
            <v>0</v>
          </cell>
          <cell r="L2539">
            <v>0</v>
          </cell>
          <cell r="M2539">
            <v>0</v>
          </cell>
          <cell r="N2539">
            <v>1</v>
          </cell>
          <cell r="O2539" t="str">
            <v>06/28/2/19</v>
          </cell>
          <cell r="P2539">
            <v>43561</v>
          </cell>
          <cell r="Q2539">
            <v>0</v>
          </cell>
          <cell r="R2539">
            <v>1</v>
          </cell>
          <cell r="S2539">
            <v>0</v>
          </cell>
          <cell r="T2539">
            <v>0</v>
          </cell>
          <cell r="U2539">
            <v>0</v>
          </cell>
          <cell r="V2539">
            <v>1</v>
          </cell>
          <cell r="W2539">
            <v>6</v>
          </cell>
          <cell r="X2539">
            <v>0</v>
          </cell>
          <cell r="Y2539">
            <v>6</v>
          </cell>
        </row>
        <row r="2540">
          <cell r="D2540">
            <v>305403</v>
          </cell>
          <cell r="E2540" t="str">
            <v>Mercedes B. Peralta Senior High School</v>
          </cell>
          <cell r="F2540">
            <v>1</v>
          </cell>
          <cell r="G2540">
            <v>0</v>
          </cell>
          <cell r="H2540">
            <v>1</v>
          </cell>
          <cell r="I2540">
            <v>0</v>
          </cell>
          <cell r="J2540">
            <v>1</v>
          </cell>
          <cell r="K2540">
            <v>0</v>
          </cell>
          <cell r="L2540">
            <v>0</v>
          </cell>
          <cell r="M2540">
            <v>0</v>
          </cell>
          <cell r="N2540">
            <v>1</v>
          </cell>
          <cell r="O2540" t="str">
            <v>June, 2018</v>
          </cell>
          <cell r="P2540">
            <v>0</v>
          </cell>
          <cell r="Q2540">
            <v>1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1</v>
          </cell>
          <cell r="W2540">
            <v>0</v>
          </cell>
          <cell r="X2540">
            <v>0</v>
          </cell>
          <cell r="Y2540">
            <v>0</v>
          </cell>
        </row>
        <row r="2541">
          <cell r="D2541">
            <v>309920</v>
          </cell>
          <cell r="E2541" t="str">
            <v>Conrada Tero Kho Memorial High School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</row>
        <row r="2542">
          <cell r="D2542">
            <v>309606</v>
          </cell>
          <cell r="E2542" t="str">
            <v>San Isidro HS (Alcantara)</v>
          </cell>
          <cell r="F2542">
            <v>1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</row>
        <row r="2543">
          <cell r="D2543">
            <v>302071</v>
          </cell>
          <cell r="E2543" t="str">
            <v>Antipolo NHS</v>
          </cell>
          <cell r="F2543">
            <v>1</v>
          </cell>
          <cell r="G2543">
            <v>0</v>
          </cell>
          <cell r="H2543">
            <v>1</v>
          </cell>
          <cell r="I2543">
            <v>0</v>
          </cell>
          <cell r="J2543">
            <v>0</v>
          </cell>
          <cell r="K2543">
            <v>1</v>
          </cell>
          <cell r="L2543">
            <v>0</v>
          </cell>
          <cell r="M2543">
            <v>0</v>
          </cell>
          <cell r="N2543">
            <v>0</v>
          </cell>
          <cell r="O2543">
            <v>43808</v>
          </cell>
          <cell r="P2543">
            <v>43808</v>
          </cell>
          <cell r="Q2543">
            <v>0</v>
          </cell>
          <cell r="R2543">
            <v>1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5</v>
          </cell>
          <cell r="X2543">
            <v>0</v>
          </cell>
          <cell r="Y2543">
            <v>0</v>
          </cell>
        </row>
        <row r="2544">
          <cell r="D2544">
            <v>500463</v>
          </cell>
          <cell r="E2544" t="str">
            <v>Sto. Nino Integrated School</v>
          </cell>
          <cell r="F2544">
            <v>1</v>
          </cell>
          <cell r="G2544">
            <v>1</v>
          </cell>
          <cell r="H2544">
            <v>0</v>
          </cell>
          <cell r="I2544">
            <v>0</v>
          </cell>
          <cell r="J2544">
            <v>0</v>
          </cell>
          <cell r="K2544">
            <v>1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1</v>
          </cell>
          <cell r="T2544">
            <v>0</v>
          </cell>
          <cell r="U2544">
            <v>0</v>
          </cell>
          <cell r="V2544">
            <v>1</v>
          </cell>
          <cell r="W2544">
            <v>0</v>
          </cell>
          <cell r="X2544">
            <v>0</v>
          </cell>
          <cell r="Y2544">
            <v>0</v>
          </cell>
        </row>
        <row r="2545">
          <cell r="D2545">
            <v>302257</v>
          </cell>
          <cell r="E2545" t="str">
            <v>Banquerohan NHS</v>
          </cell>
          <cell r="F2545">
            <v>1</v>
          </cell>
          <cell r="G2545">
            <v>1</v>
          </cell>
          <cell r="H2545">
            <v>1</v>
          </cell>
          <cell r="I2545">
            <v>0</v>
          </cell>
          <cell r="J2545">
            <v>0</v>
          </cell>
          <cell r="K2545">
            <v>1</v>
          </cell>
          <cell r="L2545">
            <v>0</v>
          </cell>
          <cell r="M2545">
            <v>0</v>
          </cell>
          <cell r="N2545">
            <v>1</v>
          </cell>
          <cell r="O2545" t="str">
            <v>7/19/2019</v>
          </cell>
          <cell r="P2545">
            <v>0</v>
          </cell>
          <cell r="Q2545">
            <v>0</v>
          </cell>
          <cell r="R2545">
            <v>1</v>
          </cell>
          <cell r="S2545">
            <v>0</v>
          </cell>
          <cell r="T2545">
            <v>1</v>
          </cell>
          <cell r="U2545" t="str">
            <v>NEVER</v>
          </cell>
          <cell r="V2545">
            <v>1</v>
          </cell>
          <cell r="W2545">
            <v>0</v>
          </cell>
          <cell r="X2545">
            <v>0</v>
          </cell>
          <cell r="Y2545">
            <v>0</v>
          </cell>
        </row>
        <row r="2546">
          <cell r="D2546">
            <v>309618</v>
          </cell>
          <cell r="E2546" t="str">
            <v>San Pedro-Domingo Llarena HS</v>
          </cell>
          <cell r="F2546">
            <v>1</v>
          </cell>
          <cell r="G2546">
            <v>0</v>
          </cell>
          <cell r="H2546">
            <v>1</v>
          </cell>
          <cell r="I2546">
            <v>0</v>
          </cell>
          <cell r="J2546">
            <v>0</v>
          </cell>
          <cell r="K2546">
            <v>1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</row>
        <row r="2547">
          <cell r="D2547">
            <v>321802</v>
          </cell>
          <cell r="E2547" t="str">
            <v>Usab High School</v>
          </cell>
          <cell r="F2547">
            <v>1</v>
          </cell>
          <cell r="G2547">
            <v>1</v>
          </cell>
          <cell r="H2547">
            <v>1</v>
          </cell>
          <cell r="I2547">
            <v>0</v>
          </cell>
          <cell r="J2547">
            <v>0</v>
          </cell>
          <cell r="K2547">
            <v>1</v>
          </cell>
          <cell r="L2547">
            <v>0</v>
          </cell>
          <cell r="M2547">
            <v>0</v>
          </cell>
          <cell r="N2547">
            <v>0</v>
          </cell>
          <cell r="O2547" t="str">
            <v>N/A</v>
          </cell>
          <cell r="P2547" t="str">
            <v>N/A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</row>
        <row r="2548">
          <cell r="D2548">
            <v>309707</v>
          </cell>
          <cell r="E2548" t="str">
            <v>Siembre High School</v>
          </cell>
          <cell r="F2548">
            <v>0</v>
          </cell>
          <cell r="G2548">
            <v>1</v>
          </cell>
          <cell r="H2548">
            <v>1</v>
          </cell>
          <cell r="I2548">
            <v>0</v>
          </cell>
          <cell r="J2548">
            <v>0</v>
          </cell>
          <cell r="K2548">
            <v>1</v>
          </cell>
          <cell r="L2548">
            <v>0</v>
          </cell>
          <cell r="M2548">
            <v>0</v>
          </cell>
          <cell r="N2548">
            <v>1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1</v>
          </cell>
          <cell r="T2548">
            <v>0</v>
          </cell>
          <cell r="U2548">
            <v>0</v>
          </cell>
          <cell r="V2548">
            <v>1</v>
          </cell>
          <cell r="W2548">
            <v>0</v>
          </cell>
          <cell r="X2548">
            <v>0</v>
          </cell>
          <cell r="Y2548">
            <v>0</v>
          </cell>
        </row>
        <row r="2549">
          <cell r="D2549">
            <v>301994</v>
          </cell>
          <cell r="E2549" t="str">
            <v>Mambulo Nuevo High School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</row>
        <row r="2550">
          <cell r="D2550">
            <v>302242</v>
          </cell>
          <cell r="E2550" t="str">
            <v>San Roque NHS</v>
          </cell>
          <cell r="F2550">
            <v>1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1</v>
          </cell>
          <cell r="X2550">
            <v>0</v>
          </cell>
          <cell r="Y2550">
            <v>0</v>
          </cell>
        </row>
        <row r="2551">
          <cell r="D2551">
            <v>301913</v>
          </cell>
          <cell r="E2551" t="str">
            <v>Rizal NATIONAL HIGH SCHOOL</v>
          </cell>
          <cell r="F2551">
            <v>1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</row>
        <row r="2552">
          <cell r="D2552">
            <v>500034</v>
          </cell>
          <cell r="E2552" t="str">
            <v>Maximino S. Lazaro IS</v>
          </cell>
          <cell r="F2552">
            <v>0</v>
          </cell>
          <cell r="G2552">
            <v>0</v>
          </cell>
          <cell r="H2552">
            <v>1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</row>
        <row r="2553">
          <cell r="D2553">
            <v>302175</v>
          </cell>
          <cell r="E2553" t="str">
            <v>Uson National High School</v>
          </cell>
          <cell r="F2553">
            <v>1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</row>
        <row r="2554">
          <cell r="D2554">
            <v>301985</v>
          </cell>
          <cell r="E2554" t="str">
            <v>La Purisima National High School</v>
          </cell>
          <cell r="F2554">
            <v>1</v>
          </cell>
          <cell r="G2554">
            <v>1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</row>
        <row r="2555">
          <cell r="D2555">
            <v>302006</v>
          </cell>
          <cell r="E2555" t="str">
            <v>Ocampo NHS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</row>
        <row r="2556">
          <cell r="D2556">
            <v>302137</v>
          </cell>
          <cell r="E2556" t="str">
            <v>Halabangbaybay NHS</v>
          </cell>
          <cell r="F2556">
            <v>1</v>
          </cell>
          <cell r="G2556">
            <v>0</v>
          </cell>
          <cell r="H2556">
            <v>1</v>
          </cell>
          <cell r="I2556">
            <v>0</v>
          </cell>
          <cell r="J2556">
            <v>1</v>
          </cell>
          <cell r="K2556">
            <v>0</v>
          </cell>
          <cell r="L2556">
            <v>0</v>
          </cell>
          <cell r="M2556">
            <v>0</v>
          </cell>
          <cell r="N2556">
            <v>1</v>
          </cell>
          <cell r="O2556">
            <v>0</v>
          </cell>
          <cell r="P2556">
            <v>0</v>
          </cell>
          <cell r="Q2556">
            <v>0</v>
          </cell>
          <cell r="R2556">
            <v>1</v>
          </cell>
          <cell r="S2556">
            <v>0</v>
          </cell>
          <cell r="T2556">
            <v>0</v>
          </cell>
          <cell r="U2556">
            <v>0</v>
          </cell>
          <cell r="V2556">
            <v>1</v>
          </cell>
          <cell r="W2556">
            <v>0</v>
          </cell>
          <cell r="X2556">
            <v>0</v>
          </cell>
          <cell r="Y2556">
            <v>0</v>
          </cell>
        </row>
        <row r="2557">
          <cell r="D2557">
            <v>302261</v>
          </cell>
          <cell r="E2557" t="str">
            <v>Pag-asa National High School</v>
          </cell>
          <cell r="F2557">
            <v>1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</row>
        <row r="2558">
          <cell r="D2558">
            <v>301900</v>
          </cell>
          <cell r="E2558" t="str">
            <v>Lalawigan National High School</v>
          </cell>
          <cell r="F2558">
            <v>0</v>
          </cell>
          <cell r="G2558">
            <v>0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</row>
        <row r="2559">
          <cell r="D2559">
            <v>302098</v>
          </cell>
          <cell r="E2559" t="str">
            <v>San Miguel Rural DHS</v>
          </cell>
          <cell r="F2559">
            <v>1</v>
          </cell>
          <cell r="G2559">
            <v>0</v>
          </cell>
          <cell r="H2559">
            <v>1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 t="str">
            <v>N/A</v>
          </cell>
          <cell r="P2559" t="str">
            <v>N/A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</row>
        <row r="2560">
          <cell r="D2560">
            <v>301860</v>
          </cell>
          <cell r="E2560" t="str">
            <v>Pantao National High School</v>
          </cell>
          <cell r="F2560">
            <v>1</v>
          </cell>
          <cell r="G2560">
            <v>1</v>
          </cell>
          <cell r="H2560">
            <v>1</v>
          </cell>
          <cell r="I2560">
            <v>0</v>
          </cell>
          <cell r="J2560">
            <v>1</v>
          </cell>
          <cell r="K2560">
            <v>0</v>
          </cell>
          <cell r="L2560">
            <v>0</v>
          </cell>
          <cell r="M2560">
            <v>0</v>
          </cell>
          <cell r="N2560">
            <v>1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1</v>
          </cell>
          <cell r="U2560" t="str">
            <v>weekly</v>
          </cell>
          <cell r="V2560">
            <v>1</v>
          </cell>
          <cell r="W2560">
            <v>0</v>
          </cell>
          <cell r="X2560">
            <v>0</v>
          </cell>
          <cell r="Y2560">
            <v>0</v>
          </cell>
        </row>
        <row r="2561">
          <cell r="D2561">
            <v>302160</v>
          </cell>
          <cell r="E2561" t="str">
            <v>Salvador Arollado, Sr. MHS</v>
          </cell>
          <cell r="F2561">
            <v>1</v>
          </cell>
          <cell r="G2561">
            <v>1</v>
          </cell>
          <cell r="H2561">
            <v>1</v>
          </cell>
          <cell r="I2561">
            <v>1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1</v>
          </cell>
          <cell r="R2561">
            <v>0</v>
          </cell>
          <cell r="S2561">
            <v>0</v>
          </cell>
          <cell r="T2561">
            <v>1</v>
          </cell>
          <cell r="U2561">
            <v>0</v>
          </cell>
          <cell r="V2561">
            <v>1</v>
          </cell>
          <cell r="W2561">
            <v>0</v>
          </cell>
          <cell r="X2561">
            <v>0</v>
          </cell>
          <cell r="Y2561">
            <v>0</v>
          </cell>
        </row>
        <row r="2562">
          <cell r="D2562">
            <v>302053</v>
          </cell>
          <cell r="E2562" t="str">
            <v>Sulpicio A. Roco MHS</v>
          </cell>
          <cell r="F2562">
            <v>0</v>
          </cell>
          <cell r="G2562">
            <v>0</v>
          </cell>
          <cell r="H2562">
            <v>1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1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</row>
        <row r="2563">
          <cell r="D2563">
            <v>301918</v>
          </cell>
          <cell r="E2563" t="str">
            <v>San Roque National High School</v>
          </cell>
          <cell r="F2563">
            <v>1</v>
          </cell>
          <cell r="G2563">
            <v>1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</row>
        <row r="2564">
          <cell r="D2564">
            <v>302126</v>
          </cell>
          <cell r="E2564" t="str">
            <v>Tito R. Espinosa Memorial National Agricultural School</v>
          </cell>
          <cell r="F2564">
            <v>1</v>
          </cell>
          <cell r="G2564">
            <v>1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</row>
        <row r="2565">
          <cell r="D2565">
            <v>500157</v>
          </cell>
          <cell r="E2565" t="str">
            <v>Ponong Integrated School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</row>
        <row r="2566">
          <cell r="D2566">
            <v>309711</v>
          </cell>
          <cell r="E2566" t="str">
            <v>Mantalisay HS</v>
          </cell>
          <cell r="F2566">
            <v>0</v>
          </cell>
          <cell r="G2566">
            <v>0</v>
          </cell>
          <cell r="H2566">
            <v>1</v>
          </cell>
          <cell r="I2566">
            <v>0</v>
          </cell>
          <cell r="J2566">
            <v>0</v>
          </cell>
          <cell r="K2566">
            <v>0</v>
          </cell>
          <cell r="L2566">
            <v>1</v>
          </cell>
          <cell r="M2566" t="str">
            <v>When needed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</row>
        <row r="2567">
          <cell r="D2567">
            <v>302096</v>
          </cell>
          <cell r="E2567" t="str">
            <v>San Andres Vocational School</v>
          </cell>
          <cell r="F2567">
            <v>1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</row>
        <row r="2568">
          <cell r="D2568">
            <v>301923</v>
          </cell>
          <cell r="E2568" t="str">
            <v>Talobatib HS</v>
          </cell>
          <cell r="F2568">
            <v>1</v>
          </cell>
          <cell r="G2568">
            <v>1</v>
          </cell>
          <cell r="H2568">
            <v>1</v>
          </cell>
          <cell r="I2568">
            <v>0</v>
          </cell>
          <cell r="J2568">
            <v>0</v>
          </cell>
          <cell r="K2568">
            <v>1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</row>
        <row r="2569">
          <cell r="D2569">
            <v>309926</v>
          </cell>
          <cell r="E2569" t="str">
            <v>Maravilla National High School</v>
          </cell>
          <cell r="F2569">
            <v>1</v>
          </cell>
          <cell r="G2569">
            <v>0</v>
          </cell>
          <cell r="H2569">
            <v>1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 t="str">
            <v>n/a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</row>
        <row r="2570">
          <cell r="D2570">
            <v>309907</v>
          </cell>
          <cell r="E2570" t="str">
            <v>San Pablo National High School</v>
          </cell>
          <cell r="F2570">
            <v>1</v>
          </cell>
          <cell r="G2570">
            <v>1</v>
          </cell>
          <cell r="H2570">
            <v>1</v>
          </cell>
          <cell r="I2570">
            <v>0</v>
          </cell>
          <cell r="J2570">
            <v>1</v>
          </cell>
          <cell r="K2570">
            <v>0</v>
          </cell>
          <cell r="L2570">
            <v>0</v>
          </cell>
          <cell r="M2570">
            <v>0</v>
          </cell>
          <cell r="N2570">
            <v>1</v>
          </cell>
          <cell r="O2570" t="str">
            <v>6/25/19</v>
          </cell>
          <cell r="P2570">
            <v>0</v>
          </cell>
          <cell r="Q2570">
            <v>0</v>
          </cell>
          <cell r="R2570">
            <v>1</v>
          </cell>
          <cell r="S2570">
            <v>0</v>
          </cell>
          <cell r="T2570">
            <v>0</v>
          </cell>
          <cell r="U2570">
            <v>0</v>
          </cell>
          <cell r="V2570">
            <v>1</v>
          </cell>
          <cell r="W2570">
            <v>0</v>
          </cell>
          <cell r="X2570">
            <v>0</v>
          </cell>
          <cell r="Y2570">
            <v>0</v>
          </cell>
        </row>
        <row r="2571">
          <cell r="D2571">
            <v>302124</v>
          </cell>
          <cell r="E2571" t="str">
            <v>Burgos National High School</v>
          </cell>
          <cell r="F2571">
            <v>1</v>
          </cell>
          <cell r="G2571">
            <v>1</v>
          </cell>
          <cell r="H2571">
            <v>1</v>
          </cell>
          <cell r="I2571">
            <v>0</v>
          </cell>
          <cell r="J2571">
            <v>1</v>
          </cell>
          <cell r="K2571">
            <v>0</v>
          </cell>
          <cell r="L2571">
            <v>0</v>
          </cell>
          <cell r="M2571">
            <v>0</v>
          </cell>
          <cell r="N2571">
            <v>1</v>
          </cell>
          <cell r="O2571">
            <v>43672</v>
          </cell>
          <cell r="P2571">
            <v>0</v>
          </cell>
          <cell r="Q2571">
            <v>0</v>
          </cell>
          <cell r="R2571">
            <v>1</v>
          </cell>
          <cell r="S2571">
            <v>0</v>
          </cell>
          <cell r="T2571">
            <v>0</v>
          </cell>
          <cell r="U2571">
            <v>0</v>
          </cell>
          <cell r="V2571">
            <v>1</v>
          </cell>
          <cell r="W2571">
            <v>0</v>
          </cell>
          <cell r="X2571">
            <v>0</v>
          </cell>
          <cell r="Y2571">
            <v>0</v>
          </cell>
        </row>
        <row r="2572">
          <cell r="D2572">
            <v>301999</v>
          </cell>
          <cell r="E2572" t="str">
            <v>Milaor National High School</v>
          </cell>
          <cell r="F2572">
            <v>1</v>
          </cell>
          <cell r="G2572">
            <v>1</v>
          </cell>
          <cell r="H2572">
            <v>1</v>
          </cell>
          <cell r="I2572">
            <v>1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43630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</row>
        <row r="2573">
          <cell r="D2573">
            <v>301838</v>
          </cell>
          <cell r="E2573" t="str">
            <v>Bacong HS</v>
          </cell>
          <cell r="F2573">
            <v>1</v>
          </cell>
          <cell r="G2573">
            <v>1</v>
          </cell>
          <cell r="H2573">
            <v>1</v>
          </cell>
          <cell r="I2573">
            <v>0</v>
          </cell>
          <cell r="J2573">
            <v>0</v>
          </cell>
          <cell r="K2573">
            <v>1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1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</row>
        <row r="2574">
          <cell r="D2574">
            <v>301997</v>
          </cell>
          <cell r="E2574" t="str">
            <v>Masoli High School</v>
          </cell>
          <cell r="F2574">
            <v>1</v>
          </cell>
          <cell r="G2574">
            <v>0</v>
          </cell>
          <cell r="H2574">
            <v>0</v>
          </cell>
          <cell r="I2574">
            <v>0</v>
          </cell>
          <cell r="J2574">
            <v>1</v>
          </cell>
          <cell r="K2574">
            <v>0</v>
          </cell>
          <cell r="L2574">
            <v>0</v>
          </cell>
          <cell r="M2574">
            <v>0</v>
          </cell>
          <cell r="N2574">
            <v>1</v>
          </cell>
          <cell r="O2574">
            <v>43608</v>
          </cell>
          <cell r="P2574">
            <v>43745</v>
          </cell>
          <cell r="Q2574">
            <v>1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1</v>
          </cell>
          <cell r="W2574">
            <v>0</v>
          </cell>
          <cell r="X2574">
            <v>0</v>
          </cell>
          <cell r="Y2574">
            <v>0</v>
          </cell>
        </row>
        <row r="2575">
          <cell r="D2575">
            <v>301830</v>
          </cell>
          <cell r="E2575" t="str">
            <v>Jovellar National High School</v>
          </cell>
          <cell r="F2575">
            <v>0</v>
          </cell>
          <cell r="G2575">
            <v>0</v>
          </cell>
          <cell r="H2575">
            <v>1</v>
          </cell>
          <cell r="I2575">
            <v>1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 t="str">
            <v>Oct. 11, 2019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</row>
        <row r="2576">
          <cell r="D2576">
            <v>301915</v>
          </cell>
          <cell r="E2576" t="str">
            <v>San Felipe NHS</v>
          </cell>
          <cell r="F2576">
            <v>1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</row>
        <row r="2577">
          <cell r="D2577">
            <v>302074</v>
          </cell>
          <cell r="E2577" t="str">
            <v>Bato Rural Development High School</v>
          </cell>
          <cell r="F2577">
            <v>1</v>
          </cell>
          <cell r="G2577">
            <v>0</v>
          </cell>
          <cell r="H2577">
            <v>1</v>
          </cell>
          <cell r="I2577">
            <v>0</v>
          </cell>
          <cell r="J2577">
            <v>0</v>
          </cell>
          <cell r="K2577">
            <v>1</v>
          </cell>
          <cell r="L2577">
            <v>0</v>
          </cell>
          <cell r="M2577">
            <v>0</v>
          </cell>
          <cell r="N2577">
            <v>1</v>
          </cell>
          <cell r="O2577" t="str">
            <v>August, 2019</v>
          </cell>
          <cell r="P2577" t="str">
            <v>July, 2019</v>
          </cell>
          <cell r="Q2577">
            <v>0</v>
          </cell>
          <cell r="R2577">
            <v>0</v>
          </cell>
          <cell r="S2577">
            <v>1</v>
          </cell>
          <cell r="T2577">
            <v>0</v>
          </cell>
          <cell r="U2577">
            <v>0</v>
          </cell>
          <cell r="V2577">
            <v>1</v>
          </cell>
          <cell r="W2577">
            <v>75</v>
          </cell>
          <cell r="X2577">
            <v>75</v>
          </cell>
          <cell r="Y2577">
            <v>75</v>
          </cell>
        </row>
        <row r="2578">
          <cell r="D2578">
            <v>302274</v>
          </cell>
          <cell r="E2578" t="str">
            <v>Osiao Paglingap National High School</v>
          </cell>
          <cell r="F2578">
            <v>1</v>
          </cell>
          <cell r="G2578">
            <v>1</v>
          </cell>
          <cell r="H2578">
            <v>1</v>
          </cell>
          <cell r="I2578">
            <v>0</v>
          </cell>
          <cell r="J2578">
            <v>1</v>
          </cell>
          <cell r="K2578">
            <v>0</v>
          </cell>
          <cell r="L2578">
            <v>0</v>
          </cell>
          <cell r="M2578">
            <v>0</v>
          </cell>
          <cell r="N2578">
            <v>1</v>
          </cell>
          <cell r="O2578" t="str">
            <v>09/21-23/2019</v>
          </cell>
          <cell r="P2578">
            <v>43621</v>
          </cell>
          <cell r="Q2578">
            <v>0</v>
          </cell>
          <cell r="R2578">
            <v>1</v>
          </cell>
          <cell r="S2578">
            <v>0</v>
          </cell>
          <cell r="T2578">
            <v>0</v>
          </cell>
          <cell r="U2578">
            <v>0</v>
          </cell>
          <cell r="V2578">
            <v>1</v>
          </cell>
          <cell r="W2578">
            <v>3</v>
          </cell>
          <cell r="X2578">
            <v>1</v>
          </cell>
          <cell r="Y2578">
            <v>3</v>
          </cell>
        </row>
        <row r="2579">
          <cell r="D2579">
            <v>301944</v>
          </cell>
          <cell r="E2579" t="str">
            <v>Binagasbasan NHS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</row>
        <row r="2580">
          <cell r="D2580">
            <v>500161</v>
          </cell>
          <cell r="E2580" t="str">
            <v>Iniwaran Integrated School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</row>
        <row r="2581">
          <cell r="D2581">
            <v>309513</v>
          </cell>
          <cell r="E2581" t="str">
            <v>Lanigay High School</v>
          </cell>
          <cell r="F2581">
            <v>1</v>
          </cell>
          <cell r="G2581">
            <v>1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 t="str">
            <v>n/a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</row>
        <row r="2582">
          <cell r="D2582">
            <v>500163</v>
          </cell>
          <cell r="E2582" t="str">
            <v>Tigbao Integrated School</v>
          </cell>
          <cell r="F2582">
            <v>1</v>
          </cell>
          <cell r="G2582">
            <v>1</v>
          </cell>
          <cell r="H2582">
            <v>1</v>
          </cell>
          <cell r="I2582">
            <v>0</v>
          </cell>
          <cell r="J2582">
            <v>1</v>
          </cell>
          <cell r="K2582">
            <v>0</v>
          </cell>
          <cell r="L2582">
            <v>0</v>
          </cell>
          <cell r="M2582">
            <v>0</v>
          </cell>
          <cell r="N2582">
            <v>1</v>
          </cell>
          <cell r="O2582">
            <v>0</v>
          </cell>
          <cell r="P2582">
            <v>0</v>
          </cell>
          <cell r="Q2582">
            <v>1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</row>
        <row r="2583">
          <cell r="D2583">
            <v>302112</v>
          </cell>
          <cell r="E2583" t="str">
            <v>Badiang National High School</v>
          </cell>
          <cell r="F2583">
            <v>1</v>
          </cell>
          <cell r="G2583">
            <v>1</v>
          </cell>
          <cell r="H2583">
            <v>1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1</v>
          </cell>
          <cell r="O2583">
            <v>43707</v>
          </cell>
          <cell r="P2583" t="str">
            <v>N/A</v>
          </cell>
          <cell r="Q2583">
            <v>0</v>
          </cell>
          <cell r="R2583">
            <v>1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</row>
        <row r="2584">
          <cell r="D2584">
            <v>500393</v>
          </cell>
          <cell r="E2584" t="str">
            <v>Alejandro Delos Reyes Integrated School</v>
          </cell>
          <cell r="F2584">
            <v>1</v>
          </cell>
          <cell r="G2584">
            <v>1</v>
          </cell>
          <cell r="H2584">
            <v>1</v>
          </cell>
          <cell r="I2584">
            <v>0</v>
          </cell>
          <cell r="J2584">
            <v>1</v>
          </cell>
          <cell r="K2584">
            <v>0</v>
          </cell>
          <cell r="L2584">
            <v>0</v>
          </cell>
          <cell r="M2584">
            <v>0</v>
          </cell>
          <cell r="N2584">
            <v>1</v>
          </cell>
          <cell r="O2584">
            <v>43774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</row>
        <row r="2585">
          <cell r="D2585">
            <v>310202</v>
          </cell>
          <cell r="E2585" t="str">
            <v>Legazpi City Science High School</v>
          </cell>
          <cell r="F2585">
            <v>1</v>
          </cell>
          <cell r="G2585">
            <v>1</v>
          </cell>
          <cell r="H2585">
            <v>1</v>
          </cell>
          <cell r="I2585">
            <v>0</v>
          </cell>
          <cell r="J2585">
            <v>1</v>
          </cell>
          <cell r="K2585">
            <v>0</v>
          </cell>
          <cell r="L2585">
            <v>0</v>
          </cell>
          <cell r="M2585">
            <v>0</v>
          </cell>
          <cell r="N2585">
            <v>1</v>
          </cell>
          <cell r="O2585">
            <v>0</v>
          </cell>
          <cell r="P2585">
            <v>0</v>
          </cell>
          <cell r="Q2585">
            <v>0</v>
          </cell>
          <cell r="R2585">
            <v>1</v>
          </cell>
          <cell r="S2585">
            <v>0</v>
          </cell>
          <cell r="T2585">
            <v>0</v>
          </cell>
          <cell r="U2585">
            <v>0</v>
          </cell>
          <cell r="V2585">
            <v>1</v>
          </cell>
          <cell r="W2585">
            <v>0</v>
          </cell>
          <cell r="X2585">
            <v>0</v>
          </cell>
          <cell r="Y2585">
            <v>0</v>
          </cell>
        </row>
        <row r="2586">
          <cell r="D2586">
            <v>302108</v>
          </cell>
          <cell r="E2586" t="str">
            <v>Adelina P. Laurio National HS</v>
          </cell>
          <cell r="F2586">
            <v>1</v>
          </cell>
          <cell r="G2586">
            <v>0</v>
          </cell>
          <cell r="H2586">
            <v>1</v>
          </cell>
          <cell r="I2586">
            <v>0</v>
          </cell>
          <cell r="J2586">
            <v>0</v>
          </cell>
          <cell r="K2586">
            <v>1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</row>
        <row r="2587">
          <cell r="D2587">
            <v>309936</v>
          </cell>
          <cell r="E2587" t="str">
            <v>AMADO E. LAZARO HS</v>
          </cell>
          <cell r="F2587">
            <v>0</v>
          </cell>
          <cell r="G2587">
            <v>0</v>
          </cell>
          <cell r="H2587">
            <v>1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</row>
        <row r="2588">
          <cell r="D2588">
            <v>500164</v>
          </cell>
          <cell r="E2588" t="str">
            <v>Costa Rica Integrated School</v>
          </cell>
          <cell r="F2588">
            <v>1</v>
          </cell>
          <cell r="G2588">
            <v>1</v>
          </cell>
          <cell r="H2588">
            <v>1</v>
          </cell>
          <cell r="I2588">
            <v>0</v>
          </cell>
          <cell r="J2588">
            <v>1</v>
          </cell>
          <cell r="K2588">
            <v>0</v>
          </cell>
          <cell r="L2588">
            <v>0</v>
          </cell>
          <cell r="M2588">
            <v>0</v>
          </cell>
          <cell r="N2588">
            <v>1</v>
          </cell>
          <cell r="O2588">
            <v>0</v>
          </cell>
          <cell r="P2588">
            <v>0</v>
          </cell>
          <cell r="Q2588">
            <v>0</v>
          </cell>
          <cell r="R2588">
            <v>1</v>
          </cell>
          <cell r="S2588">
            <v>0</v>
          </cell>
          <cell r="T2588">
            <v>0</v>
          </cell>
          <cell r="U2588">
            <v>0</v>
          </cell>
          <cell r="V2588">
            <v>1</v>
          </cell>
          <cell r="W2588">
            <v>3</v>
          </cell>
          <cell r="X2588">
            <v>1</v>
          </cell>
          <cell r="Y2588">
            <v>1</v>
          </cell>
        </row>
        <row r="2589">
          <cell r="D2589">
            <v>301969</v>
          </cell>
          <cell r="E2589" t="str">
            <v>Don Servillano Platon Memorial NHS</v>
          </cell>
          <cell r="F2589">
            <v>1</v>
          </cell>
          <cell r="G2589">
            <v>0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</row>
        <row r="2590">
          <cell r="D2590">
            <v>302129</v>
          </cell>
          <cell r="E2590" t="str">
            <v>Cataingan National High School</v>
          </cell>
          <cell r="F2590">
            <v>1</v>
          </cell>
          <cell r="G2590">
            <v>1</v>
          </cell>
          <cell r="H2590">
            <v>1</v>
          </cell>
          <cell r="I2590">
            <v>0</v>
          </cell>
          <cell r="J2590">
            <v>1</v>
          </cell>
          <cell r="K2590">
            <v>1</v>
          </cell>
          <cell r="L2590">
            <v>0</v>
          </cell>
          <cell r="M2590">
            <v>0</v>
          </cell>
          <cell r="N2590">
            <v>1</v>
          </cell>
          <cell r="O2590" t="str">
            <v>May 31, 2019</v>
          </cell>
          <cell r="P2590" t="str">
            <v>June 7-8, 2019</v>
          </cell>
          <cell r="Q2590">
            <v>0</v>
          </cell>
          <cell r="R2590">
            <v>1</v>
          </cell>
          <cell r="S2590">
            <v>1</v>
          </cell>
          <cell r="T2590">
            <v>0</v>
          </cell>
          <cell r="U2590">
            <v>0</v>
          </cell>
          <cell r="V2590">
            <v>1</v>
          </cell>
          <cell r="W2590">
            <v>11</v>
          </cell>
          <cell r="X2590">
            <v>11</v>
          </cell>
          <cell r="Y2590">
            <v>11</v>
          </cell>
        </row>
        <row r="2591">
          <cell r="D2591">
            <v>301868</v>
          </cell>
          <cell r="E2591" t="str">
            <v>Ponso National HS</v>
          </cell>
          <cell r="F2591">
            <v>1</v>
          </cell>
          <cell r="G2591">
            <v>1</v>
          </cell>
          <cell r="H2591">
            <v>1</v>
          </cell>
          <cell r="I2591">
            <v>0</v>
          </cell>
          <cell r="J2591">
            <v>0</v>
          </cell>
          <cell r="K2591">
            <v>1</v>
          </cell>
          <cell r="L2591">
            <v>0</v>
          </cell>
          <cell r="M2591">
            <v>0</v>
          </cell>
          <cell r="N2591">
            <v>0</v>
          </cell>
          <cell r="O2591" t="str">
            <v>N/A</v>
          </cell>
          <cell r="P2591">
            <v>43586</v>
          </cell>
          <cell r="Q2591">
            <v>0</v>
          </cell>
          <cell r="R2591">
            <v>1</v>
          </cell>
          <cell r="S2591">
            <v>0</v>
          </cell>
          <cell r="T2591">
            <v>0</v>
          </cell>
          <cell r="U2591">
            <v>0</v>
          </cell>
          <cell r="V2591">
            <v>1</v>
          </cell>
          <cell r="W2591">
            <v>0</v>
          </cell>
          <cell r="X2591">
            <v>0</v>
          </cell>
          <cell r="Y2591">
            <v>0</v>
          </cell>
        </row>
        <row r="2592">
          <cell r="D2592">
            <v>309938</v>
          </cell>
          <cell r="E2592" t="str">
            <v>Labangco National High School</v>
          </cell>
          <cell r="F2592">
            <v>1</v>
          </cell>
          <cell r="G2592">
            <v>0</v>
          </cell>
          <cell r="H2592">
            <v>1</v>
          </cell>
          <cell r="I2592">
            <v>0</v>
          </cell>
          <cell r="J2592">
            <v>1</v>
          </cell>
          <cell r="K2592">
            <v>0</v>
          </cell>
          <cell r="L2592">
            <v>0</v>
          </cell>
          <cell r="M2592">
            <v>0</v>
          </cell>
          <cell r="N2592">
            <v>1</v>
          </cell>
          <cell r="O2592">
            <v>43648</v>
          </cell>
          <cell r="P2592">
            <v>43648</v>
          </cell>
          <cell r="Q2592">
            <v>1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1</v>
          </cell>
          <cell r="W2592">
            <v>0</v>
          </cell>
          <cell r="X2592">
            <v>0</v>
          </cell>
          <cell r="Y2592">
            <v>0</v>
          </cell>
        </row>
        <row r="2593">
          <cell r="D2593">
            <v>309608</v>
          </cell>
          <cell r="E2593" t="str">
            <v>Tuaca HS</v>
          </cell>
          <cell r="F2593">
            <v>1</v>
          </cell>
          <cell r="G2593">
            <v>0</v>
          </cell>
          <cell r="H2593">
            <v>1</v>
          </cell>
          <cell r="I2593">
            <v>0</v>
          </cell>
          <cell r="J2593">
            <v>0</v>
          </cell>
          <cell r="K2593">
            <v>1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1</v>
          </cell>
          <cell r="W2593">
            <v>0</v>
          </cell>
          <cell r="X2593">
            <v>0</v>
          </cell>
          <cell r="Y2593">
            <v>0</v>
          </cell>
        </row>
        <row r="2594">
          <cell r="D2594">
            <v>302047</v>
          </cell>
          <cell r="E2594" t="str">
            <v>Sipocot NHS</v>
          </cell>
          <cell r="F2594">
            <v>1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</row>
        <row r="2595">
          <cell r="D2595">
            <v>301963</v>
          </cell>
          <cell r="E2595" t="str">
            <v>Dahat National Vocational HS</v>
          </cell>
          <cell r="F2595">
            <v>1</v>
          </cell>
          <cell r="G2595">
            <v>1</v>
          </cell>
          <cell r="H2595">
            <v>1</v>
          </cell>
          <cell r="I2595">
            <v>0</v>
          </cell>
          <cell r="J2595">
            <v>1</v>
          </cell>
          <cell r="K2595">
            <v>0</v>
          </cell>
          <cell r="L2595">
            <v>0</v>
          </cell>
          <cell r="M2595">
            <v>0</v>
          </cell>
          <cell r="N2595">
            <v>1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1</v>
          </cell>
          <cell r="T2595">
            <v>0</v>
          </cell>
          <cell r="U2595">
            <v>0</v>
          </cell>
          <cell r="V2595">
            <v>1</v>
          </cell>
          <cell r="W2595">
            <v>0</v>
          </cell>
          <cell r="X2595">
            <v>0</v>
          </cell>
          <cell r="Y2595">
            <v>0</v>
          </cell>
        </row>
        <row r="2596">
          <cell r="D2596">
            <v>309911</v>
          </cell>
          <cell r="E2596" t="str">
            <v>Miabas National High School</v>
          </cell>
          <cell r="F2596">
            <v>0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</row>
        <row r="2597">
          <cell r="D2597">
            <v>302178</v>
          </cell>
          <cell r="E2597" t="str">
            <v>Vivencio P. Casas Sr. Memorial High School</v>
          </cell>
          <cell r="F2597">
            <v>1</v>
          </cell>
          <cell r="G2597">
            <v>1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</row>
        <row r="2598">
          <cell r="D2598">
            <v>301858</v>
          </cell>
          <cell r="E2598" t="str">
            <v>Oma-Oma NHS</v>
          </cell>
          <cell r="F2598">
            <v>1</v>
          </cell>
          <cell r="G2598">
            <v>1</v>
          </cell>
          <cell r="H2598">
            <v>1</v>
          </cell>
          <cell r="I2598">
            <v>0</v>
          </cell>
          <cell r="J2598">
            <v>1</v>
          </cell>
          <cell r="K2598">
            <v>0</v>
          </cell>
          <cell r="L2598">
            <v>0</v>
          </cell>
          <cell r="M2598">
            <v>0</v>
          </cell>
          <cell r="N2598">
            <v>1</v>
          </cell>
          <cell r="O2598">
            <v>43666</v>
          </cell>
          <cell r="P2598">
            <v>0</v>
          </cell>
          <cell r="Q2598">
            <v>1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1</v>
          </cell>
          <cell r="W2598">
            <v>0</v>
          </cell>
          <cell r="X2598">
            <v>0</v>
          </cell>
          <cell r="Y2598">
            <v>0</v>
          </cell>
        </row>
        <row r="2599">
          <cell r="D2599">
            <v>321801</v>
          </cell>
          <cell r="E2599" t="str">
            <v>Bolo National High School</v>
          </cell>
          <cell r="F2599">
            <v>0</v>
          </cell>
          <cell r="G2599">
            <v>1</v>
          </cell>
          <cell r="H2599">
            <v>1</v>
          </cell>
          <cell r="I2599">
            <v>0</v>
          </cell>
          <cell r="J2599">
            <v>1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1</v>
          </cell>
          <cell r="S2599">
            <v>0</v>
          </cell>
          <cell r="T2599">
            <v>0</v>
          </cell>
          <cell r="U2599">
            <v>0</v>
          </cell>
          <cell r="V2599">
            <v>1</v>
          </cell>
          <cell r="W2599">
            <v>0</v>
          </cell>
          <cell r="X2599">
            <v>0</v>
          </cell>
          <cell r="Y2599">
            <v>0</v>
          </cell>
        </row>
        <row r="2600">
          <cell r="D2600">
            <v>305544</v>
          </cell>
          <cell r="E2600" t="str">
            <v>Sugod Senior High School</v>
          </cell>
          <cell r="F2600">
            <v>1</v>
          </cell>
          <cell r="G2600">
            <v>1</v>
          </cell>
          <cell r="H2600">
            <v>1</v>
          </cell>
          <cell r="I2600">
            <v>0</v>
          </cell>
          <cell r="J2600">
            <v>1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43744</v>
          </cell>
          <cell r="Q2600">
            <v>0</v>
          </cell>
          <cell r="R2600">
            <v>1</v>
          </cell>
          <cell r="S2600">
            <v>0</v>
          </cell>
          <cell r="T2600">
            <v>0</v>
          </cell>
          <cell r="U2600">
            <v>0</v>
          </cell>
          <cell r="V2600">
            <v>1</v>
          </cell>
          <cell r="W2600">
            <v>0</v>
          </cell>
          <cell r="X2600">
            <v>0</v>
          </cell>
          <cell r="Y2600">
            <v>0</v>
          </cell>
        </row>
        <row r="2601">
          <cell r="D2601">
            <v>309929</v>
          </cell>
          <cell r="E2601" t="str">
            <v>Salvacion National High School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</row>
        <row r="2602">
          <cell r="D2602">
            <v>302130</v>
          </cell>
          <cell r="E2602" t="str">
            <v>Cawayan National High School</v>
          </cell>
          <cell r="F2602">
            <v>1</v>
          </cell>
          <cell r="G2602">
            <v>1</v>
          </cell>
          <cell r="H2602">
            <v>1</v>
          </cell>
          <cell r="I2602">
            <v>0</v>
          </cell>
          <cell r="J2602">
            <v>1</v>
          </cell>
          <cell r="K2602">
            <v>0</v>
          </cell>
          <cell r="L2602">
            <v>0</v>
          </cell>
          <cell r="M2602">
            <v>0</v>
          </cell>
          <cell r="N2602">
            <v>1</v>
          </cell>
          <cell r="O2602">
            <v>42815</v>
          </cell>
          <cell r="P2602">
            <v>0</v>
          </cell>
          <cell r="Q2602">
            <v>0</v>
          </cell>
          <cell r="R2602">
            <v>1</v>
          </cell>
          <cell r="S2602">
            <v>0</v>
          </cell>
          <cell r="T2602">
            <v>0</v>
          </cell>
          <cell r="U2602">
            <v>0</v>
          </cell>
          <cell r="V2602">
            <v>1</v>
          </cell>
          <cell r="W2602">
            <v>0</v>
          </cell>
          <cell r="X2602">
            <v>0</v>
          </cell>
          <cell r="Y2602">
            <v>0</v>
          </cell>
        </row>
        <row r="2603">
          <cell r="D2603">
            <v>302132</v>
          </cell>
          <cell r="E2603" t="str">
            <v>Dimasalang National High School</v>
          </cell>
          <cell r="F2603">
            <v>1</v>
          </cell>
          <cell r="G2603">
            <v>0</v>
          </cell>
          <cell r="H2603">
            <v>1</v>
          </cell>
          <cell r="I2603">
            <v>0</v>
          </cell>
          <cell r="J2603">
            <v>0</v>
          </cell>
          <cell r="K2603">
            <v>1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1</v>
          </cell>
          <cell r="U2603" t="str">
            <v>During Parent's Assembly</v>
          </cell>
          <cell r="V2603">
            <v>1</v>
          </cell>
          <cell r="W2603">
            <v>0</v>
          </cell>
          <cell r="X2603">
            <v>0</v>
          </cell>
          <cell r="Y2603">
            <v>0</v>
          </cell>
        </row>
        <row r="2604">
          <cell r="D2604">
            <v>500165</v>
          </cell>
          <cell r="E2604" t="str">
            <v>Antonio Lee Llacer Sr. Integrated School</v>
          </cell>
          <cell r="F2604">
            <v>1</v>
          </cell>
          <cell r="G2604">
            <v>1</v>
          </cell>
          <cell r="H2604">
            <v>1</v>
          </cell>
          <cell r="I2604">
            <v>0</v>
          </cell>
          <cell r="J2604">
            <v>1</v>
          </cell>
          <cell r="K2604">
            <v>0</v>
          </cell>
          <cell r="L2604">
            <v>0</v>
          </cell>
          <cell r="M2604">
            <v>0</v>
          </cell>
          <cell r="N2604">
            <v>1</v>
          </cell>
          <cell r="O2604">
            <v>43669</v>
          </cell>
          <cell r="P2604">
            <v>0</v>
          </cell>
          <cell r="Q2604">
            <v>0</v>
          </cell>
          <cell r="R2604">
            <v>1</v>
          </cell>
          <cell r="S2604">
            <v>0</v>
          </cell>
          <cell r="T2604">
            <v>0</v>
          </cell>
          <cell r="U2604">
            <v>0</v>
          </cell>
          <cell r="V2604">
            <v>1</v>
          </cell>
          <cell r="W2604">
            <v>0</v>
          </cell>
          <cell r="X2604">
            <v>0</v>
          </cell>
          <cell r="Y2604">
            <v>0</v>
          </cell>
        </row>
        <row r="2605">
          <cell r="D2605">
            <v>302171</v>
          </cell>
          <cell r="E2605" t="str">
            <v>Santos E. Conag National High School</v>
          </cell>
          <cell r="F2605">
            <v>1</v>
          </cell>
          <cell r="G2605">
            <v>0</v>
          </cell>
          <cell r="H2605">
            <v>1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</row>
        <row r="2606">
          <cell r="D2606">
            <v>302168</v>
          </cell>
          <cell r="E2606" t="str">
            <v>San Pascual NHS</v>
          </cell>
          <cell r="F2606">
            <v>1</v>
          </cell>
          <cell r="G2606">
            <v>1</v>
          </cell>
          <cell r="H2606">
            <v>1</v>
          </cell>
          <cell r="I2606">
            <v>1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1</v>
          </cell>
          <cell r="O2606">
            <v>0</v>
          </cell>
          <cell r="P2606" t="str">
            <v>July 12, 2019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4</v>
          </cell>
          <cell r="X2606">
            <v>0</v>
          </cell>
          <cell r="Y2606">
            <v>0</v>
          </cell>
        </row>
        <row r="2607">
          <cell r="D2607">
            <v>302115</v>
          </cell>
          <cell r="E2607" t="str">
            <v>Baleno National High School</v>
          </cell>
          <cell r="F2607">
            <v>1</v>
          </cell>
          <cell r="G2607">
            <v>0</v>
          </cell>
          <cell r="H2607">
            <v>1</v>
          </cell>
          <cell r="I2607">
            <v>0</v>
          </cell>
          <cell r="J2607">
            <v>1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</row>
        <row r="2608">
          <cell r="D2608">
            <v>302116</v>
          </cell>
          <cell r="E2608" t="str">
            <v>Balud NHS</v>
          </cell>
          <cell r="F2608">
            <v>1</v>
          </cell>
          <cell r="G2608">
            <v>1</v>
          </cell>
          <cell r="H2608">
            <v>1</v>
          </cell>
          <cell r="I2608">
            <v>0</v>
          </cell>
          <cell r="J2608">
            <v>1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 t="str">
            <v>09/26/19</v>
          </cell>
          <cell r="P2608">
            <v>0</v>
          </cell>
          <cell r="Q2608">
            <v>0</v>
          </cell>
          <cell r="R2608">
            <v>1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</row>
        <row r="2609">
          <cell r="D2609">
            <v>309931</v>
          </cell>
          <cell r="E2609" t="str">
            <v>Amador-Bello HS</v>
          </cell>
          <cell r="F2609">
            <v>0</v>
          </cell>
          <cell r="G2609">
            <v>0</v>
          </cell>
          <cell r="H2609">
            <v>1</v>
          </cell>
          <cell r="I2609">
            <v>0</v>
          </cell>
          <cell r="J2609">
            <v>0</v>
          </cell>
          <cell r="K2609">
            <v>0</v>
          </cell>
          <cell r="L2609">
            <v>1</v>
          </cell>
          <cell r="M2609" t="str">
            <v>None</v>
          </cell>
          <cell r="N2609">
            <v>0</v>
          </cell>
          <cell r="O2609">
            <v>0</v>
          </cell>
          <cell r="P2609" t="str">
            <v>01/17/2019</v>
          </cell>
          <cell r="Q2609">
            <v>0</v>
          </cell>
          <cell r="R2609">
            <v>0</v>
          </cell>
          <cell r="S2609">
            <v>1</v>
          </cell>
          <cell r="T2609">
            <v>0</v>
          </cell>
          <cell r="U2609">
            <v>0</v>
          </cell>
          <cell r="V2609">
            <v>1</v>
          </cell>
          <cell r="W2609">
            <v>0</v>
          </cell>
          <cell r="X2609">
            <v>0</v>
          </cell>
          <cell r="Y2609">
            <v>0</v>
          </cell>
        </row>
        <row r="2610">
          <cell r="D2610">
            <v>302140</v>
          </cell>
          <cell r="E2610" t="str">
            <v>Lagta National High School</v>
          </cell>
          <cell r="F2610">
            <v>0</v>
          </cell>
          <cell r="G2610">
            <v>0</v>
          </cell>
          <cell r="H2610">
            <v>1</v>
          </cell>
          <cell r="I2610">
            <v>0</v>
          </cell>
          <cell r="J2610">
            <v>0</v>
          </cell>
          <cell r="K2610">
            <v>1</v>
          </cell>
          <cell r="L2610">
            <v>0</v>
          </cell>
          <cell r="M2610">
            <v>0</v>
          </cell>
          <cell r="N2610">
            <v>1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1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</row>
        <row r="2611">
          <cell r="D2611">
            <v>309922</v>
          </cell>
          <cell r="E2611" t="str">
            <v>Floro L. Medina MHS</v>
          </cell>
          <cell r="F2611">
            <v>0</v>
          </cell>
          <cell r="G2611">
            <v>0</v>
          </cell>
          <cell r="H2611">
            <v>1</v>
          </cell>
          <cell r="I2611">
            <v>0</v>
          </cell>
          <cell r="J2611">
            <v>1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1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</row>
        <row r="2612">
          <cell r="D2612">
            <v>301850</v>
          </cell>
          <cell r="E2612" t="str">
            <v>Lower Binogsacan National High School</v>
          </cell>
          <cell r="F2612">
            <v>1</v>
          </cell>
          <cell r="G2612">
            <v>1</v>
          </cell>
          <cell r="H2612">
            <v>1</v>
          </cell>
          <cell r="I2612">
            <v>0</v>
          </cell>
          <cell r="J2612">
            <v>1</v>
          </cell>
          <cell r="K2612">
            <v>0</v>
          </cell>
          <cell r="L2612">
            <v>0</v>
          </cell>
          <cell r="M2612">
            <v>0</v>
          </cell>
          <cell r="N2612">
            <v>1</v>
          </cell>
          <cell r="O2612">
            <v>43644</v>
          </cell>
          <cell r="P2612">
            <v>43518</v>
          </cell>
          <cell r="Q2612">
            <v>0</v>
          </cell>
          <cell r="R2612">
            <v>1</v>
          </cell>
          <cell r="S2612">
            <v>0</v>
          </cell>
          <cell r="T2612">
            <v>0</v>
          </cell>
          <cell r="U2612">
            <v>0</v>
          </cell>
          <cell r="V2612">
            <v>1</v>
          </cell>
          <cell r="W2612">
            <v>0</v>
          </cell>
          <cell r="X2612">
            <v>0</v>
          </cell>
          <cell r="Y2612">
            <v>0</v>
          </cell>
        </row>
        <row r="2613">
          <cell r="D2613">
            <v>302049</v>
          </cell>
          <cell r="E2613" t="str">
            <v>Sta. Cruz National High School</v>
          </cell>
          <cell r="F2613">
            <v>0</v>
          </cell>
          <cell r="G2613">
            <v>0</v>
          </cell>
          <cell r="H2613">
            <v>1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1</v>
          </cell>
          <cell r="U2613" t="str">
            <v>ALWAYS</v>
          </cell>
          <cell r="V2613">
            <v>1</v>
          </cell>
          <cell r="W2613">
            <v>0</v>
          </cell>
          <cell r="X2613">
            <v>0</v>
          </cell>
          <cell r="Y2613">
            <v>0</v>
          </cell>
        </row>
        <row r="2614">
          <cell r="D2614">
            <v>321805</v>
          </cell>
          <cell r="E2614" t="str">
            <v>Bantigue High School</v>
          </cell>
          <cell r="F2614">
            <v>1</v>
          </cell>
          <cell r="G2614">
            <v>0</v>
          </cell>
          <cell r="H2614">
            <v>1</v>
          </cell>
          <cell r="I2614">
            <v>0</v>
          </cell>
          <cell r="J2614">
            <v>0</v>
          </cell>
          <cell r="K2614">
            <v>1</v>
          </cell>
          <cell r="L2614">
            <v>0</v>
          </cell>
          <cell r="M2614">
            <v>0</v>
          </cell>
          <cell r="N2614">
            <v>1</v>
          </cell>
          <cell r="O2614" t="str">
            <v>JUNE 5, 2019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</row>
        <row r="2615">
          <cell r="D2615">
            <v>302125</v>
          </cell>
          <cell r="E2615" t="str">
            <v>Cleofe A. Arce Memorial High School</v>
          </cell>
          <cell r="F2615">
            <v>1</v>
          </cell>
          <cell r="G2615">
            <v>0</v>
          </cell>
          <cell r="H2615">
            <v>1</v>
          </cell>
          <cell r="I2615">
            <v>0</v>
          </cell>
          <cell r="J2615">
            <v>1</v>
          </cell>
          <cell r="K2615">
            <v>0</v>
          </cell>
          <cell r="L2615">
            <v>0</v>
          </cell>
          <cell r="M2615">
            <v>0</v>
          </cell>
          <cell r="N2615">
            <v>1</v>
          </cell>
          <cell r="O2615" t="str">
            <v>07/18/2019</v>
          </cell>
          <cell r="P2615" t="str">
            <v>07/19/2019</v>
          </cell>
          <cell r="Q2615">
            <v>1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1</v>
          </cell>
          <cell r="W2615">
            <v>0</v>
          </cell>
          <cell r="X2615">
            <v>0</v>
          </cell>
          <cell r="Y2615">
            <v>0</v>
          </cell>
        </row>
        <row r="2616">
          <cell r="D2616">
            <v>309901</v>
          </cell>
          <cell r="E2616" t="str">
            <v>Delavin-Rubia National High School</v>
          </cell>
          <cell r="F2616">
            <v>1</v>
          </cell>
          <cell r="G2616">
            <v>0</v>
          </cell>
          <cell r="H2616">
            <v>1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1</v>
          </cell>
          <cell r="O2616">
            <v>0</v>
          </cell>
          <cell r="P2616">
            <v>0</v>
          </cell>
          <cell r="Q2616">
            <v>1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1</v>
          </cell>
          <cell r="W2616">
            <v>0</v>
          </cell>
          <cell r="X2616">
            <v>0</v>
          </cell>
          <cell r="Y2616">
            <v>0</v>
          </cell>
        </row>
        <row r="2617">
          <cell r="D2617">
            <v>500162</v>
          </cell>
          <cell r="E2617" t="str">
            <v>Mataba Integrated School</v>
          </cell>
          <cell r="F2617">
            <v>1</v>
          </cell>
          <cell r="G2617">
            <v>0</v>
          </cell>
          <cell r="H2617">
            <v>1</v>
          </cell>
          <cell r="I2617">
            <v>1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</row>
        <row r="2618">
          <cell r="D2618">
            <v>302174</v>
          </cell>
          <cell r="E2618" t="str">
            <v>Tinigban National High School</v>
          </cell>
          <cell r="F2618">
            <v>1</v>
          </cell>
          <cell r="G2618">
            <v>1</v>
          </cell>
          <cell r="H2618">
            <v>1</v>
          </cell>
          <cell r="I2618">
            <v>0</v>
          </cell>
          <cell r="J2618">
            <v>1</v>
          </cell>
          <cell r="K2618">
            <v>0</v>
          </cell>
          <cell r="L2618">
            <v>0</v>
          </cell>
          <cell r="M2618">
            <v>0</v>
          </cell>
          <cell r="N2618">
            <v>1</v>
          </cell>
          <cell r="O2618">
            <v>0</v>
          </cell>
          <cell r="P2618">
            <v>43633</v>
          </cell>
          <cell r="Q2618">
            <v>1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1</v>
          </cell>
          <cell r="W2618">
            <v>0</v>
          </cell>
          <cell r="X2618">
            <v>0</v>
          </cell>
          <cell r="Y2618">
            <v>0</v>
          </cell>
        </row>
        <row r="2619">
          <cell r="D2619">
            <v>302119</v>
          </cell>
          <cell r="E2619" t="str">
            <v>Melchor B. Burlaos Memorial High School</v>
          </cell>
          <cell r="F2619">
            <v>1</v>
          </cell>
          <cell r="G2619">
            <v>1</v>
          </cell>
          <cell r="H2619">
            <v>1</v>
          </cell>
          <cell r="I2619">
            <v>0</v>
          </cell>
          <cell r="J2619">
            <v>0</v>
          </cell>
          <cell r="K2619">
            <v>1</v>
          </cell>
          <cell r="L2619">
            <v>0</v>
          </cell>
          <cell r="M2619">
            <v>0</v>
          </cell>
          <cell r="N2619">
            <v>1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1</v>
          </cell>
          <cell r="T2619">
            <v>0</v>
          </cell>
          <cell r="U2619">
            <v>0</v>
          </cell>
          <cell r="V2619">
            <v>1</v>
          </cell>
          <cell r="W2619">
            <v>0</v>
          </cell>
          <cell r="X2619">
            <v>0</v>
          </cell>
          <cell r="Y2619">
            <v>0</v>
          </cell>
        </row>
        <row r="2620">
          <cell r="D2620">
            <v>301862</v>
          </cell>
          <cell r="E2620" t="str">
            <v>Paulba NHS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</row>
        <row r="2621">
          <cell r="D2621">
            <v>302158</v>
          </cell>
          <cell r="E2621" t="str">
            <v>Pawican National High School</v>
          </cell>
          <cell r="F2621">
            <v>1</v>
          </cell>
          <cell r="G2621">
            <v>1</v>
          </cell>
          <cell r="H2621">
            <v>1</v>
          </cell>
          <cell r="I2621">
            <v>0</v>
          </cell>
          <cell r="J2621">
            <v>1</v>
          </cell>
          <cell r="K2621">
            <v>0</v>
          </cell>
          <cell r="L2621">
            <v>0</v>
          </cell>
          <cell r="M2621">
            <v>0</v>
          </cell>
          <cell r="N2621">
            <v>1</v>
          </cell>
          <cell r="O2621" t="str">
            <v>8/23/2019</v>
          </cell>
          <cell r="P2621">
            <v>0</v>
          </cell>
          <cell r="Q2621">
            <v>1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1</v>
          </cell>
          <cell r="W2621">
            <v>0</v>
          </cell>
          <cell r="X2621">
            <v>0</v>
          </cell>
          <cell r="Y2621">
            <v>0</v>
          </cell>
        </row>
        <row r="2622">
          <cell r="D2622">
            <v>309910</v>
          </cell>
          <cell r="E2622" t="str">
            <v>Cabitan National High School</v>
          </cell>
          <cell r="F2622">
            <v>1</v>
          </cell>
          <cell r="G2622">
            <v>1</v>
          </cell>
          <cell r="H2622">
            <v>1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1</v>
          </cell>
          <cell r="O2622">
            <v>43562</v>
          </cell>
          <cell r="P2622" t="str">
            <v>03/29/2019</v>
          </cell>
          <cell r="Q2622">
            <v>0</v>
          </cell>
          <cell r="R2622">
            <v>1</v>
          </cell>
          <cell r="S2622">
            <v>0</v>
          </cell>
          <cell r="T2622">
            <v>0</v>
          </cell>
          <cell r="U2622">
            <v>0</v>
          </cell>
          <cell r="V2622">
            <v>1</v>
          </cell>
          <cell r="W2622">
            <v>0</v>
          </cell>
          <cell r="X2622">
            <v>0</v>
          </cell>
          <cell r="Y2622">
            <v>0</v>
          </cell>
        </row>
        <row r="2623">
          <cell r="D2623">
            <v>302139</v>
          </cell>
          <cell r="E2623" t="str">
            <v>Jamorawon National High School</v>
          </cell>
          <cell r="F2623">
            <v>0</v>
          </cell>
          <cell r="G2623">
            <v>0</v>
          </cell>
          <cell r="H2623">
            <v>1</v>
          </cell>
          <cell r="I2623">
            <v>0</v>
          </cell>
          <cell r="J2623">
            <v>0</v>
          </cell>
          <cell r="K2623">
            <v>1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</row>
        <row r="2624">
          <cell r="D2624">
            <v>309945</v>
          </cell>
          <cell r="E2624" t="str">
            <v>Rizal Integrated School</v>
          </cell>
          <cell r="F2624">
            <v>1</v>
          </cell>
          <cell r="G2624">
            <v>1</v>
          </cell>
          <cell r="H2624">
            <v>1</v>
          </cell>
          <cell r="I2624">
            <v>0</v>
          </cell>
          <cell r="J2624">
            <v>1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43715</v>
          </cell>
          <cell r="P2624">
            <v>0</v>
          </cell>
          <cell r="Q2624">
            <v>0</v>
          </cell>
          <cell r="R2624">
            <v>1</v>
          </cell>
          <cell r="S2624">
            <v>0</v>
          </cell>
          <cell r="T2624">
            <v>0</v>
          </cell>
          <cell r="U2624">
            <v>0</v>
          </cell>
          <cell r="V2624">
            <v>1</v>
          </cell>
          <cell r="W2624">
            <v>0</v>
          </cell>
          <cell r="X2624">
            <v>0</v>
          </cell>
          <cell r="Y2624">
            <v>0</v>
          </cell>
        </row>
        <row r="2625">
          <cell r="D2625">
            <v>301941</v>
          </cell>
          <cell r="E2625" t="str">
            <v>Banga HS</v>
          </cell>
          <cell r="F2625">
            <v>0</v>
          </cell>
          <cell r="G2625">
            <v>0</v>
          </cell>
          <cell r="H2625">
            <v>1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43358</v>
          </cell>
          <cell r="Q2625">
            <v>0</v>
          </cell>
          <cell r="R2625">
            <v>1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</row>
        <row r="2626">
          <cell r="D2626">
            <v>309504</v>
          </cell>
          <cell r="E2626" t="str">
            <v>Rawis High School</v>
          </cell>
          <cell r="F2626">
            <v>1</v>
          </cell>
          <cell r="G2626">
            <v>1</v>
          </cell>
          <cell r="H2626">
            <v>1</v>
          </cell>
          <cell r="I2626">
            <v>0</v>
          </cell>
          <cell r="J2626">
            <v>1</v>
          </cell>
          <cell r="K2626">
            <v>0</v>
          </cell>
          <cell r="L2626">
            <v>0</v>
          </cell>
          <cell r="M2626">
            <v>0</v>
          </cell>
          <cell r="N2626">
            <v>1</v>
          </cell>
          <cell r="O2626" t="str">
            <v>09/30/2018</v>
          </cell>
          <cell r="P2626" t="str">
            <v>09/30/2018</v>
          </cell>
          <cell r="Q2626">
            <v>0</v>
          </cell>
          <cell r="R2626">
            <v>0</v>
          </cell>
          <cell r="S2626">
            <v>1</v>
          </cell>
          <cell r="T2626">
            <v>0</v>
          </cell>
          <cell r="U2626">
            <v>0</v>
          </cell>
          <cell r="V2626">
            <v>1</v>
          </cell>
          <cell r="W2626">
            <v>0</v>
          </cell>
          <cell r="X2626">
            <v>0</v>
          </cell>
          <cell r="Y2626">
            <v>0</v>
          </cell>
        </row>
        <row r="2627">
          <cell r="D2627">
            <v>302136</v>
          </cell>
          <cell r="E2627" t="str">
            <v>Matagangtang National High School</v>
          </cell>
          <cell r="F2627">
            <v>1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</row>
        <row r="2628">
          <cell r="D2628">
            <v>309924</v>
          </cell>
          <cell r="E2628" t="str">
            <v>Malbug National High School</v>
          </cell>
          <cell r="F2628">
            <v>1</v>
          </cell>
          <cell r="G2628">
            <v>1</v>
          </cell>
          <cell r="H2628">
            <v>1</v>
          </cell>
          <cell r="I2628">
            <v>0</v>
          </cell>
          <cell r="J2628">
            <v>1</v>
          </cell>
          <cell r="K2628">
            <v>0</v>
          </cell>
          <cell r="L2628">
            <v>0</v>
          </cell>
          <cell r="M2628">
            <v>0</v>
          </cell>
          <cell r="N2628">
            <v>1</v>
          </cell>
          <cell r="O2628">
            <v>43543</v>
          </cell>
          <cell r="P2628">
            <v>43543</v>
          </cell>
          <cell r="Q2628">
            <v>1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1</v>
          </cell>
          <cell r="W2628">
            <v>0</v>
          </cell>
          <cell r="X2628">
            <v>0</v>
          </cell>
          <cell r="Y2628">
            <v>0</v>
          </cell>
        </row>
        <row r="2629">
          <cell r="D2629">
            <v>302173</v>
          </cell>
          <cell r="E2629" t="str">
            <v>Tiburcio A. Berdida, Sr. NHS</v>
          </cell>
          <cell r="F2629">
            <v>1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1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1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</row>
        <row r="2630">
          <cell r="D2630">
            <v>309913</v>
          </cell>
          <cell r="E2630" t="str">
            <v>PATROCINIO DELA TORRE NATIONAL HIGH SCHOOL</v>
          </cell>
          <cell r="F2630">
            <v>1</v>
          </cell>
          <cell r="G2630">
            <v>1</v>
          </cell>
          <cell r="H2630">
            <v>1</v>
          </cell>
          <cell r="I2630">
            <v>0</v>
          </cell>
          <cell r="J2630">
            <v>0</v>
          </cell>
          <cell r="K2630">
            <v>1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7</v>
          </cell>
          <cell r="X2630">
            <v>1</v>
          </cell>
          <cell r="Y2630">
            <v>2</v>
          </cell>
        </row>
        <row r="2631">
          <cell r="D2631">
            <v>302113</v>
          </cell>
          <cell r="E2631" t="str">
            <v>Bagahanglad NHS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1</v>
          </cell>
          <cell r="K2631">
            <v>0</v>
          </cell>
          <cell r="L2631">
            <v>0</v>
          </cell>
          <cell r="M2631">
            <v>0</v>
          </cell>
          <cell r="N2631">
            <v>1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1</v>
          </cell>
          <cell r="U2631" t="str">
            <v>Weekly</v>
          </cell>
          <cell r="V2631">
            <v>1</v>
          </cell>
          <cell r="W2631">
            <v>0</v>
          </cell>
          <cell r="X2631">
            <v>0</v>
          </cell>
          <cell r="Y2631">
            <v>0</v>
          </cell>
        </row>
        <row r="2632">
          <cell r="D2632">
            <v>302024</v>
          </cell>
          <cell r="E2632" t="str">
            <v>Magsaysay  National High School</v>
          </cell>
          <cell r="F2632">
            <v>0</v>
          </cell>
          <cell r="G2632">
            <v>0</v>
          </cell>
          <cell r="H2632">
            <v>1</v>
          </cell>
          <cell r="I2632">
            <v>0</v>
          </cell>
          <cell r="J2632">
            <v>1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</row>
        <row r="2633">
          <cell r="D2633">
            <v>302167</v>
          </cell>
          <cell r="E2633" t="str">
            <v>San Jacinto National High School</v>
          </cell>
          <cell r="F2633">
            <v>1</v>
          </cell>
          <cell r="G2633">
            <v>1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</row>
        <row r="2634">
          <cell r="D2634">
            <v>309904</v>
          </cell>
          <cell r="E2634" t="str">
            <v>Palanas National Agriculture High School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1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1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</row>
        <row r="2635">
          <cell r="D2635">
            <v>302110</v>
          </cell>
          <cell r="E2635" t="str">
            <v>Temistocles A. Merioles, Sr. Memorial High School</v>
          </cell>
          <cell r="F2635">
            <v>1</v>
          </cell>
          <cell r="G2635">
            <v>1</v>
          </cell>
          <cell r="H2635">
            <v>1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1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1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</row>
        <row r="2636">
          <cell r="D2636">
            <v>309906</v>
          </cell>
          <cell r="E2636" t="str">
            <v>Serafin C. Rosero Memorial High School</v>
          </cell>
          <cell r="F2636">
            <v>1</v>
          </cell>
          <cell r="G2636">
            <v>1</v>
          </cell>
          <cell r="H2636">
            <v>1</v>
          </cell>
          <cell r="I2636">
            <v>0</v>
          </cell>
          <cell r="J2636">
            <v>0</v>
          </cell>
          <cell r="K2636">
            <v>1</v>
          </cell>
          <cell r="L2636">
            <v>0</v>
          </cell>
          <cell r="M2636">
            <v>0</v>
          </cell>
          <cell r="N2636">
            <v>1</v>
          </cell>
          <cell r="O2636" t="str">
            <v>08/26/2019</v>
          </cell>
          <cell r="P2636">
            <v>0</v>
          </cell>
          <cell r="Q2636">
            <v>0</v>
          </cell>
          <cell r="R2636">
            <v>1</v>
          </cell>
          <cell r="S2636">
            <v>0</v>
          </cell>
          <cell r="T2636">
            <v>0</v>
          </cell>
          <cell r="U2636">
            <v>0</v>
          </cell>
          <cell r="V2636">
            <v>1</v>
          </cell>
          <cell r="W2636">
            <v>0</v>
          </cell>
          <cell r="X2636">
            <v>0</v>
          </cell>
          <cell r="Y2636">
            <v>0</v>
          </cell>
        </row>
        <row r="2637">
          <cell r="D2637">
            <v>302177</v>
          </cell>
          <cell r="E2637" t="str">
            <v>Villahermosa National High School</v>
          </cell>
          <cell r="F2637">
            <v>1</v>
          </cell>
          <cell r="G2637">
            <v>0</v>
          </cell>
          <cell r="H2637">
            <v>1</v>
          </cell>
          <cell r="I2637">
            <v>0</v>
          </cell>
          <cell r="J2637">
            <v>1</v>
          </cell>
          <cell r="K2637">
            <v>0</v>
          </cell>
          <cell r="L2637">
            <v>0</v>
          </cell>
          <cell r="M2637">
            <v>0</v>
          </cell>
          <cell r="N2637">
            <v>1</v>
          </cell>
          <cell r="O2637" t="str">
            <v>7/20/2019</v>
          </cell>
          <cell r="P2637" t="str">
            <v>8/28/2019</v>
          </cell>
          <cell r="Q2637">
            <v>0</v>
          </cell>
          <cell r="R2637">
            <v>0</v>
          </cell>
          <cell r="S2637">
            <v>1</v>
          </cell>
          <cell r="T2637">
            <v>0</v>
          </cell>
          <cell r="U2637">
            <v>0</v>
          </cell>
          <cell r="V2637">
            <v>1</v>
          </cell>
          <cell r="W2637">
            <v>0</v>
          </cell>
          <cell r="X2637">
            <v>0</v>
          </cell>
          <cell r="Y2637">
            <v>0</v>
          </cell>
        </row>
        <row r="2638">
          <cell r="D2638">
            <v>309921</v>
          </cell>
          <cell r="E2638" t="str">
            <v>Feliciano S. Samonte Memorial High School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</row>
        <row r="2639">
          <cell r="D2639">
            <v>302037</v>
          </cell>
          <cell r="E2639" t="str">
            <v>San Juan National HS</v>
          </cell>
          <cell r="F2639">
            <v>1</v>
          </cell>
          <cell r="G2639">
            <v>1</v>
          </cell>
          <cell r="H2639">
            <v>1</v>
          </cell>
          <cell r="I2639">
            <v>0</v>
          </cell>
          <cell r="J2639">
            <v>1</v>
          </cell>
          <cell r="K2639">
            <v>0</v>
          </cell>
          <cell r="L2639">
            <v>0</v>
          </cell>
          <cell r="M2639">
            <v>0</v>
          </cell>
          <cell r="N2639">
            <v>1</v>
          </cell>
          <cell r="O2639" t="str">
            <v>08/16/2019</v>
          </cell>
          <cell r="P2639" t="str">
            <v>08/16/2019</v>
          </cell>
          <cell r="Q2639">
            <v>0</v>
          </cell>
          <cell r="R2639">
            <v>1</v>
          </cell>
          <cell r="S2639">
            <v>0</v>
          </cell>
          <cell r="T2639">
            <v>0</v>
          </cell>
          <cell r="U2639">
            <v>0</v>
          </cell>
          <cell r="V2639">
            <v>1</v>
          </cell>
          <cell r="W2639">
            <v>0</v>
          </cell>
          <cell r="X2639">
            <v>0</v>
          </cell>
          <cell r="Y2639">
            <v>0</v>
          </cell>
        </row>
        <row r="2640">
          <cell r="D2640">
            <v>309942</v>
          </cell>
          <cell r="E2640" t="str">
            <v>San Carlos NHS</v>
          </cell>
          <cell r="F2640">
            <v>1</v>
          </cell>
          <cell r="G2640">
            <v>1</v>
          </cell>
          <cell r="H2640">
            <v>0</v>
          </cell>
          <cell r="I2640">
            <v>0</v>
          </cell>
          <cell r="J2640">
            <v>1</v>
          </cell>
          <cell r="K2640">
            <v>0</v>
          </cell>
          <cell r="L2640">
            <v>0</v>
          </cell>
          <cell r="M2640">
            <v>0</v>
          </cell>
          <cell r="N2640">
            <v>1</v>
          </cell>
          <cell r="O2640">
            <v>0</v>
          </cell>
          <cell r="P2640">
            <v>0</v>
          </cell>
          <cell r="Q2640">
            <v>0</v>
          </cell>
          <cell r="R2640">
            <v>1</v>
          </cell>
          <cell r="S2640">
            <v>0</v>
          </cell>
          <cell r="T2640">
            <v>0</v>
          </cell>
          <cell r="U2640">
            <v>0</v>
          </cell>
          <cell r="V2640">
            <v>1</v>
          </cell>
          <cell r="W2640">
            <v>0</v>
          </cell>
          <cell r="X2640">
            <v>0</v>
          </cell>
          <cell r="Y2640">
            <v>0</v>
          </cell>
        </row>
        <row r="2641">
          <cell r="D2641">
            <v>302134</v>
          </cell>
          <cell r="E2641" t="str">
            <v>F. Alindogan National High School</v>
          </cell>
          <cell r="F2641">
            <v>1</v>
          </cell>
          <cell r="G2641">
            <v>1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</row>
        <row r="2642">
          <cell r="D2642">
            <v>309935</v>
          </cell>
          <cell r="E2642" t="str">
            <v>MABABANGBAYBAY NHS</v>
          </cell>
          <cell r="F2642">
            <v>1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</row>
        <row r="2643">
          <cell r="D2643">
            <v>309928</v>
          </cell>
          <cell r="E2643" t="str">
            <v>Emilio Lee-Llacer Sr. HS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</row>
        <row r="2644">
          <cell r="D2644">
            <v>309915</v>
          </cell>
          <cell r="E2644" t="str">
            <v>Francisca Conag Lavisto MHS</v>
          </cell>
          <cell r="F2644">
            <v>1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</row>
        <row r="2645">
          <cell r="D2645">
            <v>309932</v>
          </cell>
          <cell r="E2645" t="str">
            <v>Nabongsoran High School</v>
          </cell>
          <cell r="F2645">
            <v>1</v>
          </cell>
          <cell r="G2645">
            <v>1</v>
          </cell>
          <cell r="H2645">
            <v>0</v>
          </cell>
          <cell r="I2645">
            <v>0</v>
          </cell>
          <cell r="J2645">
            <v>1</v>
          </cell>
          <cell r="K2645">
            <v>0</v>
          </cell>
          <cell r="L2645">
            <v>0</v>
          </cell>
          <cell r="M2645">
            <v>0</v>
          </cell>
          <cell r="N2645">
            <v>1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</row>
        <row r="2646">
          <cell r="D2646">
            <v>300291</v>
          </cell>
          <cell r="E2646" t="str">
            <v>Cabangcalan High School</v>
          </cell>
          <cell r="F2646">
            <v>1</v>
          </cell>
          <cell r="G2646">
            <v>0</v>
          </cell>
          <cell r="H2646">
            <v>1</v>
          </cell>
          <cell r="I2646">
            <v>0</v>
          </cell>
          <cell r="J2646">
            <v>0</v>
          </cell>
          <cell r="K2646">
            <v>1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</row>
        <row r="2647">
          <cell r="D2647">
            <v>302170</v>
          </cell>
          <cell r="E2647" t="str">
            <v>San Ramon National High School</v>
          </cell>
          <cell r="F2647">
            <v>1</v>
          </cell>
          <cell r="G2647">
            <v>0</v>
          </cell>
          <cell r="H2647">
            <v>1</v>
          </cell>
          <cell r="I2647">
            <v>0</v>
          </cell>
          <cell r="J2647">
            <v>1</v>
          </cell>
          <cell r="K2647">
            <v>0</v>
          </cell>
          <cell r="L2647">
            <v>0</v>
          </cell>
          <cell r="M2647">
            <v>0</v>
          </cell>
          <cell r="N2647">
            <v>1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1</v>
          </cell>
          <cell r="T2647">
            <v>0</v>
          </cell>
          <cell r="U2647">
            <v>0</v>
          </cell>
          <cell r="V2647">
            <v>1</v>
          </cell>
          <cell r="W2647">
            <v>0</v>
          </cell>
          <cell r="X2647">
            <v>0</v>
          </cell>
          <cell r="Y2647">
            <v>0</v>
          </cell>
        </row>
        <row r="2648">
          <cell r="D2648">
            <v>302144</v>
          </cell>
          <cell r="E2648" t="str">
            <v>Magdalena NHS</v>
          </cell>
          <cell r="F2648">
            <v>1</v>
          </cell>
          <cell r="G2648">
            <v>1</v>
          </cell>
          <cell r="H2648">
            <v>1</v>
          </cell>
          <cell r="I2648">
            <v>1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1</v>
          </cell>
          <cell r="O2648">
            <v>0</v>
          </cell>
          <cell r="P2648">
            <v>43700</v>
          </cell>
          <cell r="Q2648">
            <v>1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1</v>
          </cell>
          <cell r="W2648">
            <v>0</v>
          </cell>
          <cell r="X2648">
            <v>0</v>
          </cell>
          <cell r="Y2648">
            <v>0</v>
          </cell>
        </row>
        <row r="2649">
          <cell r="D2649">
            <v>302122</v>
          </cell>
          <cell r="E2649" t="str">
            <v>Bugtong National High School</v>
          </cell>
          <cell r="F2649">
            <v>1</v>
          </cell>
          <cell r="G2649">
            <v>1</v>
          </cell>
          <cell r="H2649">
            <v>1</v>
          </cell>
          <cell r="I2649">
            <v>0</v>
          </cell>
          <cell r="J2649">
            <v>0</v>
          </cell>
          <cell r="K2649">
            <v>1</v>
          </cell>
          <cell r="L2649">
            <v>0</v>
          </cell>
          <cell r="M2649">
            <v>0</v>
          </cell>
          <cell r="N2649">
            <v>1</v>
          </cell>
          <cell r="O2649">
            <v>43617</v>
          </cell>
          <cell r="P2649">
            <v>0</v>
          </cell>
          <cell r="Q2649">
            <v>0</v>
          </cell>
          <cell r="R2649">
            <v>1</v>
          </cell>
          <cell r="S2649">
            <v>0</v>
          </cell>
          <cell r="T2649">
            <v>0</v>
          </cell>
          <cell r="U2649">
            <v>0</v>
          </cell>
          <cell r="V2649">
            <v>1</v>
          </cell>
          <cell r="W2649">
            <v>0</v>
          </cell>
          <cell r="X2649">
            <v>0</v>
          </cell>
          <cell r="Y2649">
            <v>0</v>
          </cell>
        </row>
        <row r="2650">
          <cell r="D2650">
            <v>309940</v>
          </cell>
          <cell r="E2650" t="str">
            <v>Tumalaytay National High School</v>
          </cell>
          <cell r="F2650">
            <v>1</v>
          </cell>
          <cell r="G2650">
            <v>1</v>
          </cell>
          <cell r="H2650">
            <v>1</v>
          </cell>
          <cell r="I2650">
            <v>0</v>
          </cell>
          <cell r="J2650">
            <v>0</v>
          </cell>
          <cell r="K2650">
            <v>1</v>
          </cell>
          <cell r="L2650">
            <v>0</v>
          </cell>
          <cell r="M2650">
            <v>0</v>
          </cell>
          <cell r="N2650">
            <v>1</v>
          </cell>
          <cell r="O2650" t="str">
            <v>11/30/2018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</row>
        <row r="2651">
          <cell r="D2651">
            <v>302128</v>
          </cell>
          <cell r="E2651" t="str">
            <v>Marcelo A. Anonuevo -Cadulawan National High School</v>
          </cell>
          <cell r="F2651">
            <v>0</v>
          </cell>
          <cell r="G2651">
            <v>0</v>
          </cell>
          <cell r="H2651">
            <v>1</v>
          </cell>
          <cell r="I2651">
            <v>0</v>
          </cell>
          <cell r="J2651">
            <v>0</v>
          </cell>
          <cell r="K2651">
            <v>1</v>
          </cell>
          <cell r="L2651">
            <v>0</v>
          </cell>
          <cell r="M2651">
            <v>0</v>
          </cell>
          <cell r="N2651">
            <v>1</v>
          </cell>
          <cell r="O2651">
            <v>43635</v>
          </cell>
          <cell r="P2651" t="str">
            <v>JUNE 25,2019</v>
          </cell>
          <cell r="Q2651">
            <v>0</v>
          </cell>
          <cell r="R2651">
            <v>1</v>
          </cell>
          <cell r="S2651">
            <v>0</v>
          </cell>
          <cell r="T2651">
            <v>0</v>
          </cell>
          <cell r="U2651">
            <v>0</v>
          </cell>
          <cell r="V2651">
            <v>1</v>
          </cell>
          <cell r="W2651">
            <v>0</v>
          </cell>
          <cell r="X2651">
            <v>0</v>
          </cell>
          <cell r="Y2651">
            <v>0</v>
          </cell>
        </row>
        <row r="2652">
          <cell r="D2652">
            <v>309742</v>
          </cell>
          <cell r="E2652" t="str">
            <v>Canayonan National High School</v>
          </cell>
          <cell r="F2652">
            <v>0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</row>
        <row r="2653">
          <cell r="D2653">
            <v>309950</v>
          </cell>
          <cell r="E2653" t="str">
            <v>SIMAWA NATIONAL HIGH SCHOOL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 t="str">
            <v>NEVER</v>
          </cell>
          <cell r="P2653" t="str">
            <v>NEVER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</row>
        <row r="2654">
          <cell r="D2654">
            <v>302145</v>
          </cell>
          <cell r="E2654" t="str">
            <v>Federico A. Estipona Memorial High School</v>
          </cell>
          <cell r="F2654">
            <v>1</v>
          </cell>
          <cell r="G2654">
            <v>1</v>
          </cell>
          <cell r="H2654">
            <v>1</v>
          </cell>
          <cell r="I2654">
            <v>0</v>
          </cell>
          <cell r="J2654">
            <v>1</v>
          </cell>
          <cell r="K2654">
            <v>0</v>
          </cell>
          <cell r="L2654">
            <v>0</v>
          </cell>
          <cell r="M2654">
            <v>0</v>
          </cell>
          <cell r="N2654">
            <v>1</v>
          </cell>
          <cell r="O2654" t="str">
            <v>06/28/2019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1</v>
          </cell>
          <cell r="U2654" t="str">
            <v>Semi-Annual</v>
          </cell>
          <cell r="V2654">
            <v>1</v>
          </cell>
          <cell r="W2654">
            <v>0</v>
          </cell>
          <cell r="X2654">
            <v>0</v>
          </cell>
          <cell r="Y2654">
            <v>0</v>
          </cell>
        </row>
        <row r="2655">
          <cell r="D2655">
            <v>302156</v>
          </cell>
          <cell r="E2655" t="str">
            <v>Briccio A. Aninang Sr. Mem. HS</v>
          </cell>
          <cell r="F2655">
            <v>1</v>
          </cell>
          <cell r="G2655">
            <v>1</v>
          </cell>
          <cell r="H2655">
            <v>1</v>
          </cell>
          <cell r="I2655">
            <v>0</v>
          </cell>
          <cell r="J2655">
            <v>1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43684</v>
          </cell>
          <cell r="P2655">
            <v>0</v>
          </cell>
          <cell r="Q2655">
            <v>0</v>
          </cell>
          <cell r="R2655">
            <v>1</v>
          </cell>
          <cell r="S2655">
            <v>0</v>
          </cell>
          <cell r="T2655">
            <v>0</v>
          </cell>
          <cell r="U2655">
            <v>0</v>
          </cell>
          <cell r="V2655">
            <v>1</v>
          </cell>
          <cell r="W2655">
            <v>3</v>
          </cell>
          <cell r="X2655">
            <v>3</v>
          </cell>
          <cell r="Y2655">
            <v>0</v>
          </cell>
        </row>
        <row r="2656">
          <cell r="D2656">
            <v>302095</v>
          </cell>
          <cell r="E2656" t="str">
            <v>Panganiban National High School</v>
          </cell>
          <cell r="F2656">
            <v>1</v>
          </cell>
          <cell r="G2656">
            <v>0</v>
          </cell>
          <cell r="H2656">
            <v>1</v>
          </cell>
          <cell r="I2656">
            <v>0</v>
          </cell>
          <cell r="J2656">
            <v>1</v>
          </cell>
          <cell r="K2656">
            <v>0</v>
          </cell>
          <cell r="L2656">
            <v>0</v>
          </cell>
          <cell r="M2656" t="str">
            <v>n/a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1</v>
          </cell>
          <cell r="U2656" t="str">
            <v>n/a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</row>
        <row r="2657">
          <cell r="D2657">
            <v>302142</v>
          </cell>
          <cell r="E2657" t="str">
            <v>Liong National High School</v>
          </cell>
          <cell r="F2657">
            <v>1</v>
          </cell>
          <cell r="G2657">
            <v>0</v>
          </cell>
          <cell r="H2657">
            <v>1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</row>
        <row r="2658">
          <cell r="D2658">
            <v>302131</v>
          </cell>
          <cell r="E2658" t="str">
            <v>Del Carmen National High School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</row>
        <row r="2659">
          <cell r="D2659">
            <v>309947</v>
          </cell>
          <cell r="E2659" t="str">
            <v>Eastern Capsay Integrated School</v>
          </cell>
          <cell r="F2659">
            <v>1</v>
          </cell>
          <cell r="G2659">
            <v>0</v>
          </cell>
          <cell r="H2659">
            <v>1</v>
          </cell>
          <cell r="I2659">
            <v>0</v>
          </cell>
          <cell r="J2659">
            <v>1</v>
          </cell>
          <cell r="K2659">
            <v>0</v>
          </cell>
          <cell r="L2659">
            <v>0</v>
          </cell>
          <cell r="M2659">
            <v>0</v>
          </cell>
          <cell r="N2659">
            <v>1</v>
          </cell>
          <cell r="O2659" t="str">
            <v>JUNE 12, 2019</v>
          </cell>
          <cell r="P2659">
            <v>43556</v>
          </cell>
          <cell r="Q2659">
            <v>0</v>
          </cell>
          <cell r="R2659">
            <v>0</v>
          </cell>
          <cell r="S2659">
            <v>0</v>
          </cell>
          <cell r="T2659">
            <v>1</v>
          </cell>
          <cell r="U2659" t="str">
            <v>SELDOM</v>
          </cell>
          <cell r="V2659">
            <v>1</v>
          </cell>
          <cell r="W2659">
            <v>1</v>
          </cell>
          <cell r="X2659">
            <v>0</v>
          </cell>
          <cell r="Y2659">
            <v>0</v>
          </cell>
        </row>
        <row r="2660">
          <cell r="D2660">
            <v>301992</v>
          </cell>
          <cell r="E2660" t="str">
            <v>Tandaay Provincial HS</v>
          </cell>
          <cell r="F2660">
            <v>1</v>
          </cell>
          <cell r="G2660">
            <v>0</v>
          </cell>
          <cell r="H2660">
            <v>1</v>
          </cell>
          <cell r="I2660">
            <v>0</v>
          </cell>
          <cell r="J2660">
            <v>0</v>
          </cell>
          <cell r="K2660">
            <v>1</v>
          </cell>
          <cell r="L2660">
            <v>0</v>
          </cell>
          <cell r="M2660">
            <v>0</v>
          </cell>
          <cell r="N2660">
            <v>1</v>
          </cell>
          <cell r="O2660" t="str">
            <v>May, 2018</v>
          </cell>
          <cell r="P2660" t="str">
            <v>June, 2019</v>
          </cell>
          <cell r="Q2660">
            <v>0</v>
          </cell>
          <cell r="R2660">
            <v>0</v>
          </cell>
          <cell r="S2660">
            <v>1</v>
          </cell>
          <cell r="T2660">
            <v>0</v>
          </cell>
          <cell r="U2660">
            <v>0</v>
          </cell>
          <cell r="V2660">
            <v>0</v>
          </cell>
          <cell r="W2660">
            <v>2</v>
          </cell>
          <cell r="X2660">
            <v>0</v>
          </cell>
          <cell r="Y2660">
            <v>0</v>
          </cell>
        </row>
        <row r="2661">
          <cell r="D2661">
            <v>301975</v>
          </cell>
          <cell r="E2661" t="str">
            <v>Goa National High School</v>
          </cell>
          <cell r="F2661">
            <v>1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</row>
        <row r="2662">
          <cell r="D2662">
            <v>301891</v>
          </cell>
          <cell r="E2662" t="str">
            <v>Camarines Norte National HS</v>
          </cell>
          <cell r="F2662">
            <v>1</v>
          </cell>
          <cell r="G2662">
            <v>0</v>
          </cell>
          <cell r="H2662">
            <v>1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1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1</v>
          </cell>
          <cell r="W2662">
            <v>0</v>
          </cell>
          <cell r="X2662">
            <v>0</v>
          </cell>
          <cell r="Y2662">
            <v>0</v>
          </cell>
        </row>
        <row r="2663">
          <cell r="D2663">
            <v>301919</v>
          </cell>
          <cell r="E2663" t="str">
            <v>Froilan D. Lopez  HS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</row>
        <row r="2664">
          <cell r="D2664">
            <v>302147</v>
          </cell>
          <cell r="E2664" t="str">
            <v>Masbate School of Fisheries</v>
          </cell>
          <cell r="F2664">
            <v>1</v>
          </cell>
          <cell r="G2664">
            <v>0</v>
          </cell>
          <cell r="H2664">
            <v>1</v>
          </cell>
          <cell r="I2664">
            <v>1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1</v>
          </cell>
          <cell r="O2664" t="str">
            <v>08/27/2019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9</v>
          </cell>
        </row>
        <row r="2665">
          <cell r="D2665">
            <v>301928</v>
          </cell>
          <cell r="E2665" t="str">
            <v>Antipolo  National High School, Tinambac</v>
          </cell>
          <cell r="F2665">
            <v>0</v>
          </cell>
          <cell r="G2665">
            <v>0</v>
          </cell>
          <cell r="H2665">
            <v>1</v>
          </cell>
          <cell r="I2665">
            <v>0</v>
          </cell>
          <cell r="J2665">
            <v>1</v>
          </cell>
          <cell r="K2665">
            <v>0</v>
          </cell>
          <cell r="L2665">
            <v>0</v>
          </cell>
          <cell r="M2665">
            <v>0</v>
          </cell>
          <cell r="N2665">
            <v>1</v>
          </cell>
          <cell r="O2665">
            <v>43625</v>
          </cell>
          <cell r="P2665">
            <v>43625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>
            <v>0</v>
          </cell>
          <cell r="X2665">
            <v>0</v>
          </cell>
          <cell r="Y2665">
            <v>0</v>
          </cell>
        </row>
        <row r="2666">
          <cell r="D2666">
            <v>301940</v>
          </cell>
          <cell r="E2666" t="str">
            <v>Himanag  National High School</v>
          </cell>
          <cell r="F2666">
            <v>1</v>
          </cell>
          <cell r="G2666">
            <v>0</v>
          </cell>
          <cell r="H2666">
            <v>0</v>
          </cell>
          <cell r="I2666">
            <v>0</v>
          </cell>
          <cell r="J2666">
            <v>1</v>
          </cell>
          <cell r="K2666">
            <v>0</v>
          </cell>
          <cell r="L2666">
            <v>0</v>
          </cell>
          <cell r="M2666">
            <v>0</v>
          </cell>
          <cell r="N2666">
            <v>1</v>
          </cell>
          <cell r="O2666">
            <v>43709</v>
          </cell>
          <cell r="P2666">
            <v>43709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1</v>
          </cell>
          <cell r="W2666">
            <v>0</v>
          </cell>
          <cell r="X2666">
            <v>0</v>
          </cell>
          <cell r="Y2666">
            <v>0</v>
          </cell>
        </row>
        <row r="2667">
          <cell r="D2667">
            <v>302001</v>
          </cell>
          <cell r="E2667" t="str">
            <v>Nabua National High School</v>
          </cell>
          <cell r="F2667">
            <v>1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</row>
        <row r="2668">
          <cell r="D2668">
            <v>302087</v>
          </cell>
          <cell r="E2668" t="str">
            <v>Dororian NHS</v>
          </cell>
          <cell r="F2668">
            <v>1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1</v>
          </cell>
          <cell r="S2668">
            <v>0</v>
          </cell>
          <cell r="T2668">
            <v>0</v>
          </cell>
          <cell r="U2668">
            <v>0</v>
          </cell>
          <cell r="V2668">
            <v>1</v>
          </cell>
          <cell r="W2668">
            <v>0</v>
          </cell>
          <cell r="X2668">
            <v>0</v>
          </cell>
          <cell r="Y2668">
            <v>0</v>
          </cell>
        </row>
        <row r="2669">
          <cell r="D2669">
            <v>301943</v>
          </cell>
          <cell r="E2669" t="str">
            <v>Bikal Fisheries School</v>
          </cell>
          <cell r="F2669">
            <v>1</v>
          </cell>
          <cell r="G2669">
            <v>0</v>
          </cell>
          <cell r="H2669">
            <v>1</v>
          </cell>
          <cell r="I2669">
            <v>0</v>
          </cell>
          <cell r="J2669">
            <v>1</v>
          </cell>
          <cell r="K2669">
            <v>0</v>
          </cell>
          <cell r="L2669">
            <v>0</v>
          </cell>
          <cell r="M2669">
            <v>0</v>
          </cell>
          <cell r="N2669">
            <v>1</v>
          </cell>
          <cell r="O2669">
            <v>43720</v>
          </cell>
          <cell r="P2669">
            <v>0</v>
          </cell>
          <cell r="Q2669">
            <v>0</v>
          </cell>
          <cell r="R2669">
            <v>1</v>
          </cell>
          <cell r="S2669">
            <v>0</v>
          </cell>
          <cell r="T2669">
            <v>0</v>
          </cell>
          <cell r="U2669">
            <v>0</v>
          </cell>
          <cell r="V2669">
            <v>1</v>
          </cell>
          <cell r="W2669">
            <v>1</v>
          </cell>
          <cell r="X2669">
            <v>0</v>
          </cell>
          <cell r="Y2669">
            <v>0</v>
          </cell>
        </row>
        <row r="2670">
          <cell r="D2670">
            <v>309944</v>
          </cell>
          <cell r="E2670" t="str">
            <v>Taisan HS</v>
          </cell>
          <cell r="F2670">
            <v>0</v>
          </cell>
          <cell r="G2670">
            <v>0</v>
          </cell>
          <cell r="H2670">
            <v>1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1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</row>
        <row r="2671">
          <cell r="D2671">
            <v>301980</v>
          </cell>
          <cell r="E2671" t="str">
            <v>San Jose (Alanao) HS</v>
          </cell>
          <cell r="F2671">
            <v>0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1</v>
          </cell>
          <cell r="L2671">
            <v>0</v>
          </cell>
          <cell r="M2671">
            <v>0</v>
          </cell>
          <cell r="N2671">
            <v>1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1</v>
          </cell>
          <cell r="T2671">
            <v>0</v>
          </cell>
          <cell r="U2671">
            <v>0</v>
          </cell>
          <cell r="V2671">
            <v>1</v>
          </cell>
          <cell r="W2671">
            <v>0</v>
          </cell>
          <cell r="X2671">
            <v>0</v>
          </cell>
          <cell r="Y2671">
            <v>0</v>
          </cell>
        </row>
        <row r="2672">
          <cell r="D2672">
            <v>301949</v>
          </cell>
          <cell r="E2672" t="str">
            <v>Burabod NHS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1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1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</row>
        <row r="2673">
          <cell r="D2673">
            <v>301922</v>
          </cell>
          <cell r="E2673" t="str">
            <v>Tulay Na Lupa National High School</v>
          </cell>
          <cell r="F2673">
            <v>0</v>
          </cell>
          <cell r="G2673">
            <v>0</v>
          </cell>
          <cell r="H2673">
            <v>1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1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</row>
        <row r="2674">
          <cell r="D2674">
            <v>302033</v>
          </cell>
          <cell r="E2674" t="str">
            <v>San Isidro National High School</v>
          </cell>
          <cell r="F2674">
            <v>1</v>
          </cell>
          <cell r="G2674">
            <v>1</v>
          </cell>
          <cell r="H2674">
            <v>1</v>
          </cell>
          <cell r="I2674">
            <v>0</v>
          </cell>
          <cell r="J2674">
            <v>0</v>
          </cell>
          <cell r="K2674">
            <v>1</v>
          </cell>
          <cell r="L2674">
            <v>0</v>
          </cell>
          <cell r="M2674">
            <v>0</v>
          </cell>
          <cell r="N2674">
            <v>1</v>
          </cell>
          <cell r="O2674">
            <v>0</v>
          </cell>
          <cell r="P2674">
            <v>0</v>
          </cell>
          <cell r="Q2674">
            <v>1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1</v>
          </cell>
          <cell r="W2674">
            <v>1</v>
          </cell>
          <cell r="X2674">
            <v>0</v>
          </cell>
          <cell r="Y2674">
            <v>0</v>
          </cell>
        </row>
        <row r="2675">
          <cell r="D2675">
            <v>309743</v>
          </cell>
          <cell r="E2675" t="str">
            <v>Bolo Norte HS</v>
          </cell>
          <cell r="F2675">
            <v>1</v>
          </cell>
          <cell r="G2675">
            <v>1</v>
          </cell>
          <cell r="H2675">
            <v>1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1</v>
          </cell>
          <cell r="O2675">
            <v>43658</v>
          </cell>
          <cell r="P2675" t="str">
            <v>AUG. 16, 2019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1</v>
          </cell>
          <cell r="W2675">
            <v>3</v>
          </cell>
          <cell r="X2675">
            <v>3</v>
          </cell>
          <cell r="Y2675">
            <v>3</v>
          </cell>
        </row>
        <row r="2676">
          <cell r="D2676">
            <v>302203</v>
          </cell>
          <cell r="E2676" t="str">
            <v>Danao NHS</v>
          </cell>
          <cell r="F2676">
            <v>1</v>
          </cell>
          <cell r="G2676">
            <v>1</v>
          </cell>
          <cell r="H2676">
            <v>0</v>
          </cell>
          <cell r="I2676">
            <v>0</v>
          </cell>
          <cell r="J2676">
            <v>0</v>
          </cell>
          <cell r="K2676">
            <v>1</v>
          </cell>
          <cell r="L2676">
            <v>0</v>
          </cell>
          <cell r="M2676">
            <v>0</v>
          </cell>
          <cell r="N2676">
            <v>1</v>
          </cell>
          <cell r="O2676">
            <v>43643</v>
          </cell>
          <cell r="P2676">
            <v>43685</v>
          </cell>
          <cell r="Q2676">
            <v>0</v>
          </cell>
          <cell r="R2676">
            <v>1</v>
          </cell>
          <cell r="S2676">
            <v>0</v>
          </cell>
          <cell r="T2676">
            <v>0</v>
          </cell>
          <cell r="U2676">
            <v>0</v>
          </cell>
          <cell r="V2676">
            <v>1</v>
          </cell>
          <cell r="W2676">
            <v>0</v>
          </cell>
          <cell r="X2676">
            <v>0</v>
          </cell>
          <cell r="Y2676">
            <v>0</v>
          </cell>
        </row>
        <row r="2677">
          <cell r="D2677">
            <v>309914</v>
          </cell>
          <cell r="E2677" t="str">
            <v>Mayor Tomas V. Rivera Memorial High School</v>
          </cell>
          <cell r="F2677">
            <v>1</v>
          </cell>
          <cell r="G2677">
            <v>1</v>
          </cell>
          <cell r="H2677">
            <v>1</v>
          </cell>
          <cell r="I2677">
            <v>0</v>
          </cell>
          <cell r="J2677">
            <v>1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1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1</v>
          </cell>
          <cell r="W2677">
            <v>1</v>
          </cell>
          <cell r="X2677">
            <v>0</v>
          </cell>
          <cell r="Y2677">
            <v>0</v>
          </cell>
        </row>
        <row r="2678">
          <cell r="D2678">
            <v>500412</v>
          </cell>
          <cell r="E2678" t="str">
            <v>Bote IS</v>
          </cell>
          <cell r="F2678">
            <v>1</v>
          </cell>
          <cell r="G2678">
            <v>1</v>
          </cell>
          <cell r="H2678">
            <v>1</v>
          </cell>
          <cell r="I2678">
            <v>0</v>
          </cell>
          <cell r="J2678">
            <v>0</v>
          </cell>
          <cell r="K2678">
            <v>1</v>
          </cell>
          <cell r="L2678">
            <v>0</v>
          </cell>
          <cell r="M2678">
            <v>0</v>
          </cell>
          <cell r="N2678">
            <v>1</v>
          </cell>
          <cell r="O2678">
            <v>0</v>
          </cell>
          <cell r="P2678">
            <v>0</v>
          </cell>
          <cell r="Q2678">
            <v>0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  <cell r="V2678">
            <v>1</v>
          </cell>
          <cell r="W2678">
            <v>0</v>
          </cell>
          <cell r="X2678">
            <v>0</v>
          </cell>
          <cell r="Y2678">
            <v>0</v>
          </cell>
        </row>
        <row r="2679">
          <cell r="D2679">
            <v>301986</v>
          </cell>
          <cell r="E2679" t="str">
            <v>La Salvacion NHS</v>
          </cell>
          <cell r="F2679">
            <v>1</v>
          </cell>
          <cell r="G2679">
            <v>1</v>
          </cell>
          <cell r="H2679">
            <v>1</v>
          </cell>
          <cell r="I2679">
            <v>0</v>
          </cell>
          <cell r="J2679">
            <v>0</v>
          </cell>
          <cell r="K2679">
            <v>1</v>
          </cell>
          <cell r="L2679">
            <v>0</v>
          </cell>
          <cell r="M2679">
            <v>0</v>
          </cell>
          <cell r="N2679">
            <v>0</v>
          </cell>
          <cell r="O2679" t="str">
            <v>October 2018</v>
          </cell>
          <cell r="P2679" t="str">
            <v>October 2018</v>
          </cell>
          <cell r="Q2679">
            <v>0</v>
          </cell>
          <cell r="R2679">
            <v>0</v>
          </cell>
          <cell r="S2679">
            <v>1</v>
          </cell>
          <cell r="T2679">
            <v>0</v>
          </cell>
          <cell r="U2679">
            <v>0</v>
          </cell>
          <cell r="V2679">
            <v>1</v>
          </cell>
          <cell r="W2679">
            <v>7</v>
          </cell>
          <cell r="X2679">
            <v>0</v>
          </cell>
          <cell r="Y2679">
            <v>0</v>
          </cell>
        </row>
        <row r="2680">
          <cell r="D2680">
            <v>302106</v>
          </cell>
          <cell r="E2680" t="str">
            <v>Tubli National High School</v>
          </cell>
          <cell r="F2680">
            <v>1</v>
          </cell>
          <cell r="G2680">
            <v>1</v>
          </cell>
          <cell r="H2680">
            <v>1</v>
          </cell>
          <cell r="I2680">
            <v>0</v>
          </cell>
          <cell r="J2680">
            <v>0</v>
          </cell>
          <cell r="K2680">
            <v>1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</row>
        <row r="2681">
          <cell r="D2681">
            <v>302089</v>
          </cell>
          <cell r="E2681" t="str">
            <v>Hawan National High School</v>
          </cell>
          <cell r="F2681">
            <v>0</v>
          </cell>
          <cell r="G2681">
            <v>0</v>
          </cell>
          <cell r="H2681">
            <v>1</v>
          </cell>
          <cell r="I2681">
            <v>0</v>
          </cell>
          <cell r="J2681">
            <v>0</v>
          </cell>
          <cell r="K2681">
            <v>0</v>
          </cell>
          <cell r="L2681">
            <v>1</v>
          </cell>
          <cell r="M2681" t="str">
            <v>As need arises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1</v>
          </cell>
          <cell r="U2681" t="str">
            <v>Rarely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</row>
        <row r="2682">
          <cell r="D2682">
            <v>302148</v>
          </cell>
          <cell r="E2682" t="str">
            <v>Masbate National Comprehensive High School</v>
          </cell>
          <cell r="F2682">
            <v>1</v>
          </cell>
          <cell r="G2682">
            <v>0</v>
          </cell>
          <cell r="H2682">
            <v>1</v>
          </cell>
          <cell r="I2682">
            <v>0</v>
          </cell>
          <cell r="J2682">
            <v>0</v>
          </cell>
          <cell r="K2682">
            <v>0</v>
          </cell>
          <cell r="L2682">
            <v>1</v>
          </cell>
          <cell r="M2682" t="str">
            <v>No meetings</v>
          </cell>
          <cell r="N2682">
            <v>0</v>
          </cell>
          <cell r="O2682" t="str">
            <v>NONE</v>
          </cell>
          <cell r="P2682" t="str">
            <v>N/A</v>
          </cell>
          <cell r="Q2682">
            <v>0</v>
          </cell>
          <cell r="R2682">
            <v>0</v>
          </cell>
          <cell r="S2682">
            <v>1</v>
          </cell>
          <cell r="T2682">
            <v>1</v>
          </cell>
          <cell r="U2682" t="str">
            <v>No stores within 100 m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</row>
        <row r="2683">
          <cell r="D2683">
            <v>302264</v>
          </cell>
          <cell r="E2683" t="str">
            <v>Camarines Sur National High School</v>
          </cell>
          <cell r="F2683">
            <v>1</v>
          </cell>
          <cell r="G2683">
            <v>1</v>
          </cell>
          <cell r="H2683">
            <v>1</v>
          </cell>
          <cell r="I2683">
            <v>0</v>
          </cell>
          <cell r="J2683">
            <v>1</v>
          </cell>
          <cell r="K2683">
            <v>0</v>
          </cell>
          <cell r="L2683">
            <v>0</v>
          </cell>
          <cell r="M2683">
            <v>0</v>
          </cell>
          <cell r="N2683">
            <v>1</v>
          </cell>
          <cell r="O2683">
            <v>43719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</row>
        <row r="2684">
          <cell r="D2684">
            <v>309902</v>
          </cell>
          <cell r="E2684" t="str">
            <v>Allanaraiz-Marfil National High School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</row>
        <row r="2685">
          <cell r="D2685">
            <v>302117</v>
          </cell>
          <cell r="E2685" t="str">
            <v>Pedro C. Sese, Sr. Mem. HS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</row>
        <row r="2686">
          <cell r="D2686">
            <v>302097</v>
          </cell>
          <cell r="E2686" t="str">
            <v>San Jose NHS</v>
          </cell>
          <cell r="F2686">
            <v>1</v>
          </cell>
          <cell r="G2686">
            <v>1</v>
          </cell>
          <cell r="H2686">
            <v>1</v>
          </cell>
          <cell r="I2686">
            <v>1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1</v>
          </cell>
          <cell r="O2686">
            <v>0</v>
          </cell>
          <cell r="P2686">
            <v>0</v>
          </cell>
          <cell r="Q2686">
            <v>1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1</v>
          </cell>
          <cell r="W2686">
            <v>0</v>
          </cell>
          <cell r="X2686">
            <v>0</v>
          </cell>
          <cell r="Y2686">
            <v>0</v>
          </cell>
        </row>
        <row r="2687">
          <cell r="D2687">
            <v>310301</v>
          </cell>
          <cell r="E2687" t="str">
            <v>Tinago National High School</v>
          </cell>
          <cell r="F2687">
            <v>0</v>
          </cell>
          <cell r="G2687">
            <v>0</v>
          </cell>
          <cell r="H2687">
            <v>1</v>
          </cell>
          <cell r="I2687">
            <v>1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1</v>
          </cell>
          <cell r="O2687">
            <v>0</v>
          </cell>
          <cell r="P2687">
            <v>0</v>
          </cell>
          <cell r="Q2687">
            <v>1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1</v>
          </cell>
          <cell r="W2687">
            <v>1</v>
          </cell>
          <cell r="X2687">
            <v>1</v>
          </cell>
          <cell r="Y2687">
            <v>1</v>
          </cell>
        </row>
        <row r="2688">
          <cell r="D2688">
            <v>301967</v>
          </cell>
          <cell r="E2688" t="str">
            <v>Don Mariano Gonzalvo MHS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</row>
        <row r="2689">
          <cell r="D2689">
            <v>302093</v>
          </cell>
          <cell r="E2689" t="str">
            <v>Palta NHS</v>
          </cell>
          <cell r="F2689">
            <v>1</v>
          </cell>
          <cell r="G2689">
            <v>1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</row>
        <row r="2690">
          <cell r="D2690">
            <v>301917</v>
          </cell>
          <cell r="E2690" t="str">
            <v>Leocadio Alejo Entienza HS</v>
          </cell>
          <cell r="F2690">
            <v>1</v>
          </cell>
          <cell r="G2690">
            <v>1</v>
          </cell>
          <cell r="H2690">
            <v>1</v>
          </cell>
          <cell r="I2690">
            <v>0</v>
          </cell>
          <cell r="J2690">
            <v>0</v>
          </cell>
          <cell r="K2690">
            <v>1</v>
          </cell>
          <cell r="L2690">
            <v>0</v>
          </cell>
          <cell r="M2690">
            <v>0</v>
          </cell>
          <cell r="N2690">
            <v>1</v>
          </cell>
          <cell r="O2690">
            <v>0</v>
          </cell>
          <cell r="P2690">
            <v>0</v>
          </cell>
          <cell r="Q2690">
            <v>1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1</v>
          </cell>
          <cell r="W2690">
            <v>3</v>
          </cell>
          <cell r="X2690">
            <v>1</v>
          </cell>
          <cell r="Y2690">
            <v>1</v>
          </cell>
        </row>
        <row r="2691">
          <cell r="D2691">
            <v>302157</v>
          </cell>
          <cell r="E2691" t="str">
            <v>Panique National High School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</row>
        <row r="2692">
          <cell r="D2692">
            <v>309909</v>
          </cell>
          <cell r="E2692" t="str">
            <v>Teresita C. Young Memorial High School</v>
          </cell>
          <cell r="F2692">
            <v>1</v>
          </cell>
          <cell r="G2692">
            <v>1</v>
          </cell>
          <cell r="H2692">
            <v>1</v>
          </cell>
          <cell r="I2692">
            <v>0</v>
          </cell>
          <cell r="J2692">
            <v>0</v>
          </cell>
          <cell r="K2692">
            <v>1</v>
          </cell>
          <cell r="L2692">
            <v>0</v>
          </cell>
          <cell r="M2692">
            <v>0</v>
          </cell>
          <cell r="N2692">
            <v>1</v>
          </cell>
          <cell r="O2692">
            <v>0</v>
          </cell>
          <cell r="P2692">
            <v>43291</v>
          </cell>
          <cell r="Q2692">
            <v>0</v>
          </cell>
          <cell r="R2692">
            <v>0</v>
          </cell>
          <cell r="S2692">
            <v>1</v>
          </cell>
          <cell r="T2692">
            <v>0</v>
          </cell>
          <cell r="U2692">
            <v>0</v>
          </cell>
          <cell r="V2692">
            <v>1</v>
          </cell>
          <cell r="W2692">
            <v>0</v>
          </cell>
          <cell r="X2692">
            <v>0</v>
          </cell>
          <cell r="Y2692">
            <v>0</v>
          </cell>
        </row>
        <row r="2693">
          <cell r="D2693">
            <v>302273</v>
          </cell>
          <cell r="E2693" t="str">
            <v>Gatbo National High School</v>
          </cell>
          <cell r="F2693">
            <v>1</v>
          </cell>
          <cell r="G2693">
            <v>0</v>
          </cell>
          <cell r="H2693">
            <v>1</v>
          </cell>
          <cell r="I2693">
            <v>0</v>
          </cell>
          <cell r="J2693">
            <v>1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</row>
        <row r="2694">
          <cell r="D2694">
            <v>302121</v>
          </cell>
          <cell r="E2694" t="str">
            <v>Buenavista National High School</v>
          </cell>
          <cell r="F2694">
            <v>1</v>
          </cell>
          <cell r="G2694">
            <v>0</v>
          </cell>
          <cell r="H2694">
            <v>1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</row>
        <row r="2695">
          <cell r="D2695">
            <v>302267</v>
          </cell>
          <cell r="E2695" t="str">
            <v>Concepcion PequeÃ±a National High School</v>
          </cell>
          <cell r="F2695">
            <v>1</v>
          </cell>
          <cell r="G2695">
            <v>1</v>
          </cell>
          <cell r="H2695">
            <v>1</v>
          </cell>
          <cell r="I2695">
            <v>0</v>
          </cell>
          <cell r="J2695">
            <v>0</v>
          </cell>
          <cell r="K2695">
            <v>1</v>
          </cell>
          <cell r="L2695">
            <v>0</v>
          </cell>
          <cell r="M2695">
            <v>0</v>
          </cell>
          <cell r="N2695">
            <v>1</v>
          </cell>
          <cell r="O2695" t="str">
            <v>07/17/2019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1</v>
          </cell>
          <cell r="U2695" t="str">
            <v>when needed</v>
          </cell>
          <cell r="V2695">
            <v>1</v>
          </cell>
          <cell r="W2695">
            <v>0</v>
          </cell>
          <cell r="X2695">
            <v>0</v>
          </cell>
          <cell r="Y2695">
            <v>0</v>
          </cell>
        </row>
        <row r="2696">
          <cell r="D2696">
            <v>302143</v>
          </cell>
          <cell r="E2696" t="str">
            <v>Luy-a National High School</v>
          </cell>
          <cell r="F2696">
            <v>1</v>
          </cell>
          <cell r="G2696">
            <v>0</v>
          </cell>
          <cell r="H2696">
            <v>1</v>
          </cell>
          <cell r="I2696">
            <v>0</v>
          </cell>
          <cell r="J2696">
            <v>1</v>
          </cell>
          <cell r="K2696">
            <v>0</v>
          </cell>
          <cell r="L2696">
            <v>0</v>
          </cell>
          <cell r="M2696">
            <v>0</v>
          </cell>
          <cell r="N2696">
            <v>1</v>
          </cell>
          <cell r="O2696">
            <v>0</v>
          </cell>
          <cell r="P2696">
            <v>43617</v>
          </cell>
          <cell r="Q2696">
            <v>1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1</v>
          </cell>
          <cell r="W2696">
            <v>0</v>
          </cell>
          <cell r="X2696">
            <v>0</v>
          </cell>
          <cell r="Y2696">
            <v>0</v>
          </cell>
        </row>
        <row r="2697">
          <cell r="D2697">
            <v>302085</v>
          </cell>
          <cell r="E2697" t="str">
            <v>Codon National High School</v>
          </cell>
          <cell r="F2697">
            <v>1</v>
          </cell>
          <cell r="G2697">
            <v>1</v>
          </cell>
          <cell r="H2697">
            <v>1</v>
          </cell>
          <cell r="I2697">
            <v>0</v>
          </cell>
          <cell r="J2697">
            <v>0</v>
          </cell>
          <cell r="K2697">
            <v>1</v>
          </cell>
          <cell r="L2697">
            <v>0</v>
          </cell>
          <cell r="M2697">
            <v>0</v>
          </cell>
          <cell r="N2697">
            <v>1</v>
          </cell>
          <cell r="O2697">
            <v>43647</v>
          </cell>
          <cell r="P2697">
            <v>43617</v>
          </cell>
          <cell r="Q2697">
            <v>0</v>
          </cell>
          <cell r="R2697">
            <v>0</v>
          </cell>
          <cell r="S2697">
            <v>1</v>
          </cell>
          <cell r="T2697">
            <v>0</v>
          </cell>
          <cell r="U2697">
            <v>0</v>
          </cell>
          <cell r="V2697">
            <v>1</v>
          </cell>
          <cell r="W2697">
            <v>1</v>
          </cell>
          <cell r="X2697">
            <v>0</v>
          </cell>
          <cell r="Y2697">
            <v>0</v>
          </cell>
        </row>
        <row r="2698">
          <cell r="D2698">
            <v>321702</v>
          </cell>
          <cell r="E2698" t="str">
            <v>Maonon High School</v>
          </cell>
          <cell r="F2698">
            <v>1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</row>
        <row r="2699">
          <cell r="D2699">
            <v>302146</v>
          </cell>
          <cell r="E2699" t="str">
            <v>Marintoc National High School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</row>
        <row r="2700">
          <cell r="D2700">
            <v>302153</v>
          </cell>
          <cell r="E2700" t="str">
            <v>Rondina-Atendido National High School</v>
          </cell>
          <cell r="F2700">
            <v>0</v>
          </cell>
          <cell r="G2700">
            <v>0</v>
          </cell>
          <cell r="H2700">
            <v>1</v>
          </cell>
          <cell r="I2700">
            <v>0</v>
          </cell>
          <cell r="J2700">
            <v>0</v>
          </cell>
          <cell r="K2700">
            <v>1</v>
          </cell>
          <cell r="L2700">
            <v>0</v>
          </cell>
          <cell r="M2700">
            <v>0</v>
          </cell>
          <cell r="N2700">
            <v>1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1</v>
          </cell>
          <cell r="W2700">
            <v>1</v>
          </cell>
          <cell r="X2700">
            <v>0</v>
          </cell>
          <cell r="Y2700">
            <v>0</v>
          </cell>
        </row>
        <row r="2701">
          <cell r="D2701">
            <v>302166</v>
          </cell>
          <cell r="E2701" t="str">
            <v>San Isidro National High School</v>
          </cell>
          <cell r="F2701">
            <v>1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</row>
        <row r="2702">
          <cell r="D2702">
            <v>301979</v>
          </cell>
          <cell r="E2702" t="str">
            <v>Haluban NHS</v>
          </cell>
          <cell r="F2702">
            <v>1</v>
          </cell>
          <cell r="G2702">
            <v>1</v>
          </cell>
          <cell r="H2702">
            <v>1</v>
          </cell>
          <cell r="I2702">
            <v>0</v>
          </cell>
          <cell r="J2702">
            <v>0</v>
          </cell>
          <cell r="K2702">
            <v>1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1</v>
          </cell>
          <cell r="T2702">
            <v>0</v>
          </cell>
          <cell r="U2702">
            <v>0</v>
          </cell>
          <cell r="V2702">
            <v>1</v>
          </cell>
          <cell r="W2702">
            <v>0</v>
          </cell>
          <cell r="X2702">
            <v>0</v>
          </cell>
          <cell r="Y2702">
            <v>0</v>
          </cell>
        </row>
        <row r="2703">
          <cell r="D2703">
            <v>309501</v>
          </cell>
          <cell r="E2703" t="str">
            <v>Tobog High School</v>
          </cell>
          <cell r="F2703">
            <v>1</v>
          </cell>
          <cell r="G2703">
            <v>1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1</v>
          </cell>
          <cell r="O2703">
            <v>43252</v>
          </cell>
          <cell r="P2703">
            <v>0</v>
          </cell>
          <cell r="Q2703">
            <v>1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</row>
        <row r="2704">
          <cell r="D2704">
            <v>309515</v>
          </cell>
          <cell r="E2704" t="str">
            <v>Malilipot National High School</v>
          </cell>
          <cell r="F2704">
            <v>1</v>
          </cell>
          <cell r="G2704">
            <v>0</v>
          </cell>
          <cell r="H2704">
            <v>1</v>
          </cell>
          <cell r="I2704">
            <v>0</v>
          </cell>
          <cell r="J2704">
            <v>0</v>
          </cell>
          <cell r="K2704">
            <v>1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</row>
        <row r="2705">
          <cell r="D2705">
            <v>305726</v>
          </cell>
          <cell r="E2705" t="str">
            <v>Rawis Senior High School</v>
          </cell>
          <cell r="F2705">
            <v>1</v>
          </cell>
          <cell r="G2705">
            <v>0</v>
          </cell>
          <cell r="H2705">
            <v>1</v>
          </cell>
          <cell r="I2705">
            <v>1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</row>
        <row r="2706">
          <cell r="D2706">
            <v>302114</v>
          </cell>
          <cell r="E2706" t="str">
            <v>Don Benito Maristela Mem. HS</v>
          </cell>
          <cell r="F2706">
            <v>1</v>
          </cell>
          <cell r="G2706">
            <v>1</v>
          </cell>
          <cell r="H2706">
            <v>1</v>
          </cell>
          <cell r="I2706">
            <v>0</v>
          </cell>
          <cell r="J2706">
            <v>0</v>
          </cell>
          <cell r="K2706">
            <v>1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1</v>
          </cell>
          <cell r="T2706">
            <v>0</v>
          </cell>
          <cell r="U2706">
            <v>0</v>
          </cell>
          <cell r="V2706">
            <v>1</v>
          </cell>
          <cell r="W2706">
            <v>0</v>
          </cell>
          <cell r="X2706">
            <v>0</v>
          </cell>
          <cell r="Y2706">
            <v>0</v>
          </cell>
        </row>
        <row r="2707">
          <cell r="D2707">
            <v>302285</v>
          </cell>
          <cell r="E2707" t="str">
            <v>Tabaco National High School</v>
          </cell>
          <cell r="F2707">
            <v>1</v>
          </cell>
          <cell r="G2707">
            <v>0</v>
          </cell>
          <cell r="H2707">
            <v>1</v>
          </cell>
          <cell r="I2707">
            <v>0</v>
          </cell>
          <cell r="J2707">
            <v>0</v>
          </cell>
          <cell r="K2707">
            <v>1</v>
          </cell>
          <cell r="L2707">
            <v>0</v>
          </cell>
          <cell r="M2707">
            <v>0</v>
          </cell>
          <cell r="N2707">
            <v>1</v>
          </cell>
          <cell r="O2707" t="str">
            <v>JUNE,2019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1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</row>
        <row r="2708">
          <cell r="D2708">
            <v>301950</v>
          </cell>
          <cell r="E2708" t="str">
            <v>Gregorio Ocampo Bercasio MHS (frmerly: Cagliliog HS)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</row>
        <row r="2709">
          <cell r="D2709">
            <v>302023</v>
          </cell>
          <cell r="E2709" t="str">
            <v>Sagrada NHS, Tinambac</v>
          </cell>
          <cell r="F2709">
            <v>0</v>
          </cell>
          <cell r="G2709">
            <v>0</v>
          </cell>
          <cell r="H2709">
            <v>1</v>
          </cell>
          <cell r="I2709">
            <v>0</v>
          </cell>
          <cell r="J2709">
            <v>1</v>
          </cell>
          <cell r="K2709">
            <v>0</v>
          </cell>
          <cell r="L2709">
            <v>0</v>
          </cell>
          <cell r="M2709">
            <v>0</v>
          </cell>
          <cell r="N2709">
            <v>1</v>
          </cell>
          <cell r="O2709">
            <v>0</v>
          </cell>
          <cell r="P2709">
            <v>0</v>
          </cell>
          <cell r="Q2709">
            <v>0</v>
          </cell>
          <cell r="R2709">
            <v>1</v>
          </cell>
          <cell r="S2709">
            <v>0</v>
          </cell>
          <cell r="T2709">
            <v>0</v>
          </cell>
          <cell r="U2709">
            <v>0</v>
          </cell>
          <cell r="V2709">
            <v>1</v>
          </cell>
          <cell r="W2709">
            <v>0</v>
          </cell>
          <cell r="X2709">
            <v>0</v>
          </cell>
          <cell r="Y2709">
            <v>0</v>
          </cell>
        </row>
        <row r="2710">
          <cell r="D2710">
            <v>302059</v>
          </cell>
          <cell r="E2710" t="str">
            <v>Tapayas High School</v>
          </cell>
          <cell r="F2710">
            <v>1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</row>
        <row r="2711">
          <cell r="D2711">
            <v>301974</v>
          </cell>
          <cell r="E2711" t="str">
            <v>Gibgos National High School</v>
          </cell>
          <cell r="F2711">
            <v>1</v>
          </cell>
          <cell r="G2711">
            <v>1</v>
          </cell>
          <cell r="H2711">
            <v>1</v>
          </cell>
          <cell r="I2711">
            <v>0</v>
          </cell>
          <cell r="J2711">
            <v>1</v>
          </cell>
          <cell r="K2711">
            <v>0</v>
          </cell>
          <cell r="L2711">
            <v>0</v>
          </cell>
          <cell r="M2711">
            <v>0</v>
          </cell>
          <cell r="N2711">
            <v>1</v>
          </cell>
          <cell r="O2711">
            <v>0</v>
          </cell>
          <cell r="P2711">
            <v>0</v>
          </cell>
          <cell r="Q2711">
            <v>1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1</v>
          </cell>
          <cell r="W2711">
            <v>0</v>
          </cell>
          <cell r="X2711">
            <v>0</v>
          </cell>
          <cell r="Y2711">
            <v>0</v>
          </cell>
        </row>
        <row r="2712">
          <cell r="D2712">
            <v>302050</v>
          </cell>
          <cell r="E2712" t="str">
            <v>Sta. Justina High School</v>
          </cell>
          <cell r="F2712">
            <v>0</v>
          </cell>
          <cell r="G2712">
            <v>0</v>
          </cell>
          <cell r="H2712">
            <v>1</v>
          </cell>
          <cell r="I2712">
            <v>0</v>
          </cell>
          <cell r="J2712">
            <v>1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1</v>
          </cell>
          <cell r="U2712" t="str">
            <v>unknown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</row>
        <row r="2713">
          <cell r="D2713">
            <v>500469</v>
          </cell>
          <cell r="E2713" t="str">
            <v>Toytoy Integrated School</v>
          </cell>
          <cell r="F2713">
            <v>0</v>
          </cell>
          <cell r="G2713">
            <v>0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</row>
        <row r="2714">
          <cell r="D2714">
            <v>302011</v>
          </cell>
          <cell r="E2714" t="str">
            <v>Pambuhan National High School</v>
          </cell>
          <cell r="F2714">
            <v>1</v>
          </cell>
          <cell r="G2714">
            <v>0</v>
          </cell>
          <cell r="H2714">
            <v>1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1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</row>
        <row r="2715">
          <cell r="D2715">
            <v>301964</v>
          </cell>
          <cell r="E2715" t="str">
            <v>Dalupaon National High School</v>
          </cell>
          <cell r="F2715">
            <v>1</v>
          </cell>
          <cell r="G2715">
            <v>0</v>
          </cell>
          <cell r="H2715">
            <v>1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1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</row>
        <row r="2716">
          <cell r="D2716">
            <v>309708</v>
          </cell>
          <cell r="E2716" t="str">
            <v>Catalotoan HS</v>
          </cell>
          <cell r="F2716">
            <v>0</v>
          </cell>
          <cell r="G2716">
            <v>1</v>
          </cell>
          <cell r="H2716">
            <v>1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1</v>
          </cell>
          <cell r="O2716">
            <v>43678</v>
          </cell>
          <cell r="P2716">
            <v>43539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</row>
        <row r="2717">
          <cell r="D2717">
            <v>302265</v>
          </cell>
          <cell r="E2717" t="str">
            <v>Cararayan National High School</v>
          </cell>
          <cell r="F2717">
            <v>1</v>
          </cell>
          <cell r="G2717">
            <v>0</v>
          </cell>
          <cell r="H2717">
            <v>1</v>
          </cell>
          <cell r="I2717">
            <v>0</v>
          </cell>
          <cell r="J2717">
            <v>1</v>
          </cell>
          <cell r="K2717">
            <v>0</v>
          </cell>
          <cell r="L2717">
            <v>0</v>
          </cell>
          <cell r="M2717">
            <v>0</v>
          </cell>
          <cell r="N2717">
            <v>1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</row>
        <row r="2718">
          <cell r="D2718">
            <v>309702</v>
          </cell>
          <cell r="E2718" t="str">
            <v>Juan F. Trivino MHS (frmerly: Pasacao Sch. of Fisheries)</v>
          </cell>
          <cell r="F2718">
            <v>1</v>
          </cell>
          <cell r="G2718">
            <v>1</v>
          </cell>
          <cell r="H2718">
            <v>1</v>
          </cell>
          <cell r="I2718">
            <v>0</v>
          </cell>
          <cell r="J2718">
            <v>0</v>
          </cell>
          <cell r="K2718">
            <v>1</v>
          </cell>
          <cell r="L2718">
            <v>0</v>
          </cell>
          <cell r="M2718">
            <v>0</v>
          </cell>
          <cell r="N2718">
            <v>1</v>
          </cell>
          <cell r="O2718">
            <v>43656</v>
          </cell>
          <cell r="P2718">
            <v>43653</v>
          </cell>
          <cell r="Q2718">
            <v>0</v>
          </cell>
          <cell r="R2718">
            <v>1</v>
          </cell>
          <cell r="S2718">
            <v>0</v>
          </cell>
          <cell r="T2718">
            <v>0</v>
          </cell>
          <cell r="U2718">
            <v>0</v>
          </cell>
          <cell r="V2718">
            <v>1</v>
          </cell>
          <cell r="W2718">
            <v>2</v>
          </cell>
          <cell r="X2718">
            <v>0</v>
          </cell>
          <cell r="Y2718">
            <v>0</v>
          </cell>
        </row>
        <row r="2719">
          <cell r="D2719">
            <v>500159</v>
          </cell>
          <cell r="E2719" t="str">
            <v>Cobo Integrated School</v>
          </cell>
          <cell r="F2719">
            <v>1</v>
          </cell>
          <cell r="G2719">
            <v>1</v>
          </cell>
          <cell r="H2719">
            <v>1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1</v>
          </cell>
          <cell r="O2719">
            <v>43564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</row>
        <row r="2720">
          <cell r="D2720">
            <v>309746</v>
          </cell>
          <cell r="E2720" t="str">
            <v>PAYAK HIGH SCHOOL</v>
          </cell>
          <cell r="F2720">
            <v>1</v>
          </cell>
          <cell r="G2720">
            <v>0</v>
          </cell>
          <cell r="H2720">
            <v>1</v>
          </cell>
          <cell r="I2720">
            <v>0</v>
          </cell>
          <cell r="J2720">
            <v>0</v>
          </cell>
          <cell r="K2720">
            <v>1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</row>
        <row r="2721">
          <cell r="D2721">
            <v>302236</v>
          </cell>
          <cell r="E2721" t="str">
            <v>Salvacion National High School</v>
          </cell>
          <cell r="F2721">
            <v>1</v>
          </cell>
          <cell r="G2721">
            <v>1</v>
          </cell>
          <cell r="H2721">
            <v>1</v>
          </cell>
          <cell r="I2721">
            <v>0</v>
          </cell>
          <cell r="J2721">
            <v>1</v>
          </cell>
          <cell r="K2721">
            <v>0</v>
          </cell>
          <cell r="L2721">
            <v>0</v>
          </cell>
          <cell r="M2721">
            <v>0</v>
          </cell>
          <cell r="N2721">
            <v>1</v>
          </cell>
          <cell r="O2721" t="str">
            <v>May 16, 2019</v>
          </cell>
          <cell r="P2721">
            <v>0</v>
          </cell>
          <cell r="Q2721">
            <v>0</v>
          </cell>
          <cell r="R2721">
            <v>1</v>
          </cell>
          <cell r="S2721">
            <v>0</v>
          </cell>
          <cell r="T2721">
            <v>0</v>
          </cell>
          <cell r="U2721">
            <v>0</v>
          </cell>
          <cell r="V2721">
            <v>1</v>
          </cell>
          <cell r="W2721">
            <v>0</v>
          </cell>
          <cell r="X2721">
            <v>0</v>
          </cell>
          <cell r="Y2721">
            <v>0</v>
          </cell>
        </row>
        <row r="2722">
          <cell r="D2722">
            <v>302111</v>
          </cell>
          <cell r="E2722" t="str">
            <v>Aroroy NHS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</row>
        <row r="2723">
          <cell r="D2723">
            <v>302021</v>
          </cell>
          <cell r="E2723" t="str">
            <v>Ramon B. Felipe Sr. NHS (frmerly: San Vicente HS)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>
            <v>0</v>
          </cell>
          <cell r="V2723">
            <v>0</v>
          </cell>
          <cell r="W2723">
            <v>0</v>
          </cell>
          <cell r="X2723">
            <v>0</v>
          </cell>
          <cell r="Y2723">
            <v>0</v>
          </cell>
        </row>
        <row r="2724">
          <cell r="D2724">
            <v>302279</v>
          </cell>
          <cell r="E2724" t="str">
            <v>Sorsogon National High School</v>
          </cell>
          <cell r="F2724">
            <v>1</v>
          </cell>
          <cell r="G2724">
            <v>0</v>
          </cell>
          <cell r="H2724">
            <v>1</v>
          </cell>
          <cell r="I2724">
            <v>1</v>
          </cell>
          <cell r="J2724">
            <v>0</v>
          </cell>
          <cell r="K2724">
            <v>0</v>
          </cell>
          <cell r="L2724">
            <v>0</v>
          </cell>
          <cell r="M2724" t="str">
            <v>as the need arises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</row>
        <row r="2725">
          <cell r="D2725">
            <v>305545</v>
          </cell>
          <cell r="E2725" t="str">
            <v>Goa Science High School</v>
          </cell>
          <cell r="F2725">
            <v>1</v>
          </cell>
          <cell r="G2725">
            <v>1</v>
          </cell>
          <cell r="H2725">
            <v>1</v>
          </cell>
          <cell r="I2725">
            <v>0</v>
          </cell>
          <cell r="J2725">
            <v>1</v>
          </cell>
          <cell r="K2725">
            <v>0</v>
          </cell>
          <cell r="L2725">
            <v>0</v>
          </cell>
          <cell r="M2725">
            <v>0</v>
          </cell>
          <cell r="N2725">
            <v>1</v>
          </cell>
          <cell r="O2725">
            <v>0</v>
          </cell>
          <cell r="P2725">
            <v>0</v>
          </cell>
          <cell r="Q2725">
            <v>0</v>
          </cell>
          <cell r="R2725">
            <v>1</v>
          </cell>
          <cell r="S2725">
            <v>0</v>
          </cell>
          <cell r="T2725">
            <v>0</v>
          </cell>
          <cell r="U2725">
            <v>0</v>
          </cell>
          <cell r="V2725">
            <v>1</v>
          </cell>
          <cell r="W2725">
            <v>0</v>
          </cell>
          <cell r="X2725">
            <v>0</v>
          </cell>
          <cell r="Y2725">
            <v>0</v>
          </cell>
        </row>
        <row r="2726">
          <cell r="D2726">
            <v>309758</v>
          </cell>
          <cell r="E2726" t="str">
            <v>Eduardo V. Agomaa National High School</v>
          </cell>
          <cell r="F2726">
            <v>0</v>
          </cell>
          <cell r="G2726">
            <v>0</v>
          </cell>
          <cell r="H2726">
            <v>1</v>
          </cell>
          <cell r="I2726">
            <v>0</v>
          </cell>
          <cell r="J2726">
            <v>0</v>
          </cell>
          <cell r="K2726">
            <v>1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1</v>
          </cell>
          <cell r="U2726" t="str">
            <v xml:space="preserve">      there is no store w/in 100m 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</row>
        <row r="2727">
          <cell r="D2727">
            <v>301942</v>
          </cell>
          <cell r="E2727" t="str">
            <v>Barcelonita Fisheries School</v>
          </cell>
          <cell r="F2727">
            <v>1</v>
          </cell>
          <cell r="G2727">
            <v>1</v>
          </cell>
          <cell r="H2727">
            <v>1</v>
          </cell>
          <cell r="I2727">
            <v>0</v>
          </cell>
          <cell r="J2727">
            <v>0</v>
          </cell>
          <cell r="K2727">
            <v>1</v>
          </cell>
          <cell r="L2727">
            <v>0</v>
          </cell>
          <cell r="M2727">
            <v>0</v>
          </cell>
          <cell r="N2727">
            <v>1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1</v>
          </cell>
          <cell r="T2727">
            <v>0</v>
          </cell>
          <cell r="U2727">
            <v>0</v>
          </cell>
          <cell r="V2727">
            <v>1</v>
          </cell>
          <cell r="W2727">
            <v>0</v>
          </cell>
          <cell r="X2727">
            <v>0</v>
          </cell>
          <cell r="Y2727">
            <v>0</v>
          </cell>
        </row>
        <row r="2728">
          <cell r="D2728">
            <v>309734</v>
          </cell>
          <cell r="E2728" t="str">
            <v>Buenavista National HS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</row>
        <row r="2729">
          <cell r="D2729">
            <v>310401</v>
          </cell>
          <cell r="E2729" t="str">
            <v>Buhatan National High School</v>
          </cell>
          <cell r="F2729">
            <v>1</v>
          </cell>
          <cell r="G2729">
            <v>1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</row>
        <row r="2730">
          <cell r="D2730">
            <v>302042</v>
          </cell>
          <cell r="E2730" t="str">
            <v>San Ramon Provincial High School</v>
          </cell>
          <cell r="F2730">
            <v>0</v>
          </cell>
          <cell r="G2730">
            <v>0</v>
          </cell>
          <cell r="H2730">
            <v>1</v>
          </cell>
          <cell r="I2730">
            <v>1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1</v>
          </cell>
          <cell r="O2730">
            <v>0</v>
          </cell>
          <cell r="P2730">
            <v>0</v>
          </cell>
          <cell r="Q2730">
            <v>1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1</v>
          </cell>
          <cell r="W2730">
            <v>0</v>
          </cell>
          <cell r="X2730">
            <v>0</v>
          </cell>
          <cell r="Y2730">
            <v>0</v>
          </cell>
        </row>
        <row r="2731">
          <cell r="D2731">
            <v>301982</v>
          </cell>
          <cell r="E2731" t="str">
            <v>FELIPE P. PANTON HIGH SCHOOL(Formerly:Inoyonan National HS)</v>
          </cell>
          <cell r="F2731">
            <v>1</v>
          </cell>
          <cell r="G2731">
            <v>1</v>
          </cell>
          <cell r="H2731">
            <v>1</v>
          </cell>
          <cell r="I2731">
            <v>0</v>
          </cell>
          <cell r="J2731">
            <v>1</v>
          </cell>
          <cell r="K2731">
            <v>0</v>
          </cell>
          <cell r="L2731">
            <v>0</v>
          </cell>
          <cell r="M2731">
            <v>0</v>
          </cell>
          <cell r="N2731">
            <v>1</v>
          </cell>
          <cell r="O2731">
            <v>0</v>
          </cell>
          <cell r="P2731">
            <v>0</v>
          </cell>
          <cell r="Q2731">
            <v>0</v>
          </cell>
          <cell r="R2731">
            <v>1</v>
          </cell>
          <cell r="S2731">
            <v>0</v>
          </cell>
          <cell r="T2731">
            <v>0</v>
          </cell>
          <cell r="U2731">
            <v>0</v>
          </cell>
          <cell r="V2731">
            <v>1</v>
          </cell>
          <cell r="W2731">
            <v>0</v>
          </cell>
          <cell r="X2731">
            <v>0</v>
          </cell>
          <cell r="Y2731">
            <v>0</v>
          </cell>
        </row>
        <row r="2732">
          <cell r="D2732">
            <v>301936</v>
          </cell>
          <cell r="E2732" t="str">
            <v>Homobono H. Gonzalez National High School</v>
          </cell>
          <cell r="F2732">
            <v>1</v>
          </cell>
          <cell r="G2732">
            <v>1</v>
          </cell>
          <cell r="H2732">
            <v>1</v>
          </cell>
          <cell r="I2732">
            <v>0</v>
          </cell>
          <cell r="J2732">
            <v>1</v>
          </cell>
          <cell r="K2732">
            <v>0</v>
          </cell>
          <cell r="L2732">
            <v>0</v>
          </cell>
          <cell r="M2732">
            <v>0</v>
          </cell>
          <cell r="N2732">
            <v>1</v>
          </cell>
          <cell r="O2732">
            <v>0</v>
          </cell>
          <cell r="P2732">
            <v>0</v>
          </cell>
          <cell r="Q2732">
            <v>1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1</v>
          </cell>
          <cell r="W2732">
            <v>0</v>
          </cell>
          <cell r="X2732">
            <v>0</v>
          </cell>
          <cell r="Y2732">
            <v>0</v>
          </cell>
        </row>
        <row r="2733">
          <cell r="D2733">
            <v>309759</v>
          </cell>
          <cell r="E2733" t="str">
            <v>Pulang Daga High School</v>
          </cell>
          <cell r="F2733">
            <v>1</v>
          </cell>
          <cell r="G2733">
            <v>1</v>
          </cell>
          <cell r="H2733">
            <v>1</v>
          </cell>
          <cell r="I2733">
            <v>0</v>
          </cell>
          <cell r="J2733">
            <v>1</v>
          </cell>
          <cell r="K2733">
            <v>0</v>
          </cell>
          <cell r="L2733">
            <v>0</v>
          </cell>
          <cell r="M2733">
            <v>0</v>
          </cell>
          <cell r="N2733">
            <v>1</v>
          </cell>
          <cell r="O2733">
            <v>43713</v>
          </cell>
          <cell r="P2733" t="str">
            <v>9/10/219</v>
          </cell>
          <cell r="Q2733">
            <v>0</v>
          </cell>
          <cell r="R2733">
            <v>1</v>
          </cell>
          <cell r="S2733">
            <v>0</v>
          </cell>
          <cell r="T2733">
            <v>0</v>
          </cell>
          <cell r="U2733">
            <v>0</v>
          </cell>
          <cell r="V2733">
            <v>1</v>
          </cell>
          <cell r="W2733">
            <v>0</v>
          </cell>
          <cell r="X2733">
            <v>0</v>
          </cell>
          <cell r="Y2733">
            <v>0</v>
          </cell>
        </row>
        <row r="2734">
          <cell r="D2734">
            <v>500414</v>
          </cell>
          <cell r="E2734" t="str">
            <v>Palumbanes Integrated School</v>
          </cell>
          <cell r="F2734">
            <v>1</v>
          </cell>
          <cell r="G2734">
            <v>0</v>
          </cell>
          <cell r="H2734">
            <v>1</v>
          </cell>
          <cell r="I2734">
            <v>0</v>
          </cell>
          <cell r="J2734">
            <v>0</v>
          </cell>
          <cell r="K2734">
            <v>1</v>
          </cell>
          <cell r="L2734">
            <v>0</v>
          </cell>
          <cell r="M2734">
            <v>0</v>
          </cell>
          <cell r="N2734">
            <v>1</v>
          </cell>
          <cell r="O2734" t="str">
            <v>N/A</v>
          </cell>
          <cell r="P2734" t="str">
            <v>N/A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</row>
        <row r="2735">
          <cell r="D2735">
            <v>302088</v>
          </cell>
          <cell r="E2735" t="str">
            <v>Gigmoto Rural DHS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</row>
        <row r="2736">
          <cell r="D2736">
            <v>302100</v>
          </cell>
          <cell r="E2736" t="str">
            <v>San Vicente National High School</v>
          </cell>
          <cell r="F2736">
            <v>1</v>
          </cell>
          <cell r="G2736">
            <v>0</v>
          </cell>
          <cell r="H2736">
            <v>1</v>
          </cell>
          <cell r="I2736">
            <v>0</v>
          </cell>
          <cell r="J2736">
            <v>0</v>
          </cell>
          <cell r="K2736">
            <v>1</v>
          </cell>
          <cell r="L2736">
            <v>0</v>
          </cell>
          <cell r="M2736">
            <v>0</v>
          </cell>
          <cell r="N2736">
            <v>1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1</v>
          </cell>
          <cell r="T2736">
            <v>0</v>
          </cell>
          <cell r="U2736">
            <v>0</v>
          </cell>
          <cell r="V2736">
            <v>1</v>
          </cell>
          <cell r="W2736">
            <v>4</v>
          </cell>
          <cell r="X2736">
            <v>4</v>
          </cell>
          <cell r="Y2736">
            <v>4</v>
          </cell>
        </row>
        <row r="2737">
          <cell r="D2737">
            <v>309724</v>
          </cell>
          <cell r="E2737" t="str">
            <v>Agay-ayan NHS</v>
          </cell>
          <cell r="F2737">
            <v>1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</row>
        <row r="2738">
          <cell r="D2738">
            <v>310502</v>
          </cell>
          <cell r="E2738" t="str">
            <v>Comon High School</v>
          </cell>
          <cell r="F2738">
            <v>1</v>
          </cell>
          <cell r="G2738">
            <v>1</v>
          </cell>
          <cell r="H2738">
            <v>1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</row>
        <row r="2739">
          <cell r="D2739">
            <v>309750</v>
          </cell>
          <cell r="E2739" t="str">
            <v>Cristobal D. Aquino Memorial High School</v>
          </cell>
          <cell r="F2739">
            <v>1</v>
          </cell>
          <cell r="G2739">
            <v>0</v>
          </cell>
          <cell r="H2739">
            <v>1</v>
          </cell>
          <cell r="I2739">
            <v>1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1</v>
          </cell>
          <cell r="O2739">
            <v>0</v>
          </cell>
          <cell r="P2739" t="str">
            <v>June 1, 2018</v>
          </cell>
          <cell r="Q2739">
            <v>1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1</v>
          </cell>
          <cell r="W2739">
            <v>0</v>
          </cell>
          <cell r="X2739">
            <v>0</v>
          </cell>
          <cell r="Y2739">
            <v>0</v>
          </cell>
        </row>
        <row r="2740">
          <cell r="D2740">
            <v>309764</v>
          </cell>
          <cell r="E2740" t="str">
            <v>R.T. Subastil Memorial HS</v>
          </cell>
          <cell r="F2740">
            <v>1</v>
          </cell>
          <cell r="G2740">
            <v>0</v>
          </cell>
          <cell r="H2740">
            <v>1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1</v>
          </cell>
          <cell r="O2740">
            <v>0</v>
          </cell>
          <cell r="P2740">
            <v>0</v>
          </cell>
          <cell r="Q2740">
            <v>0</v>
          </cell>
          <cell r="R2740">
            <v>1</v>
          </cell>
          <cell r="S2740">
            <v>0</v>
          </cell>
          <cell r="T2740">
            <v>0</v>
          </cell>
          <cell r="U2740">
            <v>0</v>
          </cell>
          <cell r="V2740">
            <v>1</v>
          </cell>
          <cell r="W2740">
            <v>0</v>
          </cell>
          <cell r="X2740">
            <v>0</v>
          </cell>
          <cell r="Y2740">
            <v>0</v>
          </cell>
        </row>
        <row r="2741">
          <cell r="D2741">
            <v>302081</v>
          </cell>
          <cell r="E2741" t="str">
            <v>Caramoran Rural Development High School</v>
          </cell>
          <cell r="F2741">
            <v>1</v>
          </cell>
          <cell r="G2741">
            <v>0</v>
          </cell>
          <cell r="H2741">
            <v>1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1</v>
          </cell>
          <cell r="O2741">
            <v>43160</v>
          </cell>
          <cell r="P2741">
            <v>0</v>
          </cell>
          <cell r="Q2741">
            <v>0</v>
          </cell>
          <cell r="R2741">
            <v>1</v>
          </cell>
          <cell r="S2741">
            <v>0</v>
          </cell>
          <cell r="T2741">
            <v>0</v>
          </cell>
          <cell r="U2741">
            <v>0</v>
          </cell>
          <cell r="V2741">
            <v>1</v>
          </cell>
          <cell r="W2741">
            <v>0</v>
          </cell>
          <cell r="X2741">
            <v>0</v>
          </cell>
          <cell r="Y2741">
            <v>0</v>
          </cell>
        </row>
        <row r="2742">
          <cell r="D2742">
            <v>302084</v>
          </cell>
          <cell r="E2742" t="str">
            <v>Calatagan High School</v>
          </cell>
          <cell r="F2742">
            <v>1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4</v>
          </cell>
          <cell r="X2742">
            <v>3</v>
          </cell>
          <cell r="Y2742">
            <v>0</v>
          </cell>
        </row>
        <row r="2743">
          <cell r="D2743">
            <v>302025</v>
          </cell>
          <cell r="E2743" t="str">
            <v>Sagrada Familia High School</v>
          </cell>
          <cell r="F2743">
            <v>1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1</v>
          </cell>
          <cell r="M2743" t="str">
            <v>if there is a case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</row>
        <row r="2744">
          <cell r="D2744">
            <v>302082</v>
          </cell>
          <cell r="E2744" t="str">
            <v>Caramoran School of Fisheries</v>
          </cell>
          <cell r="F2744">
            <v>1</v>
          </cell>
          <cell r="G2744">
            <v>1</v>
          </cell>
          <cell r="H2744">
            <v>1</v>
          </cell>
          <cell r="I2744">
            <v>1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1</v>
          </cell>
          <cell r="O2744">
            <v>0</v>
          </cell>
          <cell r="P2744">
            <v>0</v>
          </cell>
          <cell r="Q2744">
            <v>1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1</v>
          </cell>
          <cell r="W2744">
            <v>0</v>
          </cell>
          <cell r="X2744">
            <v>0</v>
          </cell>
          <cell r="Y2744">
            <v>0</v>
          </cell>
        </row>
        <row r="2745">
          <cell r="D2745">
            <v>302078</v>
          </cell>
          <cell r="E2745" t="str">
            <v>Cabcab NHS</v>
          </cell>
          <cell r="F2745">
            <v>1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</row>
        <row r="2746">
          <cell r="D2746">
            <v>302281</v>
          </cell>
          <cell r="E2746" t="str">
            <v>Bantayan NHS</v>
          </cell>
          <cell r="F2746">
            <v>1</v>
          </cell>
          <cell r="G2746">
            <v>1</v>
          </cell>
          <cell r="H2746">
            <v>1</v>
          </cell>
          <cell r="I2746">
            <v>0</v>
          </cell>
          <cell r="J2746">
            <v>0</v>
          </cell>
          <cell r="K2746">
            <v>1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1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</row>
        <row r="2747">
          <cell r="D2747">
            <v>309768</v>
          </cell>
          <cell r="E2747" t="str">
            <v>Cabotonan High School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1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1</v>
          </cell>
          <cell r="W2747">
            <v>0</v>
          </cell>
          <cell r="X2747">
            <v>0</v>
          </cell>
          <cell r="Y2747">
            <v>0</v>
          </cell>
        </row>
        <row r="2748">
          <cell r="D2748">
            <v>302002</v>
          </cell>
          <cell r="E2748" t="str">
            <v>Lourdes PHS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1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</row>
        <row r="2749">
          <cell r="D2749">
            <v>301958</v>
          </cell>
          <cell r="E2749" t="str">
            <v>Casay National High School</v>
          </cell>
          <cell r="F2749">
            <v>1</v>
          </cell>
          <cell r="G2749">
            <v>0</v>
          </cell>
          <cell r="H2749">
            <v>1</v>
          </cell>
          <cell r="I2749">
            <v>0</v>
          </cell>
          <cell r="J2749">
            <v>0</v>
          </cell>
          <cell r="K2749">
            <v>0</v>
          </cell>
          <cell r="L2749">
            <v>1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</row>
        <row r="2750">
          <cell r="D2750">
            <v>302070</v>
          </cell>
          <cell r="E2750" t="str">
            <v>Agban NHS</v>
          </cell>
          <cell r="F2750">
            <v>1</v>
          </cell>
          <cell r="G2750">
            <v>0</v>
          </cell>
          <cell r="H2750">
            <v>1</v>
          </cell>
          <cell r="I2750">
            <v>0</v>
          </cell>
          <cell r="J2750">
            <v>0</v>
          </cell>
          <cell r="K2750">
            <v>1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</row>
        <row r="2751">
          <cell r="D2751">
            <v>302284</v>
          </cell>
          <cell r="E2751" t="str">
            <v>San Miguel NHS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</row>
        <row r="2752">
          <cell r="D2752">
            <v>301973</v>
          </cell>
          <cell r="E2752" t="str">
            <v>Gainza National HS</v>
          </cell>
          <cell r="F2752">
            <v>1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 t="str">
            <v>NOT APPLICABLE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</row>
        <row r="2753">
          <cell r="D2753">
            <v>302043</v>
          </cell>
          <cell r="E2753" t="str">
            <v>San Vicente NHS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</row>
        <row r="2754">
          <cell r="D2754">
            <v>500415</v>
          </cell>
          <cell r="E2754" t="str">
            <v>Milaviga IS</v>
          </cell>
          <cell r="F2754">
            <v>1</v>
          </cell>
          <cell r="G2754">
            <v>0</v>
          </cell>
          <cell r="H2754">
            <v>1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</row>
        <row r="2755">
          <cell r="D2755">
            <v>302092</v>
          </cell>
          <cell r="E2755" t="str">
            <v>Mayngaway NHS</v>
          </cell>
          <cell r="F2755">
            <v>1</v>
          </cell>
          <cell r="G2755">
            <v>1</v>
          </cell>
          <cell r="H2755">
            <v>1</v>
          </cell>
          <cell r="I2755">
            <v>0</v>
          </cell>
          <cell r="J2755">
            <v>1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43702</v>
          </cell>
          <cell r="Q2755">
            <v>1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1</v>
          </cell>
          <cell r="W2755">
            <v>0</v>
          </cell>
          <cell r="X2755">
            <v>0</v>
          </cell>
          <cell r="Y2755">
            <v>0</v>
          </cell>
        </row>
        <row r="2756">
          <cell r="D2756">
            <v>302107</v>
          </cell>
          <cell r="E2756" t="str">
            <v>Viga Rural DHS</v>
          </cell>
          <cell r="F2756">
            <v>1</v>
          </cell>
          <cell r="G2756">
            <v>1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</row>
        <row r="2757">
          <cell r="D2757">
            <v>500033</v>
          </cell>
          <cell r="E2757" t="str">
            <v>Sicmil Integrated School</v>
          </cell>
          <cell r="F2757">
            <v>0</v>
          </cell>
          <cell r="G2757">
            <v>0</v>
          </cell>
          <cell r="H2757">
            <v>1</v>
          </cell>
          <cell r="I2757">
            <v>0</v>
          </cell>
          <cell r="J2757">
            <v>1</v>
          </cell>
          <cell r="K2757">
            <v>0</v>
          </cell>
          <cell r="L2757">
            <v>0</v>
          </cell>
          <cell r="M2757">
            <v>0</v>
          </cell>
          <cell r="N2757">
            <v>1</v>
          </cell>
          <cell r="O2757">
            <v>0</v>
          </cell>
          <cell r="P2757">
            <v>0</v>
          </cell>
          <cell r="Q2757">
            <v>0</v>
          </cell>
          <cell r="R2757">
            <v>1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1</v>
          </cell>
          <cell r="X2757">
            <v>1</v>
          </cell>
          <cell r="Y2757">
            <v>1</v>
          </cell>
        </row>
        <row r="2758">
          <cell r="D2758">
            <v>302152</v>
          </cell>
          <cell r="E2758" t="str">
            <v>Monreal National High School</v>
          </cell>
          <cell r="F2758">
            <v>1</v>
          </cell>
          <cell r="G2758">
            <v>1</v>
          </cell>
          <cell r="H2758">
            <v>1</v>
          </cell>
          <cell r="I2758">
            <v>1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</row>
        <row r="2759">
          <cell r="D2759">
            <v>309923</v>
          </cell>
          <cell r="E2759" t="str">
            <v>Cogon High School</v>
          </cell>
          <cell r="F2759">
            <v>0</v>
          </cell>
          <cell r="G2759">
            <v>0</v>
          </cell>
          <cell r="H2759">
            <v>1</v>
          </cell>
          <cell r="I2759">
            <v>0</v>
          </cell>
          <cell r="J2759">
            <v>0</v>
          </cell>
          <cell r="K2759">
            <v>1</v>
          </cell>
          <cell r="L2759">
            <v>0</v>
          </cell>
          <cell r="M2759">
            <v>0</v>
          </cell>
          <cell r="N2759">
            <v>1</v>
          </cell>
          <cell r="O2759" t="str">
            <v>November, 2019</v>
          </cell>
          <cell r="P2759">
            <v>0</v>
          </cell>
          <cell r="Q2759">
            <v>1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>
            <v>0</v>
          </cell>
          <cell r="X2759">
            <v>0</v>
          </cell>
          <cell r="Y2759">
            <v>0</v>
          </cell>
        </row>
        <row r="2760">
          <cell r="D2760">
            <v>302105</v>
          </cell>
          <cell r="E2760" t="str">
            <v>Tinago NHS</v>
          </cell>
          <cell r="F2760">
            <v>1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</row>
        <row r="2761">
          <cell r="D2761">
            <v>302069</v>
          </cell>
          <cell r="E2761" t="str">
            <v>Vito HS</v>
          </cell>
          <cell r="F2761">
            <v>1</v>
          </cell>
          <cell r="G2761">
            <v>1</v>
          </cell>
          <cell r="H2761">
            <v>1</v>
          </cell>
          <cell r="I2761">
            <v>0</v>
          </cell>
          <cell r="J2761">
            <v>1</v>
          </cell>
          <cell r="K2761">
            <v>0</v>
          </cell>
          <cell r="L2761">
            <v>0</v>
          </cell>
          <cell r="M2761">
            <v>0</v>
          </cell>
          <cell r="N2761">
            <v>1</v>
          </cell>
          <cell r="O2761" t="str">
            <v>06/24/2019</v>
          </cell>
          <cell r="P2761">
            <v>43716</v>
          </cell>
          <cell r="Q2761">
            <v>0</v>
          </cell>
          <cell r="R2761">
            <v>1</v>
          </cell>
          <cell r="S2761">
            <v>0</v>
          </cell>
          <cell r="T2761">
            <v>0</v>
          </cell>
          <cell r="U2761">
            <v>0</v>
          </cell>
          <cell r="V2761">
            <v>1</v>
          </cell>
          <cell r="W2761">
            <v>0</v>
          </cell>
          <cell r="X2761">
            <v>0</v>
          </cell>
          <cell r="Y2761">
            <v>0</v>
          </cell>
        </row>
        <row r="2762">
          <cell r="D2762">
            <v>302165</v>
          </cell>
          <cell r="E2762" t="str">
            <v>Rodolfo Z. Titong National High School</v>
          </cell>
          <cell r="F2762">
            <v>1</v>
          </cell>
          <cell r="G2762">
            <v>1</v>
          </cell>
          <cell r="H2762">
            <v>1</v>
          </cell>
          <cell r="I2762">
            <v>1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1</v>
          </cell>
          <cell r="O2762">
            <v>0</v>
          </cell>
          <cell r="P2762">
            <v>0</v>
          </cell>
          <cell r="Q2762">
            <v>1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1</v>
          </cell>
          <cell r="W2762">
            <v>2</v>
          </cell>
          <cell r="X2762">
            <v>1</v>
          </cell>
          <cell r="Y2762">
            <v>1</v>
          </cell>
        </row>
        <row r="2763">
          <cell r="D2763">
            <v>302154</v>
          </cell>
          <cell r="E2763" t="str">
            <v>Naro National High School</v>
          </cell>
          <cell r="F2763">
            <v>1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</row>
        <row r="2764">
          <cell r="D2764">
            <v>309744</v>
          </cell>
          <cell r="E2764" t="str">
            <v>Don Mariano C. San Juan HS</v>
          </cell>
          <cell r="F2764">
            <v>1</v>
          </cell>
          <cell r="G2764">
            <v>0</v>
          </cell>
          <cell r="H2764">
            <v>1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1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>
            <v>0</v>
          </cell>
          <cell r="X2764">
            <v>0</v>
          </cell>
          <cell r="Y2764">
            <v>0</v>
          </cell>
        </row>
        <row r="2765">
          <cell r="D2765">
            <v>301951</v>
          </cell>
          <cell r="E2765" t="str">
            <v>JAIME MACATANGAY SR. NHS (formerly: Caima NHS)</v>
          </cell>
          <cell r="F2765">
            <v>1</v>
          </cell>
          <cell r="G2765">
            <v>1</v>
          </cell>
          <cell r="H2765">
            <v>1</v>
          </cell>
          <cell r="I2765">
            <v>0</v>
          </cell>
          <cell r="J2765">
            <v>1</v>
          </cell>
          <cell r="K2765">
            <v>0</v>
          </cell>
          <cell r="L2765">
            <v>0</v>
          </cell>
          <cell r="M2765">
            <v>0</v>
          </cell>
          <cell r="N2765">
            <v>1</v>
          </cell>
          <cell r="O2765">
            <v>0</v>
          </cell>
          <cell r="P2765" t="str">
            <v>October, 2019</v>
          </cell>
          <cell r="Q2765">
            <v>0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>
            <v>4</v>
          </cell>
          <cell r="X2765">
            <v>0</v>
          </cell>
          <cell r="Y2765">
            <v>0</v>
          </cell>
        </row>
        <row r="2766">
          <cell r="D2766">
            <v>310503</v>
          </cell>
          <cell r="E2766" t="str">
            <v>Hacienda High School</v>
          </cell>
          <cell r="F2766">
            <v>1</v>
          </cell>
          <cell r="G2766">
            <v>1</v>
          </cell>
          <cell r="H2766">
            <v>1</v>
          </cell>
          <cell r="I2766">
            <v>0</v>
          </cell>
          <cell r="J2766">
            <v>1</v>
          </cell>
          <cell r="K2766">
            <v>0</v>
          </cell>
          <cell r="L2766">
            <v>0</v>
          </cell>
          <cell r="M2766">
            <v>0</v>
          </cell>
          <cell r="N2766">
            <v>1</v>
          </cell>
          <cell r="O2766" t="str">
            <v>09/20/2019</v>
          </cell>
          <cell r="P2766">
            <v>43750</v>
          </cell>
          <cell r="Q2766">
            <v>1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1</v>
          </cell>
          <cell r="W2766">
            <v>2</v>
          </cell>
          <cell r="X2766">
            <v>0</v>
          </cell>
          <cell r="Y2766">
            <v>0</v>
          </cell>
        </row>
        <row r="2767">
          <cell r="D2767">
            <v>310504</v>
          </cell>
          <cell r="E2767" t="str">
            <v>Mariroc High School</v>
          </cell>
          <cell r="F2767">
            <v>1</v>
          </cell>
          <cell r="G2767">
            <v>1</v>
          </cell>
          <cell r="H2767">
            <v>1</v>
          </cell>
          <cell r="I2767">
            <v>0</v>
          </cell>
          <cell r="J2767">
            <v>1</v>
          </cell>
          <cell r="K2767">
            <v>0</v>
          </cell>
          <cell r="L2767">
            <v>0</v>
          </cell>
          <cell r="M2767">
            <v>0</v>
          </cell>
          <cell r="N2767">
            <v>1</v>
          </cell>
          <cell r="O2767">
            <v>0</v>
          </cell>
          <cell r="P2767">
            <v>0</v>
          </cell>
          <cell r="Q2767">
            <v>0</v>
          </cell>
          <cell r="R2767">
            <v>1</v>
          </cell>
          <cell r="S2767">
            <v>0</v>
          </cell>
          <cell r="T2767">
            <v>0</v>
          </cell>
          <cell r="U2767">
            <v>0</v>
          </cell>
          <cell r="V2767">
            <v>1</v>
          </cell>
          <cell r="W2767">
            <v>0</v>
          </cell>
          <cell r="X2767">
            <v>0</v>
          </cell>
          <cell r="Y2767">
            <v>0</v>
          </cell>
        </row>
        <row r="2768">
          <cell r="D2768">
            <v>302026</v>
          </cell>
          <cell r="E2768" t="str">
            <v>Salvacion HS, Bato</v>
          </cell>
          <cell r="F2768">
            <v>0</v>
          </cell>
          <cell r="G2768">
            <v>0</v>
          </cell>
          <cell r="H2768">
            <v>1</v>
          </cell>
          <cell r="I2768">
            <v>0</v>
          </cell>
          <cell r="J2768">
            <v>1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 t="str">
            <v>n/a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1</v>
          </cell>
          <cell r="U2768" t="str">
            <v>n/a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</row>
        <row r="2769">
          <cell r="D2769">
            <v>309933</v>
          </cell>
          <cell r="E2769" t="str">
            <v>Dalipe National High School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</row>
        <row r="2770">
          <cell r="D2770">
            <v>309713</v>
          </cell>
          <cell r="E2770" t="str">
            <v>Buenavista National High School</v>
          </cell>
          <cell r="F2770">
            <v>1</v>
          </cell>
          <cell r="G2770">
            <v>1</v>
          </cell>
          <cell r="H2770">
            <v>1</v>
          </cell>
          <cell r="I2770">
            <v>0</v>
          </cell>
          <cell r="J2770">
            <v>0</v>
          </cell>
          <cell r="K2770">
            <v>1</v>
          </cell>
          <cell r="L2770">
            <v>0</v>
          </cell>
          <cell r="M2770">
            <v>0</v>
          </cell>
          <cell r="N2770">
            <v>1</v>
          </cell>
          <cell r="O2770">
            <v>0</v>
          </cell>
          <cell r="P2770" t="str">
            <v>June 2018</v>
          </cell>
          <cell r="Q2770">
            <v>1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1</v>
          </cell>
          <cell r="W2770">
            <v>0</v>
          </cell>
          <cell r="X2770">
            <v>0</v>
          </cell>
          <cell r="Y2770">
            <v>0</v>
          </cell>
        </row>
        <row r="2771">
          <cell r="D2771">
            <v>302076</v>
          </cell>
          <cell r="E2771" t="str">
            <v>Bugao NHS</v>
          </cell>
          <cell r="F2771">
            <v>1</v>
          </cell>
          <cell r="G2771">
            <v>1</v>
          </cell>
          <cell r="H2771">
            <v>1</v>
          </cell>
          <cell r="I2771">
            <v>0</v>
          </cell>
          <cell r="J2771">
            <v>1</v>
          </cell>
          <cell r="K2771">
            <v>0</v>
          </cell>
          <cell r="L2771">
            <v>0</v>
          </cell>
          <cell r="M2771">
            <v>0</v>
          </cell>
          <cell r="N2771">
            <v>1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1</v>
          </cell>
          <cell r="W2771">
            <v>0</v>
          </cell>
          <cell r="X2771">
            <v>0</v>
          </cell>
          <cell r="Y2771">
            <v>0</v>
          </cell>
        </row>
        <row r="2772">
          <cell r="D2772">
            <v>302283</v>
          </cell>
          <cell r="E2772" t="str">
            <v>San Lorenzo NHS</v>
          </cell>
          <cell r="F2772">
            <v>1</v>
          </cell>
          <cell r="G2772">
            <v>1</v>
          </cell>
          <cell r="H2772">
            <v>1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1</v>
          </cell>
          <cell r="O2772">
            <v>0</v>
          </cell>
          <cell r="P2772">
            <v>0</v>
          </cell>
          <cell r="Q2772">
            <v>1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1</v>
          </cell>
          <cell r="W2772">
            <v>0</v>
          </cell>
          <cell r="X2772">
            <v>0</v>
          </cell>
          <cell r="Y2772">
            <v>0</v>
          </cell>
        </row>
        <row r="2773">
          <cell r="D2773">
            <v>302091</v>
          </cell>
          <cell r="E2773" t="str">
            <v>Manambrag NHS</v>
          </cell>
          <cell r="F2773">
            <v>1</v>
          </cell>
          <cell r="G2773">
            <v>1</v>
          </cell>
          <cell r="H2773">
            <v>1</v>
          </cell>
          <cell r="I2773">
            <v>1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1</v>
          </cell>
          <cell r="O2773" t="str">
            <v>11/26/2019</v>
          </cell>
          <cell r="P2773" t="str">
            <v>June, 2019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0</v>
          </cell>
          <cell r="V2773">
            <v>1</v>
          </cell>
          <cell r="W2773">
            <v>0</v>
          </cell>
          <cell r="X2773">
            <v>0</v>
          </cell>
          <cell r="Y2773">
            <v>0</v>
          </cell>
        </row>
        <row r="2774">
          <cell r="D2774">
            <v>310501</v>
          </cell>
          <cell r="E2774" t="str">
            <v>BogÃ±abong High School</v>
          </cell>
          <cell r="F2774">
            <v>1</v>
          </cell>
          <cell r="G2774">
            <v>0</v>
          </cell>
          <cell r="H2774">
            <v>1</v>
          </cell>
          <cell r="I2774">
            <v>0</v>
          </cell>
          <cell r="J2774">
            <v>0</v>
          </cell>
          <cell r="K2774">
            <v>1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 t="str">
            <v>10/24/2019</v>
          </cell>
          <cell r="Q2774">
            <v>0</v>
          </cell>
          <cell r="R2774">
            <v>1</v>
          </cell>
          <cell r="S2774">
            <v>0</v>
          </cell>
          <cell r="T2774">
            <v>0</v>
          </cell>
          <cell r="U2774">
            <v>0</v>
          </cell>
          <cell r="V2774">
            <v>1</v>
          </cell>
          <cell r="W2774">
            <v>0</v>
          </cell>
          <cell r="X2774">
            <v>0</v>
          </cell>
          <cell r="Y2774">
            <v>0</v>
          </cell>
        </row>
        <row r="2775">
          <cell r="D2775">
            <v>500032</v>
          </cell>
          <cell r="E2775" t="str">
            <v>Cabugao IS</v>
          </cell>
          <cell r="F2775">
            <v>1</v>
          </cell>
          <cell r="G2775">
            <v>1</v>
          </cell>
          <cell r="H2775">
            <v>1</v>
          </cell>
          <cell r="I2775">
            <v>0</v>
          </cell>
          <cell r="J2775">
            <v>0</v>
          </cell>
          <cell r="K2775">
            <v>0</v>
          </cell>
          <cell r="L2775">
            <v>1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1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</row>
        <row r="2776">
          <cell r="D2776">
            <v>309715</v>
          </cell>
          <cell r="E2776" t="str">
            <v>Nato National High School</v>
          </cell>
          <cell r="F2776">
            <v>1</v>
          </cell>
          <cell r="G2776">
            <v>1</v>
          </cell>
          <cell r="H2776">
            <v>1</v>
          </cell>
          <cell r="I2776">
            <v>0</v>
          </cell>
          <cell r="J2776">
            <v>0</v>
          </cell>
          <cell r="K2776">
            <v>0</v>
          </cell>
          <cell r="L2776">
            <v>1</v>
          </cell>
          <cell r="M2776" t="str">
            <v>as the need arises</v>
          </cell>
          <cell r="N2776">
            <v>1</v>
          </cell>
          <cell r="O2776">
            <v>43684</v>
          </cell>
          <cell r="P2776" t="str">
            <v>6-24-2018</v>
          </cell>
          <cell r="Q2776">
            <v>0</v>
          </cell>
          <cell r="R2776">
            <v>0</v>
          </cell>
          <cell r="S2776">
            <v>0</v>
          </cell>
          <cell r="T2776">
            <v>1</v>
          </cell>
          <cell r="U2776" t="str">
            <v>as the need arises</v>
          </cell>
          <cell r="V2776">
            <v>1</v>
          </cell>
          <cell r="W2776">
            <v>0</v>
          </cell>
          <cell r="X2776">
            <v>0</v>
          </cell>
          <cell r="Y2776">
            <v>0</v>
          </cell>
        </row>
        <row r="2777">
          <cell r="D2777">
            <v>309704</v>
          </cell>
          <cell r="E2777" t="str">
            <v>Hanawan  National HS</v>
          </cell>
          <cell r="F2777">
            <v>1</v>
          </cell>
          <cell r="G2777">
            <v>1</v>
          </cell>
          <cell r="H2777">
            <v>0</v>
          </cell>
          <cell r="I2777">
            <v>0</v>
          </cell>
          <cell r="J2777">
            <v>0</v>
          </cell>
          <cell r="K2777">
            <v>1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</row>
        <row r="2778">
          <cell r="D2778">
            <v>301995</v>
          </cell>
          <cell r="E2778" t="str">
            <v>Mangayawan High School</v>
          </cell>
          <cell r="F2778">
            <v>1</v>
          </cell>
          <cell r="G2778">
            <v>0</v>
          </cell>
          <cell r="H2778">
            <v>1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</row>
        <row r="2779">
          <cell r="D2779">
            <v>302066</v>
          </cell>
          <cell r="E2779" t="str">
            <v>Villamayor HS</v>
          </cell>
          <cell r="F2779">
            <v>0</v>
          </cell>
          <cell r="G2779">
            <v>0</v>
          </cell>
          <cell r="H2779">
            <v>1</v>
          </cell>
          <cell r="I2779">
            <v>0</v>
          </cell>
          <cell r="J2779">
            <v>1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</row>
        <row r="2780">
          <cell r="D2780">
            <v>309941</v>
          </cell>
          <cell r="E2780" t="str">
            <v>Cristeta Bagano MHS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</row>
        <row r="2781">
          <cell r="D2781">
            <v>309946</v>
          </cell>
          <cell r="E2781" t="str">
            <v>SULPICIO T. CONDOR, SR. NATIONAL HIGH SCHOOL</v>
          </cell>
          <cell r="F2781">
            <v>1</v>
          </cell>
          <cell r="G2781">
            <v>1</v>
          </cell>
          <cell r="H2781">
            <v>1</v>
          </cell>
          <cell r="I2781">
            <v>0</v>
          </cell>
          <cell r="J2781">
            <v>1</v>
          </cell>
          <cell r="K2781">
            <v>0</v>
          </cell>
          <cell r="L2781">
            <v>0</v>
          </cell>
          <cell r="M2781">
            <v>0</v>
          </cell>
          <cell r="N2781">
            <v>1</v>
          </cell>
          <cell r="O2781">
            <v>0</v>
          </cell>
          <cell r="P2781">
            <v>43742</v>
          </cell>
          <cell r="Q2781">
            <v>0</v>
          </cell>
          <cell r="R2781">
            <v>1</v>
          </cell>
          <cell r="S2781">
            <v>0</v>
          </cell>
          <cell r="T2781">
            <v>0</v>
          </cell>
          <cell r="U2781">
            <v>0</v>
          </cell>
          <cell r="V2781">
            <v>1</v>
          </cell>
          <cell r="W2781">
            <v>0</v>
          </cell>
          <cell r="X2781">
            <v>0</v>
          </cell>
          <cell r="Y2781">
            <v>0</v>
          </cell>
        </row>
        <row r="2782">
          <cell r="D2782">
            <v>302073</v>
          </cell>
          <cell r="E2782" t="str">
            <v>Baras Rural DHS</v>
          </cell>
          <cell r="F2782">
            <v>1</v>
          </cell>
          <cell r="G2782">
            <v>1</v>
          </cell>
          <cell r="H2782">
            <v>1</v>
          </cell>
          <cell r="I2782">
            <v>0</v>
          </cell>
          <cell r="J2782">
            <v>1</v>
          </cell>
          <cell r="K2782">
            <v>0</v>
          </cell>
          <cell r="L2782">
            <v>0</v>
          </cell>
          <cell r="M2782">
            <v>0</v>
          </cell>
          <cell r="N2782">
            <v>1</v>
          </cell>
          <cell r="O2782">
            <v>0</v>
          </cell>
          <cell r="P2782">
            <v>0</v>
          </cell>
          <cell r="Q2782">
            <v>0</v>
          </cell>
          <cell r="R2782">
            <v>1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</row>
        <row r="2783">
          <cell r="D2783">
            <v>301962</v>
          </cell>
          <cell r="E2783" t="str">
            <v>Altamarino-Clasio High School (formerly Curry High School)</v>
          </cell>
          <cell r="F2783">
            <v>1</v>
          </cell>
          <cell r="G2783">
            <v>1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1</v>
          </cell>
          <cell r="M2783" t="str">
            <v>PREFECT OF DISCIPLINE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1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2</v>
          </cell>
          <cell r="Y2783">
            <v>0</v>
          </cell>
        </row>
        <row r="2784">
          <cell r="D2784">
            <v>302094</v>
          </cell>
          <cell r="E2784" t="str">
            <v>Pandan SAT</v>
          </cell>
          <cell r="F2784">
            <v>1</v>
          </cell>
          <cell r="G2784">
            <v>0</v>
          </cell>
          <cell r="H2784">
            <v>1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1</v>
          </cell>
          <cell r="W2784">
            <v>0</v>
          </cell>
          <cell r="X2784">
            <v>0</v>
          </cell>
          <cell r="Y2784">
            <v>0</v>
          </cell>
        </row>
        <row r="2785">
          <cell r="D2785">
            <v>302123</v>
          </cell>
          <cell r="E2785" t="str">
            <v>Buracan National High School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</row>
        <row r="2786">
          <cell r="D2786">
            <v>301946</v>
          </cell>
          <cell r="E2786" t="str">
            <v>Binanuaanan NHS</v>
          </cell>
          <cell r="F2786">
            <v>1</v>
          </cell>
          <cell r="G2786">
            <v>1</v>
          </cell>
          <cell r="H2786">
            <v>1</v>
          </cell>
          <cell r="I2786">
            <v>0</v>
          </cell>
          <cell r="J2786">
            <v>0</v>
          </cell>
          <cell r="K2786">
            <v>1</v>
          </cell>
          <cell r="L2786">
            <v>0</v>
          </cell>
          <cell r="M2786">
            <v>0</v>
          </cell>
          <cell r="N2786">
            <v>1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1</v>
          </cell>
          <cell r="U2786" t="str">
            <v>AS NEEDSNARISES</v>
          </cell>
          <cell r="V2786">
            <v>1</v>
          </cell>
          <cell r="W2786">
            <v>0</v>
          </cell>
          <cell r="X2786">
            <v>0</v>
          </cell>
          <cell r="Y2786">
            <v>0</v>
          </cell>
        </row>
        <row r="2787">
          <cell r="D2787">
            <v>310302</v>
          </cell>
          <cell r="E2787" t="str">
            <v>Leon Q. Mercado HS (Formerly CSNHS-Pacol Annex)</v>
          </cell>
          <cell r="F2787">
            <v>1</v>
          </cell>
          <cell r="G2787">
            <v>1</v>
          </cell>
          <cell r="H2787">
            <v>1</v>
          </cell>
          <cell r="I2787">
            <v>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1</v>
          </cell>
          <cell r="O2787">
            <v>43810</v>
          </cell>
          <cell r="P2787">
            <v>43781</v>
          </cell>
          <cell r="Q2787">
            <v>1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1</v>
          </cell>
          <cell r="W2787">
            <v>0</v>
          </cell>
          <cell r="X2787">
            <v>0</v>
          </cell>
          <cell r="Y2787">
            <v>0</v>
          </cell>
        </row>
        <row r="2788">
          <cell r="D2788">
            <v>302104</v>
          </cell>
          <cell r="E2788" t="str">
            <v>Tambogñon NHS</v>
          </cell>
          <cell r="F2788">
            <v>1</v>
          </cell>
          <cell r="G2788">
            <v>1</v>
          </cell>
          <cell r="H2788">
            <v>1</v>
          </cell>
          <cell r="I2788">
            <v>0</v>
          </cell>
          <cell r="J2788">
            <v>1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43485</v>
          </cell>
          <cell r="Q2788">
            <v>0</v>
          </cell>
          <cell r="R2788">
            <v>1</v>
          </cell>
          <cell r="S2788">
            <v>0</v>
          </cell>
          <cell r="T2788">
            <v>0</v>
          </cell>
          <cell r="U2788">
            <v>0</v>
          </cell>
          <cell r="V2788">
            <v>1</v>
          </cell>
          <cell r="W2788">
            <v>0</v>
          </cell>
          <cell r="X2788">
            <v>0</v>
          </cell>
          <cell r="Y2788">
            <v>0</v>
          </cell>
        </row>
        <row r="2789">
          <cell r="D2789">
            <v>302034</v>
          </cell>
          <cell r="E2789" t="str">
            <v>Magarao NHS (formerly: San Isidro NHS)</v>
          </cell>
          <cell r="F2789">
            <v>1</v>
          </cell>
          <cell r="G2789">
            <v>1</v>
          </cell>
          <cell r="H2789">
            <v>0</v>
          </cell>
          <cell r="I2789">
            <v>0</v>
          </cell>
          <cell r="J2789">
            <v>1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</row>
        <row r="2790">
          <cell r="D2790">
            <v>302268</v>
          </cell>
          <cell r="E2790" t="str">
            <v>Naga City Science High School</v>
          </cell>
          <cell r="F2790">
            <v>0</v>
          </cell>
          <cell r="G2790">
            <v>0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</row>
        <row r="2791">
          <cell r="D2791">
            <v>302269</v>
          </cell>
          <cell r="E2791" t="str">
            <v>Naga City School of Arts and Trades</v>
          </cell>
          <cell r="F2791">
            <v>1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</row>
        <row r="2792">
          <cell r="D2792">
            <v>301934</v>
          </cell>
          <cell r="E2792" t="str">
            <v>BAGACAY NATIONAL HIGH SCHOOL</v>
          </cell>
          <cell r="F2792">
            <v>1</v>
          </cell>
          <cell r="G2792">
            <v>1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</row>
        <row r="2793">
          <cell r="D2793">
            <v>309714</v>
          </cell>
          <cell r="E2793" t="str">
            <v>SagÃ±ay Southeastern  HS</v>
          </cell>
          <cell r="F2793">
            <v>1</v>
          </cell>
          <cell r="G2793">
            <v>1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2</v>
          </cell>
          <cell r="Y2793">
            <v>0</v>
          </cell>
        </row>
        <row r="2794">
          <cell r="D2794">
            <v>309767</v>
          </cell>
          <cell r="E2794" t="str">
            <v>Manangle High School</v>
          </cell>
          <cell r="F2794">
            <v>1</v>
          </cell>
          <cell r="G2794">
            <v>0</v>
          </cell>
          <cell r="H2794">
            <v>1</v>
          </cell>
          <cell r="I2794">
            <v>0</v>
          </cell>
          <cell r="J2794">
            <v>1</v>
          </cell>
          <cell r="K2794">
            <v>0</v>
          </cell>
          <cell r="L2794">
            <v>0</v>
          </cell>
          <cell r="M2794">
            <v>0</v>
          </cell>
          <cell r="N2794">
            <v>1</v>
          </cell>
          <cell r="O2794" t="str">
            <v xml:space="preserve">July 16, 2019 </v>
          </cell>
          <cell r="P2794" t="str">
            <v>August 23, 2019</v>
          </cell>
          <cell r="Q2794">
            <v>1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1</v>
          </cell>
          <cell r="W2794">
            <v>2</v>
          </cell>
          <cell r="X2794">
            <v>0</v>
          </cell>
          <cell r="Y2794">
            <v>0</v>
          </cell>
        </row>
        <row r="2795">
          <cell r="D2795">
            <v>309716</v>
          </cell>
          <cell r="E2795" t="str">
            <v>San Jose Pili National High School</v>
          </cell>
          <cell r="F2795">
            <v>1</v>
          </cell>
          <cell r="G2795">
            <v>1</v>
          </cell>
          <cell r="H2795">
            <v>1</v>
          </cell>
          <cell r="I2795">
            <v>0</v>
          </cell>
          <cell r="J2795">
            <v>1</v>
          </cell>
          <cell r="K2795">
            <v>0</v>
          </cell>
          <cell r="L2795">
            <v>0</v>
          </cell>
          <cell r="M2795">
            <v>0</v>
          </cell>
          <cell r="N2795">
            <v>1</v>
          </cell>
          <cell r="O2795" t="str">
            <v>06/28/2019</v>
          </cell>
          <cell r="P2795" t="str">
            <v>06/29/2019</v>
          </cell>
          <cell r="Q2795">
            <v>0</v>
          </cell>
          <cell r="R2795">
            <v>1</v>
          </cell>
          <cell r="S2795">
            <v>0</v>
          </cell>
          <cell r="T2795">
            <v>0</v>
          </cell>
          <cell r="U2795">
            <v>0</v>
          </cell>
          <cell r="V2795">
            <v>1</v>
          </cell>
          <cell r="W2795">
            <v>0</v>
          </cell>
          <cell r="X2795">
            <v>0</v>
          </cell>
          <cell r="Y2795">
            <v>0</v>
          </cell>
        </row>
        <row r="2796">
          <cell r="D2796">
            <v>309717</v>
          </cell>
          <cell r="E2796" t="str">
            <v>San Vicente HS, Sipocot</v>
          </cell>
          <cell r="F2796">
            <v>1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</row>
        <row r="2797">
          <cell r="D2797">
            <v>309718</v>
          </cell>
          <cell r="E2797" t="str">
            <v>Dalupaon NHS - Tinalmud  PHS Annex</v>
          </cell>
          <cell r="F2797">
            <v>1</v>
          </cell>
          <cell r="G2797">
            <v>0</v>
          </cell>
          <cell r="H2797">
            <v>1</v>
          </cell>
          <cell r="I2797">
            <v>0</v>
          </cell>
          <cell r="J2797">
            <v>1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</row>
        <row r="2798">
          <cell r="D2798">
            <v>302109</v>
          </cell>
          <cell r="E2798" t="str">
            <v>Andres Clemente Jr.National HS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 t="str">
            <v>N/A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</row>
        <row r="2799">
          <cell r="D2799">
            <v>301981</v>
          </cell>
          <cell r="E2799" t="str">
            <v>Hobo National High School</v>
          </cell>
          <cell r="F2799">
            <v>1</v>
          </cell>
          <cell r="G2799">
            <v>1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</row>
        <row r="2800">
          <cell r="D2800">
            <v>302164</v>
          </cell>
          <cell r="E2800" t="str">
            <v>Quinayangan National High School</v>
          </cell>
          <cell r="F2800">
            <v>1</v>
          </cell>
          <cell r="G2800">
            <v>1</v>
          </cell>
          <cell r="H2800">
            <v>1</v>
          </cell>
          <cell r="I2800">
            <v>0</v>
          </cell>
          <cell r="J2800">
            <v>0</v>
          </cell>
          <cell r="K2800">
            <v>1</v>
          </cell>
          <cell r="L2800">
            <v>0</v>
          </cell>
          <cell r="M2800">
            <v>0</v>
          </cell>
          <cell r="N2800">
            <v>1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1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</row>
        <row r="2801">
          <cell r="D2801">
            <v>309751</v>
          </cell>
          <cell r="E2801" t="str">
            <v>Ragay Science and Math Oriented High School</v>
          </cell>
          <cell r="F2801">
            <v>1</v>
          </cell>
          <cell r="G2801">
            <v>0</v>
          </cell>
          <cell r="H2801">
            <v>1</v>
          </cell>
          <cell r="I2801">
            <v>0</v>
          </cell>
          <cell r="J2801">
            <v>1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1</v>
          </cell>
          <cell r="S2801">
            <v>0</v>
          </cell>
          <cell r="T2801">
            <v>0</v>
          </cell>
          <cell r="U2801">
            <v>0</v>
          </cell>
          <cell r="V2801">
            <v>1</v>
          </cell>
          <cell r="W2801">
            <v>0</v>
          </cell>
          <cell r="X2801">
            <v>0</v>
          </cell>
          <cell r="Y2801">
            <v>0</v>
          </cell>
        </row>
        <row r="2802">
          <cell r="D2802">
            <v>302141</v>
          </cell>
          <cell r="E2802" t="str">
            <v>Lahong National High School</v>
          </cell>
          <cell r="F2802">
            <v>1</v>
          </cell>
          <cell r="G2802">
            <v>1</v>
          </cell>
          <cell r="H2802">
            <v>1</v>
          </cell>
          <cell r="I2802">
            <v>0</v>
          </cell>
          <cell r="J2802">
            <v>1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 t="str">
            <v>08/27/2019</v>
          </cell>
          <cell r="P2802" t="str">
            <v>09/27/2019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1</v>
          </cell>
          <cell r="W2802">
            <v>0</v>
          </cell>
          <cell r="X2802">
            <v>0</v>
          </cell>
          <cell r="Y2802">
            <v>0</v>
          </cell>
        </row>
        <row r="2803">
          <cell r="D2803">
            <v>309766</v>
          </cell>
          <cell r="E2803" t="str">
            <v>Cabalinadan High School</v>
          </cell>
          <cell r="F2803">
            <v>1</v>
          </cell>
          <cell r="G2803">
            <v>1</v>
          </cell>
          <cell r="H2803">
            <v>1</v>
          </cell>
          <cell r="I2803">
            <v>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1</v>
          </cell>
          <cell r="O2803">
            <v>0</v>
          </cell>
          <cell r="P2803">
            <v>43525</v>
          </cell>
          <cell r="Q2803">
            <v>0</v>
          </cell>
          <cell r="R2803">
            <v>1</v>
          </cell>
          <cell r="S2803">
            <v>0</v>
          </cell>
          <cell r="T2803">
            <v>0</v>
          </cell>
          <cell r="U2803">
            <v>0</v>
          </cell>
          <cell r="V2803">
            <v>1</v>
          </cell>
          <cell r="W2803">
            <v>0</v>
          </cell>
          <cell r="X2803">
            <v>0</v>
          </cell>
          <cell r="Y2803">
            <v>0</v>
          </cell>
        </row>
        <row r="2804">
          <cell r="D2804">
            <v>309736</v>
          </cell>
          <cell r="E2804" t="str">
            <v>Dr. Nelson A. Mejia HS</v>
          </cell>
          <cell r="F2804">
            <v>0</v>
          </cell>
          <cell r="G2804">
            <v>0</v>
          </cell>
          <cell r="H2804">
            <v>1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 t="str">
            <v>N/A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</row>
        <row r="2805">
          <cell r="D2805">
            <v>301977</v>
          </cell>
          <cell r="E2805" t="str">
            <v>Godofredo Reyes Sr. National HS</v>
          </cell>
          <cell r="F2805">
            <v>1</v>
          </cell>
          <cell r="G2805">
            <v>1</v>
          </cell>
          <cell r="H2805">
            <v>1</v>
          </cell>
          <cell r="I2805">
            <v>0</v>
          </cell>
          <cell r="J2805">
            <v>0</v>
          </cell>
          <cell r="K2805">
            <v>1</v>
          </cell>
          <cell r="L2805">
            <v>0</v>
          </cell>
          <cell r="M2805">
            <v>0</v>
          </cell>
          <cell r="N2805">
            <v>1</v>
          </cell>
          <cell r="O2805">
            <v>0</v>
          </cell>
          <cell r="P2805">
            <v>0</v>
          </cell>
          <cell r="Q2805">
            <v>0</v>
          </cell>
          <cell r="R2805">
            <v>1</v>
          </cell>
          <cell r="S2805">
            <v>0</v>
          </cell>
          <cell r="T2805">
            <v>0</v>
          </cell>
          <cell r="U2805">
            <v>0</v>
          </cell>
          <cell r="V2805">
            <v>1</v>
          </cell>
          <cell r="W2805">
            <v>10</v>
          </cell>
          <cell r="X2805">
            <v>10</v>
          </cell>
          <cell r="Y2805">
            <v>10</v>
          </cell>
        </row>
        <row r="2806">
          <cell r="D2806">
            <v>301993</v>
          </cell>
          <cell r="E2806" t="str">
            <v>Mambayawas HS</v>
          </cell>
          <cell r="F2806">
            <v>1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</row>
        <row r="2807">
          <cell r="D2807">
            <v>301935</v>
          </cell>
          <cell r="E2807" t="str">
            <v>Bahao HS</v>
          </cell>
          <cell r="F2807">
            <v>1</v>
          </cell>
          <cell r="G2807">
            <v>0</v>
          </cell>
          <cell r="H2807">
            <v>1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</row>
        <row r="2808">
          <cell r="D2808">
            <v>301956</v>
          </cell>
          <cell r="E2808" t="str">
            <v>Caranday HS</v>
          </cell>
          <cell r="F2808">
            <v>1</v>
          </cell>
          <cell r="G2808">
            <v>1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</row>
        <row r="2809">
          <cell r="D2809">
            <v>309925</v>
          </cell>
          <cell r="E2809" t="str">
            <v>Damaso R. Rubia MHS</v>
          </cell>
          <cell r="F2809">
            <v>1</v>
          </cell>
          <cell r="G2809">
            <v>1</v>
          </cell>
          <cell r="H2809">
            <v>1</v>
          </cell>
          <cell r="I2809">
            <v>0</v>
          </cell>
          <cell r="J2809">
            <v>1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 t="str">
            <v>08/23/2019</v>
          </cell>
          <cell r="P2809" t="str">
            <v>09/27/2019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1</v>
          </cell>
          <cell r="W2809">
            <v>0</v>
          </cell>
          <cell r="X2809">
            <v>0</v>
          </cell>
          <cell r="Y2809">
            <v>0</v>
          </cell>
        </row>
        <row r="2810">
          <cell r="D2810">
            <v>309753</v>
          </cell>
          <cell r="E2810" t="str">
            <v>Salogon High School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</row>
        <row r="2811">
          <cell r="D2811">
            <v>302008</v>
          </cell>
          <cell r="E2811" t="str">
            <v>Oring National High School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</row>
        <row r="2812">
          <cell r="D2812">
            <v>301926</v>
          </cell>
          <cell r="E2812" t="str">
            <v>Agdangan National High School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</row>
        <row r="2813">
          <cell r="D2813">
            <v>301931</v>
          </cell>
          <cell r="E2813" t="str">
            <v>Baao National High School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</row>
        <row r="2814">
          <cell r="D2814">
            <v>301948</v>
          </cell>
          <cell r="E2814" t="str">
            <v>Bula NHS - Caorasan Annex HS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</row>
        <row r="2815">
          <cell r="D2815">
            <v>301953</v>
          </cell>
          <cell r="E2815" t="str">
            <v>Quipayo National High School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</row>
        <row r="2816">
          <cell r="D2816">
            <v>301976</v>
          </cell>
          <cell r="E2816" t="str">
            <v>Pinaglabanan High School</v>
          </cell>
          <cell r="F2816">
            <v>1</v>
          </cell>
          <cell r="G2816">
            <v>1</v>
          </cell>
          <cell r="H2816">
            <v>1</v>
          </cell>
          <cell r="I2816">
            <v>0</v>
          </cell>
          <cell r="J2816">
            <v>1</v>
          </cell>
          <cell r="K2816">
            <v>0</v>
          </cell>
          <cell r="L2816">
            <v>0</v>
          </cell>
          <cell r="M2816">
            <v>0</v>
          </cell>
          <cell r="N2816">
            <v>1</v>
          </cell>
          <cell r="O2816">
            <v>0</v>
          </cell>
          <cell r="P2816">
            <v>0</v>
          </cell>
          <cell r="Q2816">
            <v>0</v>
          </cell>
          <cell r="R2816">
            <v>1</v>
          </cell>
          <cell r="S2816">
            <v>0</v>
          </cell>
          <cell r="T2816">
            <v>0</v>
          </cell>
          <cell r="U2816">
            <v>0</v>
          </cell>
          <cell r="V2816">
            <v>1</v>
          </cell>
          <cell r="W2816">
            <v>3</v>
          </cell>
          <cell r="X2816">
            <v>1</v>
          </cell>
          <cell r="Y2816">
            <v>0</v>
          </cell>
        </row>
        <row r="2817">
          <cell r="D2817">
            <v>301978</v>
          </cell>
          <cell r="E2817" t="str">
            <v>Guijalo National High School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1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</row>
        <row r="2818">
          <cell r="D2818">
            <v>301991</v>
          </cell>
          <cell r="E2818" t="str">
            <v>Malawag National High School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</row>
        <row r="2819">
          <cell r="D2819">
            <v>301996</v>
          </cell>
          <cell r="E2819" t="str">
            <v>Mansalaya National High School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</row>
        <row r="2820">
          <cell r="D2820">
            <v>302027</v>
          </cell>
          <cell r="E2820" t="str">
            <v>San Roque High School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</row>
        <row r="2821">
          <cell r="D2821">
            <v>302036</v>
          </cell>
          <cell r="E2821" t="str">
            <v>San Jose NHS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</row>
        <row r="2822">
          <cell r="D2822">
            <v>302048</v>
          </cell>
          <cell r="E2822" t="str">
            <v>Siruma NHS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</row>
        <row r="2823">
          <cell r="D2823">
            <v>302061</v>
          </cell>
          <cell r="E2823" t="str">
            <v>Bonifacio D. Borebor Sr. HS  - Eastern Coast Annex HS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</row>
        <row r="2824">
          <cell r="D2824">
            <v>302065</v>
          </cell>
          <cell r="E2824" t="str">
            <v>Union National High School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</row>
        <row r="2825">
          <cell r="D2825">
            <v>309709</v>
          </cell>
          <cell r="E2825" t="str">
            <v>Buhi SPED Integrated School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</row>
        <row r="2826">
          <cell r="D2826">
            <v>309719</v>
          </cell>
          <cell r="E2826" t="str">
            <v>Doña Basilia S. Quilon Memorial High School (formerly:Bagong Sirang HS)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</row>
        <row r="2827">
          <cell r="D2827">
            <v>309725</v>
          </cell>
          <cell r="E2827" t="str">
            <v>Laganac  High School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</row>
        <row r="2828">
          <cell r="D2828">
            <v>309738</v>
          </cell>
          <cell r="E2828" t="str">
            <v>Payatan National High School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</row>
        <row r="2829">
          <cell r="D2829">
            <v>309739</v>
          </cell>
          <cell r="E2829" t="str">
            <v>Bantugan National High School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1</v>
          </cell>
          <cell r="M2829" t="str">
            <v>N/A</v>
          </cell>
          <cell r="N2829">
            <v>0</v>
          </cell>
          <cell r="O2829" t="str">
            <v>N/A</v>
          </cell>
          <cell r="P2829" t="str">
            <v>N/A</v>
          </cell>
          <cell r="Q2829">
            <v>0</v>
          </cell>
          <cell r="R2829">
            <v>0</v>
          </cell>
          <cell r="S2829">
            <v>0</v>
          </cell>
          <cell r="T2829">
            <v>1</v>
          </cell>
          <cell r="U2829" t="str">
            <v>N/A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</row>
        <row r="2830">
          <cell r="D2830">
            <v>309740</v>
          </cell>
          <cell r="E2830" t="str">
            <v>Visita De Salog HS</v>
          </cell>
          <cell r="F2830">
            <v>1</v>
          </cell>
          <cell r="G2830">
            <v>1</v>
          </cell>
          <cell r="H2830">
            <v>1</v>
          </cell>
          <cell r="I2830">
            <v>0</v>
          </cell>
          <cell r="J2830">
            <v>1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1</v>
          </cell>
          <cell r="S2830">
            <v>0</v>
          </cell>
          <cell r="T2830">
            <v>0</v>
          </cell>
          <cell r="U2830">
            <v>0</v>
          </cell>
          <cell r="V2830">
            <v>1</v>
          </cell>
          <cell r="W2830">
            <v>0</v>
          </cell>
          <cell r="X2830">
            <v>0</v>
          </cell>
          <cell r="Y2830">
            <v>0</v>
          </cell>
        </row>
        <row r="2831">
          <cell r="D2831">
            <v>309749</v>
          </cell>
          <cell r="E2831" t="str">
            <v>BINOBONG HIGH SCHOOL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</row>
        <row r="2832">
          <cell r="D2832">
            <v>300312</v>
          </cell>
          <cell r="E2832" t="str">
            <v>Calabnigan Green Meadows High School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</row>
        <row r="2833">
          <cell r="D2833">
            <v>301930</v>
          </cell>
          <cell r="E2833" t="str">
            <v>Sisa Feliciano MHS</v>
          </cell>
          <cell r="F2833">
            <v>1</v>
          </cell>
          <cell r="G2833">
            <v>1</v>
          </cell>
          <cell r="H2833">
            <v>1</v>
          </cell>
          <cell r="I2833">
            <v>0</v>
          </cell>
          <cell r="J2833">
            <v>1</v>
          </cell>
          <cell r="K2833">
            <v>0</v>
          </cell>
          <cell r="L2833">
            <v>0</v>
          </cell>
          <cell r="M2833">
            <v>0</v>
          </cell>
          <cell r="N2833">
            <v>1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1</v>
          </cell>
          <cell r="T2833">
            <v>0</v>
          </cell>
          <cell r="U2833">
            <v>0</v>
          </cell>
          <cell r="V2833">
            <v>1</v>
          </cell>
          <cell r="W2833">
            <v>0</v>
          </cell>
          <cell r="X2833">
            <v>0</v>
          </cell>
          <cell r="Y2833">
            <v>0</v>
          </cell>
        </row>
        <row r="2834">
          <cell r="D2834">
            <v>301972</v>
          </cell>
          <cell r="E2834" t="str">
            <v>Siruma NHS - Fundado Annex High School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</row>
        <row r="2835">
          <cell r="D2835">
            <v>302063</v>
          </cell>
          <cell r="E2835" t="str">
            <v>Tierra Nevada HS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</row>
        <row r="2836">
          <cell r="D2836">
            <v>309741</v>
          </cell>
          <cell r="E2836" t="str">
            <v>Juan L. Filipino Memorial High School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</row>
        <row r="2837">
          <cell r="D2837">
            <v>309769</v>
          </cell>
          <cell r="E2837" t="str">
            <v>Pasacao Municipal High School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</row>
        <row r="2838">
          <cell r="D2838">
            <v>309760</v>
          </cell>
          <cell r="E2838" t="str">
            <v>Fabrica HS - La Victoria Annex HS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</row>
        <row r="2839">
          <cell r="D2839">
            <v>302013</v>
          </cell>
          <cell r="E2839" t="str">
            <v>PAMUKID NATIONAL HIGH SCHOOL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</row>
        <row r="2840">
          <cell r="D2840">
            <v>309771</v>
          </cell>
          <cell r="E2840" t="str">
            <v>Villafuerte-Peña High School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</row>
        <row r="2841">
          <cell r="D2841">
            <v>302019</v>
          </cell>
          <cell r="E2841" t="str">
            <v>Presentacion NHS (formerly:Pili NHS)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</row>
        <row r="2842">
          <cell r="D2842">
            <v>302135</v>
          </cell>
          <cell r="E2842" t="str">
            <v>Felixberto Del Rosario, Sr. Mem. HS</v>
          </cell>
          <cell r="F2842">
            <v>1</v>
          </cell>
          <cell r="G2842">
            <v>1</v>
          </cell>
          <cell r="H2842">
            <v>1</v>
          </cell>
          <cell r="I2842">
            <v>0</v>
          </cell>
          <cell r="J2842">
            <v>1</v>
          </cell>
          <cell r="K2842">
            <v>0</v>
          </cell>
          <cell r="L2842">
            <v>0</v>
          </cell>
          <cell r="M2842">
            <v>0</v>
          </cell>
          <cell r="N2842">
            <v>1</v>
          </cell>
          <cell r="O2842">
            <v>0</v>
          </cell>
          <cell r="P2842">
            <v>0</v>
          </cell>
          <cell r="Q2842">
            <v>0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</row>
        <row r="2843">
          <cell r="D2843">
            <v>302035</v>
          </cell>
          <cell r="E2843" t="str">
            <v>Rangas-Ramos NHS (frmerly:Sn Jose Fish.Sch.)</v>
          </cell>
          <cell r="F2843">
            <v>1</v>
          </cell>
          <cell r="G2843">
            <v>1</v>
          </cell>
          <cell r="H2843">
            <v>1</v>
          </cell>
          <cell r="I2843">
            <v>1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1</v>
          </cell>
          <cell r="O2843">
            <v>0</v>
          </cell>
          <cell r="P2843">
            <v>0</v>
          </cell>
          <cell r="Q2843">
            <v>1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1</v>
          </cell>
          <cell r="W2843">
            <v>2</v>
          </cell>
          <cell r="X2843">
            <v>1</v>
          </cell>
          <cell r="Y2843">
            <v>0</v>
          </cell>
        </row>
        <row r="2844">
          <cell r="D2844">
            <v>302169</v>
          </cell>
          <cell r="E2844" t="str">
            <v>San Pedro NHS</v>
          </cell>
          <cell r="F2844">
            <v>0</v>
          </cell>
          <cell r="G2844">
            <v>0</v>
          </cell>
          <cell r="H2844">
            <v>1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1</v>
          </cell>
          <cell r="O2844">
            <v>43553</v>
          </cell>
          <cell r="P2844" t="str">
            <v>none</v>
          </cell>
          <cell r="Q2844">
            <v>0</v>
          </cell>
          <cell r="R2844">
            <v>0</v>
          </cell>
          <cell r="S2844">
            <v>0</v>
          </cell>
          <cell r="T2844">
            <v>1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</row>
        <row r="2845">
          <cell r="D2845">
            <v>309937</v>
          </cell>
          <cell r="E2845" t="str">
            <v>Vicente D. Alburo High School</v>
          </cell>
          <cell r="F2845">
            <v>0</v>
          </cell>
          <cell r="G2845">
            <v>0</v>
          </cell>
          <cell r="H2845">
            <v>1</v>
          </cell>
          <cell r="I2845">
            <v>0</v>
          </cell>
          <cell r="J2845">
            <v>1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 t="str">
            <v>July 6, 2019</v>
          </cell>
          <cell r="P2845" t="str">
            <v>July 8, 2019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</row>
        <row r="2846">
          <cell r="D2846">
            <v>302016</v>
          </cell>
          <cell r="E2846" t="str">
            <v>Pili NHS, Pili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</row>
        <row r="2847">
          <cell r="D2847">
            <v>302012</v>
          </cell>
          <cell r="E2847" t="str">
            <v>Pamplona NHS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</row>
        <row r="2848">
          <cell r="D2848">
            <v>302051</v>
          </cell>
          <cell r="E2848" t="str">
            <v>Sta. Lutgarda National High School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</row>
        <row r="2849">
          <cell r="D2849">
            <v>302062</v>
          </cell>
          <cell r="E2849" t="str">
            <v>Bonifacio D. Borebor Sr. HS - Northern Peninsula Annex HS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</row>
        <row r="2850">
          <cell r="D2850">
            <v>302052</v>
          </cell>
          <cell r="E2850" t="str">
            <v>Camaligan National High School (formerly: Santo Tomas NHS)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</row>
        <row r="2851">
          <cell r="D2851">
            <v>302022</v>
          </cell>
          <cell r="E2851" t="str">
            <v>Rodriguez NHS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</row>
        <row r="2852">
          <cell r="D2852">
            <v>302060</v>
          </cell>
          <cell r="E2852" t="str">
            <v>Bonifacio D. Borebor Sr. HS (formerly:Tawog NHS)</v>
          </cell>
          <cell r="F2852">
            <v>1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</row>
        <row r="2853">
          <cell r="D2853">
            <v>302684</v>
          </cell>
          <cell r="E2853" t="str">
            <v>Andres Gumban MNHS</v>
          </cell>
          <cell r="F2853">
            <v>1</v>
          </cell>
          <cell r="G2853">
            <v>1</v>
          </cell>
          <cell r="H2853">
            <v>1</v>
          </cell>
          <cell r="I2853">
            <v>0</v>
          </cell>
          <cell r="J2853">
            <v>1</v>
          </cell>
          <cell r="K2853">
            <v>0</v>
          </cell>
          <cell r="L2853">
            <v>0</v>
          </cell>
          <cell r="M2853">
            <v>0</v>
          </cell>
          <cell r="N2853">
            <v>1</v>
          </cell>
          <cell r="O2853" t="str">
            <v>07/26/2019</v>
          </cell>
          <cell r="P2853" t="str">
            <v>07/26/2019</v>
          </cell>
          <cell r="Q2853">
            <v>0</v>
          </cell>
          <cell r="R2853">
            <v>1</v>
          </cell>
          <cell r="S2853">
            <v>0</v>
          </cell>
          <cell r="T2853">
            <v>0</v>
          </cell>
          <cell r="U2853">
            <v>0</v>
          </cell>
          <cell r="V2853">
            <v>1</v>
          </cell>
          <cell r="W2853">
            <v>2</v>
          </cell>
          <cell r="X2853">
            <v>0</v>
          </cell>
          <cell r="Y2853">
            <v>0</v>
          </cell>
        </row>
        <row r="2854">
          <cell r="D2854">
            <v>302693</v>
          </cell>
          <cell r="E2854" t="str">
            <v>Toboso NHS</v>
          </cell>
          <cell r="F2854">
            <v>1</v>
          </cell>
          <cell r="G2854">
            <v>1</v>
          </cell>
          <cell r="H2854">
            <v>1</v>
          </cell>
          <cell r="I2854">
            <v>1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1</v>
          </cell>
          <cell r="O2854">
            <v>0</v>
          </cell>
          <cell r="P2854">
            <v>43269</v>
          </cell>
          <cell r="Q2854">
            <v>1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>
            <v>3</v>
          </cell>
          <cell r="X2854">
            <v>2</v>
          </cell>
          <cell r="Y2854">
            <v>1</v>
          </cell>
        </row>
        <row r="2855">
          <cell r="D2855">
            <v>302690</v>
          </cell>
          <cell r="E2855" t="str">
            <v>Tanza NHS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</row>
        <row r="2856">
          <cell r="D2856">
            <v>302644</v>
          </cell>
          <cell r="E2856" t="str">
            <v>Guiljungan NHS - Talacdan Ext.</v>
          </cell>
          <cell r="F2856">
            <v>0</v>
          </cell>
          <cell r="G2856">
            <v>0</v>
          </cell>
          <cell r="H2856">
            <v>1</v>
          </cell>
          <cell r="I2856">
            <v>0</v>
          </cell>
          <cell r="J2856">
            <v>1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 t="str">
            <v>N/A</v>
          </cell>
          <cell r="P2856" t="str">
            <v>N/A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</row>
        <row r="2857">
          <cell r="D2857">
            <v>343897</v>
          </cell>
          <cell r="E2857" t="str">
            <v>SHS in Calatrava</v>
          </cell>
          <cell r="F2857">
            <v>1</v>
          </cell>
          <cell r="G2857">
            <v>0</v>
          </cell>
          <cell r="H2857">
            <v>1</v>
          </cell>
          <cell r="I2857">
            <v>0</v>
          </cell>
          <cell r="J2857">
            <v>1</v>
          </cell>
          <cell r="K2857">
            <v>0</v>
          </cell>
          <cell r="L2857">
            <v>0</v>
          </cell>
          <cell r="M2857">
            <v>0</v>
          </cell>
          <cell r="N2857">
            <v>1</v>
          </cell>
          <cell r="O2857" t="str">
            <v>8/20/2019</v>
          </cell>
          <cell r="P2857">
            <v>0</v>
          </cell>
          <cell r="Q2857">
            <v>0</v>
          </cell>
          <cell r="R2857">
            <v>1</v>
          </cell>
          <cell r="S2857">
            <v>0</v>
          </cell>
          <cell r="T2857">
            <v>0</v>
          </cell>
          <cell r="U2857">
            <v>0</v>
          </cell>
          <cell r="V2857">
            <v>1</v>
          </cell>
          <cell r="W2857">
            <v>1</v>
          </cell>
          <cell r="X2857">
            <v>1</v>
          </cell>
          <cell r="Y2857">
            <v>1</v>
          </cell>
        </row>
        <row r="2858">
          <cell r="D2858">
            <v>310803</v>
          </cell>
          <cell r="E2858" t="str">
            <v>Tapaz NHS</v>
          </cell>
          <cell r="F2858">
            <v>1</v>
          </cell>
          <cell r="G2858">
            <v>1</v>
          </cell>
          <cell r="H2858">
            <v>1</v>
          </cell>
          <cell r="I2858">
            <v>0</v>
          </cell>
          <cell r="J2858">
            <v>1</v>
          </cell>
          <cell r="K2858">
            <v>0</v>
          </cell>
          <cell r="L2858">
            <v>0</v>
          </cell>
          <cell r="M2858">
            <v>0</v>
          </cell>
          <cell r="N2858">
            <v>1</v>
          </cell>
          <cell r="O2858" t="str">
            <v>July, 2019</v>
          </cell>
          <cell r="P2858" t="str">
            <v>July, 2019</v>
          </cell>
          <cell r="Q2858">
            <v>0</v>
          </cell>
          <cell r="R2858">
            <v>1</v>
          </cell>
          <cell r="S2858">
            <v>0</v>
          </cell>
          <cell r="T2858">
            <v>0</v>
          </cell>
          <cell r="U2858">
            <v>0</v>
          </cell>
          <cell r="V2858">
            <v>1</v>
          </cell>
          <cell r="W2858">
            <v>6</v>
          </cell>
          <cell r="X2858">
            <v>0</v>
          </cell>
          <cell r="Y2858">
            <v>0</v>
          </cell>
        </row>
        <row r="2859">
          <cell r="D2859">
            <v>302600</v>
          </cell>
          <cell r="E2859" t="str">
            <v>Bilbao Uybico NHS</v>
          </cell>
          <cell r="F2859">
            <v>1</v>
          </cell>
          <cell r="G2859">
            <v>1</v>
          </cell>
          <cell r="H2859">
            <v>1</v>
          </cell>
          <cell r="I2859">
            <v>0</v>
          </cell>
          <cell r="J2859">
            <v>1</v>
          </cell>
          <cell r="K2859">
            <v>0</v>
          </cell>
          <cell r="L2859">
            <v>0</v>
          </cell>
          <cell r="M2859">
            <v>0</v>
          </cell>
          <cell r="N2859">
            <v>1</v>
          </cell>
          <cell r="O2859">
            <v>0</v>
          </cell>
          <cell r="P2859" t="str">
            <v>JUNE 2019</v>
          </cell>
          <cell r="Q2859">
            <v>0</v>
          </cell>
          <cell r="R2859">
            <v>0</v>
          </cell>
          <cell r="S2859">
            <v>1</v>
          </cell>
          <cell r="T2859">
            <v>0</v>
          </cell>
          <cell r="U2859">
            <v>0</v>
          </cell>
          <cell r="V2859">
            <v>1</v>
          </cell>
          <cell r="W2859">
            <v>0</v>
          </cell>
          <cell r="X2859">
            <v>0</v>
          </cell>
          <cell r="Y2859">
            <v>0</v>
          </cell>
        </row>
        <row r="2860">
          <cell r="D2860">
            <v>302608</v>
          </cell>
          <cell r="E2860" t="str">
            <v>Quirico G. Manzano NHS</v>
          </cell>
          <cell r="F2860">
            <v>1</v>
          </cell>
          <cell r="G2860">
            <v>1</v>
          </cell>
          <cell r="H2860">
            <v>0</v>
          </cell>
          <cell r="I2860">
            <v>0</v>
          </cell>
          <cell r="J2860">
            <v>1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 t="str">
            <v>08-23-2019</v>
          </cell>
          <cell r="P2860" t="str">
            <v>N/A</v>
          </cell>
          <cell r="Q2860">
            <v>0</v>
          </cell>
          <cell r="R2860">
            <v>1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</row>
        <row r="2861">
          <cell r="D2861">
            <v>302688</v>
          </cell>
          <cell r="E2861" t="str">
            <v>Tabu NHS</v>
          </cell>
          <cell r="F2861">
            <v>1</v>
          </cell>
          <cell r="G2861">
            <v>1</v>
          </cell>
          <cell r="H2861">
            <v>1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1</v>
          </cell>
          <cell r="O2861">
            <v>43708</v>
          </cell>
          <cell r="P2861">
            <v>0</v>
          </cell>
          <cell r="Q2861">
            <v>0</v>
          </cell>
          <cell r="R2861">
            <v>1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</row>
        <row r="2862">
          <cell r="D2862">
            <v>302645</v>
          </cell>
          <cell r="E2862" t="str">
            <v>Tuyom NHS (Guiljungan NHS - Tuyom Ext.)</v>
          </cell>
          <cell r="F2862">
            <v>1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</row>
        <row r="2863">
          <cell r="D2863">
            <v>310815</v>
          </cell>
          <cell r="E2863" t="str">
            <v>Mianay NHS</v>
          </cell>
          <cell r="F2863">
            <v>1</v>
          </cell>
          <cell r="G2863">
            <v>1</v>
          </cell>
          <cell r="H2863">
            <v>1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1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>
            <v>0</v>
          </cell>
          <cell r="X2863">
            <v>0</v>
          </cell>
          <cell r="Y2863">
            <v>0</v>
          </cell>
        </row>
        <row r="2864">
          <cell r="D2864">
            <v>302691</v>
          </cell>
          <cell r="E2864" t="str">
            <v>Tigbao NHS</v>
          </cell>
          <cell r="F2864">
            <v>1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 t="str">
            <v>N/A</v>
          </cell>
          <cell r="P2864" t="str">
            <v>N/A</v>
          </cell>
          <cell r="Q2864">
            <v>0</v>
          </cell>
          <cell r="R2864">
            <v>0</v>
          </cell>
          <cell r="S2864">
            <v>0</v>
          </cell>
          <cell r="T2864">
            <v>1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</row>
        <row r="2865">
          <cell r="D2865">
            <v>310804</v>
          </cell>
          <cell r="E2865" t="str">
            <v>Maindang National High School</v>
          </cell>
          <cell r="F2865">
            <v>1</v>
          </cell>
          <cell r="G2865">
            <v>1</v>
          </cell>
          <cell r="H2865">
            <v>1</v>
          </cell>
          <cell r="I2865">
            <v>0</v>
          </cell>
          <cell r="J2865">
            <v>1</v>
          </cell>
          <cell r="K2865">
            <v>0</v>
          </cell>
          <cell r="L2865">
            <v>0</v>
          </cell>
          <cell r="M2865">
            <v>0</v>
          </cell>
          <cell r="N2865">
            <v>1</v>
          </cell>
          <cell r="O2865">
            <v>0</v>
          </cell>
          <cell r="P2865">
            <v>0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>
            <v>0</v>
          </cell>
          <cell r="X2865">
            <v>0</v>
          </cell>
          <cell r="Y2865">
            <v>0</v>
          </cell>
        </row>
        <row r="2866">
          <cell r="D2866">
            <v>302424</v>
          </cell>
          <cell r="E2866" t="str">
            <v>Sapian National High School</v>
          </cell>
          <cell r="F2866">
            <v>1</v>
          </cell>
          <cell r="G2866">
            <v>0</v>
          </cell>
          <cell r="H2866">
            <v>1</v>
          </cell>
          <cell r="I2866">
            <v>1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1</v>
          </cell>
          <cell r="O2866">
            <v>43702</v>
          </cell>
          <cell r="P2866">
            <v>43705</v>
          </cell>
          <cell r="Q2866">
            <v>1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1</v>
          </cell>
          <cell r="W2866">
            <v>5</v>
          </cell>
          <cell r="X2866">
            <v>3</v>
          </cell>
          <cell r="Y2866">
            <v>5</v>
          </cell>
        </row>
        <row r="2867">
          <cell r="D2867">
            <v>302454</v>
          </cell>
          <cell r="E2867" t="str">
            <v>Balasan NHS</v>
          </cell>
          <cell r="F2867">
            <v>1</v>
          </cell>
          <cell r="G2867">
            <v>1</v>
          </cell>
          <cell r="H2867">
            <v>1</v>
          </cell>
          <cell r="I2867">
            <v>1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1</v>
          </cell>
          <cell r="O2867">
            <v>0</v>
          </cell>
          <cell r="P2867">
            <v>0</v>
          </cell>
          <cell r="Q2867">
            <v>0</v>
          </cell>
          <cell r="R2867">
            <v>1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</row>
        <row r="2868">
          <cell r="D2868">
            <v>302467</v>
          </cell>
          <cell r="E2868" t="str">
            <v>Botong-Cabanbanan NHS</v>
          </cell>
          <cell r="F2868">
            <v>1</v>
          </cell>
          <cell r="G2868">
            <v>0</v>
          </cell>
          <cell r="H2868">
            <v>1</v>
          </cell>
          <cell r="I2868">
            <v>0</v>
          </cell>
          <cell r="J2868">
            <v>1</v>
          </cell>
          <cell r="K2868">
            <v>0</v>
          </cell>
          <cell r="L2868">
            <v>0</v>
          </cell>
          <cell r="M2868">
            <v>0</v>
          </cell>
          <cell r="N2868">
            <v>1</v>
          </cell>
          <cell r="O2868">
            <v>43658</v>
          </cell>
          <cell r="P2868">
            <v>43658</v>
          </cell>
          <cell r="Q2868">
            <v>0</v>
          </cell>
          <cell r="R2868">
            <v>1</v>
          </cell>
          <cell r="S2868">
            <v>0</v>
          </cell>
          <cell r="T2868">
            <v>0</v>
          </cell>
          <cell r="U2868">
            <v>0</v>
          </cell>
          <cell r="V2868">
            <v>1</v>
          </cell>
          <cell r="W2868">
            <v>2</v>
          </cell>
          <cell r="X2868">
            <v>0</v>
          </cell>
          <cell r="Y2868">
            <v>0</v>
          </cell>
        </row>
        <row r="2869">
          <cell r="D2869">
            <v>302569</v>
          </cell>
          <cell r="E2869" t="str">
            <v>San Rafael NHS (San Rafael)</v>
          </cell>
          <cell r="F2869">
            <v>1</v>
          </cell>
          <cell r="G2869">
            <v>0</v>
          </cell>
          <cell r="H2869">
            <v>1</v>
          </cell>
          <cell r="I2869">
            <v>0</v>
          </cell>
          <cell r="J2869">
            <v>0</v>
          </cell>
          <cell r="K2869">
            <v>1</v>
          </cell>
          <cell r="L2869">
            <v>0</v>
          </cell>
          <cell r="M2869">
            <v>0</v>
          </cell>
          <cell r="N2869">
            <v>1</v>
          </cell>
          <cell r="O2869">
            <v>43683</v>
          </cell>
          <cell r="P2869">
            <v>43683</v>
          </cell>
          <cell r="Q2869">
            <v>1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1</v>
          </cell>
          <cell r="W2869">
            <v>1</v>
          </cell>
          <cell r="X2869">
            <v>0</v>
          </cell>
          <cell r="Y2869">
            <v>0</v>
          </cell>
        </row>
        <row r="2870">
          <cell r="D2870">
            <v>302585</v>
          </cell>
          <cell r="E2870" t="str">
            <v>Zarraga National High School</v>
          </cell>
          <cell r="F2870">
            <v>1</v>
          </cell>
          <cell r="G2870">
            <v>1</v>
          </cell>
          <cell r="H2870">
            <v>1</v>
          </cell>
          <cell r="I2870">
            <v>0</v>
          </cell>
          <cell r="J2870">
            <v>1</v>
          </cell>
          <cell r="K2870">
            <v>0</v>
          </cell>
          <cell r="L2870">
            <v>0</v>
          </cell>
          <cell r="M2870">
            <v>0</v>
          </cell>
          <cell r="N2870">
            <v>1</v>
          </cell>
          <cell r="O2870">
            <v>0</v>
          </cell>
          <cell r="P2870">
            <v>0</v>
          </cell>
          <cell r="Q2870">
            <v>0</v>
          </cell>
          <cell r="R2870">
            <v>1</v>
          </cell>
          <cell r="S2870">
            <v>0</v>
          </cell>
          <cell r="T2870">
            <v>0</v>
          </cell>
          <cell r="U2870">
            <v>0</v>
          </cell>
          <cell r="V2870">
            <v>1</v>
          </cell>
          <cell r="W2870">
            <v>0</v>
          </cell>
          <cell r="X2870">
            <v>0</v>
          </cell>
          <cell r="Y2870">
            <v>0</v>
          </cell>
        </row>
        <row r="2871">
          <cell r="D2871">
            <v>302457</v>
          </cell>
          <cell r="E2871" t="str">
            <v>Barotac Nuevo National Comprehensive High School</v>
          </cell>
          <cell r="F2871">
            <v>1</v>
          </cell>
          <cell r="G2871">
            <v>1</v>
          </cell>
          <cell r="H2871">
            <v>1</v>
          </cell>
          <cell r="I2871">
            <v>0</v>
          </cell>
          <cell r="J2871">
            <v>1</v>
          </cell>
          <cell r="K2871">
            <v>0</v>
          </cell>
          <cell r="L2871">
            <v>0</v>
          </cell>
          <cell r="M2871">
            <v>0</v>
          </cell>
          <cell r="N2871">
            <v>1</v>
          </cell>
          <cell r="O2871" t="str">
            <v>07/21/2019</v>
          </cell>
          <cell r="P2871" t="str">
            <v>10/24/2019</v>
          </cell>
          <cell r="Q2871">
            <v>1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1</v>
          </cell>
          <cell r="W2871">
            <v>0</v>
          </cell>
          <cell r="X2871">
            <v>0</v>
          </cell>
          <cell r="Y2871">
            <v>0</v>
          </cell>
        </row>
        <row r="2872">
          <cell r="D2872">
            <v>302507</v>
          </cell>
          <cell r="E2872" t="str">
            <v>Igbaras NHS</v>
          </cell>
          <cell r="F2872">
            <v>1</v>
          </cell>
          <cell r="G2872">
            <v>0</v>
          </cell>
          <cell r="H2872">
            <v>1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</row>
        <row r="2873">
          <cell r="D2873">
            <v>302443</v>
          </cell>
          <cell r="E2873" t="str">
            <v>Ajuy NHS</v>
          </cell>
          <cell r="F2873">
            <v>1</v>
          </cell>
          <cell r="G2873">
            <v>1</v>
          </cell>
          <cell r="H2873">
            <v>1</v>
          </cell>
          <cell r="I2873">
            <v>0</v>
          </cell>
          <cell r="J2873">
            <v>1</v>
          </cell>
          <cell r="K2873">
            <v>0</v>
          </cell>
          <cell r="L2873">
            <v>0</v>
          </cell>
          <cell r="M2873">
            <v>0</v>
          </cell>
          <cell r="N2873">
            <v>1</v>
          </cell>
          <cell r="O2873">
            <v>0</v>
          </cell>
          <cell r="P2873" t="str">
            <v>07/24/2019</v>
          </cell>
          <cell r="Q2873">
            <v>1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1</v>
          </cell>
          <cell r="W2873">
            <v>0</v>
          </cell>
          <cell r="X2873">
            <v>0</v>
          </cell>
          <cell r="Y2873">
            <v>0</v>
          </cell>
        </row>
        <row r="2874">
          <cell r="D2874">
            <v>302542</v>
          </cell>
          <cell r="E2874" t="str">
            <v>Oton National High School</v>
          </cell>
          <cell r="F2874">
            <v>1</v>
          </cell>
          <cell r="G2874">
            <v>1</v>
          </cell>
          <cell r="H2874">
            <v>1</v>
          </cell>
          <cell r="I2874">
            <v>1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1</v>
          </cell>
          <cell r="O2874">
            <v>43651</v>
          </cell>
          <cell r="P2874">
            <v>43651</v>
          </cell>
          <cell r="Q2874">
            <v>0</v>
          </cell>
          <cell r="R2874">
            <v>0</v>
          </cell>
          <cell r="S2874">
            <v>1</v>
          </cell>
          <cell r="T2874">
            <v>0</v>
          </cell>
          <cell r="U2874">
            <v>0</v>
          </cell>
          <cell r="V2874">
            <v>1</v>
          </cell>
          <cell r="W2874">
            <v>47</v>
          </cell>
          <cell r="X2874">
            <v>47</v>
          </cell>
          <cell r="Y2874">
            <v>47</v>
          </cell>
        </row>
        <row r="2875">
          <cell r="D2875">
            <v>302583</v>
          </cell>
          <cell r="E2875" t="str">
            <v>Tubungan NHS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</row>
        <row r="2876">
          <cell r="D2876">
            <v>302495</v>
          </cell>
          <cell r="E2876" t="str">
            <v>Don Felix Serra NHS</v>
          </cell>
          <cell r="F2876">
            <v>1</v>
          </cell>
          <cell r="G2876">
            <v>1</v>
          </cell>
          <cell r="H2876">
            <v>1</v>
          </cell>
          <cell r="I2876">
            <v>1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1</v>
          </cell>
          <cell r="O2876" t="str">
            <v>August 23, 2019</v>
          </cell>
          <cell r="P2876" t="str">
            <v>August 28, 2019</v>
          </cell>
          <cell r="Q2876">
            <v>1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1</v>
          </cell>
          <cell r="W2876">
            <v>10</v>
          </cell>
          <cell r="X2876">
            <v>10</v>
          </cell>
          <cell r="Y2876">
            <v>10</v>
          </cell>
        </row>
        <row r="2877">
          <cell r="D2877">
            <v>302550</v>
          </cell>
          <cell r="E2877" t="str">
            <v>Pavia National High School</v>
          </cell>
          <cell r="F2877">
            <v>1</v>
          </cell>
          <cell r="G2877">
            <v>1</v>
          </cell>
          <cell r="H2877">
            <v>1</v>
          </cell>
          <cell r="I2877">
            <v>0</v>
          </cell>
          <cell r="J2877">
            <v>1</v>
          </cell>
          <cell r="K2877">
            <v>0</v>
          </cell>
          <cell r="L2877">
            <v>1</v>
          </cell>
          <cell r="M2877" t="str">
            <v>As need arises</v>
          </cell>
          <cell r="N2877">
            <v>1</v>
          </cell>
          <cell r="O2877">
            <v>43648</v>
          </cell>
          <cell r="P2877">
            <v>43748</v>
          </cell>
          <cell r="Q2877">
            <v>1</v>
          </cell>
          <cell r="R2877">
            <v>0</v>
          </cell>
          <cell r="S2877">
            <v>0</v>
          </cell>
          <cell r="T2877">
            <v>1</v>
          </cell>
          <cell r="U2877" t="str">
            <v>As need arises</v>
          </cell>
          <cell r="V2877">
            <v>1</v>
          </cell>
          <cell r="W2877">
            <v>0</v>
          </cell>
          <cell r="X2877">
            <v>0</v>
          </cell>
          <cell r="Y2877">
            <v>0</v>
          </cell>
        </row>
        <row r="2878">
          <cell r="D2878">
            <v>302578</v>
          </cell>
          <cell r="E2878" t="str">
            <v>Tigbauan NHS</v>
          </cell>
          <cell r="F2878">
            <v>1</v>
          </cell>
          <cell r="G2878">
            <v>1</v>
          </cell>
          <cell r="H2878">
            <v>1</v>
          </cell>
          <cell r="I2878">
            <v>0</v>
          </cell>
          <cell r="J2878">
            <v>1</v>
          </cell>
          <cell r="K2878">
            <v>0</v>
          </cell>
          <cell r="L2878">
            <v>0</v>
          </cell>
          <cell r="M2878">
            <v>0</v>
          </cell>
          <cell r="N2878">
            <v>1</v>
          </cell>
          <cell r="O2878">
            <v>0</v>
          </cell>
          <cell r="P2878">
            <v>0</v>
          </cell>
          <cell r="Q2878">
            <v>0</v>
          </cell>
          <cell r="R2878">
            <v>1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</row>
        <row r="2879">
          <cell r="D2879">
            <v>302576</v>
          </cell>
          <cell r="E2879" t="str">
            <v>Tagsing-Buyo NHS</v>
          </cell>
          <cell r="F2879">
            <v>1</v>
          </cell>
          <cell r="G2879">
            <v>1</v>
          </cell>
          <cell r="H2879">
            <v>1</v>
          </cell>
          <cell r="I2879">
            <v>0</v>
          </cell>
          <cell r="J2879">
            <v>1</v>
          </cell>
          <cell r="K2879">
            <v>0</v>
          </cell>
          <cell r="L2879">
            <v>0</v>
          </cell>
          <cell r="M2879">
            <v>0</v>
          </cell>
          <cell r="N2879">
            <v>1</v>
          </cell>
          <cell r="O2879">
            <v>43600</v>
          </cell>
          <cell r="P2879">
            <v>43605</v>
          </cell>
          <cell r="Q2879">
            <v>1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1</v>
          </cell>
          <cell r="W2879">
            <v>0</v>
          </cell>
          <cell r="X2879">
            <v>0</v>
          </cell>
          <cell r="Y2879">
            <v>0</v>
          </cell>
        </row>
        <row r="2880">
          <cell r="D2880">
            <v>302516</v>
          </cell>
          <cell r="E2880" t="str">
            <v>Leonora S. Salapantan NHS</v>
          </cell>
          <cell r="F2880">
            <v>1</v>
          </cell>
          <cell r="G2880">
            <v>0</v>
          </cell>
          <cell r="H2880">
            <v>1</v>
          </cell>
          <cell r="I2880">
            <v>0</v>
          </cell>
          <cell r="J2880">
            <v>0</v>
          </cell>
          <cell r="K2880">
            <v>1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</row>
        <row r="2881">
          <cell r="D2881">
            <v>302484</v>
          </cell>
          <cell r="E2881" t="str">
            <v>Roberto H. Tirol High School</v>
          </cell>
          <cell r="F2881">
            <v>1</v>
          </cell>
          <cell r="G2881">
            <v>1</v>
          </cell>
          <cell r="H2881">
            <v>1</v>
          </cell>
          <cell r="I2881">
            <v>0</v>
          </cell>
          <cell r="J2881">
            <v>0</v>
          </cell>
          <cell r="K2881">
            <v>1</v>
          </cell>
          <cell r="L2881">
            <v>0</v>
          </cell>
          <cell r="M2881">
            <v>0</v>
          </cell>
          <cell r="N2881">
            <v>1</v>
          </cell>
          <cell r="O2881">
            <v>43647</v>
          </cell>
          <cell r="P2881">
            <v>43617</v>
          </cell>
          <cell r="Q2881">
            <v>0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>
            <v>3</v>
          </cell>
          <cell r="X2881">
            <v>0</v>
          </cell>
          <cell r="Y2881">
            <v>0</v>
          </cell>
        </row>
        <row r="2882">
          <cell r="D2882">
            <v>311022</v>
          </cell>
          <cell r="E2882" t="str">
            <v>CAMBITU NHS</v>
          </cell>
          <cell r="F2882">
            <v>0</v>
          </cell>
          <cell r="G2882">
            <v>0</v>
          </cell>
          <cell r="H2882">
            <v>1</v>
          </cell>
          <cell r="I2882">
            <v>0</v>
          </cell>
          <cell r="J2882">
            <v>1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 t="str">
            <v>August, 2019</v>
          </cell>
          <cell r="P2882" t="str">
            <v>August, 2019</v>
          </cell>
          <cell r="Q2882">
            <v>0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</row>
        <row r="2883">
          <cell r="D2883">
            <v>302476</v>
          </cell>
          <cell r="E2883" t="str">
            <v>Batuan-Cadinglian NHS</v>
          </cell>
          <cell r="F2883">
            <v>1</v>
          </cell>
          <cell r="G2883">
            <v>0</v>
          </cell>
          <cell r="H2883">
            <v>1</v>
          </cell>
          <cell r="I2883">
            <v>0</v>
          </cell>
          <cell r="J2883">
            <v>1</v>
          </cell>
          <cell r="K2883">
            <v>0</v>
          </cell>
          <cell r="L2883">
            <v>0</v>
          </cell>
          <cell r="M2883">
            <v>0</v>
          </cell>
          <cell r="N2883">
            <v>1</v>
          </cell>
          <cell r="O2883">
            <v>43641</v>
          </cell>
          <cell r="P2883">
            <v>43666</v>
          </cell>
          <cell r="Q2883">
            <v>0</v>
          </cell>
          <cell r="R2883">
            <v>0</v>
          </cell>
          <cell r="S2883">
            <v>0</v>
          </cell>
          <cell r="T2883">
            <v>1</v>
          </cell>
          <cell r="U2883" t="str">
            <v>AS NEEDED</v>
          </cell>
          <cell r="V2883">
            <v>1</v>
          </cell>
          <cell r="W2883">
            <v>3</v>
          </cell>
          <cell r="X2883">
            <v>0</v>
          </cell>
          <cell r="Y2883">
            <v>0</v>
          </cell>
        </row>
        <row r="2884">
          <cell r="D2884">
            <v>302564</v>
          </cell>
          <cell r="E2884" t="str">
            <v>San Enrique NCHS</v>
          </cell>
          <cell r="F2884">
            <v>1</v>
          </cell>
          <cell r="G2884">
            <v>1</v>
          </cell>
          <cell r="H2884">
            <v>0</v>
          </cell>
          <cell r="I2884">
            <v>0</v>
          </cell>
          <cell r="J2884">
            <v>0</v>
          </cell>
          <cell r="K2884">
            <v>1</v>
          </cell>
          <cell r="L2884">
            <v>0</v>
          </cell>
          <cell r="M2884">
            <v>0</v>
          </cell>
          <cell r="N2884">
            <v>1</v>
          </cell>
          <cell r="O2884">
            <v>43677</v>
          </cell>
          <cell r="P2884">
            <v>43766</v>
          </cell>
          <cell r="Q2884">
            <v>1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1</v>
          </cell>
          <cell r="W2884">
            <v>0</v>
          </cell>
          <cell r="X2884">
            <v>0</v>
          </cell>
          <cell r="Y2884">
            <v>0</v>
          </cell>
        </row>
        <row r="2885">
          <cell r="D2885">
            <v>302574</v>
          </cell>
          <cell r="E2885" t="str">
            <v>Sta. Rita National High School</v>
          </cell>
          <cell r="F2885">
            <v>1</v>
          </cell>
          <cell r="G2885">
            <v>1</v>
          </cell>
          <cell r="H2885">
            <v>1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1</v>
          </cell>
          <cell r="O2885" t="str">
            <v>July 10, 2019</v>
          </cell>
          <cell r="P2885" t="str">
            <v>July 12,2019</v>
          </cell>
          <cell r="Q2885">
            <v>0</v>
          </cell>
          <cell r="R2885">
            <v>0</v>
          </cell>
          <cell r="S2885">
            <v>1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</row>
        <row r="2886">
          <cell r="D2886">
            <v>302498</v>
          </cell>
          <cell r="E2886" t="str">
            <v>Dumangas NHS</v>
          </cell>
          <cell r="F2886">
            <v>1</v>
          </cell>
          <cell r="G2886">
            <v>0</v>
          </cell>
          <cell r="H2886">
            <v>1</v>
          </cell>
          <cell r="I2886">
            <v>0</v>
          </cell>
          <cell r="J2886">
            <v>1</v>
          </cell>
          <cell r="K2886">
            <v>0</v>
          </cell>
          <cell r="L2886">
            <v>0</v>
          </cell>
          <cell r="M2886">
            <v>0</v>
          </cell>
          <cell r="N2886">
            <v>1</v>
          </cell>
          <cell r="O2886">
            <v>43466</v>
          </cell>
          <cell r="P2886">
            <v>0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</row>
        <row r="2887">
          <cell r="D2887">
            <v>302573</v>
          </cell>
          <cell r="E2887" t="str">
            <v>Santa Barbara National Comprehensive High School</v>
          </cell>
          <cell r="F2887">
            <v>1</v>
          </cell>
          <cell r="G2887">
            <v>1</v>
          </cell>
          <cell r="H2887">
            <v>0</v>
          </cell>
          <cell r="I2887">
            <v>1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1</v>
          </cell>
          <cell r="U2887" t="str">
            <v>None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</row>
        <row r="2888">
          <cell r="D2888">
            <v>302452</v>
          </cell>
          <cell r="E2888" t="str">
            <v>Badiangan NHS</v>
          </cell>
          <cell r="F2888">
            <v>1</v>
          </cell>
          <cell r="G2888">
            <v>1</v>
          </cell>
          <cell r="H2888">
            <v>1</v>
          </cell>
          <cell r="I2888">
            <v>0</v>
          </cell>
          <cell r="J2888">
            <v>0</v>
          </cell>
          <cell r="K2888">
            <v>1</v>
          </cell>
          <cell r="L2888">
            <v>0</v>
          </cell>
          <cell r="M2888">
            <v>0</v>
          </cell>
          <cell r="N2888">
            <v>0</v>
          </cell>
          <cell r="O2888" t="str">
            <v>07/21/2019</v>
          </cell>
          <cell r="P2888" t="str">
            <v>07/21/2019</v>
          </cell>
          <cell r="Q2888">
            <v>0</v>
          </cell>
          <cell r="R2888">
            <v>1</v>
          </cell>
          <cell r="S2888">
            <v>0</v>
          </cell>
          <cell r="T2888">
            <v>1</v>
          </cell>
          <cell r="U2888">
            <v>0</v>
          </cell>
          <cell r="V2888">
            <v>0</v>
          </cell>
          <cell r="W2888">
            <v>4</v>
          </cell>
          <cell r="X2888">
            <v>0</v>
          </cell>
          <cell r="Y2888">
            <v>0</v>
          </cell>
        </row>
        <row r="2889">
          <cell r="D2889">
            <v>302473</v>
          </cell>
          <cell r="E2889" t="str">
            <v>Cabatuan NCHS</v>
          </cell>
          <cell r="F2889">
            <v>1</v>
          </cell>
          <cell r="G2889">
            <v>1</v>
          </cell>
          <cell r="H2889">
            <v>1</v>
          </cell>
          <cell r="I2889">
            <v>0</v>
          </cell>
          <cell r="J2889">
            <v>1</v>
          </cell>
          <cell r="K2889">
            <v>0</v>
          </cell>
          <cell r="L2889">
            <v>0</v>
          </cell>
          <cell r="M2889">
            <v>0</v>
          </cell>
          <cell r="N2889">
            <v>1</v>
          </cell>
          <cell r="O2889">
            <v>0</v>
          </cell>
          <cell r="P2889" t="str">
            <v>none</v>
          </cell>
          <cell r="Q2889">
            <v>0</v>
          </cell>
          <cell r="R2889">
            <v>0</v>
          </cell>
          <cell r="S2889">
            <v>0</v>
          </cell>
          <cell r="T2889">
            <v>1</v>
          </cell>
          <cell r="U2889" t="str">
            <v>none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</row>
        <row r="2890">
          <cell r="D2890">
            <v>302506</v>
          </cell>
          <cell r="E2890" t="str">
            <v>Guimbal NHS</v>
          </cell>
          <cell r="F2890">
            <v>1</v>
          </cell>
          <cell r="G2890">
            <v>1</v>
          </cell>
          <cell r="H2890">
            <v>1</v>
          </cell>
          <cell r="I2890">
            <v>0</v>
          </cell>
          <cell r="J2890">
            <v>1</v>
          </cell>
          <cell r="K2890">
            <v>0</v>
          </cell>
          <cell r="L2890">
            <v>0</v>
          </cell>
          <cell r="M2890">
            <v>0</v>
          </cell>
          <cell r="N2890">
            <v>1</v>
          </cell>
          <cell r="O2890">
            <v>0</v>
          </cell>
          <cell r="P2890">
            <v>0</v>
          </cell>
          <cell r="Q2890">
            <v>0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>
            <v>0</v>
          </cell>
          <cell r="X2890">
            <v>0</v>
          </cell>
          <cell r="Y2890">
            <v>0</v>
          </cell>
        </row>
        <row r="2891">
          <cell r="D2891">
            <v>311026</v>
          </cell>
          <cell r="E2891" t="str">
            <v>Vicente Aguilar NHS</v>
          </cell>
          <cell r="F2891">
            <v>1</v>
          </cell>
          <cell r="G2891">
            <v>1</v>
          </cell>
          <cell r="H2891">
            <v>1</v>
          </cell>
          <cell r="I2891">
            <v>0</v>
          </cell>
          <cell r="J2891">
            <v>1</v>
          </cell>
          <cell r="K2891">
            <v>0</v>
          </cell>
          <cell r="L2891">
            <v>0</v>
          </cell>
          <cell r="M2891">
            <v>0</v>
          </cell>
          <cell r="N2891">
            <v>1</v>
          </cell>
          <cell r="O2891">
            <v>43671</v>
          </cell>
          <cell r="P2891">
            <v>43511</v>
          </cell>
          <cell r="Q2891">
            <v>0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>
            <v>0</v>
          </cell>
          <cell r="X2891">
            <v>0</v>
          </cell>
          <cell r="Y2891">
            <v>0</v>
          </cell>
        </row>
        <row r="2892">
          <cell r="D2892">
            <v>302482</v>
          </cell>
          <cell r="E2892" t="str">
            <v>Cawayan NHS</v>
          </cell>
          <cell r="F2892">
            <v>1</v>
          </cell>
          <cell r="G2892">
            <v>1</v>
          </cell>
          <cell r="H2892">
            <v>1</v>
          </cell>
          <cell r="I2892">
            <v>0</v>
          </cell>
          <cell r="J2892">
            <v>1</v>
          </cell>
          <cell r="K2892">
            <v>0</v>
          </cell>
          <cell r="L2892">
            <v>0</v>
          </cell>
          <cell r="M2892">
            <v>0</v>
          </cell>
          <cell r="N2892">
            <v>1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</row>
        <row r="2893">
          <cell r="D2893">
            <v>302580</v>
          </cell>
          <cell r="E2893" t="str">
            <v>Tina National High School</v>
          </cell>
          <cell r="F2893">
            <v>1</v>
          </cell>
          <cell r="G2893">
            <v>1</v>
          </cell>
          <cell r="H2893">
            <v>1</v>
          </cell>
          <cell r="I2893">
            <v>0</v>
          </cell>
          <cell r="J2893">
            <v>1</v>
          </cell>
          <cell r="K2893">
            <v>0</v>
          </cell>
          <cell r="L2893">
            <v>0</v>
          </cell>
          <cell r="M2893">
            <v>0</v>
          </cell>
          <cell r="N2893">
            <v>1</v>
          </cell>
          <cell r="O2893">
            <v>43624</v>
          </cell>
          <cell r="P2893">
            <v>0</v>
          </cell>
          <cell r="Q2893">
            <v>0</v>
          </cell>
          <cell r="R2893">
            <v>1</v>
          </cell>
          <cell r="S2893">
            <v>0</v>
          </cell>
          <cell r="T2893">
            <v>0</v>
          </cell>
          <cell r="U2893">
            <v>0</v>
          </cell>
          <cell r="V2893">
            <v>1</v>
          </cell>
          <cell r="W2893">
            <v>0</v>
          </cell>
          <cell r="X2893">
            <v>0</v>
          </cell>
          <cell r="Y2893">
            <v>0</v>
          </cell>
        </row>
        <row r="2894">
          <cell r="D2894">
            <v>302490</v>
          </cell>
          <cell r="E2894" t="str">
            <v>Dingle NHS</v>
          </cell>
          <cell r="F2894">
            <v>1</v>
          </cell>
          <cell r="G2894">
            <v>1</v>
          </cell>
          <cell r="H2894">
            <v>1</v>
          </cell>
          <cell r="I2894">
            <v>1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1</v>
          </cell>
          <cell r="O2894" t="str">
            <v xml:space="preserve">  Ocotber 10, 2019</v>
          </cell>
          <cell r="P2894" t="str">
            <v>October 10, 2019</v>
          </cell>
          <cell r="Q2894">
            <v>1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1</v>
          </cell>
          <cell r="W2894">
            <v>2</v>
          </cell>
          <cell r="X2894">
            <v>0</v>
          </cell>
          <cell r="Y2894">
            <v>0</v>
          </cell>
        </row>
        <row r="2895">
          <cell r="D2895">
            <v>302520</v>
          </cell>
          <cell r="E2895" t="str">
            <v>Leganes National High School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1</v>
          </cell>
          <cell r="M2895" t="str">
            <v>as need arises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1</v>
          </cell>
          <cell r="U2895" t="str">
            <v>as need arises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</row>
        <row r="2896">
          <cell r="D2896">
            <v>311019</v>
          </cell>
          <cell r="E2896" t="str">
            <v>Binolusan Pequeño National High School</v>
          </cell>
          <cell r="F2896">
            <v>1</v>
          </cell>
          <cell r="G2896">
            <v>1</v>
          </cell>
          <cell r="H2896">
            <v>1</v>
          </cell>
          <cell r="I2896">
            <v>0</v>
          </cell>
          <cell r="J2896">
            <v>0</v>
          </cell>
          <cell r="K2896">
            <v>1</v>
          </cell>
          <cell r="L2896">
            <v>0</v>
          </cell>
          <cell r="M2896">
            <v>0</v>
          </cell>
          <cell r="N2896">
            <v>1</v>
          </cell>
          <cell r="O2896">
            <v>0</v>
          </cell>
          <cell r="P2896">
            <v>0</v>
          </cell>
          <cell r="Q2896">
            <v>0</v>
          </cell>
          <cell r="R2896">
            <v>1</v>
          </cell>
          <cell r="S2896">
            <v>0</v>
          </cell>
          <cell r="T2896">
            <v>0</v>
          </cell>
          <cell r="U2896">
            <v>0</v>
          </cell>
          <cell r="V2896">
            <v>1</v>
          </cell>
          <cell r="W2896">
            <v>0</v>
          </cell>
          <cell r="X2896">
            <v>0</v>
          </cell>
          <cell r="Y2896">
            <v>0</v>
          </cell>
        </row>
        <row r="2897">
          <cell r="D2897">
            <v>302548</v>
          </cell>
          <cell r="E2897" t="str">
            <v>Parara NHS</v>
          </cell>
          <cell r="F2897">
            <v>1</v>
          </cell>
          <cell r="G2897">
            <v>1</v>
          </cell>
          <cell r="H2897">
            <v>1</v>
          </cell>
          <cell r="I2897">
            <v>0</v>
          </cell>
          <cell r="J2897">
            <v>1</v>
          </cell>
          <cell r="K2897">
            <v>0</v>
          </cell>
          <cell r="L2897">
            <v>0</v>
          </cell>
          <cell r="M2897">
            <v>0</v>
          </cell>
          <cell r="N2897">
            <v>1</v>
          </cell>
          <cell r="O2897" t="str">
            <v>08/30/2019</v>
          </cell>
          <cell r="P2897" t="str">
            <v>08/30/2019</v>
          </cell>
          <cell r="Q2897">
            <v>0</v>
          </cell>
          <cell r="R2897">
            <v>1</v>
          </cell>
          <cell r="S2897">
            <v>0</v>
          </cell>
          <cell r="T2897">
            <v>0</v>
          </cell>
          <cell r="U2897">
            <v>0</v>
          </cell>
          <cell r="V2897">
            <v>1</v>
          </cell>
          <cell r="W2897">
            <v>0</v>
          </cell>
          <cell r="X2897">
            <v>0</v>
          </cell>
          <cell r="Y2897">
            <v>0</v>
          </cell>
        </row>
        <row r="2898">
          <cell r="D2898">
            <v>311018</v>
          </cell>
          <cell r="E2898" t="str">
            <v>Fernandez Perez MNHS</v>
          </cell>
          <cell r="F2898">
            <v>1</v>
          </cell>
          <cell r="G2898">
            <v>1</v>
          </cell>
          <cell r="H2898">
            <v>1</v>
          </cell>
          <cell r="I2898">
            <v>0</v>
          </cell>
          <cell r="J2898">
            <v>1</v>
          </cell>
          <cell r="K2898">
            <v>0</v>
          </cell>
          <cell r="L2898">
            <v>0</v>
          </cell>
          <cell r="M2898">
            <v>0</v>
          </cell>
          <cell r="N2898">
            <v>1</v>
          </cell>
          <cell r="O2898">
            <v>43591</v>
          </cell>
          <cell r="P2898">
            <v>43591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>
            <v>0</v>
          </cell>
          <cell r="X2898">
            <v>0</v>
          </cell>
          <cell r="Y2898">
            <v>0</v>
          </cell>
        </row>
        <row r="2899">
          <cell r="D2899">
            <v>302604</v>
          </cell>
          <cell r="E2899" t="str">
            <v>Laga-an National High School</v>
          </cell>
          <cell r="F2899">
            <v>1</v>
          </cell>
          <cell r="G2899">
            <v>1</v>
          </cell>
          <cell r="H2899">
            <v>1</v>
          </cell>
          <cell r="I2899">
            <v>0</v>
          </cell>
          <cell r="J2899">
            <v>1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 t="str">
            <v>N/A</v>
          </cell>
          <cell r="P2899" t="str">
            <v>N/A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</row>
        <row r="2900">
          <cell r="D2900">
            <v>302533</v>
          </cell>
          <cell r="E2900" t="str">
            <v>Mina NHS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</row>
        <row r="2901">
          <cell r="D2901">
            <v>302539</v>
          </cell>
          <cell r="E2901" t="str">
            <v>New Lucena National Comprehensive High School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</row>
        <row r="2902">
          <cell r="D2902">
            <v>302477</v>
          </cell>
          <cell r="E2902" t="str">
            <v>Calinog NCHS</v>
          </cell>
          <cell r="F2902">
            <v>1</v>
          </cell>
          <cell r="G2902">
            <v>0</v>
          </cell>
          <cell r="H2902">
            <v>1</v>
          </cell>
          <cell r="I2902">
            <v>0</v>
          </cell>
          <cell r="J2902">
            <v>0</v>
          </cell>
          <cell r="K2902">
            <v>1</v>
          </cell>
          <cell r="L2902">
            <v>0</v>
          </cell>
          <cell r="M2902">
            <v>0</v>
          </cell>
          <cell r="N2902">
            <v>0</v>
          </cell>
          <cell r="O2902">
            <v>43511</v>
          </cell>
          <cell r="P2902">
            <v>43756</v>
          </cell>
          <cell r="Q2902">
            <v>0</v>
          </cell>
          <cell r="R2902">
            <v>0</v>
          </cell>
          <cell r="S2902">
            <v>1</v>
          </cell>
          <cell r="T2902">
            <v>0</v>
          </cell>
          <cell r="U2902">
            <v>0</v>
          </cell>
          <cell r="V2902">
            <v>1</v>
          </cell>
          <cell r="W2902">
            <v>2</v>
          </cell>
          <cell r="X2902">
            <v>2</v>
          </cell>
          <cell r="Y2902">
            <v>0</v>
          </cell>
        </row>
        <row r="2903">
          <cell r="D2903">
            <v>311015</v>
          </cell>
          <cell r="E2903" t="str">
            <v>Calicuang NHS</v>
          </cell>
          <cell r="F2903">
            <v>0</v>
          </cell>
          <cell r="G2903">
            <v>0</v>
          </cell>
          <cell r="H2903">
            <v>1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1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1</v>
          </cell>
          <cell r="W2903">
            <v>0</v>
          </cell>
          <cell r="X2903">
            <v>0</v>
          </cell>
          <cell r="Y2903">
            <v>0</v>
          </cell>
        </row>
        <row r="2904">
          <cell r="D2904">
            <v>302460</v>
          </cell>
          <cell r="E2904" t="str">
            <v>Batad National High School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1</v>
          </cell>
          <cell r="M2904" t="str">
            <v>n/a</v>
          </cell>
          <cell r="N2904">
            <v>0</v>
          </cell>
          <cell r="O2904">
            <v>0</v>
          </cell>
          <cell r="P2904">
            <v>0</v>
          </cell>
          <cell r="Q2904">
            <v>1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1</v>
          </cell>
          <cell r="W2904">
            <v>0</v>
          </cell>
          <cell r="X2904">
            <v>0</v>
          </cell>
          <cell r="Y2904">
            <v>0</v>
          </cell>
        </row>
        <row r="2905">
          <cell r="D2905">
            <v>302521</v>
          </cell>
          <cell r="E2905" t="str">
            <v>Lemery National High School</v>
          </cell>
          <cell r="F2905">
            <v>1</v>
          </cell>
          <cell r="G2905">
            <v>1</v>
          </cell>
          <cell r="H2905">
            <v>1</v>
          </cell>
          <cell r="I2905">
            <v>0</v>
          </cell>
          <cell r="J2905">
            <v>1</v>
          </cell>
          <cell r="K2905">
            <v>0</v>
          </cell>
          <cell r="L2905">
            <v>0</v>
          </cell>
          <cell r="M2905">
            <v>0</v>
          </cell>
          <cell r="N2905">
            <v>1</v>
          </cell>
          <cell r="O2905">
            <v>43739</v>
          </cell>
          <cell r="P2905">
            <v>43760</v>
          </cell>
          <cell r="Q2905">
            <v>1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1</v>
          </cell>
          <cell r="W2905">
            <v>0</v>
          </cell>
          <cell r="X2905">
            <v>0</v>
          </cell>
          <cell r="Y2905">
            <v>0</v>
          </cell>
        </row>
        <row r="2906">
          <cell r="D2906">
            <v>302561</v>
          </cell>
          <cell r="E2906" t="str">
            <v>Salihid NHS</v>
          </cell>
          <cell r="F2906">
            <v>1</v>
          </cell>
          <cell r="G2906">
            <v>1</v>
          </cell>
          <cell r="H2906">
            <v>0</v>
          </cell>
          <cell r="I2906">
            <v>0</v>
          </cell>
          <cell r="J2906">
            <v>1</v>
          </cell>
          <cell r="K2906">
            <v>0</v>
          </cell>
          <cell r="L2906">
            <v>0</v>
          </cell>
          <cell r="M2906">
            <v>0</v>
          </cell>
          <cell r="N2906">
            <v>1</v>
          </cell>
          <cell r="O2906">
            <v>43636</v>
          </cell>
          <cell r="P2906">
            <v>43748</v>
          </cell>
          <cell r="Q2906">
            <v>1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1</v>
          </cell>
          <cell r="W2906">
            <v>2</v>
          </cell>
          <cell r="X2906">
            <v>0</v>
          </cell>
          <cell r="Y2906">
            <v>0</v>
          </cell>
        </row>
        <row r="2907">
          <cell r="D2907">
            <v>302630</v>
          </cell>
          <cell r="E2907" t="str">
            <v>Florentina F. CaÃ±a Recto NHS</v>
          </cell>
          <cell r="F2907">
            <v>1</v>
          </cell>
          <cell r="G2907">
            <v>1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</row>
        <row r="2908">
          <cell r="D2908">
            <v>302491</v>
          </cell>
          <cell r="E2908" t="str">
            <v>Dominador Abang MNHS</v>
          </cell>
          <cell r="F2908">
            <v>1</v>
          </cell>
          <cell r="G2908">
            <v>1</v>
          </cell>
          <cell r="H2908">
            <v>1</v>
          </cell>
          <cell r="I2908">
            <v>0</v>
          </cell>
          <cell r="J2908">
            <v>1</v>
          </cell>
          <cell r="K2908">
            <v>0</v>
          </cell>
          <cell r="L2908">
            <v>0</v>
          </cell>
          <cell r="M2908">
            <v>0</v>
          </cell>
          <cell r="N2908">
            <v>1</v>
          </cell>
          <cell r="O2908">
            <v>43732</v>
          </cell>
          <cell r="P2908">
            <v>43704</v>
          </cell>
          <cell r="Q2908">
            <v>0</v>
          </cell>
          <cell r="R2908">
            <v>1</v>
          </cell>
          <cell r="S2908">
            <v>0</v>
          </cell>
          <cell r="T2908">
            <v>0</v>
          </cell>
          <cell r="U2908">
            <v>0</v>
          </cell>
          <cell r="V2908">
            <v>1</v>
          </cell>
          <cell r="W2908">
            <v>0</v>
          </cell>
          <cell r="X2908">
            <v>0</v>
          </cell>
          <cell r="Y2908">
            <v>0</v>
          </cell>
        </row>
        <row r="2909">
          <cell r="D2909">
            <v>302526</v>
          </cell>
          <cell r="E2909" t="str">
            <v>Malitbog National High School</v>
          </cell>
          <cell r="F2909">
            <v>1</v>
          </cell>
          <cell r="G2909">
            <v>0</v>
          </cell>
          <cell r="H2909">
            <v>1</v>
          </cell>
          <cell r="I2909">
            <v>0</v>
          </cell>
          <cell r="J2909">
            <v>1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1</v>
          </cell>
          <cell r="T2909">
            <v>0</v>
          </cell>
          <cell r="U2909">
            <v>0</v>
          </cell>
          <cell r="V2909">
            <v>1</v>
          </cell>
          <cell r="W2909">
            <v>0</v>
          </cell>
          <cell r="X2909">
            <v>0</v>
          </cell>
          <cell r="Y2909">
            <v>0</v>
          </cell>
        </row>
        <row r="2910">
          <cell r="D2910">
            <v>311008</v>
          </cell>
          <cell r="E2910" t="str">
            <v>Rufino G. Palabrica, Sr. NHS</v>
          </cell>
          <cell r="F2910">
            <v>1</v>
          </cell>
          <cell r="G2910">
            <v>0</v>
          </cell>
          <cell r="H2910">
            <v>1</v>
          </cell>
          <cell r="I2910">
            <v>0</v>
          </cell>
          <cell r="J2910">
            <v>1</v>
          </cell>
          <cell r="K2910">
            <v>0</v>
          </cell>
          <cell r="L2910">
            <v>0</v>
          </cell>
          <cell r="M2910">
            <v>0</v>
          </cell>
          <cell r="N2910">
            <v>1</v>
          </cell>
          <cell r="O2910">
            <v>43655</v>
          </cell>
          <cell r="P2910">
            <v>43709</v>
          </cell>
          <cell r="Q2910">
            <v>1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1</v>
          </cell>
          <cell r="W2910">
            <v>6</v>
          </cell>
          <cell r="X2910">
            <v>0</v>
          </cell>
          <cell r="Y2910">
            <v>1</v>
          </cell>
        </row>
        <row r="2911">
          <cell r="D2911">
            <v>302487</v>
          </cell>
          <cell r="E2911" t="str">
            <v>Daga-Barasan NHS</v>
          </cell>
          <cell r="F2911">
            <v>1</v>
          </cell>
          <cell r="G2911">
            <v>1</v>
          </cell>
          <cell r="H2911">
            <v>1</v>
          </cell>
          <cell r="I2911">
            <v>0</v>
          </cell>
          <cell r="J2911">
            <v>1</v>
          </cell>
          <cell r="K2911">
            <v>0</v>
          </cell>
          <cell r="L2911">
            <v>0</v>
          </cell>
          <cell r="M2911">
            <v>0</v>
          </cell>
          <cell r="N2911">
            <v>1</v>
          </cell>
          <cell r="O2911" t="str">
            <v>July 22, 2019</v>
          </cell>
          <cell r="P2911" t="str">
            <v>10/19/2019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</row>
        <row r="2912">
          <cell r="D2912">
            <v>302551</v>
          </cell>
          <cell r="E2912" t="str">
            <v>PAYAO NHS</v>
          </cell>
          <cell r="F2912">
            <v>1</v>
          </cell>
          <cell r="G2912">
            <v>0</v>
          </cell>
          <cell r="H2912">
            <v>0</v>
          </cell>
          <cell r="I2912">
            <v>0</v>
          </cell>
          <cell r="J2912">
            <v>1</v>
          </cell>
          <cell r="K2912">
            <v>0</v>
          </cell>
          <cell r="L2912">
            <v>0</v>
          </cell>
          <cell r="M2912">
            <v>0</v>
          </cell>
          <cell r="N2912">
            <v>1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</row>
        <row r="2913">
          <cell r="D2913">
            <v>302565</v>
          </cell>
          <cell r="E2913" t="str">
            <v>SAN FERNANDO NATIONAL HIGH SCHOOL</v>
          </cell>
          <cell r="F2913">
            <v>1</v>
          </cell>
          <cell r="G2913">
            <v>0</v>
          </cell>
          <cell r="H2913">
            <v>1</v>
          </cell>
          <cell r="I2913">
            <v>0</v>
          </cell>
          <cell r="J2913">
            <v>0</v>
          </cell>
          <cell r="K2913">
            <v>1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 t="str">
            <v>08/15/2019</v>
          </cell>
          <cell r="Q2913">
            <v>0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>
            <v>0</v>
          </cell>
          <cell r="X2913">
            <v>0</v>
          </cell>
          <cell r="Y2913">
            <v>0</v>
          </cell>
        </row>
        <row r="2914">
          <cell r="D2914">
            <v>302468</v>
          </cell>
          <cell r="E2914" t="str">
            <v>Buayahon-Bantay NHS</v>
          </cell>
          <cell r="F2914">
            <v>1</v>
          </cell>
          <cell r="G2914">
            <v>1</v>
          </cell>
          <cell r="H2914">
            <v>1</v>
          </cell>
          <cell r="I2914">
            <v>0</v>
          </cell>
          <cell r="J2914">
            <v>1</v>
          </cell>
          <cell r="K2914">
            <v>0</v>
          </cell>
          <cell r="L2914">
            <v>0</v>
          </cell>
          <cell r="M2914">
            <v>0</v>
          </cell>
          <cell r="N2914">
            <v>1</v>
          </cell>
          <cell r="O2914">
            <v>0</v>
          </cell>
          <cell r="P2914">
            <v>0</v>
          </cell>
          <cell r="Q2914">
            <v>0</v>
          </cell>
          <cell r="R2914">
            <v>1</v>
          </cell>
          <cell r="S2914">
            <v>0</v>
          </cell>
          <cell r="T2914">
            <v>0</v>
          </cell>
          <cell r="U2914">
            <v>0</v>
          </cell>
          <cell r="V2914">
            <v>1</v>
          </cell>
          <cell r="W2914">
            <v>2</v>
          </cell>
          <cell r="X2914">
            <v>2</v>
          </cell>
          <cell r="Y2914">
            <v>2</v>
          </cell>
        </row>
        <row r="2915">
          <cell r="D2915">
            <v>302494</v>
          </cell>
          <cell r="E2915" t="str">
            <v>Don Casimero Andrada NHS</v>
          </cell>
          <cell r="F2915">
            <v>1</v>
          </cell>
          <cell r="G2915">
            <v>1</v>
          </cell>
          <cell r="H2915">
            <v>1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1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1</v>
          </cell>
          <cell r="W2915">
            <v>0</v>
          </cell>
          <cell r="X2915">
            <v>0</v>
          </cell>
          <cell r="Y2915">
            <v>0</v>
          </cell>
        </row>
        <row r="2916">
          <cell r="D2916">
            <v>302475</v>
          </cell>
          <cell r="E2916" t="str">
            <v>Cadagmayan NHS</v>
          </cell>
          <cell r="F2916">
            <v>1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</row>
        <row r="2917">
          <cell r="D2917">
            <v>311001</v>
          </cell>
          <cell r="E2917" t="str">
            <v>Valerio P. Palmares NHS</v>
          </cell>
          <cell r="F2917">
            <v>1</v>
          </cell>
          <cell r="G2917">
            <v>1</v>
          </cell>
          <cell r="H2917">
            <v>1</v>
          </cell>
          <cell r="I2917">
            <v>1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1</v>
          </cell>
          <cell r="O2917" t="str">
            <v>9/26/2019</v>
          </cell>
          <cell r="P2917" t="str">
            <v>9/27/2019</v>
          </cell>
          <cell r="Q2917">
            <v>1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1</v>
          </cell>
          <cell r="W2917">
            <v>0</v>
          </cell>
          <cell r="X2917">
            <v>0</v>
          </cell>
          <cell r="Y2917">
            <v>0</v>
          </cell>
        </row>
        <row r="2918">
          <cell r="D2918">
            <v>302568</v>
          </cell>
          <cell r="E2918" t="str">
            <v>San Rafael NHS (Miagao)</v>
          </cell>
          <cell r="F2918">
            <v>1</v>
          </cell>
          <cell r="G2918">
            <v>1</v>
          </cell>
          <cell r="H2918">
            <v>1</v>
          </cell>
          <cell r="I2918">
            <v>0</v>
          </cell>
          <cell r="J2918">
            <v>1</v>
          </cell>
          <cell r="K2918">
            <v>0</v>
          </cell>
          <cell r="L2918">
            <v>0</v>
          </cell>
          <cell r="M2918">
            <v>0</v>
          </cell>
          <cell r="N2918">
            <v>1</v>
          </cell>
          <cell r="O2918">
            <v>43686</v>
          </cell>
          <cell r="P2918">
            <v>43756</v>
          </cell>
          <cell r="Q2918">
            <v>0</v>
          </cell>
          <cell r="R2918">
            <v>1</v>
          </cell>
          <cell r="S2918">
            <v>0</v>
          </cell>
          <cell r="T2918">
            <v>0</v>
          </cell>
          <cell r="U2918">
            <v>0</v>
          </cell>
          <cell r="V2918">
            <v>1</v>
          </cell>
          <cell r="W2918">
            <v>0</v>
          </cell>
          <cell r="X2918">
            <v>0</v>
          </cell>
          <cell r="Y2918">
            <v>0</v>
          </cell>
        </row>
        <row r="2919">
          <cell r="D2919">
            <v>302652</v>
          </cell>
          <cell r="E2919" t="str">
            <v>Inocencio V. Ferrer SOF (TASOF)</v>
          </cell>
          <cell r="F2919">
            <v>1</v>
          </cell>
          <cell r="G2919">
            <v>1</v>
          </cell>
          <cell r="H2919">
            <v>1</v>
          </cell>
          <cell r="I2919">
            <v>1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1</v>
          </cell>
          <cell r="O2919">
            <v>43699</v>
          </cell>
          <cell r="P2919">
            <v>43623</v>
          </cell>
          <cell r="Q2919">
            <v>0</v>
          </cell>
          <cell r="R2919">
            <v>1</v>
          </cell>
          <cell r="S2919">
            <v>0</v>
          </cell>
          <cell r="T2919">
            <v>0</v>
          </cell>
          <cell r="U2919">
            <v>0</v>
          </cell>
          <cell r="V2919">
            <v>1</v>
          </cell>
          <cell r="W2919">
            <v>0</v>
          </cell>
          <cell r="X2919">
            <v>0</v>
          </cell>
          <cell r="Y2919">
            <v>0</v>
          </cell>
        </row>
        <row r="2920">
          <cell r="D2920">
            <v>302465</v>
          </cell>
          <cell r="E2920" t="str">
            <v>Bingawan NHS</v>
          </cell>
          <cell r="F2920">
            <v>1</v>
          </cell>
          <cell r="G2920">
            <v>0</v>
          </cell>
          <cell r="H2920">
            <v>1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 t="str">
            <v>July 16,2019</v>
          </cell>
          <cell r="P2920" t="str">
            <v>none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</row>
        <row r="2921">
          <cell r="D2921">
            <v>311025</v>
          </cell>
          <cell r="E2921" t="str">
            <v>Jovita Alfaras Rivera National High School</v>
          </cell>
          <cell r="F2921">
            <v>1</v>
          </cell>
          <cell r="G2921">
            <v>1</v>
          </cell>
          <cell r="H2921">
            <v>1</v>
          </cell>
          <cell r="I2921">
            <v>0</v>
          </cell>
          <cell r="J2921">
            <v>1</v>
          </cell>
          <cell r="K2921">
            <v>0</v>
          </cell>
          <cell r="L2921">
            <v>0</v>
          </cell>
          <cell r="M2921">
            <v>0</v>
          </cell>
          <cell r="N2921">
            <v>1</v>
          </cell>
          <cell r="O2921">
            <v>0</v>
          </cell>
          <cell r="P2921">
            <v>43678</v>
          </cell>
          <cell r="Q2921">
            <v>0</v>
          </cell>
          <cell r="R2921">
            <v>1</v>
          </cell>
          <cell r="S2921">
            <v>0</v>
          </cell>
          <cell r="T2921">
            <v>0</v>
          </cell>
          <cell r="U2921">
            <v>0</v>
          </cell>
          <cell r="V2921">
            <v>1</v>
          </cell>
          <cell r="W2921">
            <v>0</v>
          </cell>
          <cell r="X2921">
            <v>0</v>
          </cell>
          <cell r="Y2921">
            <v>0</v>
          </cell>
        </row>
        <row r="2922">
          <cell r="D2922">
            <v>302545</v>
          </cell>
          <cell r="E2922" t="str">
            <v>Bacolod NHS</v>
          </cell>
          <cell r="F2922">
            <v>1</v>
          </cell>
          <cell r="G2922">
            <v>0</v>
          </cell>
          <cell r="H2922">
            <v>1</v>
          </cell>
          <cell r="I2922">
            <v>0</v>
          </cell>
          <cell r="J2922">
            <v>1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 t="str">
            <v>NA</v>
          </cell>
          <cell r="P2922" t="str">
            <v>NA</v>
          </cell>
          <cell r="Q2922">
            <v>0</v>
          </cell>
          <cell r="R2922">
            <v>0</v>
          </cell>
          <cell r="S2922">
            <v>1</v>
          </cell>
          <cell r="T2922">
            <v>0</v>
          </cell>
          <cell r="U2922">
            <v>0</v>
          </cell>
          <cell r="V2922">
            <v>1</v>
          </cell>
          <cell r="W2922">
            <v>0</v>
          </cell>
          <cell r="X2922">
            <v>0</v>
          </cell>
          <cell r="Y2922">
            <v>0</v>
          </cell>
        </row>
        <row r="2923">
          <cell r="D2923">
            <v>302731</v>
          </cell>
          <cell r="E2923" t="str">
            <v>Mabini National High School</v>
          </cell>
          <cell r="F2923">
            <v>1</v>
          </cell>
          <cell r="G2923">
            <v>0</v>
          </cell>
          <cell r="H2923">
            <v>1</v>
          </cell>
          <cell r="I2923">
            <v>0</v>
          </cell>
          <cell r="J2923">
            <v>1</v>
          </cell>
          <cell r="K2923">
            <v>0</v>
          </cell>
          <cell r="L2923">
            <v>0</v>
          </cell>
          <cell r="M2923">
            <v>0</v>
          </cell>
          <cell r="N2923">
            <v>1</v>
          </cell>
          <cell r="O2923">
            <v>0</v>
          </cell>
          <cell r="P2923">
            <v>0</v>
          </cell>
          <cell r="Q2923">
            <v>0</v>
          </cell>
          <cell r="R2923">
            <v>1</v>
          </cell>
          <cell r="S2923">
            <v>0</v>
          </cell>
          <cell r="T2923">
            <v>0</v>
          </cell>
          <cell r="U2923">
            <v>0</v>
          </cell>
          <cell r="V2923">
            <v>1</v>
          </cell>
          <cell r="W2923">
            <v>0</v>
          </cell>
          <cell r="X2923">
            <v>0</v>
          </cell>
          <cell r="Y2923">
            <v>0</v>
          </cell>
        </row>
        <row r="2924">
          <cell r="D2924">
            <v>302449</v>
          </cell>
          <cell r="E2924" t="str">
            <v>Anilao NHS</v>
          </cell>
          <cell r="F2924">
            <v>1</v>
          </cell>
          <cell r="G2924">
            <v>1</v>
          </cell>
          <cell r="H2924">
            <v>1</v>
          </cell>
          <cell r="I2924">
            <v>1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1</v>
          </cell>
          <cell r="O2924">
            <v>43738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1</v>
          </cell>
          <cell r="U2924" t="str">
            <v>twice a month</v>
          </cell>
          <cell r="V2924">
            <v>1</v>
          </cell>
          <cell r="W2924">
            <v>6</v>
          </cell>
          <cell r="X2924">
            <v>3</v>
          </cell>
          <cell r="Y2924">
            <v>3</v>
          </cell>
        </row>
        <row r="2925">
          <cell r="D2925">
            <v>302442</v>
          </cell>
          <cell r="E2925" t="str">
            <v>Acao NHS</v>
          </cell>
          <cell r="F2925">
            <v>1</v>
          </cell>
          <cell r="G2925">
            <v>1</v>
          </cell>
          <cell r="H2925">
            <v>1</v>
          </cell>
          <cell r="I2925">
            <v>0</v>
          </cell>
          <cell r="J2925">
            <v>1</v>
          </cell>
          <cell r="K2925">
            <v>0</v>
          </cell>
          <cell r="L2925">
            <v>0</v>
          </cell>
          <cell r="M2925">
            <v>0</v>
          </cell>
          <cell r="N2925">
            <v>1</v>
          </cell>
          <cell r="O2925">
            <v>43709</v>
          </cell>
          <cell r="P2925">
            <v>43739</v>
          </cell>
          <cell r="Q2925">
            <v>0</v>
          </cell>
          <cell r="R2925">
            <v>1</v>
          </cell>
          <cell r="S2925">
            <v>0</v>
          </cell>
          <cell r="T2925">
            <v>0</v>
          </cell>
          <cell r="U2925">
            <v>0</v>
          </cell>
          <cell r="V2925">
            <v>1</v>
          </cell>
          <cell r="W2925">
            <v>0</v>
          </cell>
          <cell r="X2925">
            <v>0</v>
          </cell>
          <cell r="Y2925">
            <v>0</v>
          </cell>
        </row>
        <row r="2926">
          <cell r="D2926">
            <v>302686</v>
          </cell>
          <cell r="E2926" t="str">
            <v>Tabao NHS</v>
          </cell>
          <cell r="F2926">
            <v>1</v>
          </cell>
          <cell r="G2926">
            <v>1</v>
          </cell>
          <cell r="H2926">
            <v>1</v>
          </cell>
          <cell r="I2926">
            <v>0</v>
          </cell>
          <cell r="J2926">
            <v>1</v>
          </cell>
          <cell r="K2926">
            <v>0</v>
          </cell>
          <cell r="L2926">
            <v>1</v>
          </cell>
          <cell r="M2926" t="str">
            <v>as needed</v>
          </cell>
          <cell r="N2926">
            <v>1</v>
          </cell>
          <cell r="O2926" t="str">
            <v>06/14/2019</v>
          </cell>
          <cell r="P2926" t="str">
            <v>n/a</v>
          </cell>
          <cell r="Q2926">
            <v>0</v>
          </cell>
          <cell r="R2926">
            <v>0</v>
          </cell>
          <cell r="S2926">
            <v>0</v>
          </cell>
          <cell r="T2926">
            <v>1</v>
          </cell>
          <cell r="U2926" t="str">
            <v>as needed</v>
          </cell>
          <cell r="V2926">
            <v>1</v>
          </cell>
          <cell r="W2926">
            <v>1</v>
          </cell>
          <cell r="X2926">
            <v>0</v>
          </cell>
          <cell r="Y2926">
            <v>0</v>
          </cell>
        </row>
        <row r="2927">
          <cell r="D2927">
            <v>302655</v>
          </cell>
          <cell r="E2927" t="str">
            <v>Isabela National High School-Sikatuna Extension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 t="str">
            <v>N/A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</row>
        <row r="2928">
          <cell r="D2928">
            <v>302397</v>
          </cell>
          <cell r="E2928" t="str">
            <v>DAVID MOISES MEMORIAL HIGH SCHOOL</v>
          </cell>
          <cell r="F2928">
            <v>1</v>
          </cell>
          <cell r="G2928">
            <v>1</v>
          </cell>
          <cell r="H2928">
            <v>1</v>
          </cell>
          <cell r="I2928">
            <v>0</v>
          </cell>
          <cell r="J2928">
            <v>0</v>
          </cell>
          <cell r="K2928">
            <v>1</v>
          </cell>
          <cell r="L2928">
            <v>0</v>
          </cell>
          <cell r="M2928">
            <v>0</v>
          </cell>
          <cell r="N2928">
            <v>1</v>
          </cell>
          <cell r="O2928">
            <v>0</v>
          </cell>
          <cell r="P2928">
            <v>0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  <cell r="V2928">
            <v>1</v>
          </cell>
          <cell r="W2928">
            <v>0</v>
          </cell>
          <cell r="X2928">
            <v>0</v>
          </cell>
          <cell r="Y2928">
            <v>0</v>
          </cell>
        </row>
        <row r="2929">
          <cell r="D2929">
            <v>302591</v>
          </cell>
          <cell r="E2929" t="str">
            <v>ANTIPOLO NATIONAL HIGH SCHOOL</v>
          </cell>
          <cell r="F2929">
            <v>1</v>
          </cell>
          <cell r="G2929">
            <v>1</v>
          </cell>
          <cell r="H2929">
            <v>1</v>
          </cell>
          <cell r="I2929">
            <v>0</v>
          </cell>
          <cell r="J2929">
            <v>1</v>
          </cell>
          <cell r="K2929">
            <v>0</v>
          </cell>
          <cell r="L2929">
            <v>0</v>
          </cell>
          <cell r="M2929">
            <v>0</v>
          </cell>
          <cell r="N2929">
            <v>1</v>
          </cell>
          <cell r="O2929" t="str">
            <v>OCT. 29, 2019</v>
          </cell>
          <cell r="P2929" t="str">
            <v>OCT. 29, 2019</v>
          </cell>
          <cell r="Q2929">
            <v>0</v>
          </cell>
          <cell r="R2929">
            <v>1</v>
          </cell>
          <cell r="S2929">
            <v>0</v>
          </cell>
          <cell r="T2929">
            <v>0</v>
          </cell>
          <cell r="U2929">
            <v>0</v>
          </cell>
          <cell r="V2929">
            <v>1</v>
          </cell>
          <cell r="W2929">
            <v>0</v>
          </cell>
          <cell r="X2929">
            <v>0</v>
          </cell>
          <cell r="Y2929">
            <v>0</v>
          </cell>
        </row>
        <row r="2930">
          <cell r="D2930">
            <v>302480</v>
          </cell>
          <cell r="E2930" t="str">
            <v>Camiros NHS</v>
          </cell>
          <cell r="F2930">
            <v>1</v>
          </cell>
          <cell r="G2930">
            <v>1</v>
          </cell>
          <cell r="H2930">
            <v>1</v>
          </cell>
          <cell r="I2930">
            <v>0</v>
          </cell>
          <cell r="J2930">
            <v>1</v>
          </cell>
          <cell r="K2930">
            <v>0</v>
          </cell>
          <cell r="L2930">
            <v>0</v>
          </cell>
          <cell r="M2930">
            <v>0</v>
          </cell>
          <cell r="N2930">
            <v>1</v>
          </cell>
          <cell r="O2930">
            <v>0</v>
          </cell>
          <cell r="P2930" t="str">
            <v>September 16, 2019</v>
          </cell>
          <cell r="Q2930">
            <v>1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4</v>
          </cell>
          <cell r="X2930">
            <v>4</v>
          </cell>
          <cell r="Y2930">
            <v>4</v>
          </cell>
        </row>
        <row r="2931">
          <cell r="D2931">
            <v>302409</v>
          </cell>
          <cell r="E2931" t="str">
            <v>Jamindan National High School</v>
          </cell>
          <cell r="F2931">
            <v>1</v>
          </cell>
          <cell r="G2931">
            <v>0</v>
          </cell>
          <cell r="H2931">
            <v>1</v>
          </cell>
          <cell r="I2931">
            <v>0</v>
          </cell>
          <cell r="J2931">
            <v>1</v>
          </cell>
          <cell r="K2931">
            <v>0</v>
          </cell>
          <cell r="L2931">
            <v>0</v>
          </cell>
          <cell r="M2931">
            <v>0</v>
          </cell>
          <cell r="N2931">
            <v>1</v>
          </cell>
          <cell r="O2931">
            <v>0</v>
          </cell>
          <cell r="P2931">
            <v>0</v>
          </cell>
          <cell r="Q2931">
            <v>0</v>
          </cell>
          <cell r="R2931">
            <v>1</v>
          </cell>
          <cell r="S2931">
            <v>0</v>
          </cell>
          <cell r="T2931">
            <v>0</v>
          </cell>
          <cell r="U2931">
            <v>0</v>
          </cell>
          <cell r="V2931">
            <v>1</v>
          </cell>
          <cell r="W2931">
            <v>0</v>
          </cell>
          <cell r="X2931">
            <v>0</v>
          </cell>
          <cell r="Y2931">
            <v>0</v>
          </cell>
        </row>
        <row r="2932">
          <cell r="D2932">
            <v>311024</v>
          </cell>
          <cell r="E2932" t="str">
            <v>Bagacay National High School</v>
          </cell>
          <cell r="F2932">
            <v>1</v>
          </cell>
          <cell r="G2932">
            <v>1</v>
          </cell>
          <cell r="H2932">
            <v>1</v>
          </cell>
          <cell r="I2932">
            <v>0</v>
          </cell>
          <cell r="J2932">
            <v>1</v>
          </cell>
          <cell r="K2932">
            <v>0</v>
          </cell>
          <cell r="L2932">
            <v>0</v>
          </cell>
          <cell r="M2932">
            <v>0</v>
          </cell>
          <cell r="N2932">
            <v>1</v>
          </cell>
          <cell r="O2932">
            <v>43354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</row>
        <row r="2933">
          <cell r="D2933">
            <v>302538</v>
          </cell>
          <cell r="E2933" t="str">
            <v>Nazuni Summit CNHS</v>
          </cell>
          <cell r="F2933">
            <v>1</v>
          </cell>
          <cell r="G2933">
            <v>1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</row>
        <row r="2934">
          <cell r="D2934">
            <v>302695</v>
          </cell>
          <cell r="E2934" t="str">
            <v>Victorias NHS</v>
          </cell>
          <cell r="F2934">
            <v>1</v>
          </cell>
          <cell r="G2934">
            <v>1</v>
          </cell>
          <cell r="H2934">
            <v>0</v>
          </cell>
          <cell r="I2934">
            <v>0</v>
          </cell>
          <cell r="J2934">
            <v>1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1</v>
          </cell>
          <cell r="T2934">
            <v>0</v>
          </cell>
          <cell r="U2934">
            <v>0</v>
          </cell>
          <cell r="V2934">
            <v>0</v>
          </cell>
          <cell r="W2934">
            <v>0</v>
          </cell>
          <cell r="X2934">
            <v>0</v>
          </cell>
          <cell r="Y2934">
            <v>0</v>
          </cell>
        </row>
        <row r="2935">
          <cell r="D2935">
            <v>311012</v>
          </cell>
          <cell r="E2935" t="str">
            <v>Tambaliza NHS</v>
          </cell>
          <cell r="F2935">
            <v>1</v>
          </cell>
          <cell r="G2935">
            <v>0</v>
          </cell>
          <cell r="H2935">
            <v>0</v>
          </cell>
          <cell r="I2935">
            <v>0</v>
          </cell>
          <cell r="J2935">
            <v>1</v>
          </cell>
          <cell r="K2935">
            <v>0</v>
          </cell>
          <cell r="L2935">
            <v>0</v>
          </cell>
          <cell r="M2935">
            <v>0</v>
          </cell>
          <cell r="N2935">
            <v>1</v>
          </cell>
          <cell r="O2935">
            <v>0</v>
          </cell>
          <cell r="P2935" t="str">
            <v>JUNE</v>
          </cell>
          <cell r="Q2935">
            <v>0</v>
          </cell>
          <cell r="R2935">
            <v>1</v>
          </cell>
          <cell r="S2935">
            <v>0</v>
          </cell>
          <cell r="T2935">
            <v>0</v>
          </cell>
          <cell r="U2935">
            <v>0</v>
          </cell>
          <cell r="V2935">
            <v>1</v>
          </cell>
          <cell r="W2935">
            <v>7</v>
          </cell>
          <cell r="X2935">
            <v>1</v>
          </cell>
          <cell r="Y2935">
            <v>7</v>
          </cell>
        </row>
        <row r="2936">
          <cell r="D2936">
            <v>302386</v>
          </cell>
          <cell r="E2936" t="str">
            <v>Bungsuan NHS</v>
          </cell>
          <cell r="F2936">
            <v>1</v>
          </cell>
          <cell r="G2936">
            <v>0</v>
          </cell>
          <cell r="H2936">
            <v>1</v>
          </cell>
          <cell r="I2936">
            <v>0</v>
          </cell>
          <cell r="J2936">
            <v>0</v>
          </cell>
          <cell r="K2936">
            <v>0</v>
          </cell>
          <cell r="L2936">
            <v>1</v>
          </cell>
          <cell r="M2936" t="str">
            <v>as needs arises</v>
          </cell>
          <cell r="N2936">
            <v>0</v>
          </cell>
          <cell r="O2936">
            <v>0</v>
          </cell>
          <cell r="P2936" t="str">
            <v>N/A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 t="str">
            <v>N/A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</row>
        <row r="2937">
          <cell r="D2937">
            <v>302391</v>
          </cell>
          <cell r="E2937" t="str">
            <v>Capiz National High School</v>
          </cell>
          <cell r="F2937">
            <v>1</v>
          </cell>
          <cell r="G2937">
            <v>1</v>
          </cell>
          <cell r="H2937">
            <v>1</v>
          </cell>
          <cell r="I2937">
            <v>0</v>
          </cell>
          <cell r="J2937">
            <v>0</v>
          </cell>
          <cell r="K2937">
            <v>1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</row>
        <row r="2938">
          <cell r="D2938">
            <v>302607</v>
          </cell>
          <cell r="E2938" t="str">
            <v>Caningay NHS - Banga Ext.</v>
          </cell>
          <cell r="F2938">
            <v>1</v>
          </cell>
          <cell r="G2938">
            <v>1</v>
          </cell>
          <cell r="H2938">
            <v>1</v>
          </cell>
          <cell r="I2938">
            <v>0</v>
          </cell>
          <cell r="J2938">
            <v>0</v>
          </cell>
          <cell r="K2938">
            <v>1</v>
          </cell>
          <cell r="L2938">
            <v>0</v>
          </cell>
          <cell r="M2938">
            <v>0</v>
          </cell>
          <cell r="N2938">
            <v>1</v>
          </cell>
          <cell r="O2938">
            <v>43702</v>
          </cell>
          <cell r="P2938">
            <v>43617</v>
          </cell>
          <cell r="Q2938">
            <v>0</v>
          </cell>
          <cell r="R2938">
            <v>0</v>
          </cell>
          <cell r="S2938">
            <v>1</v>
          </cell>
          <cell r="T2938">
            <v>0</v>
          </cell>
          <cell r="U2938">
            <v>0</v>
          </cell>
          <cell r="V2938">
            <v>1</v>
          </cell>
          <cell r="W2938">
            <v>0</v>
          </cell>
          <cell r="X2938">
            <v>0</v>
          </cell>
          <cell r="Y2938">
            <v>0</v>
          </cell>
        </row>
        <row r="2939">
          <cell r="D2939">
            <v>302400</v>
          </cell>
          <cell r="E2939" t="str">
            <v>Dulangan NHS</v>
          </cell>
          <cell r="F2939">
            <v>1</v>
          </cell>
          <cell r="G2939">
            <v>1</v>
          </cell>
          <cell r="H2939">
            <v>1</v>
          </cell>
          <cell r="I2939">
            <v>0</v>
          </cell>
          <cell r="J2939">
            <v>1</v>
          </cell>
          <cell r="K2939">
            <v>0</v>
          </cell>
          <cell r="L2939">
            <v>0</v>
          </cell>
          <cell r="M2939">
            <v>0</v>
          </cell>
          <cell r="N2939">
            <v>1</v>
          </cell>
          <cell r="O2939" t="str">
            <v>June 2, 2019</v>
          </cell>
          <cell r="P2939" t="str">
            <v>June 4, 2019</v>
          </cell>
          <cell r="Q2939">
            <v>1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1</v>
          </cell>
          <cell r="W2939">
            <v>4</v>
          </cell>
          <cell r="X2939">
            <v>4</v>
          </cell>
          <cell r="Y2939">
            <v>4</v>
          </cell>
        </row>
        <row r="2940">
          <cell r="D2940">
            <v>302508</v>
          </cell>
          <cell r="E2940" t="str">
            <v>Igtalongon NHS</v>
          </cell>
          <cell r="F2940">
            <v>1</v>
          </cell>
          <cell r="G2940">
            <v>0</v>
          </cell>
          <cell r="H2940">
            <v>1</v>
          </cell>
          <cell r="I2940">
            <v>0</v>
          </cell>
          <cell r="J2940">
            <v>0</v>
          </cell>
          <cell r="K2940">
            <v>1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1</v>
          </cell>
          <cell r="R2940">
            <v>0</v>
          </cell>
          <cell r="S2940">
            <v>1</v>
          </cell>
          <cell r="T2940">
            <v>0</v>
          </cell>
          <cell r="U2940">
            <v>0</v>
          </cell>
          <cell r="V2940">
            <v>1</v>
          </cell>
          <cell r="W2940">
            <v>5</v>
          </cell>
          <cell r="X2940">
            <v>0</v>
          </cell>
          <cell r="Y2940">
            <v>5</v>
          </cell>
        </row>
        <row r="2941">
          <cell r="D2941">
            <v>311503</v>
          </cell>
          <cell r="E2941" t="str">
            <v>Barotac Nuevo NCHS-Tiwi Annex</v>
          </cell>
          <cell r="F2941">
            <v>1</v>
          </cell>
          <cell r="G2941">
            <v>0</v>
          </cell>
          <cell r="H2941">
            <v>1</v>
          </cell>
          <cell r="I2941">
            <v>1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1</v>
          </cell>
          <cell r="O2941">
            <v>43739</v>
          </cell>
          <cell r="P2941">
            <v>0</v>
          </cell>
          <cell r="Q2941">
            <v>1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1</v>
          </cell>
          <cell r="W2941">
            <v>0</v>
          </cell>
          <cell r="X2941">
            <v>0</v>
          </cell>
          <cell r="Y2941">
            <v>0</v>
          </cell>
        </row>
        <row r="2942">
          <cell r="D2942">
            <v>302534</v>
          </cell>
          <cell r="E2942" t="str">
            <v>Mostro NHS</v>
          </cell>
          <cell r="F2942">
            <v>1</v>
          </cell>
          <cell r="G2942">
            <v>1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43647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</row>
        <row r="2943">
          <cell r="D2943">
            <v>302623</v>
          </cell>
          <cell r="E2943" t="str">
            <v>Enrique B. Magalona NHS - San Isidro Ext.</v>
          </cell>
          <cell r="F2943">
            <v>1</v>
          </cell>
          <cell r="G2943">
            <v>1</v>
          </cell>
          <cell r="H2943">
            <v>1</v>
          </cell>
          <cell r="I2943">
            <v>0</v>
          </cell>
          <cell r="J2943">
            <v>1</v>
          </cell>
          <cell r="K2943">
            <v>0</v>
          </cell>
          <cell r="L2943">
            <v>0</v>
          </cell>
          <cell r="M2943">
            <v>0</v>
          </cell>
          <cell r="N2943">
            <v>1</v>
          </cell>
          <cell r="O2943">
            <v>43700</v>
          </cell>
          <cell r="P2943">
            <v>43700</v>
          </cell>
          <cell r="Q2943">
            <v>0</v>
          </cell>
          <cell r="R2943">
            <v>1</v>
          </cell>
          <cell r="S2943">
            <v>0</v>
          </cell>
          <cell r="T2943">
            <v>0</v>
          </cell>
          <cell r="U2943">
            <v>0</v>
          </cell>
          <cell r="V2943">
            <v>1</v>
          </cell>
          <cell r="W2943">
            <v>4</v>
          </cell>
          <cell r="X2943">
            <v>0</v>
          </cell>
          <cell r="Y2943">
            <v>0</v>
          </cell>
        </row>
        <row r="2944">
          <cell r="D2944">
            <v>311108</v>
          </cell>
          <cell r="E2944" t="str">
            <v>Mambagaton National High School</v>
          </cell>
          <cell r="F2944">
            <v>1</v>
          </cell>
          <cell r="G2944">
            <v>1</v>
          </cell>
          <cell r="H2944">
            <v>1</v>
          </cell>
          <cell r="I2944">
            <v>0</v>
          </cell>
          <cell r="J2944">
            <v>1</v>
          </cell>
          <cell r="K2944">
            <v>0</v>
          </cell>
          <cell r="L2944">
            <v>0</v>
          </cell>
          <cell r="M2944">
            <v>0</v>
          </cell>
          <cell r="N2944">
            <v>1</v>
          </cell>
          <cell r="O2944">
            <v>43644</v>
          </cell>
          <cell r="P2944">
            <v>43677</v>
          </cell>
          <cell r="Q2944">
            <v>1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1</v>
          </cell>
          <cell r="W2944">
            <v>5</v>
          </cell>
          <cell r="X2944">
            <v>0</v>
          </cell>
          <cell r="Y2944">
            <v>0</v>
          </cell>
        </row>
        <row r="2945">
          <cell r="D2945">
            <v>302757</v>
          </cell>
          <cell r="E2945" t="str">
            <v>Cong. Ramon A. Arnaldo HS</v>
          </cell>
          <cell r="F2945">
            <v>1</v>
          </cell>
          <cell r="G2945">
            <v>1</v>
          </cell>
          <cell r="H2945">
            <v>1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1</v>
          </cell>
          <cell r="O2945">
            <v>43665</v>
          </cell>
          <cell r="P2945">
            <v>43665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1</v>
          </cell>
          <cell r="W2945">
            <v>0</v>
          </cell>
          <cell r="X2945">
            <v>0</v>
          </cell>
          <cell r="Y2945">
            <v>0</v>
          </cell>
        </row>
        <row r="2946">
          <cell r="D2946">
            <v>302792</v>
          </cell>
          <cell r="E2946" t="str">
            <v>Camansi National High School</v>
          </cell>
          <cell r="F2946">
            <v>1</v>
          </cell>
          <cell r="G2946">
            <v>0</v>
          </cell>
          <cell r="H2946">
            <v>1</v>
          </cell>
          <cell r="I2946">
            <v>0</v>
          </cell>
          <cell r="J2946">
            <v>0</v>
          </cell>
          <cell r="K2946">
            <v>1</v>
          </cell>
          <cell r="L2946">
            <v>0</v>
          </cell>
          <cell r="M2946">
            <v>0</v>
          </cell>
          <cell r="N2946">
            <v>0</v>
          </cell>
          <cell r="O2946" t="str">
            <v>n/a</v>
          </cell>
          <cell r="P2946" t="str">
            <v>n/a</v>
          </cell>
          <cell r="Q2946">
            <v>0</v>
          </cell>
          <cell r="R2946">
            <v>0</v>
          </cell>
          <cell r="S2946">
            <v>1</v>
          </cell>
          <cell r="T2946">
            <v>0</v>
          </cell>
          <cell r="U2946">
            <v>0</v>
          </cell>
          <cell r="V2946">
            <v>1</v>
          </cell>
          <cell r="W2946">
            <v>0</v>
          </cell>
          <cell r="X2946">
            <v>0</v>
          </cell>
          <cell r="Y2946">
            <v>0</v>
          </cell>
        </row>
        <row r="2947">
          <cell r="D2947">
            <v>302606</v>
          </cell>
          <cell r="E2947" t="str">
            <v>Caningay NHS</v>
          </cell>
          <cell r="F2947">
            <v>1</v>
          </cell>
          <cell r="G2947">
            <v>1</v>
          </cell>
          <cell r="H2947">
            <v>1</v>
          </cell>
          <cell r="I2947">
            <v>0</v>
          </cell>
          <cell r="J2947">
            <v>1</v>
          </cell>
          <cell r="K2947">
            <v>0</v>
          </cell>
          <cell r="L2947">
            <v>0</v>
          </cell>
          <cell r="M2947">
            <v>0</v>
          </cell>
          <cell r="N2947">
            <v>1</v>
          </cell>
          <cell r="O2947" t="str">
            <v>05/27/2019</v>
          </cell>
          <cell r="P2947">
            <v>0</v>
          </cell>
          <cell r="Q2947">
            <v>0</v>
          </cell>
          <cell r="R2947">
            <v>1</v>
          </cell>
          <cell r="S2947">
            <v>0</v>
          </cell>
          <cell r="T2947">
            <v>0</v>
          </cell>
          <cell r="U2947">
            <v>0</v>
          </cell>
          <cell r="V2947">
            <v>1</v>
          </cell>
          <cell r="W2947">
            <v>0</v>
          </cell>
          <cell r="X2947">
            <v>0</v>
          </cell>
          <cell r="Y2947">
            <v>0</v>
          </cell>
        </row>
        <row r="2948">
          <cell r="D2948">
            <v>302295</v>
          </cell>
          <cell r="E2948" t="str">
            <v>Boracay NHS-Main</v>
          </cell>
          <cell r="F2948">
            <v>1</v>
          </cell>
          <cell r="G2948">
            <v>1</v>
          </cell>
          <cell r="H2948">
            <v>1</v>
          </cell>
          <cell r="I2948">
            <v>0</v>
          </cell>
          <cell r="J2948">
            <v>1</v>
          </cell>
          <cell r="K2948">
            <v>0</v>
          </cell>
          <cell r="L2948">
            <v>0</v>
          </cell>
          <cell r="M2948">
            <v>0</v>
          </cell>
          <cell r="N2948">
            <v>1</v>
          </cell>
          <cell r="O2948" t="str">
            <v>08/28/2019</v>
          </cell>
          <cell r="P2948" t="str">
            <v>July 2019</v>
          </cell>
          <cell r="Q2948">
            <v>0</v>
          </cell>
          <cell r="R2948">
            <v>1</v>
          </cell>
          <cell r="S2948">
            <v>0</v>
          </cell>
          <cell r="T2948">
            <v>0</v>
          </cell>
          <cell r="U2948">
            <v>0</v>
          </cell>
          <cell r="V2948">
            <v>1</v>
          </cell>
          <cell r="W2948">
            <v>0</v>
          </cell>
          <cell r="X2948">
            <v>0</v>
          </cell>
          <cell r="Y2948">
            <v>0</v>
          </cell>
        </row>
        <row r="2949">
          <cell r="D2949">
            <v>302605</v>
          </cell>
          <cell r="E2949" t="str">
            <v>Camalanda-an NHS</v>
          </cell>
          <cell r="F2949">
            <v>1</v>
          </cell>
          <cell r="G2949">
            <v>1</v>
          </cell>
          <cell r="H2949">
            <v>1</v>
          </cell>
          <cell r="I2949">
            <v>0</v>
          </cell>
          <cell r="J2949">
            <v>1</v>
          </cell>
          <cell r="K2949">
            <v>0</v>
          </cell>
          <cell r="L2949">
            <v>0</v>
          </cell>
          <cell r="M2949">
            <v>0</v>
          </cell>
          <cell r="N2949">
            <v>1</v>
          </cell>
          <cell r="O2949">
            <v>43685</v>
          </cell>
          <cell r="P2949" t="str">
            <v>8/15/2019</v>
          </cell>
          <cell r="Q2949">
            <v>0</v>
          </cell>
          <cell r="R2949">
            <v>1</v>
          </cell>
          <cell r="S2949">
            <v>0</v>
          </cell>
          <cell r="T2949">
            <v>0</v>
          </cell>
          <cell r="U2949">
            <v>0</v>
          </cell>
          <cell r="V2949">
            <v>1</v>
          </cell>
          <cell r="W2949">
            <v>0</v>
          </cell>
          <cell r="X2949">
            <v>0</v>
          </cell>
          <cell r="Y2949">
            <v>0</v>
          </cell>
        </row>
        <row r="2950">
          <cell r="D2950">
            <v>302389</v>
          </cell>
          <cell r="E2950" t="str">
            <v>Camburanan NHS</v>
          </cell>
          <cell r="F2950">
            <v>1</v>
          </cell>
          <cell r="G2950">
            <v>1</v>
          </cell>
          <cell r="H2950">
            <v>1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1</v>
          </cell>
          <cell r="O2950">
            <v>43649</v>
          </cell>
          <cell r="P2950">
            <v>43649</v>
          </cell>
          <cell r="Q2950">
            <v>1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1</v>
          </cell>
          <cell r="W2950">
            <v>5</v>
          </cell>
          <cell r="X2950">
            <v>1</v>
          </cell>
          <cell r="Y2950">
            <v>1</v>
          </cell>
        </row>
        <row r="2951">
          <cell r="D2951">
            <v>302689</v>
          </cell>
          <cell r="E2951" t="str">
            <v>Tabu NHS - Canlamay Ext.</v>
          </cell>
          <cell r="F2951">
            <v>1</v>
          </cell>
          <cell r="G2951">
            <v>0</v>
          </cell>
          <cell r="H2951">
            <v>1</v>
          </cell>
          <cell r="I2951">
            <v>0</v>
          </cell>
          <cell r="J2951">
            <v>1</v>
          </cell>
          <cell r="K2951">
            <v>0</v>
          </cell>
          <cell r="L2951">
            <v>0</v>
          </cell>
          <cell r="M2951">
            <v>0</v>
          </cell>
          <cell r="N2951">
            <v>1</v>
          </cell>
          <cell r="O2951" t="str">
            <v>JULY 6,2019</v>
          </cell>
          <cell r="P2951" t="str">
            <v>AUGUST 19,2019</v>
          </cell>
          <cell r="Q2951">
            <v>0</v>
          </cell>
          <cell r="R2951">
            <v>1</v>
          </cell>
          <cell r="S2951">
            <v>0</v>
          </cell>
          <cell r="T2951">
            <v>0</v>
          </cell>
          <cell r="U2951">
            <v>0</v>
          </cell>
          <cell r="V2951">
            <v>1</v>
          </cell>
          <cell r="W2951">
            <v>2</v>
          </cell>
          <cell r="X2951">
            <v>2</v>
          </cell>
          <cell r="Y2951">
            <v>0</v>
          </cell>
        </row>
        <row r="2952">
          <cell r="D2952">
            <v>302555</v>
          </cell>
          <cell r="E2952" t="str">
            <v>Polopiña NHS</v>
          </cell>
          <cell r="F2952">
            <v>1</v>
          </cell>
          <cell r="G2952">
            <v>1</v>
          </cell>
          <cell r="H2952">
            <v>1</v>
          </cell>
          <cell r="I2952">
            <v>0</v>
          </cell>
          <cell r="J2952">
            <v>1</v>
          </cell>
          <cell r="K2952">
            <v>0</v>
          </cell>
          <cell r="L2952">
            <v>0</v>
          </cell>
          <cell r="M2952">
            <v>0</v>
          </cell>
          <cell r="N2952">
            <v>1</v>
          </cell>
          <cell r="O2952" t="str">
            <v xml:space="preserve"> 10/04/2019</v>
          </cell>
          <cell r="P2952" t="str">
            <v>N/A</v>
          </cell>
          <cell r="Q2952">
            <v>1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1</v>
          </cell>
          <cell r="W2952">
            <v>4</v>
          </cell>
          <cell r="X2952">
            <v>0</v>
          </cell>
          <cell r="Y2952">
            <v>0</v>
          </cell>
        </row>
        <row r="2953">
          <cell r="D2953">
            <v>302418</v>
          </cell>
          <cell r="E2953" t="str">
            <v>Panitan National High School</v>
          </cell>
          <cell r="F2953">
            <v>1</v>
          </cell>
          <cell r="G2953">
            <v>1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1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1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</row>
        <row r="2954">
          <cell r="D2954">
            <v>302646</v>
          </cell>
          <cell r="E2954" t="str">
            <v>Guinpana-an NHS</v>
          </cell>
          <cell r="F2954">
            <v>0</v>
          </cell>
          <cell r="G2954">
            <v>0</v>
          </cell>
          <cell r="H2954">
            <v>1</v>
          </cell>
          <cell r="I2954">
            <v>0</v>
          </cell>
          <cell r="J2954">
            <v>0</v>
          </cell>
          <cell r="K2954">
            <v>1</v>
          </cell>
          <cell r="L2954">
            <v>0</v>
          </cell>
          <cell r="M2954">
            <v>0</v>
          </cell>
          <cell r="N2954">
            <v>1</v>
          </cell>
          <cell r="O2954" t="str">
            <v>June 7, 2019</v>
          </cell>
          <cell r="P2954">
            <v>0</v>
          </cell>
          <cell r="Q2954">
            <v>0</v>
          </cell>
          <cell r="R2954">
            <v>0</v>
          </cell>
          <cell r="S2954">
            <v>1</v>
          </cell>
          <cell r="T2954">
            <v>0</v>
          </cell>
          <cell r="U2954">
            <v>0</v>
          </cell>
          <cell r="V2954">
            <v>1</v>
          </cell>
          <cell r="W2954">
            <v>0</v>
          </cell>
          <cell r="X2954">
            <v>0</v>
          </cell>
          <cell r="Y2954">
            <v>0</v>
          </cell>
        </row>
        <row r="2955">
          <cell r="D2955">
            <v>302543</v>
          </cell>
          <cell r="E2955" t="str">
            <v>Pagdugue National High School</v>
          </cell>
          <cell r="F2955">
            <v>1</v>
          </cell>
          <cell r="G2955">
            <v>0</v>
          </cell>
          <cell r="H2955">
            <v>1</v>
          </cell>
          <cell r="I2955">
            <v>0</v>
          </cell>
          <cell r="J2955">
            <v>0</v>
          </cell>
          <cell r="K2955">
            <v>1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</row>
        <row r="2956">
          <cell r="D2956">
            <v>302648</v>
          </cell>
          <cell r="E2956" t="str">
            <v>Guinpana-an NHS - Odiong Ext.</v>
          </cell>
          <cell r="F2956">
            <v>1</v>
          </cell>
          <cell r="G2956">
            <v>1</v>
          </cell>
          <cell r="H2956">
            <v>1</v>
          </cell>
          <cell r="I2956">
            <v>0</v>
          </cell>
          <cell r="J2956">
            <v>0</v>
          </cell>
          <cell r="K2956">
            <v>1</v>
          </cell>
          <cell r="L2956">
            <v>0</v>
          </cell>
          <cell r="M2956">
            <v>0</v>
          </cell>
          <cell r="N2956">
            <v>1</v>
          </cell>
          <cell r="O2956" t="str">
            <v>6/24/2018</v>
          </cell>
          <cell r="P2956" t="str">
            <v>n/a</v>
          </cell>
          <cell r="Q2956">
            <v>0</v>
          </cell>
          <cell r="R2956">
            <v>0</v>
          </cell>
          <cell r="S2956">
            <v>1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</row>
        <row r="2957">
          <cell r="D2957">
            <v>311007</v>
          </cell>
          <cell r="E2957" t="str">
            <v>Loong NHS</v>
          </cell>
          <cell r="F2957">
            <v>1</v>
          </cell>
          <cell r="G2957">
            <v>1</v>
          </cell>
          <cell r="H2957">
            <v>1</v>
          </cell>
          <cell r="I2957">
            <v>0</v>
          </cell>
          <cell r="J2957">
            <v>1</v>
          </cell>
          <cell r="K2957">
            <v>0</v>
          </cell>
          <cell r="L2957">
            <v>0</v>
          </cell>
          <cell r="M2957">
            <v>0</v>
          </cell>
          <cell r="N2957">
            <v>1</v>
          </cell>
          <cell r="O2957">
            <v>43643</v>
          </cell>
          <cell r="P2957">
            <v>43661</v>
          </cell>
          <cell r="Q2957">
            <v>1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1</v>
          </cell>
          <cell r="W2957">
            <v>2</v>
          </cell>
          <cell r="X2957">
            <v>0</v>
          </cell>
          <cell r="Y2957">
            <v>0</v>
          </cell>
        </row>
        <row r="2958">
          <cell r="D2958">
            <v>302663</v>
          </cell>
          <cell r="E2958" t="str">
            <v>Manapla NHS - Purisima Extension</v>
          </cell>
          <cell r="F2958">
            <v>1</v>
          </cell>
          <cell r="G2958">
            <v>1</v>
          </cell>
          <cell r="H2958">
            <v>1</v>
          </cell>
          <cell r="I2958">
            <v>0</v>
          </cell>
          <cell r="J2958">
            <v>1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>
            <v>0</v>
          </cell>
          <cell r="X2958">
            <v>0</v>
          </cell>
          <cell r="Y2958">
            <v>0</v>
          </cell>
        </row>
        <row r="2959">
          <cell r="D2959">
            <v>302778</v>
          </cell>
          <cell r="E2959" t="str">
            <v>Brgy. Guimbala-on NHS</v>
          </cell>
          <cell r="F2959">
            <v>1</v>
          </cell>
          <cell r="G2959">
            <v>1</v>
          </cell>
          <cell r="H2959">
            <v>1</v>
          </cell>
          <cell r="I2959">
            <v>0</v>
          </cell>
          <cell r="J2959">
            <v>1</v>
          </cell>
          <cell r="K2959">
            <v>0</v>
          </cell>
          <cell r="L2959">
            <v>0</v>
          </cell>
          <cell r="M2959">
            <v>0</v>
          </cell>
          <cell r="N2959">
            <v>1</v>
          </cell>
          <cell r="O2959" t="str">
            <v>07/18/2019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1</v>
          </cell>
          <cell r="X2959">
            <v>0</v>
          </cell>
          <cell r="Y2959">
            <v>0</v>
          </cell>
        </row>
        <row r="2960">
          <cell r="D2960">
            <v>302746</v>
          </cell>
          <cell r="E2960" t="str">
            <v>R. G. Hechanova Memorial NHS</v>
          </cell>
          <cell r="F2960">
            <v>1</v>
          </cell>
          <cell r="G2960">
            <v>0</v>
          </cell>
          <cell r="H2960">
            <v>1</v>
          </cell>
          <cell r="I2960">
            <v>0</v>
          </cell>
          <cell r="J2960">
            <v>0</v>
          </cell>
          <cell r="K2960">
            <v>1</v>
          </cell>
          <cell r="L2960">
            <v>0</v>
          </cell>
          <cell r="M2960">
            <v>0</v>
          </cell>
          <cell r="N2960">
            <v>1</v>
          </cell>
          <cell r="O2960">
            <v>43627</v>
          </cell>
          <cell r="P2960">
            <v>43630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1</v>
          </cell>
          <cell r="W2960">
            <v>5</v>
          </cell>
          <cell r="X2960">
            <v>5</v>
          </cell>
          <cell r="Y2960">
            <v>5</v>
          </cell>
        </row>
        <row r="2961">
          <cell r="D2961">
            <v>302455</v>
          </cell>
          <cell r="E2961" t="str">
            <v>Banate NHS</v>
          </cell>
          <cell r="F2961">
            <v>0</v>
          </cell>
          <cell r="G2961">
            <v>0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</row>
        <row r="2962">
          <cell r="D2962">
            <v>311704</v>
          </cell>
          <cell r="E2962" t="str">
            <v>Don Ynocencio A. Del Rosario National High School formerly Tanque NHS-Dayao Extension</v>
          </cell>
          <cell r="F2962">
            <v>1</v>
          </cell>
          <cell r="G2962">
            <v>1</v>
          </cell>
          <cell r="H2962">
            <v>1</v>
          </cell>
          <cell r="I2962">
            <v>0</v>
          </cell>
          <cell r="J2962">
            <v>1</v>
          </cell>
          <cell r="K2962">
            <v>0</v>
          </cell>
          <cell r="L2962">
            <v>0</v>
          </cell>
          <cell r="M2962">
            <v>0</v>
          </cell>
          <cell r="N2962">
            <v>1</v>
          </cell>
          <cell r="O2962">
            <v>0</v>
          </cell>
          <cell r="P2962">
            <v>0</v>
          </cell>
          <cell r="Q2962">
            <v>0</v>
          </cell>
          <cell r="R2962">
            <v>1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</row>
        <row r="2963">
          <cell r="D2963">
            <v>302456</v>
          </cell>
          <cell r="E2963" t="str">
            <v>Barosong National High School</v>
          </cell>
          <cell r="F2963">
            <v>1</v>
          </cell>
          <cell r="G2963">
            <v>1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</row>
        <row r="2964">
          <cell r="D2964">
            <v>302806</v>
          </cell>
          <cell r="E2964" t="str">
            <v>Efraim M. Santibañez National High School</v>
          </cell>
          <cell r="F2964">
            <v>1</v>
          </cell>
          <cell r="G2964">
            <v>0</v>
          </cell>
          <cell r="H2964">
            <v>1</v>
          </cell>
          <cell r="I2964">
            <v>0</v>
          </cell>
          <cell r="J2964">
            <v>1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 t="str">
            <v>06-15-19</v>
          </cell>
          <cell r="P2964" t="str">
            <v>06-15-19</v>
          </cell>
          <cell r="Q2964">
            <v>0</v>
          </cell>
          <cell r="R2964">
            <v>1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</row>
        <row r="2965">
          <cell r="D2965">
            <v>302783</v>
          </cell>
          <cell r="E2965" t="str">
            <v>Doña Montserrat Lopez MHS - Patag Ext.</v>
          </cell>
          <cell r="F2965">
            <v>1</v>
          </cell>
          <cell r="G2965">
            <v>1</v>
          </cell>
          <cell r="H2965">
            <v>1</v>
          </cell>
          <cell r="I2965">
            <v>0</v>
          </cell>
          <cell r="J2965">
            <v>1</v>
          </cell>
          <cell r="K2965">
            <v>0</v>
          </cell>
          <cell r="L2965">
            <v>0</v>
          </cell>
          <cell r="M2965">
            <v>0</v>
          </cell>
          <cell r="N2965">
            <v>1</v>
          </cell>
          <cell r="O2965">
            <v>43693</v>
          </cell>
          <cell r="P2965">
            <v>43693</v>
          </cell>
          <cell r="Q2965">
            <v>0</v>
          </cell>
          <cell r="R2965">
            <v>1</v>
          </cell>
          <cell r="S2965">
            <v>0</v>
          </cell>
          <cell r="T2965">
            <v>0</v>
          </cell>
          <cell r="U2965">
            <v>0</v>
          </cell>
          <cell r="V2965">
            <v>1</v>
          </cell>
          <cell r="W2965">
            <v>3</v>
          </cell>
          <cell r="X2965">
            <v>0</v>
          </cell>
          <cell r="Y2965">
            <v>0</v>
          </cell>
        </row>
        <row r="2966">
          <cell r="D2966">
            <v>302694</v>
          </cell>
          <cell r="E2966" t="str">
            <v>Valladolid NHS</v>
          </cell>
          <cell r="F2966">
            <v>1</v>
          </cell>
          <cell r="G2966">
            <v>1</v>
          </cell>
          <cell r="H2966">
            <v>1</v>
          </cell>
          <cell r="I2966">
            <v>0</v>
          </cell>
          <cell r="J2966">
            <v>1</v>
          </cell>
          <cell r="K2966">
            <v>0</v>
          </cell>
          <cell r="L2966">
            <v>0</v>
          </cell>
          <cell r="M2966">
            <v>0</v>
          </cell>
          <cell r="N2966">
            <v>1</v>
          </cell>
          <cell r="O2966">
            <v>43709</v>
          </cell>
          <cell r="P2966">
            <v>43678</v>
          </cell>
          <cell r="Q2966">
            <v>1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>
            <v>0</v>
          </cell>
          <cell r="X2966">
            <v>0</v>
          </cell>
          <cell r="Y2966">
            <v>0</v>
          </cell>
        </row>
        <row r="2967">
          <cell r="D2967">
            <v>302530</v>
          </cell>
          <cell r="E2967" t="str">
            <v>Mateo NHS</v>
          </cell>
          <cell r="F2967">
            <v>1</v>
          </cell>
          <cell r="G2967">
            <v>1</v>
          </cell>
          <cell r="H2967">
            <v>1</v>
          </cell>
          <cell r="I2967">
            <v>0</v>
          </cell>
          <cell r="J2967">
            <v>1</v>
          </cell>
          <cell r="K2967">
            <v>0</v>
          </cell>
          <cell r="L2967">
            <v>0</v>
          </cell>
          <cell r="M2967">
            <v>0</v>
          </cell>
          <cell r="N2967">
            <v>1</v>
          </cell>
          <cell r="O2967">
            <v>0</v>
          </cell>
          <cell r="P2967">
            <v>0</v>
          </cell>
          <cell r="Q2967">
            <v>0</v>
          </cell>
          <cell r="R2967">
            <v>1</v>
          </cell>
          <cell r="S2967">
            <v>0</v>
          </cell>
          <cell r="T2967">
            <v>0</v>
          </cell>
          <cell r="U2967">
            <v>0</v>
          </cell>
          <cell r="V2967">
            <v>1</v>
          </cell>
          <cell r="W2967">
            <v>0</v>
          </cell>
          <cell r="X2967">
            <v>0</v>
          </cell>
          <cell r="Y2967">
            <v>0</v>
          </cell>
        </row>
        <row r="2968">
          <cell r="D2968">
            <v>302756</v>
          </cell>
          <cell r="E2968" t="str">
            <v>Balijuagan NHS</v>
          </cell>
          <cell r="F2968">
            <v>1</v>
          </cell>
          <cell r="G2968">
            <v>1</v>
          </cell>
          <cell r="H2968">
            <v>0</v>
          </cell>
          <cell r="I2968">
            <v>1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1</v>
          </cell>
          <cell r="O2968">
            <v>0</v>
          </cell>
          <cell r="P2968">
            <v>0</v>
          </cell>
          <cell r="Q2968">
            <v>1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1</v>
          </cell>
          <cell r="W2968">
            <v>0</v>
          </cell>
          <cell r="X2968">
            <v>0</v>
          </cell>
          <cell r="Y2968">
            <v>0</v>
          </cell>
        </row>
        <row r="2969">
          <cell r="D2969">
            <v>302677</v>
          </cell>
          <cell r="E2969" t="str">
            <v>Pontevedra NHS</v>
          </cell>
          <cell r="F2969">
            <v>1</v>
          </cell>
          <cell r="G2969">
            <v>0</v>
          </cell>
          <cell r="H2969">
            <v>1</v>
          </cell>
          <cell r="I2969">
            <v>0</v>
          </cell>
          <cell r="J2969">
            <v>1</v>
          </cell>
          <cell r="K2969">
            <v>0</v>
          </cell>
          <cell r="L2969">
            <v>0</v>
          </cell>
          <cell r="M2969">
            <v>0</v>
          </cell>
          <cell r="N2969">
            <v>1</v>
          </cell>
          <cell r="O2969">
            <v>43721</v>
          </cell>
          <cell r="P2969">
            <v>43721</v>
          </cell>
          <cell r="Q2969">
            <v>0</v>
          </cell>
          <cell r="R2969">
            <v>1</v>
          </cell>
          <cell r="S2969">
            <v>0</v>
          </cell>
          <cell r="T2969">
            <v>0</v>
          </cell>
          <cell r="U2969">
            <v>0</v>
          </cell>
          <cell r="V2969">
            <v>1</v>
          </cell>
          <cell r="W2969">
            <v>2</v>
          </cell>
          <cell r="X2969">
            <v>2</v>
          </cell>
          <cell r="Y2969">
            <v>0</v>
          </cell>
        </row>
        <row r="2970">
          <cell r="D2970">
            <v>302781</v>
          </cell>
          <cell r="E2970" t="str">
            <v>Brgy. E. Lopez National High School</v>
          </cell>
          <cell r="F2970">
            <v>1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</row>
        <row r="2971">
          <cell r="D2971">
            <v>302448</v>
          </cell>
          <cell r="E2971" t="str">
            <v>Anabo NHS</v>
          </cell>
          <cell r="F2971">
            <v>0</v>
          </cell>
          <cell r="G2971">
            <v>1</v>
          </cell>
          <cell r="H2971">
            <v>0</v>
          </cell>
          <cell r="I2971">
            <v>0</v>
          </cell>
          <cell r="J2971">
            <v>1</v>
          </cell>
          <cell r="K2971">
            <v>0</v>
          </cell>
          <cell r="L2971">
            <v>0</v>
          </cell>
          <cell r="M2971">
            <v>0</v>
          </cell>
          <cell r="N2971">
            <v>1</v>
          </cell>
          <cell r="O2971">
            <v>43617</v>
          </cell>
          <cell r="P2971">
            <v>43617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1</v>
          </cell>
          <cell r="W2971">
            <v>0</v>
          </cell>
          <cell r="X2971">
            <v>0</v>
          </cell>
          <cell r="Y2971">
            <v>0</v>
          </cell>
        </row>
        <row r="2972">
          <cell r="D2972">
            <v>302784</v>
          </cell>
          <cell r="E2972" t="str">
            <v>DONA ANGELES J. MONTINOLA MEMORIAL NATIONAL HIGH SCHOOL</v>
          </cell>
          <cell r="F2972">
            <v>1</v>
          </cell>
          <cell r="G2972">
            <v>1</v>
          </cell>
          <cell r="H2972">
            <v>1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1</v>
          </cell>
          <cell r="O2972" t="str">
            <v>july 10, 2019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1</v>
          </cell>
          <cell r="W2972">
            <v>0</v>
          </cell>
          <cell r="X2972">
            <v>0</v>
          </cell>
          <cell r="Y2972">
            <v>0</v>
          </cell>
        </row>
        <row r="2973">
          <cell r="D2973">
            <v>302399</v>
          </cell>
          <cell r="E2973" t="str">
            <v>Vicente Andaya Sr. NHS</v>
          </cell>
          <cell r="F2973">
            <v>1</v>
          </cell>
          <cell r="G2973">
            <v>1</v>
          </cell>
          <cell r="H2973">
            <v>1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1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1</v>
          </cell>
          <cell r="W2973">
            <v>0</v>
          </cell>
          <cell r="X2973">
            <v>0</v>
          </cell>
          <cell r="Y2973">
            <v>0</v>
          </cell>
        </row>
        <row r="2974">
          <cell r="D2974">
            <v>311023</v>
          </cell>
          <cell r="E2974" t="str">
            <v>Bad-as NHS</v>
          </cell>
          <cell r="F2974">
            <v>1</v>
          </cell>
          <cell r="G2974">
            <v>0</v>
          </cell>
          <cell r="H2974">
            <v>1</v>
          </cell>
          <cell r="I2974">
            <v>0</v>
          </cell>
          <cell r="J2974">
            <v>1</v>
          </cell>
          <cell r="K2974">
            <v>0</v>
          </cell>
          <cell r="L2974">
            <v>0</v>
          </cell>
          <cell r="M2974">
            <v>0</v>
          </cell>
          <cell r="N2974">
            <v>1</v>
          </cell>
          <cell r="O2974" t="str">
            <v>09/13/2019</v>
          </cell>
          <cell r="P2974" t="str">
            <v>N/A</v>
          </cell>
          <cell r="Q2974">
            <v>0</v>
          </cell>
          <cell r="R2974">
            <v>0</v>
          </cell>
          <cell r="S2974">
            <v>0</v>
          </cell>
          <cell r="T2974">
            <v>1</v>
          </cell>
          <cell r="U2974" t="str">
            <v>N/A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</row>
        <row r="2975">
          <cell r="D2975">
            <v>302649</v>
          </cell>
          <cell r="E2975" t="str">
            <v>Himamaylan NHS</v>
          </cell>
          <cell r="F2975">
            <v>1</v>
          </cell>
          <cell r="G2975">
            <v>1</v>
          </cell>
          <cell r="H2975">
            <v>1</v>
          </cell>
          <cell r="I2975">
            <v>0</v>
          </cell>
          <cell r="J2975">
            <v>1</v>
          </cell>
          <cell r="K2975">
            <v>0</v>
          </cell>
          <cell r="L2975">
            <v>0</v>
          </cell>
          <cell r="M2975">
            <v>0</v>
          </cell>
          <cell r="N2975">
            <v>1</v>
          </cell>
          <cell r="O2975" t="str">
            <v>06/24/2019</v>
          </cell>
          <cell r="P2975" t="str">
            <v>06/23/2019</v>
          </cell>
          <cell r="Q2975">
            <v>0</v>
          </cell>
          <cell r="R2975">
            <v>1</v>
          </cell>
          <cell r="S2975">
            <v>0</v>
          </cell>
          <cell r="T2975">
            <v>0</v>
          </cell>
          <cell r="U2975">
            <v>0</v>
          </cell>
          <cell r="V2975">
            <v>1</v>
          </cell>
          <cell r="W2975">
            <v>10</v>
          </cell>
          <cell r="X2975">
            <v>0</v>
          </cell>
          <cell r="Y2975">
            <v>0</v>
          </cell>
        </row>
        <row r="2976">
          <cell r="D2976">
            <v>302444</v>
          </cell>
          <cell r="E2976" t="str">
            <v>Alcarde Gustilo Mem. National High School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</row>
        <row r="2977">
          <cell r="D2977">
            <v>302453</v>
          </cell>
          <cell r="E2977" t="str">
            <v>Badlan National High School</v>
          </cell>
          <cell r="F2977">
            <v>1</v>
          </cell>
          <cell r="G2977">
            <v>1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</row>
        <row r="2978">
          <cell r="D2978">
            <v>302798</v>
          </cell>
          <cell r="E2978" t="str">
            <v>PINAGUINPINAN NHS</v>
          </cell>
          <cell r="F2978">
            <v>1</v>
          </cell>
          <cell r="G2978">
            <v>1</v>
          </cell>
          <cell r="H2978">
            <v>1</v>
          </cell>
          <cell r="I2978">
            <v>0</v>
          </cell>
          <cell r="J2978">
            <v>0</v>
          </cell>
          <cell r="K2978">
            <v>1</v>
          </cell>
          <cell r="L2978">
            <v>0</v>
          </cell>
          <cell r="M2978">
            <v>0</v>
          </cell>
          <cell r="N2978">
            <v>1</v>
          </cell>
          <cell r="O2978" t="str">
            <v>JUNE 20,2019</v>
          </cell>
          <cell r="P2978" t="str">
            <v>JUNE 20, 2019</v>
          </cell>
          <cell r="Q2978">
            <v>0</v>
          </cell>
          <cell r="R2978">
            <v>0</v>
          </cell>
          <cell r="S2978">
            <v>1</v>
          </cell>
          <cell r="T2978">
            <v>0</v>
          </cell>
          <cell r="U2978">
            <v>0</v>
          </cell>
          <cell r="V2978">
            <v>1</v>
          </cell>
          <cell r="W2978">
            <v>20</v>
          </cell>
          <cell r="X2978">
            <v>15</v>
          </cell>
          <cell r="Y2978">
            <v>15</v>
          </cell>
        </row>
        <row r="2979">
          <cell r="D2979">
            <v>302656</v>
          </cell>
          <cell r="E2979" t="str">
            <v>La Castellana NHS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1</v>
          </cell>
          <cell r="M2979" t="str">
            <v>N/A</v>
          </cell>
          <cell r="N2979">
            <v>0</v>
          </cell>
          <cell r="O2979" t="str">
            <v>N/A</v>
          </cell>
          <cell r="P2979" t="str">
            <v>N/A</v>
          </cell>
          <cell r="Q2979">
            <v>0</v>
          </cell>
          <cell r="R2979">
            <v>0</v>
          </cell>
          <cell r="S2979">
            <v>0</v>
          </cell>
          <cell r="T2979">
            <v>1</v>
          </cell>
          <cell r="U2979" t="str">
            <v>N/A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</row>
        <row r="2980">
          <cell r="D2980">
            <v>302610</v>
          </cell>
          <cell r="E2980" t="str">
            <v>Carabalan NHS</v>
          </cell>
          <cell r="F2980">
            <v>1</v>
          </cell>
          <cell r="G2980">
            <v>0</v>
          </cell>
          <cell r="H2980">
            <v>1</v>
          </cell>
          <cell r="I2980">
            <v>0</v>
          </cell>
          <cell r="J2980">
            <v>0</v>
          </cell>
          <cell r="K2980">
            <v>0</v>
          </cell>
          <cell r="L2980">
            <v>1</v>
          </cell>
          <cell r="M2980" t="str">
            <v>As needed</v>
          </cell>
          <cell r="N2980">
            <v>0</v>
          </cell>
          <cell r="O2980" t="str">
            <v>none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1</v>
          </cell>
          <cell r="U2980" t="str">
            <v>As needed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</row>
        <row r="2981">
          <cell r="D2981">
            <v>302637</v>
          </cell>
          <cell r="E2981" t="str">
            <v>Jacinto Montilla Memorial National High School</v>
          </cell>
          <cell r="F2981">
            <v>1</v>
          </cell>
          <cell r="G2981">
            <v>1</v>
          </cell>
          <cell r="H2981">
            <v>1</v>
          </cell>
          <cell r="I2981">
            <v>0</v>
          </cell>
          <cell r="J2981">
            <v>1</v>
          </cell>
          <cell r="K2981">
            <v>0</v>
          </cell>
          <cell r="L2981">
            <v>0</v>
          </cell>
          <cell r="M2981">
            <v>0</v>
          </cell>
          <cell r="N2981">
            <v>1</v>
          </cell>
          <cell r="O2981">
            <v>0</v>
          </cell>
          <cell r="P2981">
            <v>0</v>
          </cell>
          <cell r="Q2981">
            <v>1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1</v>
          </cell>
          <cell r="W2981">
            <v>1</v>
          </cell>
          <cell r="X2981">
            <v>0</v>
          </cell>
          <cell r="Y2981">
            <v>1</v>
          </cell>
        </row>
        <row r="2982">
          <cell r="D2982">
            <v>302417</v>
          </cell>
          <cell r="E2982" t="str">
            <v>Ramon A. Benjamin Sr. National High School</v>
          </cell>
          <cell r="F2982">
            <v>1</v>
          </cell>
          <cell r="G2982">
            <v>1</v>
          </cell>
          <cell r="H2982">
            <v>1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</row>
        <row r="2983">
          <cell r="D2983">
            <v>302670</v>
          </cell>
          <cell r="E2983" t="str">
            <v>Murcia National High School</v>
          </cell>
          <cell r="F2983">
            <v>1</v>
          </cell>
          <cell r="G2983">
            <v>1</v>
          </cell>
          <cell r="H2983">
            <v>1</v>
          </cell>
          <cell r="I2983">
            <v>0</v>
          </cell>
          <cell r="J2983">
            <v>0</v>
          </cell>
          <cell r="K2983">
            <v>1</v>
          </cell>
          <cell r="L2983">
            <v>0</v>
          </cell>
          <cell r="M2983">
            <v>0</v>
          </cell>
          <cell r="N2983">
            <v>1</v>
          </cell>
          <cell r="O2983">
            <v>43620</v>
          </cell>
          <cell r="P2983">
            <v>43647</v>
          </cell>
          <cell r="Q2983">
            <v>0</v>
          </cell>
          <cell r="R2983">
            <v>0</v>
          </cell>
          <cell r="S2983">
            <v>1</v>
          </cell>
          <cell r="T2983">
            <v>0</v>
          </cell>
          <cell r="U2983">
            <v>0</v>
          </cell>
          <cell r="V2983">
            <v>1</v>
          </cell>
          <cell r="W2983">
            <v>4</v>
          </cell>
          <cell r="X2983">
            <v>0</v>
          </cell>
          <cell r="Y2983">
            <v>0</v>
          </cell>
        </row>
        <row r="2984">
          <cell r="D2984">
            <v>302432</v>
          </cell>
          <cell r="E2984" t="str">
            <v>Jordan NHS</v>
          </cell>
          <cell r="F2984">
            <v>1</v>
          </cell>
          <cell r="G2984">
            <v>1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</row>
        <row r="2985">
          <cell r="D2985">
            <v>302617</v>
          </cell>
          <cell r="E2985" t="str">
            <v>Don Hilarion G. Gonzaga MHS</v>
          </cell>
          <cell r="F2985">
            <v>1</v>
          </cell>
          <cell r="G2985">
            <v>1</v>
          </cell>
          <cell r="H2985">
            <v>1</v>
          </cell>
          <cell r="I2985">
            <v>0</v>
          </cell>
          <cell r="J2985">
            <v>1</v>
          </cell>
          <cell r="K2985">
            <v>0</v>
          </cell>
          <cell r="L2985">
            <v>0</v>
          </cell>
          <cell r="M2985">
            <v>0</v>
          </cell>
          <cell r="N2985">
            <v>1</v>
          </cell>
          <cell r="O2985">
            <v>43672</v>
          </cell>
          <cell r="P2985">
            <v>43677</v>
          </cell>
          <cell r="Q2985">
            <v>0</v>
          </cell>
          <cell r="R2985">
            <v>1</v>
          </cell>
          <cell r="S2985">
            <v>0</v>
          </cell>
          <cell r="T2985">
            <v>0</v>
          </cell>
          <cell r="U2985">
            <v>0</v>
          </cell>
          <cell r="V2985">
            <v>1</v>
          </cell>
          <cell r="W2985">
            <v>3</v>
          </cell>
          <cell r="X2985">
            <v>0</v>
          </cell>
          <cell r="Y2985">
            <v>0</v>
          </cell>
        </row>
        <row r="2986">
          <cell r="D2986">
            <v>302671</v>
          </cell>
          <cell r="E2986" t="str">
            <v>Binalbagan National High School</v>
          </cell>
          <cell r="F2986">
            <v>1</v>
          </cell>
          <cell r="G2986">
            <v>1</v>
          </cell>
          <cell r="H2986">
            <v>1</v>
          </cell>
          <cell r="I2986">
            <v>0</v>
          </cell>
          <cell r="J2986">
            <v>1</v>
          </cell>
          <cell r="K2986">
            <v>0</v>
          </cell>
          <cell r="L2986">
            <v>0</v>
          </cell>
          <cell r="M2986">
            <v>0</v>
          </cell>
          <cell r="N2986">
            <v>1</v>
          </cell>
          <cell r="O2986" t="str">
            <v>JUNE 15,2019</v>
          </cell>
          <cell r="P2986" t="str">
            <v>OCTOBER 10, 2019</v>
          </cell>
          <cell r="Q2986">
            <v>1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1</v>
          </cell>
          <cell r="W2986">
            <v>0</v>
          </cell>
          <cell r="X2986">
            <v>0</v>
          </cell>
          <cell r="Y2986">
            <v>0</v>
          </cell>
        </row>
        <row r="2987">
          <cell r="D2987">
            <v>302621</v>
          </cell>
          <cell r="E2987" t="str">
            <v>Enrique B. Magalona NHS</v>
          </cell>
          <cell r="F2987">
            <v>1</v>
          </cell>
          <cell r="G2987">
            <v>1</v>
          </cell>
          <cell r="H2987">
            <v>1</v>
          </cell>
          <cell r="I2987">
            <v>0</v>
          </cell>
          <cell r="J2987">
            <v>1</v>
          </cell>
          <cell r="K2987">
            <v>0</v>
          </cell>
          <cell r="L2987">
            <v>0</v>
          </cell>
          <cell r="M2987">
            <v>0</v>
          </cell>
          <cell r="N2987">
            <v>1</v>
          </cell>
          <cell r="O2987">
            <v>43701</v>
          </cell>
          <cell r="P2987">
            <v>43701</v>
          </cell>
          <cell r="Q2987">
            <v>1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1</v>
          </cell>
          <cell r="W2987">
            <v>6</v>
          </cell>
          <cell r="X2987">
            <v>0</v>
          </cell>
          <cell r="Y2987">
            <v>0</v>
          </cell>
        </row>
        <row r="2988">
          <cell r="D2988">
            <v>302797</v>
          </cell>
          <cell r="E2988" t="str">
            <v>Tabugon NHS</v>
          </cell>
          <cell r="F2988">
            <v>1</v>
          </cell>
          <cell r="G2988">
            <v>0</v>
          </cell>
          <cell r="H2988">
            <v>1</v>
          </cell>
          <cell r="I2988">
            <v>0</v>
          </cell>
          <cell r="J2988">
            <v>0</v>
          </cell>
          <cell r="K2988">
            <v>1</v>
          </cell>
          <cell r="L2988">
            <v>0</v>
          </cell>
          <cell r="M2988">
            <v>0</v>
          </cell>
          <cell r="N2988">
            <v>0</v>
          </cell>
          <cell r="O2988" t="str">
            <v>n/a</v>
          </cell>
          <cell r="P2988" t="str">
            <v>n/a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</row>
        <row r="2989">
          <cell r="D2989">
            <v>302544</v>
          </cell>
          <cell r="E2989" t="str">
            <v>Palaca-Damilisan NHS</v>
          </cell>
          <cell r="F2989">
            <v>1</v>
          </cell>
          <cell r="G2989">
            <v>1</v>
          </cell>
          <cell r="H2989">
            <v>1</v>
          </cell>
          <cell r="I2989">
            <v>1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1</v>
          </cell>
          <cell r="O2989">
            <v>0</v>
          </cell>
          <cell r="P2989">
            <v>0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>
            <v>1</v>
          </cell>
          <cell r="X2989">
            <v>1</v>
          </cell>
          <cell r="Y2989">
            <v>1</v>
          </cell>
        </row>
        <row r="2990">
          <cell r="D2990">
            <v>302403</v>
          </cell>
          <cell r="E2990" t="str">
            <v>Tuburan NHS</v>
          </cell>
          <cell r="F2990">
            <v>1</v>
          </cell>
          <cell r="G2990">
            <v>1</v>
          </cell>
          <cell r="H2990">
            <v>1</v>
          </cell>
          <cell r="I2990">
            <v>0</v>
          </cell>
          <cell r="J2990">
            <v>1</v>
          </cell>
          <cell r="K2990">
            <v>0</v>
          </cell>
          <cell r="L2990">
            <v>0</v>
          </cell>
          <cell r="M2990">
            <v>0</v>
          </cell>
          <cell r="N2990">
            <v>1</v>
          </cell>
          <cell r="O2990">
            <v>43647</v>
          </cell>
          <cell r="P2990">
            <v>43678</v>
          </cell>
          <cell r="Q2990">
            <v>1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1</v>
          </cell>
          <cell r="W2990">
            <v>0</v>
          </cell>
          <cell r="X2990">
            <v>0</v>
          </cell>
          <cell r="Y2990">
            <v>0</v>
          </cell>
        </row>
        <row r="2991">
          <cell r="D2991">
            <v>302532</v>
          </cell>
          <cell r="E2991" t="str">
            <v>Milan NHS</v>
          </cell>
          <cell r="F2991">
            <v>1</v>
          </cell>
          <cell r="G2991">
            <v>1</v>
          </cell>
          <cell r="H2991">
            <v>1</v>
          </cell>
          <cell r="I2991">
            <v>0</v>
          </cell>
          <cell r="J2991">
            <v>1</v>
          </cell>
          <cell r="K2991">
            <v>0</v>
          </cell>
          <cell r="L2991">
            <v>0</v>
          </cell>
          <cell r="M2991">
            <v>0</v>
          </cell>
          <cell r="N2991">
            <v>1</v>
          </cell>
          <cell r="O2991">
            <v>0</v>
          </cell>
          <cell r="P2991" t="str">
            <v>July 10, 2019</v>
          </cell>
          <cell r="Q2991">
            <v>0</v>
          </cell>
          <cell r="R2991">
            <v>1</v>
          </cell>
          <cell r="S2991">
            <v>0</v>
          </cell>
          <cell r="T2991">
            <v>0</v>
          </cell>
          <cell r="U2991">
            <v>0</v>
          </cell>
          <cell r="V2991">
            <v>1</v>
          </cell>
          <cell r="W2991">
            <v>0</v>
          </cell>
          <cell r="X2991">
            <v>0</v>
          </cell>
          <cell r="Y2991">
            <v>0</v>
          </cell>
        </row>
        <row r="2992">
          <cell r="D2992">
            <v>302780</v>
          </cell>
          <cell r="E2992" t="str">
            <v>Doña Montserrat Lopez MHS</v>
          </cell>
          <cell r="F2992">
            <v>1</v>
          </cell>
          <cell r="G2992">
            <v>0</v>
          </cell>
          <cell r="H2992">
            <v>1</v>
          </cell>
          <cell r="I2992">
            <v>1</v>
          </cell>
          <cell r="J2992">
            <v>1</v>
          </cell>
          <cell r="K2992">
            <v>1</v>
          </cell>
          <cell r="L2992">
            <v>0</v>
          </cell>
          <cell r="M2992">
            <v>0</v>
          </cell>
          <cell r="N2992">
            <v>1</v>
          </cell>
          <cell r="O2992">
            <v>43647</v>
          </cell>
          <cell r="P2992" t="str">
            <v>NONE</v>
          </cell>
          <cell r="Q2992">
            <v>0</v>
          </cell>
          <cell r="R2992">
            <v>0</v>
          </cell>
          <cell r="S2992">
            <v>0</v>
          </cell>
          <cell r="T2992">
            <v>1</v>
          </cell>
          <cell r="U2992" t="str">
            <v>NONE</v>
          </cell>
          <cell r="V2992">
            <v>0</v>
          </cell>
          <cell r="W2992">
            <v>50</v>
          </cell>
          <cell r="X2992">
            <v>50</v>
          </cell>
          <cell r="Y2992">
            <v>0</v>
          </cell>
        </row>
        <row r="2993">
          <cell r="D2993">
            <v>302388</v>
          </cell>
          <cell r="E2993" t="str">
            <v>Feliciano Yusay Consing NHS</v>
          </cell>
          <cell r="F2993">
            <v>1</v>
          </cell>
          <cell r="G2993">
            <v>1</v>
          </cell>
          <cell r="H2993">
            <v>1</v>
          </cell>
          <cell r="I2993">
            <v>1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1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</row>
        <row r="2994">
          <cell r="D2994">
            <v>302501</v>
          </cell>
          <cell r="E2994" t="str">
            <v>Esteban S. Javellana MHS</v>
          </cell>
          <cell r="F2994">
            <v>1</v>
          </cell>
          <cell r="G2994">
            <v>1</v>
          </cell>
          <cell r="H2994">
            <v>1</v>
          </cell>
          <cell r="I2994">
            <v>0</v>
          </cell>
          <cell r="J2994">
            <v>1</v>
          </cell>
          <cell r="K2994">
            <v>0</v>
          </cell>
          <cell r="L2994">
            <v>0</v>
          </cell>
          <cell r="M2994">
            <v>0</v>
          </cell>
          <cell r="N2994">
            <v>1</v>
          </cell>
          <cell r="O2994">
            <v>0</v>
          </cell>
          <cell r="P2994">
            <v>0</v>
          </cell>
          <cell r="Q2994">
            <v>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>
            <v>0</v>
          </cell>
          <cell r="X2994">
            <v>0</v>
          </cell>
          <cell r="Y2994">
            <v>0</v>
          </cell>
        </row>
        <row r="2995">
          <cell r="D2995">
            <v>302759</v>
          </cell>
          <cell r="E2995" t="str">
            <v>Dumolog NHS</v>
          </cell>
          <cell r="F2995">
            <v>1</v>
          </cell>
          <cell r="G2995">
            <v>0</v>
          </cell>
          <cell r="H2995">
            <v>1</v>
          </cell>
          <cell r="I2995">
            <v>0</v>
          </cell>
          <cell r="J2995">
            <v>0</v>
          </cell>
          <cell r="K2995">
            <v>1</v>
          </cell>
          <cell r="L2995">
            <v>0</v>
          </cell>
          <cell r="M2995">
            <v>0</v>
          </cell>
          <cell r="N2995">
            <v>1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1</v>
          </cell>
          <cell r="T2995">
            <v>0</v>
          </cell>
          <cell r="U2995">
            <v>0</v>
          </cell>
          <cell r="V2995">
            <v>0</v>
          </cell>
          <cell r="W2995">
            <v>2</v>
          </cell>
          <cell r="X2995">
            <v>0</v>
          </cell>
          <cell r="Y2995">
            <v>0</v>
          </cell>
        </row>
        <row r="2996">
          <cell r="D2996">
            <v>302581</v>
          </cell>
          <cell r="E2996" t="str">
            <v>Tiolas NHS</v>
          </cell>
          <cell r="F2996">
            <v>1</v>
          </cell>
          <cell r="G2996">
            <v>1</v>
          </cell>
          <cell r="H2996">
            <v>1</v>
          </cell>
          <cell r="I2996">
            <v>0</v>
          </cell>
          <cell r="J2996">
            <v>1</v>
          </cell>
          <cell r="K2996">
            <v>0</v>
          </cell>
          <cell r="L2996">
            <v>0</v>
          </cell>
          <cell r="M2996">
            <v>0</v>
          </cell>
          <cell r="N2996">
            <v>1</v>
          </cell>
          <cell r="O2996">
            <v>0</v>
          </cell>
          <cell r="P2996">
            <v>0</v>
          </cell>
          <cell r="Q2996">
            <v>0</v>
          </cell>
          <cell r="R2996">
            <v>1</v>
          </cell>
          <cell r="S2996">
            <v>0</v>
          </cell>
          <cell r="T2996">
            <v>1</v>
          </cell>
          <cell r="U2996">
            <v>0</v>
          </cell>
          <cell r="V2996">
            <v>1</v>
          </cell>
          <cell r="W2996">
            <v>0</v>
          </cell>
          <cell r="X2996">
            <v>0</v>
          </cell>
          <cell r="Y2996">
            <v>0</v>
          </cell>
        </row>
        <row r="2997">
          <cell r="D2997">
            <v>302481</v>
          </cell>
          <cell r="E2997" t="str">
            <v>CARVASANA  NHS</v>
          </cell>
          <cell r="F2997">
            <v>1</v>
          </cell>
          <cell r="G2997">
            <v>1</v>
          </cell>
          <cell r="H2997">
            <v>1</v>
          </cell>
          <cell r="I2997">
            <v>0</v>
          </cell>
          <cell r="J2997">
            <v>1</v>
          </cell>
          <cell r="K2997">
            <v>0</v>
          </cell>
          <cell r="L2997">
            <v>0</v>
          </cell>
          <cell r="M2997">
            <v>0</v>
          </cell>
          <cell r="N2997">
            <v>1</v>
          </cell>
          <cell r="O2997" t="str">
            <v>03/20/2019</v>
          </cell>
          <cell r="P2997" t="str">
            <v>03/20/2019</v>
          </cell>
          <cell r="Q2997">
            <v>0</v>
          </cell>
          <cell r="R2997">
            <v>1</v>
          </cell>
          <cell r="S2997">
            <v>0</v>
          </cell>
          <cell r="T2997">
            <v>0</v>
          </cell>
          <cell r="U2997">
            <v>0</v>
          </cell>
          <cell r="V2997">
            <v>1</v>
          </cell>
          <cell r="W2997">
            <v>0</v>
          </cell>
          <cell r="X2997">
            <v>0</v>
          </cell>
          <cell r="Y2997">
            <v>0</v>
          </cell>
        </row>
        <row r="2998">
          <cell r="D2998">
            <v>302556</v>
          </cell>
          <cell r="E2998" t="str">
            <v>Pototan National Comprehensive High School</v>
          </cell>
          <cell r="F2998">
            <v>1</v>
          </cell>
          <cell r="G2998">
            <v>1</v>
          </cell>
          <cell r="H2998">
            <v>1</v>
          </cell>
          <cell r="I2998">
            <v>0</v>
          </cell>
          <cell r="J2998">
            <v>1</v>
          </cell>
          <cell r="K2998">
            <v>0</v>
          </cell>
          <cell r="L2998">
            <v>0</v>
          </cell>
          <cell r="M2998">
            <v>0</v>
          </cell>
          <cell r="N2998">
            <v>1</v>
          </cell>
          <cell r="O2998">
            <v>43763</v>
          </cell>
          <cell r="P2998">
            <v>43742</v>
          </cell>
          <cell r="Q2998">
            <v>1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1</v>
          </cell>
          <cell r="W2998">
            <v>10</v>
          </cell>
          <cell r="X2998">
            <v>10</v>
          </cell>
          <cell r="Y2998">
            <v>10</v>
          </cell>
        </row>
        <row r="2999">
          <cell r="D2999">
            <v>500197</v>
          </cell>
          <cell r="E2999" t="str">
            <v>Lantawan Integrated School</v>
          </cell>
          <cell r="F2999">
            <v>1</v>
          </cell>
          <cell r="G2999">
            <v>0</v>
          </cell>
          <cell r="H2999">
            <v>1</v>
          </cell>
          <cell r="I2999">
            <v>0</v>
          </cell>
          <cell r="J2999">
            <v>0</v>
          </cell>
          <cell r="K2999">
            <v>1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</row>
        <row r="3000">
          <cell r="D3000">
            <v>312101</v>
          </cell>
          <cell r="E3000" t="str">
            <v>TAN-AWAN NATIONAL HIGH SCHOOL</v>
          </cell>
          <cell r="F3000">
            <v>1</v>
          </cell>
          <cell r="G3000">
            <v>1</v>
          </cell>
          <cell r="H3000">
            <v>1</v>
          </cell>
          <cell r="I3000">
            <v>0</v>
          </cell>
          <cell r="J3000">
            <v>0</v>
          </cell>
          <cell r="K3000">
            <v>1</v>
          </cell>
          <cell r="L3000">
            <v>0</v>
          </cell>
          <cell r="M3000">
            <v>0</v>
          </cell>
          <cell r="N3000">
            <v>1</v>
          </cell>
          <cell r="O3000">
            <v>43651</v>
          </cell>
          <cell r="P3000">
            <v>43661</v>
          </cell>
          <cell r="Q3000">
            <v>0</v>
          </cell>
          <cell r="R3000">
            <v>0</v>
          </cell>
          <cell r="S3000">
            <v>1</v>
          </cell>
          <cell r="T3000">
            <v>0</v>
          </cell>
          <cell r="U3000">
            <v>0</v>
          </cell>
          <cell r="V3000">
            <v>1</v>
          </cell>
          <cell r="W3000">
            <v>0</v>
          </cell>
          <cell r="X3000">
            <v>0</v>
          </cell>
          <cell r="Y3000">
            <v>0</v>
          </cell>
        </row>
        <row r="3001">
          <cell r="D3001">
            <v>302392</v>
          </cell>
          <cell r="E3001" t="str">
            <v>Casanayan National High School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</row>
        <row r="3002">
          <cell r="D3002">
            <v>302410</v>
          </cell>
          <cell r="E3002" t="str">
            <v>Leodegario D. Deocampo Sr. NHS</v>
          </cell>
          <cell r="F3002">
            <v>1</v>
          </cell>
          <cell r="G3002">
            <v>0</v>
          </cell>
          <cell r="H3002">
            <v>1</v>
          </cell>
          <cell r="I3002">
            <v>0</v>
          </cell>
          <cell r="J3002">
            <v>1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 t="str">
            <v>REFER TO 2C</v>
          </cell>
          <cell r="Q3002">
            <v>0</v>
          </cell>
          <cell r="R3002">
            <v>0</v>
          </cell>
          <cell r="S3002">
            <v>0</v>
          </cell>
          <cell r="T3002">
            <v>1</v>
          </cell>
          <cell r="U3002" t="str">
            <v>REFER TO 2C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</row>
        <row r="3003">
          <cell r="D3003">
            <v>302629</v>
          </cell>
          <cell r="E3003" t="str">
            <v>Eva J. Montilla NHS</v>
          </cell>
          <cell r="F3003">
            <v>1</v>
          </cell>
          <cell r="G3003">
            <v>1</v>
          </cell>
          <cell r="H3003">
            <v>1</v>
          </cell>
          <cell r="I3003">
            <v>0</v>
          </cell>
          <cell r="J3003">
            <v>0</v>
          </cell>
          <cell r="K3003">
            <v>0</v>
          </cell>
          <cell r="L3003">
            <v>1</v>
          </cell>
          <cell r="M3003" t="str">
            <v>AS THE NEED ARISES</v>
          </cell>
          <cell r="N3003">
            <v>1</v>
          </cell>
          <cell r="O3003">
            <v>43620</v>
          </cell>
          <cell r="P3003">
            <v>43661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1</v>
          </cell>
          <cell r="W3003">
            <v>0</v>
          </cell>
          <cell r="X3003">
            <v>0</v>
          </cell>
          <cell r="Y3003">
            <v>0</v>
          </cell>
        </row>
        <row r="3004">
          <cell r="D3004">
            <v>302803</v>
          </cell>
          <cell r="E3004" t="str">
            <v>Gemumua-Agahon National High School</v>
          </cell>
          <cell r="F3004">
            <v>1</v>
          </cell>
          <cell r="G3004">
            <v>1</v>
          </cell>
          <cell r="H3004">
            <v>1</v>
          </cell>
          <cell r="I3004">
            <v>0</v>
          </cell>
          <cell r="J3004">
            <v>0</v>
          </cell>
          <cell r="K3004">
            <v>1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1</v>
          </cell>
          <cell r="S3004">
            <v>0</v>
          </cell>
          <cell r="T3004">
            <v>0</v>
          </cell>
          <cell r="U3004">
            <v>0</v>
          </cell>
          <cell r="V3004">
            <v>1</v>
          </cell>
          <cell r="W3004">
            <v>0</v>
          </cell>
          <cell r="X3004">
            <v>0</v>
          </cell>
          <cell r="Y3004">
            <v>0</v>
          </cell>
        </row>
        <row r="3005">
          <cell r="D3005">
            <v>302755</v>
          </cell>
          <cell r="E3005" t="str">
            <v>Bago National HIgh School</v>
          </cell>
          <cell r="F3005">
            <v>1</v>
          </cell>
          <cell r="G3005">
            <v>0</v>
          </cell>
          <cell r="H3005">
            <v>1</v>
          </cell>
          <cell r="I3005">
            <v>0</v>
          </cell>
          <cell r="J3005">
            <v>1</v>
          </cell>
          <cell r="K3005">
            <v>0</v>
          </cell>
          <cell r="L3005">
            <v>0</v>
          </cell>
          <cell r="M3005">
            <v>0</v>
          </cell>
          <cell r="N3005">
            <v>1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</row>
        <row r="3006">
          <cell r="D3006">
            <v>302658</v>
          </cell>
          <cell r="E3006" t="str">
            <v>Labilabi NHS</v>
          </cell>
          <cell r="F3006">
            <v>1</v>
          </cell>
          <cell r="G3006">
            <v>0</v>
          </cell>
          <cell r="H3006">
            <v>1</v>
          </cell>
          <cell r="I3006">
            <v>0</v>
          </cell>
          <cell r="J3006">
            <v>1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 t="str">
            <v>n/a</v>
          </cell>
          <cell r="P3006" t="str">
            <v>n/a</v>
          </cell>
          <cell r="Q3006">
            <v>0</v>
          </cell>
          <cell r="R3006">
            <v>1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</row>
        <row r="3007">
          <cell r="D3007">
            <v>302563</v>
          </cell>
          <cell r="E3007" t="str">
            <v>San Enrique Manuel Paluay, Sr. MHS</v>
          </cell>
          <cell r="F3007">
            <v>1</v>
          </cell>
          <cell r="G3007">
            <v>0</v>
          </cell>
          <cell r="H3007">
            <v>1</v>
          </cell>
          <cell r="I3007">
            <v>1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1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1</v>
          </cell>
          <cell r="W3007">
            <v>0</v>
          </cell>
          <cell r="X3007">
            <v>0</v>
          </cell>
          <cell r="Y3007">
            <v>0</v>
          </cell>
        </row>
        <row r="3008">
          <cell r="D3008">
            <v>302666</v>
          </cell>
          <cell r="E3008" t="str">
            <v>Nabulao NHS - Maricalum Ext.</v>
          </cell>
          <cell r="F3008">
            <v>1</v>
          </cell>
          <cell r="G3008">
            <v>1</v>
          </cell>
          <cell r="H3008">
            <v>1</v>
          </cell>
          <cell r="I3008">
            <v>1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1</v>
          </cell>
          <cell r="O3008">
            <v>43637</v>
          </cell>
          <cell r="P3008">
            <v>0</v>
          </cell>
          <cell r="Q3008">
            <v>1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1</v>
          </cell>
          <cell r="W3008">
            <v>0</v>
          </cell>
          <cell r="X3008">
            <v>0</v>
          </cell>
          <cell r="Y3008">
            <v>0</v>
          </cell>
        </row>
        <row r="3009">
          <cell r="D3009">
            <v>302665</v>
          </cell>
          <cell r="E3009" t="str">
            <v>Nabulao NHS - Cayhagan Extension</v>
          </cell>
          <cell r="F3009">
            <v>1</v>
          </cell>
          <cell r="G3009">
            <v>1</v>
          </cell>
          <cell r="H3009">
            <v>1</v>
          </cell>
          <cell r="I3009">
            <v>0</v>
          </cell>
          <cell r="J3009">
            <v>0</v>
          </cell>
          <cell r="K3009">
            <v>1</v>
          </cell>
          <cell r="L3009">
            <v>0</v>
          </cell>
          <cell r="M3009">
            <v>0</v>
          </cell>
          <cell r="N3009">
            <v>1</v>
          </cell>
          <cell r="O3009" t="str">
            <v>June 21, 2019</v>
          </cell>
          <cell r="P3009">
            <v>43647</v>
          </cell>
          <cell r="Q3009">
            <v>0</v>
          </cell>
          <cell r="R3009">
            <v>1</v>
          </cell>
          <cell r="S3009">
            <v>0</v>
          </cell>
          <cell r="T3009">
            <v>0</v>
          </cell>
          <cell r="U3009">
            <v>0</v>
          </cell>
          <cell r="V3009">
            <v>1</v>
          </cell>
          <cell r="W3009">
            <v>2</v>
          </cell>
          <cell r="X3009">
            <v>2</v>
          </cell>
          <cell r="Y3009">
            <v>0</v>
          </cell>
        </row>
        <row r="3010">
          <cell r="D3010">
            <v>302594</v>
          </cell>
          <cell r="E3010" t="str">
            <v>Bocana NHS - Galicia Ext.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</row>
        <row r="3011">
          <cell r="D3011">
            <v>302632</v>
          </cell>
          <cell r="E3011" t="str">
            <v>GIL MONTILLA NATIONAL HIGH SCHOOL</v>
          </cell>
          <cell r="F3011">
            <v>1</v>
          </cell>
          <cell r="G3011">
            <v>0</v>
          </cell>
          <cell r="H3011">
            <v>1</v>
          </cell>
          <cell r="I3011">
            <v>0</v>
          </cell>
          <cell r="J3011">
            <v>0</v>
          </cell>
          <cell r="K3011">
            <v>0</v>
          </cell>
          <cell r="L3011">
            <v>1</v>
          </cell>
          <cell r="M3011" t="str">
            <v>WHEN PROBLEM ARISES</v>
          </cell>
          <cell r="N3011">
            <v>1</v>
          </cell>
          <cell r="O3011" t="str">
            <v>07/23/2018</v>
          </cell>
          <cell r="P3011" t="str">
            <v>09/14/2018</v>
          </cell>
          <cell r="Q3011">
            <v>1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1</v>
          </cell>
          <cell r="W3011">
            <v>0</v>
          </cell>
          <cell r="X3011">
            <v>0</v>
          </cell>
          <cell r="Y3011">
            <v>0</v>
          </cell>
        </row>
        <row r="3012">
          <cell r="D3012">
            <v>302760</v>
          </cell>
          <cell r="E3012" t="str">
            <v>Milibili NHS</v>
          </cell>
          <cell r="F3012">
            <v>1</v>
          </cell>
          <cell r="G3012">
            <v>1</v>
          </cell>
          <cell r="H3012">
            <v>1</v>
          </cell>
          <cell r="I3012">
            <v>0</v>
          </cell>
          <cell r="J3012">
            <v>1</v>
          </cell>
          <cell r="K3012">
            <v>0</v>
          </cell>
          <cell r="L3012">
            <v>0</v>
          </cell>
          <cell r="M3012">
            <v>0</v>
          </cell>
          <cell r="N3012">
            <v>1</v>
          </cell>
          <cell r="O3012" t="str">
            <v>08/24/2019</v>
          </cell>
          <cell r="P3012">
            <v>43710</v>
          </cell>
          <cell r="Q3012">
            <v>1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1</v>
          </cell>
          <cell r="W3012">
            <v>0</v>
          </cell>
          <cell r="X3012">
            <v>0</v>
          </cell>
          <cell r="Y3012">
            <v>0</v>
          </cell>
        </row>
        <row r="3013">
          <cell r="D3013">
            <v>302419</v>
          </cell>
          <cell r="E3013" t="str">
            <v>Marciano M. Patricio (Pilar)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</row>
        <row r="3014">
          <cell r="D3014">
            <v>302758</v>
          </cell>
          <cell r="E3014" t="str">
            <v>Culasi NHS</v>
          </cell>
          <cell r="F3014">
            <v>1</v>
          </cell>
          <cell r="G3014">
            <v>1</v>
          </cell>
          <cell r="H3014">
            <v>1</v>
          </cell>
          <cell r="I3014">
            <v>0</v>
          </cell>
          <cell r="J3014">
            <v>0</v>
          </cell>
          <cell r="K3014">
            <v>1</v>
          </cell>
          <cell r="L3014">
            <v>0</v>
          </cell>
          <cell r="M3014">
            <v>0</v>
          </cell>
          <cell r="N3014">
            <v>1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1</v>
          </cell>
          <cell r="T3014">
            <v>0</v>
          </cell>
          <cell r="U3014">
            <v>0</v>
          </cell>
          <cell r="V3014">
            <v>1</v>
          </cell>
          <cell r="W3014">
            <v>0</v>
          </cell>
          <cell r="X3014">
            <v>0</v>
          </cell>
          <cell r="Y3014">
            <v>0</v>
          </cell>
        </row>
        <row r="3015">
          <cell r="D3015">
            <v>302732</v>
          </cell>
          <cell r="E3015" t="str">
            <v>SPED High School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</row>
        <row r="3016">
          <cell r="D3016">
            <v>302636</v>
          </cell>
          <cell r="E3016" t="str">
            <v>Gil Montilla NHS - Camindangan Ext.</v>
          </cell>
          <cell r="F3016">
            <v>1</v>
          </cell>
          <cell r="G3016">
            <v>1</v>
          </cell>
          <cell r="H3016">
            <v>1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1</v>
          </cell>
          <cell r="O3016">
            <v>43622</v>
          </cell>
          <cell r="P3016">
            <v>0</v>
          </cell>
          <cell r="Q3016">
            <v>0</v>
          </cell>
          <cell r="R3016">
            <v>1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</row>
        <row r="3017">
          <cell r="D3017">
            <v>311109</v>
          </cell>
          <cell r="E3017" t="str">
            <v>Molobolo National High School</v>
          </cell>
          <cell r="F3017">
            <v>1</v>
          </cell>
          <cell r="G3017">
            <v>1</v>
          </cell>
          <cell r="H3017">
            <v>1</v>
          </cell>
          <cell r="I3017">
            <v>0</v>
          </cell>
          <cell r="J3017">
            <v>0</v>
          </cell>
          <cell r="K3017">
            <v>1</v>
          </cell>
          <cell r="L3017">
            <v>0</v>
          </cell>
          <cell r="M3017">
            <v>0</v>
          </cell>
          <cell r="N3017">
            <v>1</v>
          </cell>
          <cell r="O3017" t="str">
            <v>AUGUST 16, 2019</v>
          </cell>
          <cell r="P3017" t="str">
            <v>OCTOBER 4, 2019</v>
          </cell>
          <cell r="Q3017">
            <v>0</v>
          </cell>
          <cell r="R3017">
            <v>1</v>
          </cell>
          <cell r="S3017">
            <v>0</v>
          </cell>
          <cell r="T3017">
            <v>0</v>
          </cell>
          <cell r="U3017">
            <v>0</v>
          </cell>
          <cell r="V3017">
            <v>1</v>
          </cell>
          <cell r="W3017">
            <v>1</v>
          </cell>
          <cell r="X3017">
            <v>0</v>
          </cell>
          <cell r="Y3017">
            <v>0</v>
          </cell>
        </row>
        <row r="3018">
          <cell r="D3018">
            <v>302777</v>
          </cell>
          <cell r="E3018" t="str">
            <v>Sipaway National High School</v>
          </cell>
          <cell r="F3018">
            <v>1</v>
          </cell>
          <cell r="G3018">
            <v>1</v>
          </cell>
          <cell r="H3018">
            <v>1</v>
          </cell>
          <cell r="I3018">
            <v>1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1</v>
          </cell>
          <cell r="O3018" t="str">
            <v>OCTOBER 3, 2019</v>
          </cell>
          <cell r="P3018">
            <v>0</v>
          </cell>
          <cell r="Q3018">
            <v>1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</row>
        <row r="3019">
          <cell r="D3019">
            <v>302499</v>
          </cell>
          <cell r="E3019" t="str">
            <v>Escalantera NHS</v>
          </cell>
          <cell r="F3019">
            <v>1</v>
          </cell>
          <cell r="G3019">
            <v>0</v>
          </cell>
          <cell r="H3019">
            <v>1</v>
          </cell>
          <cell r="I3019">
            <v>0</v>
          </cell>
          <cell r="J3019">
            <v>0</v>
          </cell>
          <cell r="K3019">
            <v>1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1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</row>
        <row r="3020">
          <cell r="D3020">
            <v>311103</v>
          </cell>
          <cell r="E3020" t="str">
            <v>Cabacungan NHS - Masulog Ext.</v>
          </cell>
          <cell r="F3020">
            <v>0</v>
          </cell>
          <cell r="G3020">
            <v>0</v>
          </cell>
          <cell r="H3020">
            <v>1</v>
          </cell>
          <cell r="I3020">
            <v>0</v>
          </cell>
          <cell r="J3020">
            <v>1</v>
          </cell>
          <cell r="K3020">
            <v>0</v>
          </cell>
          <cell r="L3020">
            <v>0</v>
          </cell>
          <cell r="M3020">
            <v>0</v>
          </cell>
          <cell r="N3020">
            <v>1</v>
          </cell>
          <cell r="O3020">
            <v>43626</v>
          </cell>
          <cell r="P3020">
            <v>43641</v>
          </cell>
          <cell r="Q3020">
            <v>0</v>
          </cell>
          <cell r="R3020">
            <v>1</v>
          </cell>
          <cell r="S3020">
            <v>0</v>
          </cell>
          <cell r="T3020">
            <v>0</v>
          </cell>
          <cell r="U3020">
            <v>0</v>
          </cell>
          <cell r="V3020">
            <v>1</v>
          </cell>
          <cell r="W3020">
            <v>0</v>
          </cell>
          <cell r="X3020">
            <v>0</v>
          </cell>
          <cell r="Y3020">
            <v>0</v>
          </cell>
        </row>
        <row r="3021">
          <cell r="D3021">
            <v>302602</v>
          </cell>
          <cell r="E3021" t="str">
            <v>Cabacungan NHS</v>
          </cell>
          <cell r="F3021">
            <v>1</v>
          </cell>
          <cell r="G3021">
            <v>0</v>
          </cell>
          <cell r="H3021">
            <v>1</v>
          </cell>
          <cell r="I3021">
            <v>0</v>
          </cell>
          <cell r="J3021">
            <v>1</v>
          </cell>
          <cell r="K3021">
            <v>0</v>
          </cell>
          <cell r="L3021">
            <v>0</v>
          </cell>
          <cell r="M3021">
            <v>0</v>
          </cell>
          <cell r="N3021">
            <v>1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1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</row>
        <row r="3022">
          <cell r="D3022">
            <v>302437</v>
          </cell>
          <cell r="E3022" t="str">
            <v>Dr. Catalino Gallego Nava Memorial High School</v>
          </cell>
          <cell r="F3022">
            <v>1</v>
          </cell>
          <cell r="G3022">
            <v>0</v>
          </cell>
          <cell r="H3022">
            <v>1</v>
          </cell>
          <cell r="I3022">
            <v>0</v>
          </cell>
          <cell r="J3022">
            <v>0</v>
          </cell>
          <cell r="K3022">
            <v>0</v>
          </cell>
          <cell r="L3022">
            <v>1</v>
          </cell>
          <cell r="M3022" t="str">
            <v>as the need arise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</row>
        <row r="3023">
          <cell r="D3023">
            <v>302631</v>
          </cell>
          <cell r="E3023" t="str">
            <v>Florentina F. Caña Recto NHS - Caliling Ext.</v>
          </cell>
          <cell r="F3023">
            <v>1</v>
          </cell>
          <cell r="G3023">
            <v>1</v>
          </cell>
          <cell r="H3023">
            <v>1</v>
          </cell>
          <cell r="I3023">
            <v>0</v>
          </cell>
          <cell r="J3023">
            <v>1</v>
          </cell>
          <cell r="K3023">
            <v>0</v>
          </cell>
          <cell r="L3023">
            <v>0</v>
          </cell>
          <cell r="M3023">
            <v>0</v>
          </cell>
          <cell r="N3023">
            <v>1</v>
          </cell>
          <cell r="O3023">
            <v>43700</v>
          </cell>
          <cell r="P3023">
            <v>43745</v>
          </cell>
          <cell r="Q3023">
            <v>0</v>
          </cell>
          <cell r="R3023">
            <v>1</v>
          </cell>
          <cell r="S3023">
            <v>0</v>
          </cell>
          <cell r="T3023">
            <v>0</v>
          </cell>
          <cell r="U3023">
            <v>0</v>
          </cell>
          <cell r="V3023">
            <v>1</v>
          </cell>
          <cell r="W3023">
            <v>0</v>
          </cell>
          <cell r="X3023">
            <v>0</v>
          </cell>
          <cell r="Y3023">
            <v>0</v>
          </cell>
        </row>
        <row r="3024">
          <cell r="D3024">
            <v>302685</v>
          </cell>
          <cell r="E3024" t="str">
            <v>San Isidro NHS</v>
          </cell>
          <cell r="F3024">
            <v>1</v>
          </cell>
          <cell r="G3024">
            <v>0</v>
          </cell>
          <cell r="H3024">
            <v>1</v>
          </cell>
          <cell r="I3024">
            <v>0</v>
          </cell>
          <cell r="J3024">
            <v>0</v>
          </cell>
          <cell r="K3024">
            <v>0</v>
          </cell>
          <cell r="L3024">
            <v>1</v>
          </cell>
          <cell r="M3024" t="str">
            <v>seldom</v>
          </cell>
          <cell r="N3024">
            <v>0</v>
          </cell>
          <cell r="O3024" t="str">
            <v>n/a</v>
          </cell>
          <cell r="P3024" t="str">
            <v>n/a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</row>
        <row r="3025">
          <cell r="D3025">
            <v>302657</v>
          </cell>
          <cell r="E3025" t="str">
            <v>Manghanoy National High School</v>
          </cell>
          <cell r="F3025">
            <v>0</v>
          </cell>
          <cell r="G3025">
            <v>0</v>
          </cell>
          <cell r="H3025">
            <v>1</v>
          </cell>
          <cell r="I3025">
            <v>0</v>
          </cell>
          <cell r="J3025">
            <v>0</v>
          </cell>
          <cell r="K3025">
            <v>1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</row>
        <row r="3026">
          <cell r="D3026">
            <v>310801</v>
          </cell>
          <cell r="E3026" t="str">
            <v>Bag - ong Barrio NHS</v>
          </cell>
          <cell r="F3026">
            <v>1</v>
          </cell>
          <cell r="G3026">
            <v>1</v>
          </cell>
          <cell r="H3026">
            <v>1</v>
          </cell>
          <cell r="I3026">
            <v>0</v>
          </cell>
          <cell r="J3026">
            <v>1</v>
          </cell>
          <cell r="K3026">
            <v>0</v>
          </cell>
          <cell r="L3026">
            <v>0</v>
          </cell>
          <cell r="M3026">
            <v>0</v>
          </cell>
          <cell r="N3026">
            <v>1</v>
          </cell>
          <cell r="O3026">
            <v>0</v>
          </cell>
          <cell r="P3026">
            <v>0</v>
          </cell>
          <cell r="Q3026">
            <v>0</v>
          </cell>
          <cell r="R3026">
            <v>1</v>
          </cell>
          <cell r="S3026">
            <v>0</v>
          </cell>
          <cell r="T3026">
            <v>0</v>
          </cell>
          <cell r="U3026">
            <v>0</v>
          </cell>
          <cell r="V3026">
            <v>1</v>
          </cell>
          <cell r="W3026">
            <v>0</v>
          </cell>
          <cell r="X3026">
            <v>0</v>
          </cell>
          <cell r="Y3026">
            <v>0</v>
          </cell>
        </row>
        <row r="3027">
          <cell r="D3027">
            <v>302360</v>
          </cell>
          <cell r="E3027" t="str">
            <v>Igcado NHS</v>
          </cell>
          <cell r="F3027">
            <v>1</v>
          </cell>
          <cell r="G3027">
            <v>1</v>
          </cell>
          <cell r="H3027">
            <v>1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1</v>
          </cell>
          <cell r="O3027">
            <v>43768</v>
          </cell>
          <cell r="P3027">
            <v>43768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1</v>
          </cell>
          <cell r="W3027">
            <v>2</v>
          </cell>
          <cell r="X3027">
            <v>0</v>
          </cell>
          <cell r="Y3027">
            <v>0</v>
          </cell>
        </row>
        <row r="3028">
          <cell r="D3028">
            <v>302794</v>
          </cell>
          <cell r="E3028" t="str">
            <v>Inapoy NHS</v>
          </cell>
          <cell r="F3028">
            <v>1</v>
          </cell>
          <cell r="G3028">
            <v>0</v>
          </cell>
          <cell r="H3028">
            <v>1</v>
          </cell>
          <cell r="I3028">
            <v>0</v>
          </cell>
          <cell r="J3028">
            <v>0</v>
          </cell>
          <cell r="K3028">
            <v>0</v>
          </cell>
          <cell r="L3028">
            <v>1</v>
          </cell>
          <cell r="M3028" t="str">
            <v xml:space="preserve">when need arises </v>
          </cell>
          <cell r="N3028">
            <v>1</v>
          </cell>
          <cell r="O3028" t="str">
            <v>June 19, 2019</v>
          </cell>
          <cell r="P3028" t="str">
            <v>June 19,2019</v>
          </cell>
          <cell r="Q3028">
            <v>0</v>
          </cell>
          <cell r="R3028">
            <v>0</v>
          </cell>
          <cell r="S3028">
            <v>0</v>
          </cell>
          <cell r="T3028">
            <v>1</v>
          </cell>
          <cell r="U3028" t="str">
            <v>when need arises</v>
          </cell>
          <cell r="V3028">
            <v>1</v>
          </cell>
          <cell r="W3028">
            <v>3</v>
          </cell>
          <cell r="X3028">
            <v>0</v>
          </cell>
          <cell r="Y3028">
            <v>0</v>
          </cell>
        </row>
        <row r="3029">
          <cell r="D3029">
            <v>312102</v>
          </cell>
          <cell r="E3029" t="str">
            <v>Bantayan NHS - Baras Diutay Ext.</v>
          </cell>
          <cell r="F3029">
            <v>1</v>
          </cell>
          <cell r="G3029">
            <v>1</v>
          </cell>
          <cell r="H3029">
            <v>1</v>
          </cell>
          <cell r="I3029">
            <v>1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1</v>
          </cell>
          <cell r="O3029">
            <v>43665</v>
          </cell>
          <cell r="P3029">
            <v>43619</v>
          </cell>
          <cell r="Q3029">
            <v>1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1</v>
          </cell>
          <cell r="W3029">
            <v>0</v>
          </cell>
          <cell r="X3029">
            <v>0</v>
          </cell>
          <cell r="Y3029">
            <v>0</v>
          </cell>
        </row>
        <row r="3030">
          <cell r="D3030">
            <v>302713</v>
          </cell>
          <cell r="E3030" t="str">
            <v>Jovito H. Sayson NHS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1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1</v>
          </cell>
          <cell r="U3030" t="str">
            <v>None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</row>
        <row r="3031">
          <cell r="D3031">
            <v>311803</v>
          </cell>
          <cell r="E3031" t="str">
            <v>Gloria Poblador dela Paz National High School</v>
          </cell>
          <cell r="F3031">
            <v>0</v>
          </cell>
          <cell r="G3031">
            <v>0</v>
          </cell>
          <cell r="H3031">
            <v>1</v>
          </cell>
          <cell r="I3031">
            <v>0</v>
          </cell>
          <cell r="J3031">
            <v>1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 t="str">
            <v>NONE</v>
          </cell>
          <cell r="Q3031">
            <v>0</v>
          </cell>
          <cell r="R3031">
            <v>0</v>
          </cell>
          <cell r="S3031">
            <v>0</v>
          </cell>
          <cell r="T3031">
            <v>1</v>
          </cell>
          <cell r="U3031" t="str">
            <v>NONE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</row>
        <row r="3032">
          <cell r="D3032">
            <v>302554</v>
          </cell>
          <cell r="E3032" t="str">
            <v>Pitogo National High School</v>
          </cell>
          <cell r="F3032">
            <v>0</v>
          </cell>
          <cell r="G3032">
            <v>0</v>
          </cell>
          <cell r="H3032">
            <v>1</v>
          </cell>
          <cell r="I3032">
            <v>0</v>
          </cell>
          <cell r="J3032">
            <v>1</v>
          </cell>
          <cell r="K3032">
            <v>0</v>
          </cell>
          <cell r="L3032">
            <v>0</v>
          </cell>
          <cell r="M3032">
            <v>0</v>
          </cell>
          <cell r="N3032">
            <v>1</v>
          </cell>
          <cell r="O3032" t="str">
            <v>9/25/2019</v>
          </cell>
          <cell r="P3032" t="str">
            <v>N/A</v>
          </cell>
          <cell r="Q3032">
            <v>0</v>
          </cell>
          <cell r="R3032">
            <v>0</v>
          </cell>
          <cell r="S3032">
            <v>0</v>
          </cell>
          <cell r="T3032">
            <v>1</v>
          </cell>
          <cell r="U3032" t="str">
            <v>NONE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</row>
        <row r="3033">
          <cell r="D3033">
            <v>302668</v>
          </cell>
          <cell r="E3033" t="str">
            <v>Negros Occ. NAISHI</v>
          </cell>
          <cell r="F3033">
            <v>1</v>
          </cell>
          <cell r="G3033">
            <v>1</v>
          </cell>
          <cell r="H3033">
            <v>1</v>
          </cell>
          <cell r="I3033">
            <v>1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1</v>
          </cell>
          <cell r="O3033">
            <v>43685</v>
          </cell>
          <cell r="P3033" t="str">
            <v>Last August 09, 2019</v>
          </cell>
          <cell r="Q3033">
            <v>0</v>
          </cell>
          <cell r="R3033">
            <v>0</v>
          </cell>
          <cell r="S3033">
            <v>0</v>
          </cell>
          <cell r="T3033">
            <v>1</v>
          </cell>
          <cell r="U3033" t="str">
            <v>Weekly</v>
          </cell>
          <cell r="V3033">
            <v>1</v>
          </cell>
          <cell r="W3033">
            <v>34</v>
          </cell>
          <cell r="X3033">
            <v>34</v>
          </cell>
          <cell r="Y3033">
            <v>34</v>
          </cell>
        </row>
        <row r="3034">
          <cell r="D3034">
            <v>302638</v>
          </cell>
          <cell r="E3034" t="str">
            <v>Gil Montilla NHS - Cartagena Ext.</v>
          </cell>
          <cell r="F3034">
            <v>1</v>
          </cell>
          <cell r="G3034">
            <v>0</v>
          </cell>
          <cell r="H3034">
            <v>1</v>
          </cell>
          <cell r="I3034">
            <v>0</v>
          </cell>
          <cell r="J3034">
            <v>1</v>
          </cell>
          <cell r="K3034">
            <v>0</v>
          </cell>
          <cell r="L3034">
            <v>0</v>
          </cell>
          <cell r="M3034">
            <v>0</v>
          </cell>
          <cell r="N3034">
            <v>1</v>
          </cell>
          <cell r="O3034">
            <v>43472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</row>
        <row r="3035">
          <cell r="D3035">
            <v>302672</v>
          </cell>
          <cell r="E3035" t="str">
            <v>Binalbagan NHS - Santol Ext.</v>
          </cell>
          <cell r="F3035">
            <v>1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1</v>
          </cell>
          <cell r="U3035" t="str">
            <v>none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</row>
        <row r="3036">
          <cell r="D3036">
            <v>302704</v>
          </cell>
          <cell r="E3036" t="str">
            <v>Romanito Maravilla NHS</v>
          </cell>
          <cell r="F3036">
            <v>0</v>
          </cell>
          <cell r="G3036">
            <v>0</v>
          </cell>
          <cell r="H3036">
            <v>1</v>
          </cell>
          <cell r="I3036">
            <v>1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1</v>
          </cell>
          <cell r="O3036" t="str">
            <v>July 31, 2019</v>
          </cell>
          <cell r="P3036" t="str">
            <v xml:space="preserve">August 9, 2019 </v>
          </cell>
          <cell r="Q3036">
            <v>1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1</v>
          </cell>
          <cell r="W3036">
            <v>0</v>
          </cell>
          <cell r="X3036">
            <v>0</v>
          </cell>
          <cell r="Y3036">
            <v>0</v>
          </cell>
        </row>
        <row r="3037">
          <cell r="D3037">
            <v>302647</v>
          </cell>
          <cell r="E3037" t="str">
            <v>Guinpana-an National High School - Mamballo Extension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</row>
        <row r="3038">
          <cell r="D3038">
            <v>311101</v>
          </cell>
          <cell r="E3038" t="str">
            <v>Binalbagan NHS - NOSOF Ext.</v>
          </cell>
          <cell r="F3038">
            <v>1</v>
          </cell>
          <cell r="G3038">
            <v>1</v>
          </cell>
          <cell r="H3038">
            <v>1</v>
          </cell>
          <cell r="I3038">
            <v>0</v>
          </cell>
          <cell r="J3038">
            <v>1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1</v>
          </cell>
          <cell r="T3038">
            <v>0</v>
          </cell>
          <cell r="U3038">
            <v>0</v>
          </cell>
          <cell r="V3038">
            <v>1</v>
          </cell>
          <cell r="W3038">
            <v>0</v>
          </cell>
          <cell r="X3038">
            <v>0</v>
          </cell>
          <cell r="Y3038">
            <v>0</v>
          </cell>
        </row>
        <row r="3039">
          <cell r="D3039">
            <v>302408</v>
          </cell>
          <cell r="E3039" t="str">
            <v>Jagnaya NHS</v>
          </cell>
          <cell r="F3039">
            <v>1</v>
          </cell>
          <cell r="G3039">
            <v>1</v>
          </cell>
          <cell r="H3039">
            <v>1</v>
          </cell>
          <cell r="I3039">
            <v>0</v>
          </cell>
          <cell r="J3039">
            <v>1</v>
          </cell>
          <cell r="K3039">
            <v>0</v>
          </cell>
          <cell r="L3039">
            <v>0</v>
          </cell>
          <cell r="M3039">
            <v>0</v>
          </cell>
          <cell r="N3039">
            <v>1</v>
          </cell>
          <cell r="O3039">
            <v>0</v>
          </cell>
          <cell r="P3039">
            <v>43679</v>
          </cell>
          <cell r="Q3039">
            <v>1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1</v>
          </cell>
          <cell r="W3039">
            <v>6</v>
          </cell>
          <cell r="X3039">
            <v>1</v>
          </cell>
          <cell r="Y3039">
            <v>0</v>
          </cell>
        </row>
        <row r="3040">
          <cell r="D3040">
            <v>302619</v>
          </cell>
          <cell r="E3040" t="str">
            <v>Dr. Antonio A. Lizares NHS</v>
          </cell>
          <cell r="F3040">
            <v>1</v>
          </cell>
          <cell r="G3040">
            <v>1</v>
          </cell>
          <cell r="H3040">
            <v>1</v>
          </cell>
          <cell r="I3040">
            <v>0</v>
          </cell>
          <cell r="J3040">
            <v>1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 t="str">
            <v>FEBRUARY 28, 2019</v>
          </cell>
          <cell r="P3040" t="str">
            <v>none</v>
          </cell>
          <cell r="Q3040">
            <v>0</v>
          </cell>
          <cell r="R3040">
            <v>0</v>
          </cell>
          <cell r="S3040">
            <v>0</v>
          </cell>
          <cell r="T3040">
            <v>1</v>
          </cell>
          <cell r="U3040" t="str">
            <v>Not yet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</row>
        <row r="3041">
          <cell r="D3041">
            <v>500190</v>
          </cell>
          <cell r="E3041" t="str">
            <v>Fr. Gratian Murray, AFSC IS</v>
          </cell>
          <cell r="F3041">
            <v>1</v>
          </cell>
          <cell r="G3041">
            <v>1</v>
          </cell>
          <cell r="H3041">
            <v>1</v>
          </cell>
          <cell r="I3041">
            <v>0</v>
          </cell>
          <cell r="J3041">
            <v>1</v>
          </cell>
          <cell r="K3041">
            <v>0</v>
          </cell>
          <cell r="L3041">
            <v>0</v>
          </cell>
          <cell r="M3041">
            <v>0</v>
          </cell>
          <cell r="N3041">
            <v>1</v>
          </cell>
          <cell r="O3041">
            <v>43586</v>
          </cell>
          <cell r="P3041">
            <v>43586</v>
          </cell>
          <cell r="Q3041">
            <v>0</v>
          </cell>
          <cell r="R3041">
            <v>0</v>
          </cell>
          <cell r="S3041">
            <v>1</v>
          </cell>
          <cell r="T3041">
            <v>0</v>
          </cell>
          <cell r="U3041">
            <v>0</v>
          </cell>
          <cell r="V3041">
            <v>1</v>
          </cell>
          <cell r="W3041">
            <v>4</v>
          </cell>
          <cell r="X3041">
            <v>0</v>
          </cell>
          <cell r="Y3041">
            <v>0</v>
          </cell>
        </row>
        <row r="3042">
          <cell r="D3042">
            <v>302714</v>
          </cell>
          <cell r="E3042" t="str">
            <v>Mansilingan Agro-Ind. HS</v>
          </cell>
          <cell r="F3042">
            <v>1</v>
          </cell>
          <cell r="G3042">
            <v>1</v>
          </cell>
          <cell r="H3042">
            <v>1</v>
          </cell>
          <cell r="I3042">
            <v>1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1</v>
          </cell>
          <cell r="O3042">
            <v>43593</v>
          </cell>
          <cell r="P3042" t="str">
            <v>NONE</v>
          </cell>
          <cell r="Q3042">
            <v>0</v>
          </cell>
          <cell r="R3042">
            <v>0</v>
          </cell>
          <cell r="S3042">
            <v>0</v>
          </cell>
          <cell r="T3042">
            <v>1</v>
          </cell>
          <cell r="U3042" t="str">
            <v>NONE</v>
          </cell>
          <cell r="V3042">
            <v>1</v>
          </cell>
          <cell r="W3042">
            <v>0</v>
          </cell>
          <cell r="X3042">
            <v>0</v>
          </cell>
          <cell r="Y3042">
            <v>0</v>
          </cell>
        </row>
        <row r="3043">
          <cell r="D3043">
            <v>311020</v>
          </cell>
          <cell r="E3043" t="str">
            <v>Caninguan NHS</v>
          </cell>
          <cell r="F3043">
            <v>1</v>
          </cell>
          <cell r="G3043">
            <v>1</v>
          </cell>
          <cell r="H3043">
            <v>1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1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1</v>
          </cell>
          <cell r="W3043">
            <v>0</v>
          </cell>
          <cell r="X3043">
            <v>0</v>
          </cell>
          <cell r="Y3043">
            <v>0</v>
          </cell>
        </row>
        <row r="3044">
          <cell r="D3044">
            <v>311003</v>
          </cell>
          <cell r="E3044" t="str">
            <v>Jayobo National High School</v>
          </cell>
          <cell r="F3044">
            <v>1</v>
          </cell>
          <cell r="G3044">
            <v>1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2</v>
          </cell>
          <cell r="X3044">
            <v>2</v>
          </cell>
          <cell r="Y3044">
            <v>2</v>
          </cell>
        </row>
        <row r="3045">
          <cell r="D3045">
            <v>302774</v>
          </cell>
          <cell r="E3045" t="str">
            <v>Don Carlos Ledesma NHS</v>
          </cell>
          <cell r="F3045">
            <v>1</v>
          </cell>
          <cell r="G3045">
            <v>1</v>
          </cell>
          <cell r="H3045">
            <v>1</v>
          </cell>
          <cell r="I3045">
            <v>1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1</v>
          </cell>
          <cell r="O3045">
            <v>0</v>
          </cell>
          <cell r="P3045">
            <v>0</v>
          </cell>
          <cell r="Q3045">
            <v>0</v>
          </cell>
          <cell r="R3045">
            <v>1</v>
          </cell>
          <cell r="S3045">
            <v>0</v>
          </cell>
          <cell r="T3045">
            <v>0</v>
          </cell>
          <cell r="U3045">
            <v>0</v>
          </cell>
          <cell r="V3045">
            <v>1</v>
          </cell>
          <cell r="W3045">
            <v>0</v>
          </cell>
          <cell r="X3045">
            <v>0</v>
          </cell>
          <cell r="Y3045">
            <v>0</v>
          </cell>
        </row>
        <row r="3046">
          <cell r="D3046">
            <v>302712</v>
          </cell>
          <cell r="E3046" t="str">
            <v>Handumanan NHS</v>
          </cell>
          <cell r="F3046">
            <v>0</v>
          </cell>
          <cell r="G3046">
            <v>0</v>
          </cell>
          <cell r="H3046">
            <v>1</v>
          </cell>
          <cell r="I3046">
            <v>0</v>
          </cell>
          <cell r="J3046">
            <v>1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</row>
        <row r="3047">
          <cell r="D3047">
            <v>500195</v>
          </cell>
          <cell r="E3047" t="str">
            <v>Sofronio A. Cordovero Integrated School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</row>
        <row r="3048">
          <cell r="D3048">
            <v>302715</v>
          </cell>
          <cell r="E3048" t="str">
            <v>Paglaum Village NHS</v>
          </cell>
          <cell r="F3048">
            <v>1</v>
          </cell>
          <cell r="G3048">
            <v>0</v>
          </cell>
          <cell r="H3048">
            <v>1</v>
          </cell>
          <cell r="I3048">
            <v>0</v>
          </cell>
          <cell r="J3048">
            <v>1</v>
          </cell>
          <cell r="K3048">
            <v>0</v>
          </cell>
          <cell r="L3048">
            <v>0</v>
          </cell>
          <cell r="M3048">
            <v>0</v>
          </cell>
          <cell r="N3048">
            <v>1</v>
          </cell>
          <cell r="O3048">
            <v>43622</v>
          </cell>
          <cell r="P3048" t="str">
            <v>NA</v>
          </cell>
          <cell r="Q3048">
            <v>0</v>
          </cell>
          <cell r="R3048">
            <v>0</v>
          </cell>
          <cell r="S3048">
            <v>1</v>
          </cell>
          <cell r="T3048">
            <v>0</v>
          </cell>
          <cell r="U3048">
            <v>0</v>
          </cell>
          <cell r="V3048">
            <v>1</v>
          </cell>
          <cell r="W3048">
            <v>0</v>
          </cell>
          <cell r="X3048">
            <v>0</v>
          </cell>
          <cell r="Y3048">
            <v>0</v>
          </cell>
        </row>
        <row r="3049">
          <cell r="D3049">
            <v>302776</v>
          </cell>
          <cell r="E3049" t="str">
            <v>Quezon NHS</v>
          </cell>
          <cell r="F3049">
            <v>1</v>
          </cell>
          <cell r="G3049">
            <v>1</v>
          </cell>
          <cell r="H3049">
            <v>1</v>
          </cell>
          <cell r="I3049">
            <v>0</v>
          </cell>
          <cell r="J3049">
            <v>0</v>
          </cell>
          <cell r="K3049">
            <v>1</v>
          </cell>
          <cell r="L3049">
            <v>0</v>
          </cell>
          <cell r="M3049">
            <v>0</v>
          </cell>
          <cell r="N3049">
            <v>1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1</v>
          </cell>
          <cell r="T3049">
            <v>0</v>
          </cell>
          <cell r="U3049">
            <v>0</v>
          </cell>
          <cell r="V3049">
            <v>1</v>
          </cell>
          <cell r="W3049">
            <v>0</v>
          </cell>
          <cell r="X3049">
            <v>0</v>
          </cell>
          <cell r="Y3049">
            <v>0</v>
          </cell>
        </row>
        <row r="3050">
          <cell r="D3050">
            <v>302398</v>
          </cell>
          <cell r="E3050" t="str">
            <v>Felix Balgos NHS</v>
          </cell>
          <cell r="F3050">
            <v>1</v>
          </cell>
          <cell r="G3050">
            <v>1</v>
          </cell>
          <cell r="H3050">
            <v>1</v>
          </cell>
          <cell r="I3050">
            <v>0</v>
          </cell>
          <cell r="J3050">
            <v>1</v>
          </cell>
          <cell r="K3050">
            <v>0</v>
          </cell>
          <cell r="L3050">
            <v>0</v>
          </cell>
          <cell r="M3050">
            <v>0</v>
          </cell>
          <cell r="N3050">
            <v>1</v>
          </cell>
          <cell r="O3050">
            <v>43686</v>
          </cell>
          <cell r="P3050">
            <v>43658</v>
          </cell>
          <cell r="Q3050">
            <v>1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1</v>
          </cell>
          <cell r="W3050">
            <v>0</v>
          </cell>
          <cell r="X3050">
            <v>0</v>
          </cell>
          <cell r="Y3050">
            <v>0</v>
          </cell>
        </row>
        <row r="3051">
          <cell r="D3051">
            <v>302706</v>
          </cell>
          <cell r="E3051" t="str">
            <v>Emiliano Lizares NHS</v>
          </cell>
          <cell r="F3051">
            <v>1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</row>
        <row r="3052">
          <cell r="D3052">
            <v>302709</v>
          </cell>
          <cell r="E3052" t="str">
            <v>Luis Hervias NHS</v>
          </cell>
          <cell r="F3052">
            <v>1</v>
          </cell>
          <cell r="G3052">
            <v>1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</row>
        <row r="3053">
          <cell r="D3053">
            <v>302327</v>
          </cell>
          <cell r="E3053" t="str">
            <v>Numancia National Sch. Of Fisheries</v>
          </cell>
          <cell r="F3053">
            <v>1</v>
          </cell>
          <cell r="G3053">
            <v>1</v>
          </cell>
          <cell r="H3053">
            <v>1</v>
          </cell>
          <cell r="I3053">
            <v>1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1</v>
          </cell>
          <cell r="O3053" t="str">
            <v>JUNE with GPTA Officers</v>
          </cell>
          <cell r="P3053">
            <v>43644</v>
          </cell>
          <cell r="Q3053">
            <v>1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1</v>
          </cell>
          <cell r="W3053">
            <v>4</v>
          </cell>
          <cell r="X3053">
            <v>2</v>
          </cell>
          <cell r="Y3053">
            <v>2</v>
          </cell>
        </row>
        <row r="3054">
          <cell r="D3054">
            <v>302592</v>
          </cell>
          <cell r="E3054" t="str">
            <v>Biao National High School</v>
          </cell>
          <cell r="F3054">
            <v>1</v>
          </cell>
          <cell r="G3054">
            <v>1</v>
          </cell>
          <cell r="H3054">
            <v>1</v>
          </cell>
          <cell r="I3054">
            <v>0</v>
          </cell>
          <cell r="J3054">
            <v>1</v>
          </cell>
          <cell r="K3054">
            <v>0</v>
          </cell>
          <cell r="L3054">
            <v>0</v>
          </cell>
          <cell r="M3054">
            <v>0</v>
          </cell>
          <cell r="N3054">
            <v>1</v>
          </cell>
          <cell r="O3054">
            <v>43710</v>
          </cell>
          <cell r="P3054" t="str">
            <v>10/28/2019</v>
          </cell>
          <cell r="Q3054">
            <v>1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1</v>
          </cell>
          <cell r="W3054">
            <v>1</v>
          </cell>
          <cell r="X3054">
            <v>0</v>
          </cell>
          <cell r="Y3054">
            <v>0</v>
          </cell>
        </row>
        <row r="3055">
          <cell r="D3055">
            <v>302716</v>
          </cell>
          <cell r="E3055" t="str">
            <v>Sum-ag National High School</v>
          </cell>
          <cell r="F3055">
            <v>1</v>
          </cell>
          <cell r="G3055">
            <v>1</v>
          </cell>
          <cell r="H3055">
            <v>1</v>
          </cell>
          <cell r="I3055">
            <v>0</v>
          </cell>
          <cell r="J3055">
            <v>1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 t="str">
            <v>07/19/2019</v>
          </cell>
          <cell r="Q3055">
            <v>0</v>
          </cell>
          <cell r="R3055">
            <v>1</v>
          </cell>
          <cell r="S3055">
            <v>0</v>
          </cell>
          <cell r="T3055">
            <v>0</v>
          </cell>
          <cell r="U3055">
            <v>0</v>
          </cell>
          <cell r="V3055">
            <v>1</v>
          </cell>
          <cell r="W3055">
            <v>0</v>
          </cell>
          <cell r="X3055">
            <v>0</v>
          </cell>
          <cell r="Y3055">
            <v>0</v>
          </cell>
        </row>
        <row r="3056">
          <cell r="D3056">
            <v>302700</v>
          </cell>
          <cell r="E3056" t="str">
            <v>Alangilan NHS</v>
          </cell>
          <cell r="F3056">
            <v>1</v>
          </cell>
          <cell r="G3056">
            <v>1</v>
          </cell>
          <cell r="H3056">
            <v>1</v>
          </cell>
          <cell r="I3056">
            <v>0</v>
          </cell>
          <cell r="J3056">
            <v>1</v>
          </cell>
          <cell r="K3056">
            <v>0</v>
          </cell>
          <cell r="L3056">
            <v>0</v>
          </cell>
          <cell r="M3056">
            <v>0</v>
          </cell>
          <cell r="N3056">
            <v>1</v>
          </cell>
          <cell r="O3056" t="str">
            <v>JUNE 19, 2019</v>
          </cell>
          <cell r="P3056" t="str">
            <v>JULY 31,2019</v>
          </cell>
          <cell r="Q3056">
            <v>0</v>
          </cell>
          <cell r="R3056">
            <v>1</v>
          </cell>
          <cell r="S3056">
            <v>0</v>
          </cell>
          <cell r="T3056">
            <v>0</v>
          </cell>
          <cell r="U3056">
            <v>0</v>
          </cell>
          <cell r="V3056">
            <v>1</v>
          </cell>
          <cell r="W3056">
            <v>12</v>
          </cell>
          <cell r="X3056">
            <v>0</v>
          </cell>
          <cell r="Y3056">
            <v>0</v>
          </cell>
        </row>
        <row r="3057">
          <cell r="D3057">
            <v>302313</v>
          </cell>
          <cell r="E3057" t="str">
            <v>Linabuan NHS</v>
          </cell>
          <cell r="F3057">
            <v>1</v>
          </cell>
          <cell r="G3057">
            <v>1</v>
          </cell>
          <cell r="H3057">
            <v>1</v>
          </cell>
          <cell r="I3057">
            <v>1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1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1</v>
          </cell>
          <cell r="W3057">
            <v>0</v>
          </cell>
          <cell r="X3057">
            <v>0</v>
          </cell>
          <cell r="Y3057">
            <v>0</v>
          </cell>
        </row>
        <row r="3058">
          <cell r="D3058">
            <v>302682</v>
          </cell>
          <cell r="E3058" t="str">
            <v>Sofronio Carmona Mem. NHS</v>
          </cell>
          <cell r="F3058">
            <v>1</v>
          </cell>
          <cell r="G3058">
            <v>1</v>
          </cell>
          <cell r="H3058">
            <v>1</v>
          </cell>
          <cell r="I3058">
            <v>0</v>
          </cell>
          <cell r="J3058">
            <v>1</v>
          </cell>
          <cell r="K3058">
            <v>0</v>
          </cell>
          <cell r="L3058">
            <v>0</v>
          </cell>
          <cell r="M3058">
            <v>0</v>
          </cell>
          <cell r="N3058">
            <v>1</v>
          </cell>
          <cell r="O3058">
            <v>0</v>
          </cell>
          <cell r="P3058" t="str">
            <v>N/A</v>
          </cell>
          <cell r="Q3058">
            <v>0</v>
          </cell>
          <cell r="R3058">
            <v>0</v>
          </cell>
          <cell r="S3058">
            <v>1</v>
          </cell>
          <cell r="T3058">
            <v>0</v>
          </cell>
          <cell r="U3058">
            <v>0</v>
          </cell>
          <cell r="V3058">
            <v>1</v>
          </cell>
          <cell r="W3058">
            <v>5</v>
          </cell>
          <cell r="X3058">
            <v>5</v>
          </cell>
          <cell r="Y3058">
            <v>5</v>
          </cell>
        </row>
        <row r="3059">
          <cell r="D3059">
            <v>302705</v>
          </cell>
          <cell r="E3059" t="str">
            <v>Domingo Lacson NHS</v>
          </cell>
          <cell r="F3059">
            <v>1</v>
          </cell>
          <cell r="G3059">
            <v>0</v>
          </cell>
          <cell r="H3059">
            <v>1</v>
          </cell>
          <cell r="I3059">
            <v>0</v>
          </cell>
          <cell r="J3059">
            <v>0</v>
          </cell>
          <cell r="K3059">
            <v>1</v>
          </cell>
          <cell r="L3059">
            <v>1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</row>
        <row r="3060">
          <cell r="D3060">
            <v>302320</v>
          </cell>
          <cell r="E3060" t="str">
            <v>Maloco NHS</v>
          </cell>
          <cell r="F3060">
            <v>1</v>
          </cell>
          <cell r="G3060">
            <v>0</v>
          </cell>
          <cell r="H3060">
            <v>1</v>
          </cell>
          <cell r="I3060">
            <v>0</v>
          </cell>
          <cell r="J3060">
            <v>0</v>
          </cell>
          <cell r="K3060">
            <v>1</v>
          </cell>
          <cell r="L3060">
            <v>0</v>
          </cell>
          <cell r="M3060">
            <v>0</v>
          </cell>
          <cell r="N3060">
            <v>1</v>
          </cell>
          <cell r="O3060">
            <v>43651</v>
          </cell>
          <cell r="P3060">
            <v>43686</v>
          </cell>
          <cell r="Q3060">
            <v>0</v>
          </cell>
          <cell r="R3060">
            <v>0</v>
          </cell>
          <cell r="S3060">
            <v>1</v>
          </cell>
          <cell r="T3060">
            <v>0</v>
          </cell>
          <cell r="U3060">
            <v>0</v>
          </cell>
          <cell r="V3060">
            <v>1</v>
          </cell>
          <cell r="W3060">
            <v>0</v>
          </cell>
          <cell r="X3060">
            <v>0</v>
          </cell>
          <cell r="Y3060">
            <v>0</v>
          </cell>
        </row>
        <row r="3061">
          <cell r="D3061">
            <v>500189</v>
          </cell>
          <cell r="E3061" t="str">
            <v>M. G. Medalla Integrated School</v>
          </cell>
          <cell r="F3061">
            <v>1</v>
          </cell>
          <cell r="G3061">
            <v>1</v>
          </cell>
          <cell r="H3061">
            <v>1</v>
          </cell>
          <cell r="I3061">
            <v>0</v>
          </cell>
          <cell r="J3061">
            <v>1</v>
          </cell>
          <cell r="K3061">
            <v>0</v>
          </cell>
          <cell r="L3061">
            <v>0</v>
          </cell>
          <cell r="M3061">
            <v>0</v>
          </cell>
          <cell r="N3061">
            <v>1</v>
          </cell>
          <cell r="O3061">
            <v>43282</v>
          </cell>
          <cell r="P3061">
            <v>43313</v>
          </cell>
          <cell r="Q3061">
            <v>0</v>
          </cell>
          <cell r="R3061">
            <v>0</v>
          </cell>
          <cell r="S3061">
            <v>1</v>
          </cell>
          <cell r="T3061">
            <v>0</v>
          </cell>
          <cell r="U3061">
            <v>0</v>
          </cell>
          <cell r="V3061">
            <v>1</v>
          </cell>
          <cell r="W3061">
            <v>0</v>
          </cell>
          <cell r="X3061">
            <v>0</v>
          </cell>
          <cell r="Y3061">
            <v>0</v>
          </cell>
        </row>
        <row r="3062">
          <cell r="D3062">
            <v>302588</v>
          </cell>
          <cell r="E3062" t="str">
            <v>Barangay  Alegria NHS</v>
          </cell>
          <cell r="F3062">
            <v>1</v>
          </cell>
          <cell r="G3062">
            <v>1</v>
          </cell>
          <cell r="H3062">
            <v>1</v>
          </cell>
          <cell r="I3062">
            <v>0</v>
          </cell>
          <cell r="J3062">
            <v>1</v>
          </cell>
          <cell r="K3062">
            <v>0</v>
          </cell>
          <cell r="L3062">
            <v>0</v>
          </cell>
          <cell r="M3062">
            <v>0</v>
          </cell>
          <cell r="N3062">
            <v>1</v>
          </cell>
          <cell r="O3062">
            <v>43626</v>
          </cell>
          <cell r="P3062">
            <v>0</v>
          </cell>
          <cell r="Q3062">
            <v>0</v>
          </cell>
          <cell r="R3062">
            <v>0</v>
          </cell>
          <cell r="S3062">
            <v>1</v>
          </cell>
          <cell r="T3062">
            <v>0</v>
          </cell>
          <cell r="U3062">
            <v>0</v>
          </cell>
          <cell r="V3062">
            <v>1</v>
          </cell>
          <cell r="W3062">
            <v>0</v>
          </cell>
          <cell r="X3062">
            <v>0</v>
          </cell>
          <cell r="Y3062">
            <v>0</v>
          </cell>
        </row>
        <row r="3063">
          <cell r="D3063">
            <v>302710</v>
          </cell>
          <cell r="E3063" t="str">
            <v>Mandalagan National High School</v>
          </cell>
          <cell r="F3063">
            <v>1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</row>
        <row r="3064">
          <cell r="D3064">
            <v>500203</v>
          </cell>
          <cell r="E3064" t="str">
            <v>Don Serafin L. Golez Memorial IS</v>
          </cell>
          <cell r="F3064">
            <v>1</v>
          </cell>
          <cell r="G3064">
            <v>1</v>
          </cell>
          <cell r="H3064">
            <v>1</v>
          </cell>
          <cell r="I3064">
            <v>0</v>
          </cell>
          <cell r="J3064">
            <v>0</v>
          </cell>
          <cell r="K3064">
            <v>0</v>
          </cell>
          <cell r="L3064">
            <v>1</v>
          </cell>
          <cell r="M3064" t="str">
            <v>Not Active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</row>
        <row r="3065">
          <cell r="D3065">
            <v>302406</v>
          </cell>
          <cell r="E3065" t="str">
            <v>Ivisan NHS</v>
          </cell>
          <cell r="F3065">
            <v>1</v>
          </cell>
          <cell r="G3065">
            <v>1</v>
          </cell>
          <cell r="H3065">
            <v>1</v>
          </cell>
          <cell r="I3065">
            <v>0</v>
          </cell>
          <cell r="J3065">
            <v>0</v>
          </cell>
          <cell r="K3065">
            <v>0</v>
          </cell>
          <cell r="L3065">
            <v>1</v>
          </cell>
          <cell r="M3065">
            <v>0</v>
          </cell>
          <cell r="N3065">
            <v>0</v>
          </cell>
          <cell r="O3065">
            <v>43622</v>
          </cell>
          <cell r="P3065">
            <v>43667</v>
          </cell>
          <cell r="Q3065">
            <v>1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</row>
        <row r="3066">
          <cell r="D3066">
            <v>302702</v>
          </cell>
          <cell r="E3066" t="str">
            <v>Barangay Singcang-Airport NHS</v>
          </cell>
          <cell r="F3066">
            <v>1</v>
          </cell>
          <cell r="G3066">
            <v>1</v>
          </cell>
          <cell r="H3066">
            <v>1</v>
          </cell>
          <cell r="I3066">
            <v>0</v>
          </cell>
          <cell r="J3066">
            <v>0</v>
          </cell>
          <cell r="K3066">
            <v>0</v>
          </cell>
          <cell r="L3066">
            <v>1</v>
          </cell>
          <cell r="M3066" t="str">
            <v>As needed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</row>
        <row r="3067">
          <cell r="D3067">
            <v>302711</v>
          </cell>
          <cell r="E3067" t="str">
            <v>Luisa Medel NHS</v>
          </cell>
          <cell r="F3067">
            <v>1</v>
          </cell>
          <cell r="G3067">
            <v>1</v>
          </cell>
          <cell r="H3067">
            <v>1</v>
          </cell>
          <cell r="I3067">
            <v>0</v>
          </cell>
          <cell r="J3067">
            <v>0</v>
          </cell>
          <cell r="K3067">
            <v>1</v>
          </cell>
          <cell r="L3067">
            <v>0</v>
          </cell>
          <cell r="M3067">
            <v>0</v>
          </cell>
          <cell r="N3067">
            <v>1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</row>
        <row r="3068">
          <cell r="D3068">
            <v>305704</v>
          </cell>
          <cell r="E3068" t="str">
            <v>Sta. Ana National High School</v>
          </cell>
          <cell r="F3068">
            <v>0</v>
          </cell>
          <cell r="G3068">
            <v>0</v>
          </cell>
          <cell r="H3068">
            <v>1</v>
          </cell>
          <cell r="I3068">
            <v>0</v>
          </cell>
          <cell r="J3068">
            <v>0</v>
          </cell>
          <cell r="K3068">
            <v>1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1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</row>
        <row r="3069">
          <cell r="D3069">
            <v>343604</v>
          </cell>
          <cell r="E3069" t="str">
            <v>ANDRES BONIFACIO SENIOR HIGH SCHOOL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</row>
        <row r="3070">
          <cell r="D3070">
            <v>302703</v>
          </cell>
          <cell r="E3070" t="str">
            <v>Bata National High School</v>
          </cell>
          <cell r="F3070">
            <v>1</v>
          </cell>
          <cell r="G3070">
            <v>1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</row>
        <row r="3071">
          <cell r="D3071">
            <v>302773</v>
          </cell>
          <cell r="E3071" t="str">
            <v>Bagonbon NHS</v>
          </cell>
          <cell r="F3071">
            <v>1</v>
          </cell>
          <cell r="G3071">
            <v>1</v>
          </cell>
          <cell r="H3071">
            <v>1</v>
          </cell>
          <cell r="I3071">
            <v>0</v>
          </cell>
          <cell r="J3071">
            <v>0</v>
          </cell>
          <cell r="K3071">
            <v>1</v>
          </cell>
          <cell r="L3071">
            <v>0</v>
          </cell>
          <cell r="M3071">
            <v>0</v>
          </cell>
          <cell r="N3071">
            <v>1</v>
          </cell>
          <cell r="O3071" t="str">
            <v>05/30/2019</v>
          </cell>
          <cell r="P3071" t="str">
            <v>10/30/2019</v>
          </cell>
          <cell r="Q3071">
            <v>0</v>
          </cell>
          <cell r="R3071">
            <v>1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</row>
        <row r="3072">
          <cell r="D3072">
            <v>302485</v>
          </cell>
          <cell r="E3072" t="str">
            <v>Cordova NHS</v>
          </cell>
          <cell r="F3072">
            <v>1</v>
          </cell>
          <cell r="G3072">
            <v>1</v>
          </cell>
          <cell r="H3072">
            <v>1</v>
          </cell>
          <cell r="I3072">
            <v>0</v>
          </cell>
          <cell r="J3072">
            <v>0</v>
          </cell>
          <cell r="K3072">
            <v>1</v>
          </cell>
          <cell r="L3072">
            <v>0</v>
          </cell>
          <cell r="M3072">
            <v>0</v>
          </cell>
          <cell r="N3072">
            <v>1</v>
          </cell>
          <cell r="O3072">
            <v>0</v>
          </cell>
          <cell r="P3072" t="str">
            <v>9/23/2019</v>
          </cell>
          <cell r="Q3072">
            <v>0</v>
          </cell>
          <cell r="R3072">
            <v>1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2</v>
          </cell>
          <cell r="X3072">
            <v>0</v>
          </cell>
          <cell r="Y3072">
            <v>0</v>
          </cell>
        </row>
        <row r="3073">
          <cell r="D3073">
            <v>302718</v>
          </cell>
          <cell r="E3073" t="str">
            <v>Teofilo M. Gensoli Sr. NHS</v>
          </cell>
          <cell r="F3073">
            <v>1</v>
          </cell>
          <cell r="G3073">
            <v>1</v>
          </cell>
          <cell r="H3073">
            <v>1</v>
          </cell>
          <cell r="I3073">
            <v>0</v>
          </cell>
          <cell r="J3073">
            <v>0</v>
          </cell>
          <cell r="K3073">
            <v>1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</row>
        <row r="3074">
          <cell r="D3074">
            <v>302547</v>
          </cell>
          <cell r="E3074" t="str">
            <v>Panuran NHS</v>
          </cell>
          <cell r="F3074">
            <v>1</v>
          </cell>
          <cell r="G3074">
            <v>1</v>
          </cell>
          <cell r="H3074">
            <v>1</v>
          </cell>
          <cell r="I3074">
            <v>0</v>
          </cell>
          <cell r="J3074">
            <v>1</v>
          </cell>
          <cell r="K3074">
            <v>0</v>
          </cell>
          <cell r="L3074">
            <v>0</v>
          </cell>
          <cell r="M3074">
            <v>0</v>
          </cell>
          <cell r="N3074">
            <v>1</v>
          </cell>
          <cell r="O3074">
            <v>0</v>
          </cell>
          <cell r="P3074">
            <v>0</v>
          </cell>
          <cell r="Q3074">
            <v>1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1</v>
          </cell>
          <cell r="W3074">
            <v>0</v>
          </cell>
          <cell r="X3074">
            <v>0</v>
          </cell>
          <cell r="Y3074">
            <v>0</v>
          </cell>
        </row>
        <row r="3075">
          <cell r="D3075">
            <v>302787</v>
          </cell>
          <cell r="E3075" t="str">
            <v>CAROL-AN NHS</v>
          </cell>
          <cell r="F3075">
            <v>1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</row>
        <row r="3076">
          <cell r="D3076">
            <v>302793</v>
          </cell>
          <cell r="E3076" t="str">
            <v>Florentino Galang Sr. NHS</v>
          </cell>
          <cell r="F3076">
            <v>1</v>
          </cell>
          <cell r="G3076">
            <v>1</v>
          </cell>
          <cell r="H3076">
            <v>1</v>
          </cell>
          <cell r="I3076">
            <v>0</v>
          </cell>
          <cell r="J3076">
            <v>1</v>
          </cell>
          <cell r="K3076">
            <v>0</v>
          </cell>
          <cell r="L3076">
            <v>0</v>
          </cell>
          <cell r="M3076">
            <v>0</v>
          </cell>
          <cell r="N3076">
            <v>1</v>
          </cell>
          <cell r="O3076" t="str">
            <v>SEPT. 2019</v>
          </cell>
          <cell r="P3076" t="str">
            <v>SEPT. 2019</v>
          </cell>
          <cell r="Q3076">
            <v>0</v>
          </cell>
          <cell r="R3076">
            <v>1</v>
          </cell>
          <cell r="S3076">
            <v>0</v>
          </cell>
          <cell r="T3076">
            <v>0</v>
          </cell>
          <cell r="U3076">
            <v>0</v>
          </cell>
          <cell r="V3076">
            <v>1</v>
          </cell>
          <cell r="W3076">
            <v>0</v>
          </cell>
          <cell r="X3076">
            <v>0</v>
          </cell>
          <cell r="Y3076">
            <v>0</v>
          </cell>
        </row>
        <row r="3077">
          <cell r="D3077">
            <v>302470</v>
          </cell>
          <cell r="E3077" t="str">
            <v>Buga National High School</v>
          </cell>
          <cell r="F3077">
            <v>1</v>
          </cell>
          <cell r="G3077">
            <v>0</v>
          </cell>
          <cell r="H3077">
            <v>1</v>
          </cell>
          <cell r="I3077">
            <v>0</v>
          </cell>
          <cell r="J3077">
            <v>1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</row>
        <row r="3078">
          <cell r="D3078">
            <v>302405</v>
          </cell>
          <cell r="E3078" t="str">
            <v>Jose Diva Avelino Jr. NHS (Hipona NHS)</v>
          </cell>
          <cell r="F3078">
            <v>1</v>
          </cell>
          <cell r="G3078">
            <v>1</v>
          </cell>
          <cell r="H3078">
            <v>1</v>
          </cell>
          <cell r="I3078">
            <v>0</v>
          </cell>
          <cell r="J3078">
            <v>1</v>
          </cell>
          <cell r="K3078">
            <v>0</v>
          </cell>
          <cell r="L3078">
            <v>0</v>
          </cell>
          <cell r="M3078">
            <v>0</v>
          </cell>
          <cell r="N3078">
            <v>1</v>
          </cell>
          <cell r="O3078">
            <v>0</v>
          </cell>
          <cell r="P3078">
            <v>0</v>
          </cell>
          <cell r="Q3078">
            <v>0</v>
          </cell>
          <cell r="R3078">
            <v>1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</row>
        <row r="3079">
          <cell r="D3079">
            <v>302586</v>
          </cell>
          <cell r="E3079" t="str">
            <v>Agpangi NHS</v>
          </cell>
          <cell r="F3079">
            <v>1</v>
          </cell>
          <cell r="G3079">
            <v>1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1</v>
          </cell>
          <cell r="M3079" t="str">
            <v>NO ACTIVE CPC YET</v>
          </cell>
          <cell r="N3079">
            <v>0</v>
          </cell>
          <cell r="O3079" t="str">
            <v>N/A</v>
          </cell>
          <cell r="P3079" t="str">
            <v>N/A</v>
          </cell>
          <cell r="Q3079">
            <v>0</v>
          </cell>
          <cell r="R3079">
            <v>0</v>
          </cell>
          <cell r="S3079">
            <v>0</v>
          </cell>
          <cell r="T3079">
            <v>1</v>
          </cell>
          <cell r="U3079" t="str">
            <v>NO ACTIVE CPC YET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</row>
        <row r="3080">
          <cell r="D3080">
            <v>302614</v>
          </cell>
          <cell r="E3080" t="str">
            <v>Culipapa National High School</v>
          </cell>
          <cell r="F3080">
            <v>0</v>
          </cell>
          <cell r="G3080">
            <v>0</v>
          </cell>
          <cell r="H3080">
            <v>1</v>
          </cell>
          <cell r="I3080">
            <v>0</v>
          </cell>
          <cell r="J3080">
            <v>0</v>
          </cell>
          <cell r="K3080">
            <v>1</v>
          </cell>
          <cell r="L3080">
            <v>0</v>
          </cell>
          <cell r="M3080">
            <v>0</v>
          </cell>
          <cell r="N3080">
            <v>1</v>
          </cell>
          <cell r="O3080" t="str">
            <v>6/22/2019</v>
          </cell>
          <cell r="P3080">
            <v>0</v>
          </cell>
          <cell r="Q3080">
            <v>1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1</v>
          </cell>
          <cell r="W3080">
            <v>0</v>
          </cell>
          <cell r="X3080">
            <v>0</v>
          </cell>
          <cell r="Y3080">
            <v>0</v>
          </cell>
        </row>
        <row r="3081">
          <cell r="D3081">
            <v>302425</v>
          </cell>
          <cell r="E3081" t="str">
            <v>Alegria NHS</v>
          </cell>
          <cell r="F3081">
            <v>1</v>
          </cell>
          <cell r="G3081">
            <v>1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1</v>
          </cell>
          <cell r="M3081" t="str">
            <v>NA</v>
          </cell>
          <cell r="N3081">
            <v>0</v>
          </cell>
          <cell r="O3081" t="str">
            <v>NA</v>
          </cell>
          <cell r="P3081" t="str">
            <v>NA</v>
          </cell>
          <cell r="Q3081">
            <v>0</v>
          </cell>
          <cell r="R3081">
            <v>0</v>
          </cell>
          <cell r="S3081">
            <v>0</v>
          </cell>
          <cell r="T3081">
            <v>1</v>
          </cell>
          <cell r="U3081" t="str">
            <v>NA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</row>
        <row r="3082">
          <cell r="D3082">
            <v>302639</v>
          </cell>
          <cell r="E3082" t="str">
            <v>Gil Montilla NHS - Crossing Tanduay Ext.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</row>
        <row r="3083">
          <cell r="D3083">
            <v>343922</v>
          </cell>
          <cell r="E3083" t="str">
            <v>Sagay City Senior High School (Stand Alone)</v>
          </cell>
          <cell r="F3083">
            <v>1</v>
          </cell>
          <cell r="G3083">
            <v>1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</row>
        <row r="3084">
          <cell r="D3084">
            <v>302601</v>
          </cell>
          <cell r="E3084" t="str">
            <v>Bulwangan National High School - Talacagay Ext.</v>
          </cell>
          <cell r="F3084">
            <v>1</v>
          </cell>
          <cell r="G3084">
            <v>1</v>
          </cell>
          <cell r="H3084">
            <v>1</v>
          </cell>
          <cell r="I3084">
            <v>0</v>
          </cell>
          <cell r="J3084">
            <v>1</v>
          </cell>
          <cell r="K3084">
            <v>0</v>
          </cell>
          <cell r="L3084">
            <v>0</v>
          </cell>
          <cell r="M3084">
            <v>0</v>
          </cell>
          <cell r="N3084">
            <v>1</v>
          </cell>
          <cell r="O3084">
            <v>0</v>
          </cell>
          <cell r="P3084">
            <v>43622</v>
          </cell>
          <cell r="Q3084">
            <v>0</v>
          </cell>
          <cell r="R3084">
            <v>1</v>
          </cell>
          <cell r="S3084">
            <v>0</v>
          </cell>
          <cell r="T3084">
            <v>0</v>
          </cell>
          <cell r="U3084">
            <v>0</v>
          </cell>
          <cell r="V3084">
            <v>1</v>
          </cell>
          <cell r="W3084">
            <v>0</v>
          </cell>
          <cell r="X3084">
            <v>0</v>
          </cell>
          <cell r="Y3084">
            <v>0</v>
          </cell>
        </row>
        <row r="3085">
          <cell r="D3085">
            <v>302701</v>
          </cell>
          <cell r="E3085" t="str">
            <v>Bacolod City NHS</v>
          </cell>
          <cell r="F3085">
            <v>1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 t="str">
            <v>none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</row>
        <row r="3086">
          <cell r="D3086">
            <v>302800</v>
          </cell>
          <cell r="E3086" t="str">
            <v>Tampalon NHS</v>
          </cell>
          <cell r="F3086">
            <v>1</v>
          </cell>
          <cell r="G3086">
            <v>0</v>
          </cell>
          <cell r="H3086">
            <v>1</v>
          </cell>
          <cell r="I3086">
            <v>0</v>
          </cell>
          <cell r="J3086">
            <v>1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 t="str">
            <v>N/A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</row>
        <row r="3087">
          <cell r="D3087">
            <v>302472</v>
          </cell>
          <cell r="E3087" t="str">
            <v>Cabalic National High School</v>
          </cell>
          <cell r="F3087">
            <v>1</v>
          </cell>
          <cell r="G3087">
            <v>1</v>
          </cell>
          <cell r="H3087">
            <v>1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1</v>
          </cell>
          <cell r="O3087">
            <v>0</v>
          </cell>
          <cell r="P3087">
            <v>43678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1</v>
          </cell>
          <cell r="W3087">
            <v>0</v>
          </cell>
          <cell r="X3087">
            <v>0</v>
          </cell>
          <cell r="Y3087">
            <v>0</v>
          </cell>
        </row>
        <row r="3088">
          <cell r="D3088">
            <v>302697</v>
          </cell>
          <cell r="E3088" t="str">
            <v>Barangay Estado NHS</v>
          </cell>
          <cell r="F3088">
            <v>1</v>
          </cell>
          <cell r="G3088">
            <v>1</v>
          </cell>
          <cell r="H3088">
            <v>1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1</v>
          </cell>
          <cell r="O3088">
            <v>0</v>
          </cell>
          <cell r="P3088">
            <v>43138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1</v>
          </cell>
          <cell r="W3088">
            <v>0</v>
          </cell>
          <cell r="X3088">
            <v>0</v>
          </cell>
          <cell r="Y3088">
            <v>0</v>
          </cell>
        </row>
        <row r="3089">
          <cell r="D3089">
            <v>302584</v>
          </cell>
          <cell r="E3089" t="str">
            <v>Valverde NHS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</row>
        <row r="3090">
          <cell r="D3090">
            <v>302796</v>
          </cell>
          <cell r="E3090" t="str">
            <v>Salong NHS</v>
          </cell>
          <cell r="F3090">
            <v>1</v>
          </cell>
          <cell r="G3090">
            <v>1</v>
          </cell>
          <cell r="H3090">
            <v>1</v>
          </cell>
          <cell r="I3090">
            <v>0</v>
          </cell>
          <cell r="J3090">
            <v>0</v>
          </cell>
          <cell r="K3090">
            <v>1</v>
          </cell>
          <cell r="L3090">
            <v>0</v>
          </cell>
          <cell r="M3090">
            <v>0</v>
          </cell>
          <cell r="N3090">
            <v>1</v>
          </cell>
          <cell r="O3090">
            <v>43630</v>
          </cell>
          <cell r="P3090" t="str">
            <v>NONE</v>
          </cell>
          <cell r="Q3090">
            <v>0</v>
          </cell>
          <cell r="R3090">
            <v>0</v>
          </cell>
          <cell r="S3090">
            <v>1</v>
          </cell>
          <cell r="T3090">
            <v>0</v>
          </cell>
          <cell r="U3090">
            <v>0</v>
          </cell>
          <cell r="V3090">
            <v>1</v>
          </cell>
          <cell r="W3090">
            <v>0</v>
          </cell>
          <cell r="X3090">
            <v>0</v>
          </cell>
          <cell r="Y3090">
            <v>0</v>
          </cell>
        </row>
        <row r="3091">
          <cell r="D3091">
            <v>311802</v>
          </cell>
          <cell r="E3091" t="str">
            <v>Sagay National High School - Rizal Extension</v>
          </cell>
          <cell r="F3091">
            <v>1</v>
          </cell>
          <cell r="G3091">
            <v>0</v>
          </cell>
          <cell r="H3091">
            <v>1</v>
          </cell>
          <cell r="I3091">
            <v>0</v>
          </cell>
          <cell r="J3091">
            <v>0</v>
          </cell>
          <cell r="K3091">
            <v>1</v>
          </cell>
          <cell r="L3091">
            <v>0</v>
          </cell>
          <cell r="M3091">
            <v>0</v>
          </cell>
          <cell r="N3091">
            <v>1</v>
          </cell>
          <cell r="O3091">
            <v>43648</v>
          </cell>
          <cell r="P3091">
            <v>43648</v>
          </cell>
          <cell r="Q3091">
            <v>0</v>
          </cell>
          <cell r="R3091">
            <v>0</v>
          </cell>
          <cell r="S3091">
            <v>1</v>
          </cell>
          <cell r="T3091">
            <v>0</v>
          </cell>
          <cell r="U3091">
            <v>0</v>
          </cell>
          <cell r="V3091">
            <v>1</v>
          </cell>
          <cell r="W3091">
            <v>0</v>
          </cell>
          <cell r="X3091">
            <v>0</v>
          </cell>
          <cell r="Y3091">
            <v>0</v>
          </cell>
        </row>
        <row r="3092">
          <cell r="D3092">
            <v>302557</v>
          </cell>
          <cell r="E3092" t="str">
            <v>Punta Buri NHS</v>
          </cell>
          <cell r="F3092">
            <v>1</v>
          </cell>
          <cell r="G3092">
            <v>0</v>
          </cell>
          <cell r="H3092">
            <v>1</v>
          </cell>
          <cell r="I3092">
            <v>0</v>
          </cell>
          <cell r="J3092">
            <v>0</v>
          </cell>
          <cell r="K3092">
            <v>0</v>
          </cell>
          <cell r="L3092">
            <v>1</v>
          </cell>
          <cell r="M3092" t="str">
            <v>semi-annually</v>
          </cell>
          <cell r="N3092">
            <v>1</v>
          </cell>
          <cell r="O3092">
            <v>43665</v>
          </cell>
          <cell r="P3092" t="str">
            <v>n/a</v>
          </cell>
          <cell r="Q3092">
            <v>0</v>
          </cell>
          <cell r="R3092">
            <v>0</v>
          </cell>
          <cell r="S3092">
            <v>0</v>
          </cell>
          <cell r="T3092">
            <v>1</v>
          </cell>
          <cell r="U3092" t="str">
            <v>n/a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</row>
        <row r="3093">
          <cell r="D3093">
            <v>302553</v>
          </cell>
          <cell r="E3093" t="str">
            <v>Bucana Bunglas NHS</v>
          </cell>
          <cell r="F3093">
            <v>1</v>
          </cell>
          <cell r="G3093">
            <v>0</v>
          </cell>
          <cell r="H3093">
            <v>1</v>
          </cell>
          <cell r="I3093">
            <v>0</v>
          </cell>
          <cell r="J3093">
            <v>0</v>
          </cell>
          <cell r="K3093">
            <v>1</v>
          </cell>
          <cell r="L3093">
            <v>0</v>
          </cell>
          <cell r="M3093">
            <v>0</v>
          </cell>
          <cell r="N3093">
            <v>1</v>
          </cell>
          <cell r="O3093">
            <v>43617</v>
          </cell>
          <cell r="P3093">
            <v>0</v>
          </cell>
          <cell r="Q3093">
            <v>0</v>
          </cell>
          <cell r="R3093">
            <v>0</v>
          </cell>
          <cell r="S3093">
            <v>1</v>
          </cell>
          <cell r="T3093">
            <v>0</v>
          </cell>
          <cell r="U3093">
            <v>0</v>
          </cell>
          <cell r="V3093">
            <v>1</v>
          </cell>
          <cell r="W3093">
            <v>0</v>
          </cell>
          <cell r="X3093">
            <v>0</v>
          </cell>
          <cell r="Y3093">
            <v>0</v>
          </cell>
        </row>
        <row r="3094">
          <cell r="D3094">
            <v>302523</v>
          </cell>
          <cell r="E3094" t="str">
            <v>Luca NHS</v>
          </cell>
          <cell r="F3094">
            <v>1</v>
          </cell>
          <cell r="G3094">
            <v>1</v>
          </cell>
          <cell r="H3094">
            <v>1</v>
          </cell>
          <cell r="I3094">
            <v>0</v>
          </cell>
          <cell r="J3094">
            <v>1</v>
          </cell>
          <cell r="K3094">
            <v>0</v>
          </cell>
          <cell r="L3094">
            <v>0</v>
          </cell>
          <cell r="M3094">
            <v>0</v>
          </cell>
          <cell r="N3094">
            <v>1</v>
          </cell>
          <cell r="O3094">
            <v>0</v>
          </cell>
          <cell r="P3094">
            <v>0</v>
          </cell>
          <cell r="Q3094">
            <v>1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1</v>
          </cell>
          <cell r="W3094">
            <v>0</v>
          </cell>
          <cell r="X3094">
            <v>0</v>
          </cell>
          <cell r="Y3094">
            <v>0</v>
          </cell>
        </row>
        <row r="3095">
          <cell r="D3095">
            <v>302461</v>
          </cell>
          <cell r="E3095" t="str">
            <v>Bay-ang NHS</v>
          </cell>
          <cell r="F3095">
            <v>1</v>
          </cell>
          <cell r="G3095">
            <v>1</v>
          </cell>
          <cell r="H3095">
            <v>1</v>
          </cell>
          <cell r="I3095">
            <v>0</v>
          </cell>
          <cell r="J3095">
            <v>1</v>
          </cell>
          <cell r="K3095">
            <v>0</v>
          </cell>
          <cell r="L3095">
            <v>1</v>
          </cell>
          <cell r="M3095" t="str">
            <v>emergency cases</v>
          </cell>
          <cell r="N3095">
            <v>1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1</v>
          </cell>
          <cell r="T3095">
            <v>0</v>
          </cell>
          <cell r="U3095">
            <v>0</v>
          </cell>
          <cell r="V3095">
            <v>1</v>
          </cell>
          <cell r="W3095">
            <v>0</v>
          </cell>
          <cell r="X3095">
            <v>0</v>
          </cell>
          <cell r="Y3095">
            <v>0</v>
          </cell>
        </row>
        <row r="3096">
          <cell r="D3096">
            <v>302486</v>
          </cell>
          <cell r="E3096" t="str">
            <v>Culasi NHS</v>
          </cell>
          <cell r="F3096">
            <v>1</v>
          </cell>
          <cell r="G3096">
            <v>0</v>
          </cell>
          <cell r="H3096">
            <v>1</v>
          </cell>
          <cell r="I3096">
            <v>0</v>
          </cell>
          <cell r="J3096">
            <v>1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 t="str">
            <v>August 9, 2019</v>
          </cell>
          <cell r="Q3096">
            <v>0</v>
          </cell>
          <cell r="R3096">
            <v>1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</row>
        <row r="3097">
          <cell r="D3097">
            <v>302496</v>
          </cell>
          <cell r="E3097" t="str">
            <v>Dorog NHS</v>
          </cell>
          <cell r="F3097">
            <v>1</v>
          </cell>
          <cell r="G3097">
            <v>1</v>
          </cell>
          <cell r="H3097">
            <v>1</v>
          </cell>
          <cell r="I3097">
            <v>0</v>
          </cell>
          <cell r="J3097">
            <v>0</v>
          </cell>
          <cell r="K3097">
            <v>1</v>
          </cell>
          <cell r="L3097">
            <v>0</v>
          </cell>
          <cell r="M3097">
            <v>0</v>
          </cell>
          <cell r="N3097">
            <v>1</v>
          </cell>
          <cell r="O3097">
            <v>43654</v>
          </cell>
          <cell r="P3097">
            <v>43640</v>
          </cell>
          <cell r="Q3097">
            <v>0</v>
          </cell>
          <cell r="R3097">
            <v>0</v>
          </cell>
          <cell r="S3097">
            <v>1</v>
          </cell>
          <cell r="T3097">
            <v>0</v>
          </cell>
          <cell r="U3097">
            <v>0</v>
          </cell>
          <cell r="V3097">
            <v>1</v>
          </cell>
          <cell r="W3097">
            <v>4</v>
          </cell>
          <cell r="X3097">
            <v>4</v>
          </cell>
          <cell r="Y3097">
            <v>0</v>
          </cell>
        </row>
        <row r="3098">
          <cell r="D3098">
            <v>500551</v>
          </cell>
          <cell r="E3098" t="str">
            <v>SPED - Integrated School for Exceptional Children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</row>
        <row r="3099">
          <cell r="D3099">
            <v>302762</v>
          </cell>
          <cell r="E3099" t="str">
            <v>Bato National High School</v>
          </cell>
          <cell r="F3099">
            <v>1</v>
          </cell>
          <cell r="G3099">
            <v>0</v>
          </cell>
          <cell r="H3099">
            <v>1</v>
          </cell>
          <cell r="I3099">
            <v>0</v>
          </cell>
          <cell r="J3099">
            <v>1</v>
          </cell>
          <cell r="K3099">
            <v>0</v>
          </cell>
          <cell r="L3099">
            <v>0</v>
          </cell>
          <cell r="M3099">
            <v>0</v>
          </cell>
          <cell r="N3099">
            <v>1</v>
          </cell>
          <cell r="O3099" t="str">
            <v>08/16/2019</v>
          </cell>
          <cell r="P3099" t="str">
            <v>n/a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</row>
        <row r="3100">
          <cell r="D3100">
            <v>302567</v>
          </cell>
          <cell r="E3100" t="str">
            <v>San Luis NHS</v>
          </cell>
          <cell r="F3100">
            <v>1</v>
          </cell>
          <cell r="G3100">
            <v>1</v>
          </cell>
          <cell r="H3100">
            <v>1</v>
          </cell>
          <cell r="I3100">
            <v>0</v>
          </cell>
          <cell r="J3100">
            <v>1</v>
          </cell>
          <cell r="K3100">
            <v>0</v>
          </cell>
          <cell r="L3100">
            <v>0</v>
          </cell>
          <cell r="M3100">
            <v>0</v>
          </cell>
          <cell r="N3100">
            <v>1</v>
          </cell>
          <cell r="O3100" t="str">
            <v>Septemebr 6, 2019</v>
          </cell>
          <cell r="P3100">
            <v>43714</v>
          </cell>
          <cell r="Q3100">
            <v>0</v>
          </cell>
          <cell r="R3100">
            <v>1</v>
          </cell>
          <cell r="S3100">
            <v>0</v>
          </cell>
          <cell r="T3100">
            <v>0</v>
          </cell>
          <cell r="U3100">
            <v>0</v>
          </cell>
          <cell r="V3100">
            <v>1</v>
          </cell>
          <cell r="W3100">
            <v>1</v>
          </cell>
          <cell r="X3100">
            <v>0</v>
          </cell>
          <cell r="Y3100">
            <v>0</v>
          </cell>
        </row>
        <row r="3101">
          <cell r="D3101">
            <v>302531</v>
          </cell>
          <cell r="E3101" t="str">
            <v>Miagao NHS</v>
          </cell>
          <cell r="F3101">
            <v>1</v>
          </cell>
          <cell r="G3101">
            <v>1</v>
          </cell>
          <cell r="H3101">
            <v>1</v>
          </cell>
          <cell r="I3101">
            <v>0</v>
          </cell>
          <cell r="J3101">
            <v>1</v>
          </cell>
          <cell r="K3101">
            <v>0</v>
          </cell>
          <cell r="L3101">
            <v>0</v>
          </cell>
          <cell r="M3101">
            <v>0</v>
          </cell>
          <cell r="N3101">
            <v>1</v>
          </cell>
          <cell r="O3101">
            <v>0</v>
          </cell>
          <cell r="P3101">
            <v>43647</v>
          </cell>
          <cell r="Q3101">
            <v>0</v>
          </cell>
          <cell r="R3101">
            <v>1</v>
          </cell>
          <cell r="S3101">
            <v>0</v>
          </cell>
          <cell r="T3101">
            <v>0</v>
          </cell>
          <cell r="U3101">
            <v>0</v>
          </cell>
          <cell r="V3101">
            <v>1</v>
          </cell>
          <cell r="W3101">
            <v>1</v>
          </cell>
          <cell r="X3101">
            <v>0</v>
          </cell>
          <cell r="Y3101">
            <v>0</v>
          </cell>
        </row>
        <row r="3102">
          <cell r="D3102">
            <v>302570</v>
          </cell>
          <cell r="E3102" t="str">
            <v>Sara NHS</v>
          </cell>
          <cell r="F3102">
            <v>1</v>
          </cell>
          <cell r="G3102">
            <v>1</v>
          </cell>
          <cell r="H3102">
            <v>1</v>
          </cell>
          <cell r="I3102">
            <v>0</v>
          </cell>
          <cell r="J3102">
            <v>0</v>
          </cell>
          <cell r="K3102">
            <v>0</v>
          </cell>
          <cell r="L3102">
            <v>1</v>
          </cell>
          <cell r="M3102">
            <v>0</v>
          </cell>
          <cell r="N3102">
            <v>1</v>
          </cell>
          <cell r="O3102" t="str">
            <v>Nov. 19, 2019</v>
          </cell>
          <cell r="P3102" t="str">
            <v>Nov. 19, 2019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1</v>
          </cell>
          <cell r="W3102">
            <v>0</v>
          </cell>
          <cell r="X3102">
            <v>0</v>
          </cell>
          <cell r="Y3102">
            <v>0</v>
          </cell>
        </row>
        <row r="3103">
          <cell r="D3103">
            <v>302525</v>
          </cell>
          <cell r="E3103" t="str">
            <v>Malapaya NHS</v>
          </cell>
          <cell r="F3103">
            <v>1</v>
          </cell>
          <cell r="G3103">
            <v>1</v>
          </cell>
          <cell r="H3103">
            <v>1</v>
          </cell>
          <cell r="I3103">
            <v>0</v>
          </cell>
          <cell r="J3103">
            <v>1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 t="str">
            <v>Sept.11,2019</v>
          </cell>
          <cell r="P3103" t="str">
            <v>October 28,2019</v>
          </cell>
          <cell r="Q3103">
            <v>1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1</v>
          </cell>
          <cell r="W3103">
            <v>0</v>
          </cell>
          <cell r="X3103">
            <v>0</v>
          </cell>
          <cell r="Y3103">
            <v>0</v>
          </cell>
        </row>
        <row r="3104">
          <cell r="D3104">
            <v>302683</v>
          </cell>
          <cell r="E3104" t="str">
            <v>San Enrique NHS</v>
          </cell>
          <cell r="F3104">
            <v>1</v>
          </cell>
          <cell r="G3104">
            <v>0</v>
          </cell>
          <cell r="H3104">
            <v>1</v>
          </cell>
          <cell r="I3104">
            <v>0</v>
          </cell>
          <cell r="J3104">
            <v>1</v>
          </cell>
          <cell r="K3104">
            <v>0</v>
          </cell>
          <cell r="L3104">
            <v>0</v>
          </cell>
          <cell r="M3104">
            <v>0</v>
          </cell>
          <cell r="N3104">
            <v>1</v>
          </cell>
          <cell r="O3104">
            <v>0</v>
          </cell>
          <cell r="P3104" t="str">
            <v>N/A</v>
          </cell>
          <cell r="Q3104">
            <v>0</v>
          </cell>
          <cell r="R3104">
            <v>0</v>
          </cell>
          <cell r="S3104">
            <v>0</v>
          </cell>
          <cell r="T3104">
            <v>1</v>
          </cell>
          <cell r="U3104" t="str">
            <v>N/A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</row>
        <row r="3105">
          <cell r="D3105">
            <v>302785</v>
          </cell>
          <cell r="E3105" t="str">
            <v>Bantayan National High School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 t="str">
            <v>N/A</v>
          </cell>
          <cell r="P3105" t="str">
            <v>N/A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</row>
        <row r="3106">
          <cell r="D3106">
            <v>302433</v>
          </cell>
          <cell r="E3106" t="str">
            <v>Simeon J. Jabasa National High School</v>
          </cell>
          <cell r="F3106">
            <v>1</v>
          </cell>
          <cell r="G3106">
            <v>1</v>
          </cell>
          <cell r="H3106">
            <v>1</v>
          </cell>
          <cell r="I3106">
            <v>0</v>
          </cell>
          <cell r="J3106">
            <v>0</v>
          </cell>
          <cell r="K3106">
            <v>1</v>
          </cell>
          <cell r="L3106">
            <v>0</v>
          </cell>
          <cell r="M3106">
            <v>0</v>
          </cell>
          <cell r="N3106">
            <v>1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1</v>
          </cell>
          <cell r="T3106">
            <v>0</v>
          </cell>
          <cell r="U3106">
            <v>0</v>
          </cell>
          <cell r="V3106">
            <v>1</v>
          </cell>
          <cell r="W3106">
            <v>0</v>
          </cell>
          <cell r="X3106">
            <v>0</v>
          </cell>
          <cell r="Y3106">
            <v>0</v>
          </cell>
        </row>
        <row r="3107">
          <cell r="D3107">
            <v>302775</v>
          </cell>
          <cell r="E3107" t="str">
            <v>Julio Ledesma National High School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</row>
        <row r="3108">
          <cell r="D3108">
            <v>302801</v>
          </cell>
          <cell r="E3108" t="str">
            <v>Tapi National High School</v>
          </cell>
          <cell r="F3108">
            <v>1</v>
          </cell>
          <cell r="G3108">
            <v>1</v>
          </cell>
          <cell r="H3108">
            <v>1</v>
          </cell>
          <cell r="I3108">
            <v>0</v>
          </cell>
          <cell r="J3108">
            <v>1</v>
          </cell>
          <cell r="K3108">
            <v>0</v>
          </cell>
          <cell r="L3108">
            <v>0</v>
          </cell>
          <cell r="M3108">
            <v>0</v>
          </cell>
          <cell r="N3108">
            <v>1</v>
          </cell>
          <cell r="O3108">
            <v>43647</v>
          </cell>
          <cell r="P3108">
            <v>43647</v>
          </cell>
          <cell r="Q3108">
            <v>0</v>
          </cell>
          <cell r="R3108">
            <v>1</v>
          </cell>
          <cell r="S3108">
            <v>0</v>
          </cell>
          <cell r="T3108">
            <v>0</v>
          </cell>
          <cell r="U3108">
            <v>0</v>
          </cell>
          <cell r="V3108">
            <v>1</v>
          </cell>
          <cell r="W3108">
            <v>2</v>
          </cell>
          <cell r="X3108">
            <v>0</v>
          </cell>
          <cell r="Y3108">
            <v>0</v>
          </cell>
        </row>
        <row r="3109">
          <cell r="D3109">
            <v>302395</v>
          </cell>
          <cell r="E3109" t="str">
            <v>Comsr. Luis R. Asis NHS</v>
          </cell>
          <cell r="F3109">
            <v>1</v>
          </cell>
          <cell r="G3109">
            <v>1</v>
          </cell>
          <cell r="H3109">
            <v>1</v>
          </cell>
          <cell r="I3109">
            <v>0</v>
          </cell>
          <cell r="J3109">
            <v>1</v>
          </cell>
          <cell r="K3109">
            <v>0</v>
          </cell>
          <cell r="L3109">
            <v>0</v>
          </cell>
          <cell r="M3109">
            <v>0</v>
          </cell>
          <cell r="N3109">
            <v>1</v>
          </cell>
          <cell r="O3109" t="str">
            <v>NOVEMBER 12, 2019</v>
          </cell>
          <cell r="P3109" t="str">
            <v>JUNE 5, 2019</v>
          </cell>
          <cell r="Q3109">
            <v>0</v>
          </cell>
          <cell r="R3109">
            <v>1</v>
          </cell>
          <cell r="S3109">
            <v>0</v>
          </cell>
          <cell r="T3109">
            <v>0</v>
          </cell>
          <cell r="U3109">
            <v>0</v>
          </cell>
          <cell r="V3109">
            <v>1</v>
          </cell>
          <cell r="W3109">
            <v>0</v>
          </cell>
          <cell r="X3109">
            <v>0</v>
          </cell>
          <cell r="Y3109">
            <v>0</v>
          </cell>
        </row>
        <row r="3110">
          <cell r="D3110">
            <v>311111</v>
          </cell>
          <cell r="E3110" t="str">
            <v>Libacao National High School</v>
          </cell>
          <cell r="F3110">
            <v>0</v>
          </cell>
          <cell r="G3110">
            <v>0</v>
          </cell>
          <cell r="H3110">
            <v>1</v>
          </cell>
          <cell r="I3110">
            <v>0</v>
          </cell>
          <cell r="J3110">
            <v>0</v>
          </cell>
          <cell r="K3110">
            <v>1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 t="str">
            <v>NONE</v>
          </cell>
          <cell r="Q3110">
            <v>0</v>
          </cell>
          <cell r="R3110">
            <v>0</v>
          </cell>
          <cell r="S3110">
            <v>0</v>
          </cell>
          <cell r="T3110">
            <v>1</v>
          </cell>
          <cell r="U3110" t="str">
            <v>NONE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</row>
        <row r="3111">
          <cell r="D3111">
            <v>302750</v>
          </cell>
          <cell r="E3111" t="str">
            <v>Ramon Avancena NHS</v>
          </cell>
          <cell r="F3111">
            <v>1</v>
          </cell>
          <cell r="G3111">
            <v>1</v>
          </cell>
          <cell r="H3111">
            <v>1</v>
          </cell>
          <cell r="I3111">
            <v>0</v>
          </cell>
          <cell r="J3111">
            <v>1</v>
          </cell>
          <cell r="K3111">
            <v>0</v>
          </cell>
          <cell r="L3111">
            <v>0</v>
          </cell>
          <cell r="M3111">
            <v>0</v>
          </cell>
          <cell r="N3111">
            <v>1</v>
          </cell>
          <cell r="O3111">
            <v>43683</v>
          </cell>
          <cell r="P3111" t="str">
            <v>08/31/2019</v>
          </cell>
          <cell r="Q3111">
            <v>1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1</v>
          </cell>
          <cell r="W3111">
            <v>0</v>
          </cell>
          <cell r="X3111">
            <v>0</v>
          </cell>
          <cell r="Y3111">
            <v>0</v>
          </cell>
        </row>
        <row r="3112">
          <cell r="D3112">
            <v>310807</v>
          </cell>
          <cell r="E3112" t="str">
            <v>Basiao NHS</v>
          </cell>
          <cell r="F3112">
            <v>1</v>
          </cell>
          <cell r="G3112">
            <v>1</v>
          </cell>
          <cell r="H3112">
            <v>1</v>
          </cell>
          <cell r="I3112">
            <v>0</v>
          </cell>
          <cell r="J3112">
            <v>1</v>
          </cell>
          <cell r="K3112">
            <v>0</v>
          </cell>
          <cell r="L3112">
            <v>0</v>
          </cell>
          <cell r="M3112">
            <v>0</v>
          </cell>
          <cell r="N3112">
            <v>1</v>
          </cell>
          <cell r="O3112">
            <v>0</v>
          </cell>
          <cell r="P3112">
            <v>0</v>
          </cell>
          <cell r="Q3112">
            <v>0</v>
          </cell>
          <cell r="R3112">
            <v>1</v>
          </cell>
          <cell r="S3112">
            <v>0</v>
          </cell>
          <cell r="T3112">
            <v>0</v>
          </cell>
          <cell r="U3112">
            <v>0</v>
          </cell>
          <cell r="V3112">
            <v>1</v>
          </cell>
          <cell r="W3112">
            <v>3</v>
          </cell>
          <cell r="X3112">
            <v>3</v>
          </cell>
          <cell r="Y3112">
            <v>3</v>
          </cell>
        </row>
        <row r="3113">
          <cell r="D3113">
            <v>302504</v>
          </cell>
          <cell r="E3113" t="str">
            <v>Ginot-an National High School</v>
          </cell>
          <cell r="F3113">
            <v>1</v>
          </cell>
          <cell r="G3113">
            <v>1</v>
          </cell>
          <cell r="H3113">
            <v>1</v>
          </cell>
          <cell r="I3113">
            <v>0</v>
          </cell>
          <cell r="J3113">
            <v>1</v>
          </cell>
          <cell r="K3113">
            <v>0</v>
          </cell>
          <cell r="L3113">
            <v>0</v>
          </cell>
          <cell r="M3113">
            <v>0</v>
          </cell>
          <cell r="N3113">
            <v>1</v>
          </cell>
          <cell r="O3113" t="str">
            <v>June 1, 2019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1</v>
          </cell>
          <cell r="W3113">
            <v>0</v>
          </cell>
          <cell r="X3113">
            <v>0</v>
          </cell>
          <cell r="Y3113">
            <v>0</v>
          </cell>
        </row>
        <row r="3114">
          <cell r="D3114">
            <v>302469</v>
          </cell>
          <cell r="E3114" t="str">
            <v>Bucari NHS</v>
          </cell>
          <cell r="F3114">
            <v>1</v>
          </cell>
          <cell r="G3114">
            <v>1</v>
          </cell>
          <cell r="H3114">
            <v>1</v>
          </cell>
          <cell r="I3114">
            <v>0</v>
          </cell>
          <cell r="J3114">
            <v>1</v>
          </cell>
          <cell r="K3114">
            <v>0</v>
          </cell>
          <cell r="L3114">
            <v>0</v>
          </cell>
          <cell r="M3114">
            <v>0</v>
          </cell>
          <cell r="N3114">
            <v>1</v>
          </cell>
          <cell r="O3114" t="str">
            <v>July 31, 2019</v>
          </cell>
          <cell r="P3114" t="str">
            <v>July 31, 2019</v>
          </cell>
          <cell r="Q3114">
            <v>0</v>
          </cell>
          <cell r="R3114">
            <v>1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</row>
        <row r="3115">
          <cell r="D3115">
            <v>302634</v>
          </cell>
          <cell r="E3115" t="str">
            <v>Gil Montilla NHS - Binulig Ext.</v>
          </cell>
          <cell r="F3115">
            <v>1</v>
          </cell>
          <cell r="G3115">
            <v>1</v>
          </cell>
          <cell r="H3115">
            <v>1</v>
          </cell>
          <cell r="I3115">
            <v>0</v>
          </cell>
          <cell r="J3115">
            <v>0</v>
          </cell>
          <cell r="K3115">
            <v>1</v>
          </cell>
          <cell r="L3115">
            <v>0</v>
          </cell>
          <cell r="M3115">
            <v>0</v>
          </cell>
          <cell r="N3115">
            <v>1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1</v>
          </cell>
          <cell r="U3115">
            <v>0</v>
          </cell>
          <cell r="V3115">
            <v>1</v>
          </cell>
          <cell r="W3115">
            <v>0</v>
          </cell>
          <cell r="X3115">
            <v>0</v>
          </cell>
          <cell r="Y3115">
            <v>0</v>
          </cell>
        </row>
        <row r="3116">
          <cell r="D3116">
            <v>302733</v>
          </cell>
          <cell r="E3116" t="str">
            <v>Tiglawigan NHS</v>
          </cell>
          <cell r="F3116">
            <v>1</v>
          </cell>
          <cell r="G3116">
            <v>0</v>
          </cell>
          <cell r="H3116">
            <v>1</v>
          </cell>
          <cell r="I3116">
            <v>0</v>
          </cell>
          <cell r="J3116">
            <v>0</v>
          </cell>
          <cell r="K3116">
            <v>1</v>
          </cell>
          <cell r="L3116">
            <v>0</v>
          </cell>
          <cell r="M3116">
            <v>0</v>
          </cell>
          <cell r="N3116">
            <v>1</v>
          </cell>
          <cell r="O3116">
            <v>0</v>
          </cell>
          <cell r="P3116">
            <v>43648</v>
          </cell>
          <cell r="Q3116">
            <v>0</v>
          </cell>
          <cell r="R3116">
            <v>0</v>
          </cell>
          <cell r="S3116">
            <v>1</v>
          </cell>
          <cell r="T3116">
            <v>0</v>
          </cell>
          <cell r="U3116">
            <v>0</v>
          </cell>
          <cell r="V3116">
            <v>0</v>
          </cell>
          <cell r="W3116">
            <v>2</v>
          </cell>
          <cell r="X3116">
            <v>0</v>
          </cell>
          <cell r="Y3116">
            <v>0</v>
          </cell>
        </row>
        <row r="3117">
          <cell r="D3117">
            <v>302450</v>
          </cell>
          <cell r="E3117" t="str">
            <v>Ardemil National High School</v>
          </cell>
          <cell r="F3117">
            <v>1</v>
          </cell>
          <cell r="G3117">
            <v>1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1</v>
          </cell>
          <cell r="M3117" t="str">
            <v>as needed</v>
          </cell>
          <cell r="N3117">
            <v>1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1</v>
          </cell>
          <cell r="U3117" t="str">
            <v>as needed</v>
          </cell>
          <cell r="V3117">
            <v>1</v>
          </cell>
          <cell r="W3117">
            <v>0</v>
          </cell>
          <cell r="X3117">
            <v>0</v>
          </cell>
          <cell r="Y3117">
            <v>0</v>
          </cell>
        </row>
        <row r="3118">
          <cell r="D3118">
            <v>302662</v>
          </cell>
          <cell r="E3118" t="str">
            <v>Manapla National High School</v>
          </cell>
          <cell r="F3118">
            <v>1</v>
          </cell>
          <cell r="G3118">
            <v>1</v>
          </cell>
          <cell r="H3118">
            <v>1</v>
          </cell>
          <cell r="I3118">
            <v>0</v>
          </cell>
          <cell r="J3118">
            <v>0</v>
          </cell>
          <cell r="K3118">
            <v>0</v>
          </cell>
          <cell r="L3118">
            <v>1</v>
          </cell>
          <cell r="M3118" t="str">
            <v>N/A</v>
          </cell>
          <cell r="N3118">
            <v>0</v>
          </cell>
          <cell r="O3118">
            <v>0</v>
          </cell>
          <cell r="P3118" t="str">
            <v>06/01/2019 (PTA)</v>
          </cell>
          <cell r="Q3118">
            <v>0</v>
          </cell>
          <cell r="R3118">
            <v>1</v>
          </cell>
          <cell r="S3118">
            <v>0</v>
          </cell>
          <cell r="T3118">
            <v>0</v>
          </cell>
          <cell r="U3118">
            <v>0</v>
          </cell>
          <cell r="V3118">
            <v>1</v>
          </cell>
          <cell r="W3118">
            <v>0</v>
          </cell>
          <cell r="X3118">
            <v>0</v>
          </cell>
          <cell r="Y3118">
            <v>0</v>
          </cell>
        </row>
        <row r="3119">
          <cell r="D3119">
            <v>302675</v>
          </cell>
          <cell r="E3119" t="str">
            <v>Payao National High School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</row>
        <row r="3120">
          <cell r="D3120">
            <v>302537</v>
          </cell>
          <cell r="E3120" t="str">
            <v>Napnapan NHS</v>
          </cell>
          <cell r="F3120">
            <v>1</v>
          </cell>
          <cell r="G3120">
            <v>1</v>
          </cell>
          <cell r="H3120">
            <v>1</v>
          </cell>
          <cell r="I3120">
            <v>0</v>
          </cell>
          <cell r="J3120">
            <v>0</v>
          </cell>
          <cell r="K3120">
            <v>1</v>
          </cell>
          <cell r="L3120">
            <v>0</v>
          </cell>
          <cell r="M3120">
            <v>0</v>
          </cell>
          <cell r="N3120">
            <v>1</v>
          </cell>
          <cell r="O3120">
            <v>43327</v>
          </cell>
          <cell r="P3120">
            <v>43301</v>
          </cell>
          <cell r="Q3120">
            <v>0</v>
          </cell>
          <cell r="R3120">
            <v>0</v>
          </cell>
          <cell r="S3120">
            <v>1</v>
          </cell>
          <cell r="T3120">
            <v>0</v>
          </cell>
          <cell r="U3120">
            <v>0</v>
          </cell>
          <cell r="V3120">
            <v>1</v>
          </cell>
          <cell r="W3120">
            <v>2</v>
          </cell>
          <cell r="X3120">
            <v>0</v>
          </cell>
          <cell r="Y3120">
            <v>0</v>
          </cell>
        </row>
        <row r="3121">
          <cell r="D3121">
            <v>302435</v>
          </cell>
          <cell r="E3121" t="str">
            <v>Calaya National High School</v>
          </cell>
          <cell r="F3121">
            <v>1</v>
          </cell>
          <cell r="G3121">
            <v>1</v>
          </cell>
          <cell r="H3121">
            <v>1</v>
          </cell>
          <cell r="I3121">
            <v>0</v>
          </cell>
          <cell r="J3121">
            <v>1</v>
          </cell>
          <cell r="K3121">
            <v>0</v>
          </cell>
          <cell r="L3121">
            <v>0</v>
          </cell>
          <cell r="M3121">
            <v>0</v>
          </cell>
          <cell r="N3121">
            <v>1</v>
          </cell>
          <cell r="O3121" t="str">
            <v>March 25 2019</v>
          </cell>
          <cell r="P3121" t="str">
            <v>March 25 2019</v>
          </cell>
          <cell r="Q3121">
            <v>1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1</v>
          </cell>
          <cell r="W3121">
            <v>0</v>
          </cell>
          <cell r="X3121">
            <v>0</v>
          </cell>
          <cell r="Y3121">
            <v>0</v>
          </cell>
        </row>
        <row r="3122">
          <cell r="D3122">
            <v>302692</v>
          </cell>
          <cell r="E3122" t="str">
            <v>Tinongan NHS</v>
          </cell>
          <cell r="F3122">
            <v>1</v>
          </cell>
          <cell r="G3122">
            <v>1</v>
          </cell>
          <cell r="H3122">
            <v>1</v>
          </cell>
          <cell r="I3122">
            <v>0</v>
          </cell>
          <cell r="J3122">
            <v>1</v>
          </cell>
          <cell r="K3122">
            <v>0</v>
          </cell>
          <cell r="L3122">
            <v>1</v>
          </cell>
          <cell r="M3122" t="str">
            <v>N/A</v>
          </cell>
          <cell r="N3122">
            <v>0</v>
          </cell>
          <cell r="O3122" t="str">
            <v>N/A</v>
          </cell>
          <cell r="P3122">
            <v>43692</v>
          </cell>
          <cell r="Q3122">
            <v>0</v>
          </cell>
          <cell r="R3122">
            <v>1</v>
          </cell>
          <cell r="S3122">
            <v>0</v>
          </cell>
          <cell r="T3122">
            <v>1</v>
          </cell>
          <cell r="U3122" t="str">
            <v>N/A</v>
          </cell>
          <cell r="V3122">
            <v>1</v>
          </cell>
          <cell r="W3122">
            <v>10</v>
          </cell>
          <cell r="X3122">
            <v>4</v>
          </cell>
          <cell r="Y3122">
            <v>10</v>
          </cell>
        </row>
        <row r="3123">
          <cell r="D3123">
            <v>302404</v>
          </cell>
          <cell r="E3123" t="str">
            <v>Florentina B. Degala NHS</v>
          </cell>
          <cell r="F3123">
            <v>1</v>
          </cell>
          <cell r="G3123">
            <v>0</v>
          </cell>
          <cell r="H3123">
            <v>1</v>
          </cell>
          <cell r="I3123">
            <v>0</v>
          </cell>
          <cell r="J3123">
            <v>1</v>
          </cell>
          <cell r="K3123">
            <v>0</v>
          </cell>
          <cell r="L3123">
            <v>0</v>
          </cell>
          <cell r="M3123">
            <v>0</v>
          </cell>
          <cell r="N3123">
            <v>1</v>
          </cell>
          <cell r="O3123" t="str">
            <v>6/19/19</v>
          </cell>
          <cell r="P3123" t="str">
            <v>6/19/19</v>
          </cell>
          <cell r="Q3123">
            <v>0</v>
          </cell>
          <cell r="R3123">
            <v>0</v>
          </cell>
          <cell r="S3123">
            <v>0</v>
          </cell>
          <cell r="T3123">
            <v>1</v>
          </cell>
          <cell r="U3123" t="str">
            <v>Weekly</v>
          </cell>
          <cell r="V3123">
            <v>1</v>
          </cell>
          <cell r="W3123">
            <v>0</v>
          </cell>
          <cell r="X3123">
            <v>0</v>
          </cell>
          <cell r="Y3123">
            <v>0</v>
          </cell>
        </row>
        <row r="3124">
          <cell r="D3124">
            <v>302768</v>
          </cell>
          <cell r="E3124" t="str">
            <v>Bulanon National High School</v>
          </cell>
          <cell r="F3124">
            <v>0</v>
          </cell>
          <cell r="G3124">
            <v>0</v>
          </cell>
          <cell r="H3124">
            <v>1</v>
          </cell>
          <cell r="I3124">
            <v>1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1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1</v>
          </cell>
          <cell r="W3124">
            <v>0</v>
          </cell>
          <cell r="X3124">
            <v>0</v>
          </cell>
          <cell r="Y3124">
            <v>0</v>
          </cell>
        </row>
        <row r="3125">
          <cell r="D3125">
            <v>302342</v>
          </cell>
          <cell r="E3125" t="str">
            <v>Antique Vocational School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</row>
        <row r="3126">
          <cell r="D3126">
            <v>311031</v>
          </cell>
          <cell r="E3126" t="str">
            <v>BAYAG NATIONAL HIGH SCHOOL</v>
          </cell>
          <cell r="F3126">
            <v>1</v>
          </cell>
          <cell r="G3126">
            <v>1</v>
          </cell>
          <cell r="H3126">
            <v>1</v>
          </cell>
          <cell r="I3126">
            <v>0</v>
          </cell>
          <cell r="J3126">
            <v>0</v>
          </cell>
          <cell r="K3126">
            <v>1</v>
          </cell>
          <cell r="L3126">
            <v>0</v>
          </cell>
          <cell r="M3126">
            <v>0</v>
          </cell>
          <cell r="N3126">
            <v>0</v>
          </cell>
          <cell r="O3126" t="str">
            <v>06/03/2019</v>
          </cell>
          <cell r="P3126" t="str">
            <v>09/09/2019</v>
          </cell>
          <cell r="Q3126">
            <v>1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1</v>
          </cell>
          <cell r="W3126">
            <v>0</v>
          </cell>
          <cell r="X3126">
            <v>0</v>
          </cell>
          <cell r="Y3126">
            <v>0</v>
          </cell>
        </row>
        <row r="3127">
          <cell r="D3127">
            <v>302513</v>
          </cell>
          <cell r="E3127" t="str">
            <v>Jelicuon-Cabugao National High School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</row>
        <row r="3128">
          <cell r="D3128">
            <v>310902</v>
          </cell>
          <cell r="E3128" t="str">
            <v>Supang National High School</v>
          </cell>
          <cell r="F3128">
            <v>1</v>
          </cell>
          <cell r="G3128">
            <v>1</v>
          </cell>
          <cell r="H3128">
            <v>1</v>
          </cell>
          <cell r="I3128">
            <v>0</v>
          </cell>
          <cell r="J3128">
            <v>0</v>
          </cell>
          <cell r="K3128">
            <v>1</v>
          </cell>
          <cell r="L3128">
            <v>0</v>
          </cell>
          <cell r="M3128">
            <v>0</v>
          </cell>
          <cell r="N3128">
            <v>1</v>
          </cell>
          <cell r="O3128">
            <v>2018</v>
          </cell>
          <cell r="P3128">
            <v>2018</v>
          </cell>
          <cell r="Q3128">
            <v>0</v>
          </cell>
          <cell r="R3128">
            <v>0</v>
          </cell>
          <cell r="S3128">
            <v>1</v>
          </cell>
          <cell r="T3128">
            <v>0</v>
          </cell>
          <cell r="U3128">
            <v>0</v>
          </cell>
          <cell r="V3128">
            <v>0</v>
          </cell>
          <cell r="W3128">
            <v>3</v>
          </cell>
          <cell r="X3128">
            <v>0</v>
          </cell>
          <cell r="Y3128">
            <v>0</v>
          </cell>
        </row>
        <row r="3129">
          <cell r="D3129">
            <v>302786</v>
          </cell>
          <cell r="E3129" t="str">
            <v>Binicuil NHS</v>
          </cell>
          <cell r="F3129">
            <v>1</v>
          </cell>
          <cell r="G3129">
            <v>1</v>
          </cell>
          <cell r="H3129">
            <v>1</v>
          </cell>
          <cell r="I3129">
            <v>1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1</v>
          </cell>
          <cell r="O3129">
            <v>43497</v>
          </cell>
          <cell r="P3129">
            <v>43678</v>
          </cell>
          <cell r="Q3129">
            <v>0</v>
          </cell>
          <cell r="R3129">
            <v>1</v>
          </cell>
          <cell r="S3129">
            <v>0</v>
          </cell>
          <cell r="T3129">
            <v>0</v>
          </cell>
          <cell r="U3129">
            <v>0</v>
          </cell>
          <cell r="V3129">
            <v>1</v>
          </cell>
          <cell r="W3129">
            <v>2</v>
          </cell>
          <cell r="X3129">
            <v>2</v>
          </cell>
          <cell r="Y3129">
            <v>2</v>
          </cell>
        </row>
        <row r="3130">
          <cell r="D3130">
            <v>311405</v>
          </cell>
          <cell r="E3130" t="str">
            <v>Banquerohan NHS (Dr. Vicente F Gustilo NHS-Banquerohan Ext)</v>
          </cell>
          <cell r="F3130">
            <v>1</v>
          </cell>
          <cell r="G3130">
            <v>1</v>
          </cell>
          <cell r="H3130">
            <v>1</v>
          </cell>
          <cell r="I3130">
            <v>1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1</v>
          </cell>
          <cell r="O3130" t="str">
            <v>08/23/2019</v>
          </cell>
          <cell r="P3130">
            <v>43586</v>
          </cell>
          <cell r="Q3130">
            <v>0</v>
          </cell>
          <cell r="R3130">
            <v>1</v>
          </cell>
          <cell r="S3130">
            <v>0</v>
          </cell>
          <cell r="T3130">
            <v>0</v>
          </cell>
          <cell r="U3130">
            <v>0</v>
          </cell>
          <cell r="V3130">
            <v>1</v>
          </cell>
          <cell r="W3130">
            <v>0</v>
          </cell>
          <cell r="X3130">
            <v>0</v>
          </cell>
          <cell r="Y3130">
            <v>0</v>
          </cell>
        </row>
        <row r="3131">
          <cell r="D3131">
            <v>500037</v>
          </cell>
          <cell r="E3131" t="str">
            <v>Eusebio Lopez Memorial Integrated School</v>
          </cell>
          <cell r="F3131">
            <v>1</v>
          </cell>
          <cell r="G3131">
            <v>1</v>
          </cell>
          <cell r="H3131">
            <v>1</v>
          </cell>
          <cell r="I3131">
            <v>1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1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</row>
        <row r="3132">
          <cell r="D3132">
            <v>311021</v>
          </cell>
          <cell r="E3132" t="str">
            <v>Tacuyong Sur NHS</v>
          </cell>
          <cell r="F3132">
            <v>1</v>
          </cell>
          <cell r="G3132">
            <v>1</v>
          </cell>
          <cell r="H3132">
            <v>1</v>
          </cell>
          <cell r="I3132">
            <v>0</v>
          </cell>
          <cell r="J3132">
            <v>0</v>
          </cell>
          <cell r="K3132">
            <v>1</v>
          </cell>
          <cell r="L3132">
            <v>0</v>
          </cell>
          <cell r="M3132">
            <v>0</v>
          </cell>
          <cell r="N3132">
            <v>1</v>
          </cell>
          <cell r="O3132">
            <v>43617</v>
          </cell>
          <cell r="P3132">
            <v>43617</v>
          </cell>
          <cell r="Q3132">
            <v>0</v>
          </cell>
          <cell r="R3132">
            <v>0</v>
          </cell>
          <cell r="S3132">
            <v>1</v>
          </cell>
          <cell r="T3132">
            <v>0</v>
          </cell>
          <cell r="U3132">
            <v>0</v>
          </cell>
          <cell r="V3132">
            <v>1</v>
          </cell>
          <cell r="W3132">
            <v>5</v>
          </cell>
          <cell r="X3132">
            <v>5</v>
          </cell>
          <cell r="Y3132">
            <v>5</v>
          </cell>
        </row>
        <row r="3133">
          <cell r="D3133">
            <v>302673</v>
          </cell>
          <cell r="E3133" t="str">
            <v>Pahilanga  National High School</v>
          </cell>
          <cell r="F3133">
            <v>0</v>
          </cell>
          <cell r="G3133">
            <v>0</v>
          </cell>
          <cell r="H3133">
            <v>1</v>
          </cell>
          <cell r="I3133">
            <v>0</v>
          </cell>
          <cell r="J3133">
            <v>1</v>
          </cell>
          <cell r="K3133">
            <v>0</v>
          </cell>
          <cell r="L3133">
            <v>0</v>
          </cell>
          <cell r="M3133">
            <v>0</v>
          </cell>
          <cell r="N3133">
            <v>1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1</v>
          </cell>
          <cell r="U3133">
            <v>0</v>
          </cell>
          <cell r="V3133">
            <v>1</v>
          </cell>
          <cell r="W3133">
            <v>0</v>
          </cell>
          <cell r="X3133">
            <v>0</v>
          </cell>
          <cell r="Y3133">
            <v>0</v>
          </cell>
        </row>
        <row r="3134">
          <cell r="D3134">
            <v>302552</v>
          </cell>
          <cell r="E3134" t="str">
            <v>Pili NHS</v>
          </cell>
          <cell r="F3134">
            <v>1</v>
          </cell>
          <cell r="G3134">
            <v>0</v>
          </cell>
          <cell r="H3134">
            <v>1</v>
          </cell>
          <cell r="I3134">
            <v>0</v>
          </cell>
          <cell r="J3134">
            <v>1</v>
          </cell>
          <cell r="K3134">
            <v>0</v>
          </cell>
          <cell r="L3134">
            <v>0</v>
          </cell>
          <cell r="M3134">
            <v>0</v>
          </cell>
          <cell r="N3134">
            <v>1</v>
          </cell>
          <cell r="O3134">
            <v>43277</v>
          </cell>
          <cell r="P3134" t="str">
            <v>N/A</v>
          </cell>
          <cell r="Q3134">
            <v>0</v>
          </cell>
          <cell r="R3134">
            <v>0</v>
          </cell>
          <cell r="S3134">
            <v>1</v>
          </cell>
          <cell r="T3134">
            <v>0</v>
          </cell>
          <cell r="U3134">
            <v>0</v>
          </cell>
          <cell r="V3134">
            <v>1</v>
          </cell>
          <cell r="W3134">
            <v>0</v>
          </cell>
          <cell r="X3134">
            <v>0</v>
          </cell>
          <cell r="Y3134">
            <v>0</v>
          </cell>
        </row>
        <row r="3135">
          <cell r="D3135">
            <v>302729</v>
          </cell>
          <cell r="E3135" t="str">
            <v>Caduha-an NHS - Andres Bonifacio Ext. HS</v>
          </cell>
          <cell r="F3135">
            <v>1</v>
          </cell>
          <cell r="G3135">
            <v>0</v>
          </cell>
          <cell r="H3135">
            <v>1</v>
          </cell>
          <cell r="I3135">
            <v>0</v>
          </cell>
          <cell r="J3135">
            <v>0</v>
          </cell>
          <cell r="K3135">
            <v>1</v>
          </cell>
          <cell r="L3135">
            <v>0</v>
          </cell>
          <cell r="M3135">
            <v>0</v>
          </cell>
          <cell r="N3135">
            <v>1</v>
          </cell>
          <cell r="O3135">
            <v>43261</v>
          </cell>
          <cell r="P3135">
            <v>43662</v>
          </cell>
          <cell r="Q3135">
            <v>0</v>
          </cell>
          <cell r="R3135">
            <v>0</v>
          </cell>
          <cell r="S3135">
            <v>1</v>
          </cell>
          <cell r="T3135">
            <v>0</v>
          </cell>
          <cell r="U3135">
            <v>0</v>
          </cell>
          <cell r="V3135">
            <v>1</v>
          </cell>
          <cell r="W3135">
            <v>4</v>
          </cell>
          <cell r="X3135">
            <v>4</v>
          </cell>
          <cell r="Y3135">
            <v>0</v>
          </cell>
        </row>
        <row r="3136">
          <cell r="D3136">
            <v>302727</v>
          </cell>
          <cell r="E3136" t="str">
            <v>Sicaba National High School</v>
          </cell>
          <cell r="F3136">
            <v>1</v>
          </cell>
          <cell r="G3136">
            <v>1</v>
          </cell>
          <cell r="H3136">
            <v>1</v>
          </cell>
          <cell r="I3136">
            <v>0</v>
          </cell>
          <cell r="J3136">
            <v>1</v>
          </cell>
          <cell r="K3136">
            <v>0</v>
          </cell>
          <cell r="L3136">
            <v>0</v>
          </cell>
          <cell r="M3136">
            <v>0</v>
          </cell>
          <cell r="N3136">
            <v>1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1</v>
          </cell>
          <cell r="U3136" t="str">
            <v>scheduled visit</v>
          </cell>
          <cell r="V3136">
            <v>1</v>
          </cell>
          <cell r="W3136">
            <v>3</v>
          </cell>
          <cell r="X3136">
            <v>1</v>
          </cell>
          <cell r="Y3136">
            <v>1</v>
          </cell>
        </row>
        <row r="3137">
          <cell r="D3137">
            <v>302734</v>
          </cell>
          <cell r="E3137" t="str">
            <v>Tiglawigan NHS - Magsaysay Extension High School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1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1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</row>
        <row r="3138">
          <cell r="D3138">
            <v>302512</v>
          </cell>
          <cell r="E3138" t="str">
            <v>Janiuay NCHS</v>
          </cell>
          <cell r="F3138">
            <v>1</v>
          </cell>
          <cell r="G3138">
            <v>1</v>
          </cell>
          <cell r="H3138">
            <v>1</v>
          </cell>
          <cell r="I3138">
            <v>0</v>
          </cell>
          <cell r="J3138">
            <v>1</v>
          </cell>
          <cell r="K3138">
            <v>0</v>
          </cell>
          <cell r="L3138">
            <v>0</v>
          </cell>
          <cell r="M3138">
            <v>0</v>
          </cell>
          <cell r="N3138">
            <v>1</v>
          </cell>
          <cell r="O3138">
            <v>43617</v>
          </cell>
          <cell r="P3138">
            <v>43617</v>
          </cell>
          <cell r="Q3138">
            <v>0</v>
          </cell>
          <cell r="R3138">
            <v>1</v>
          </cell>
          <cell r="S3138">
            <v>0</v>
          </cell>
          <cell r="T3138">
            <v>0</v>
          </cell>
          <cell r="U3138">
            <v>0</v>
          </cell>
          <cell r="V3138">
            <v>1</v>
          </cell>
          <cell r="W3138">
            <v>0</v>
          </cell>
          <cell r="X3138">
            <v>0</v>
          </cell>
          <cell r="Y3138">
            <v>0</v>
          </cell>
        </row>
        <row r="3139">
          <cell r="D3139">
            <v>302735</v>
          </cell>
          <cell r="E3139" t="str">
            <v>Villacin National High School</v>
          </cell>
          <cell r="F3139">
            <v>1</v>
          </cell>
          <cell r="G3139">
            <v>1</v>
          </cell>
          <cell r="H3139">
            <v>1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1</v>
          </cell>
          <cell r="O3139">
            <v>0</v>
          </cell>
          <cell r="P3139">
            <v>0</v>
          </cell>
          <cell r="Q3139">
            <v>0</v>
          </cell>
          <cell r="R3139">
            <v>1</v>
          </cell>
          <cell r="S3139">
            <v>0</v>
          </cell>
          <cell r="T3139">
            <v>1</v>
          </cell>
          <cell r="U3139">
            <v>43719</v>
          </cell>
          <cell r="V3139">
            <v>1</v>
          </cell>
          <cell r="W3139">
            <v>0</v>
          </cell>
          <cell r="X3139">
            <v>0</v>
          </cell>
          <cell r="Y3139">
            <v>0</v>
          </cell>
        </row>
        <row r="3140">
          <cell r="D3140">
            <v>500589</v>
          </cell>
          <cell r="E3140" t="str">
            <v>Hinapunan Integrated School</v>
          </cell>
          <cell r="F3140">
            <v>1</v>
          </cell>
          <cell r="G3140">
            <v>1</v>
          </cell>
          <cell r="H3140">
            <v>1</v>
          </cell>
          <cell r="I3140">
            <v>0</v>
          </cell>
          <cell r="J3140">
            <v>1</v>
          </cell>
          <cell r="K3140">
            <v>0</v>
          </cell>
          <cell r="L3140">
            <v>0</v>
          </cell>
          <cell r="M3140">
            <v>0</v>
          </cell>
          <cell r="N3140">
            <v>1</v>
          </cell>
          <cell r="O3140">
            <v>43633</v>
          </cell>
          <cell r="P3140">
            <v>43633</v>
          </cell>
          <cell r="Q3140">
            <v>0</v>
          </cell>
          <cell r="R3140">
            <v>1</v>
          </cell>
          <cell r="S3140">
            <v>0</v>
          </cell>
          <cell r="T3140">
            <v>0</v>
          </cell>
          <cell r="U3140">
            <v>0</v>
          </cell>
          <cell r="V3140">
            <v>1</v>
          </cell>
          <cell r="W3140">
            <v>0</v>
          </cell>
          <cell r="X3140">
            <v>0</v>
          </cell>
          <cell r="Y3140">
            <v>0</v>
          </cell>
        </row>
        <row r="3141">
          <cell r="D3141">
            <v>302363</v>
          </cell>
          <cell r="E3141" t="str">
            <v>Libertad NVS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</row>
        <row r="3142">
          <cell r="D3142">
            <v>302633</v>
          </cell>
          <cell r="E3142" t="str">
            <v>Sipalay City NHS</v>
          </cell>
          <cell r="F3142">
            <v>1</v>
          </cell>
          <cell r="G3142">
            <v>1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</row>
        <row r="3143">
          <cell r="D3143">
            <v>500036</v>
          </cell>
          <cell r="E3143" t="str">
            <v>Colonia Divina Integrated School</v>
          </cell>
          <cell r="F3143">
            <v>1</v>
          </cell>
          <cell r="G3143">
            <v>0</v>
          </cell>
          <cell r="H3143">
            <v>1</v>
          </cell>
          <cell r="I3143">
            <v>0</v>
          </cell>
          <cell r="J3143">
            <v>0</v>
          </cell>
          <cell r="K3143">
            <v>1</v>
          </cell>
          <cell r="L3143">
            <v>0</v>
          </cell>
          <cell r="M3143">
            <v>0</v>
          </cell>
          <cell r="N3143">
            <v>1</v>
          </cell>
          <cell r="O3143">
            <v>43695</v>
          </cell>
          <cell r="P3143">
            <v>43635</v>
          </cell>
          <cell r="Q3143">
            <v>0</v>
          </cell>
          <cell r="R3143">
            <v>1</v>
          </cell>
          <cell r="S3143">
            <v>0</v>
          </cell>
          <cell r="T3143">
            <v>0</v>
          </cell>
          <cell r="U3143">
            <v>0</v>
          </cell>
          <cell r="V3143">
            <v>1</v>
          </cell>
          <cell r="W3143">
            <v>1</v>
          </cell>
          <cell r="X3143">
            <v>1</v>
          </cell>
          <cell r="Y3143">
            <v>1</v>
          </cell>
        </row>
        <row r="3144">
          <cell r="D3144">
            <v>302609</v>
          </cell>
          <cell r="E3144" t="str">
            <v>Cansilayan NHS</v>
          </cell>
          <cell r="F3144">
            <v>1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1</v>
          </cell>
          <cell r="M3144" t="str">
            <v>WHEN NECESSARY</v>
          </cell>
          <cell r="N3144">
            <v>1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</row>
        <row r="3145">
          <cell r="D3145">
            <v>302795</v>
          </cell>
          <cell r="E3145" t="str">
            <v>Locotan NHS</v>
          </cell>
          <cell r="F3145">
            <v>1</v>
          </cell>
          <cell r="G3145">
            <v>1</v>
          </cell>
          <cell r="H3145">
            <v>1</v>
          </cell>
          <cell r="I3145">
            <v>0</v>
          </cell>
          <cell r="J3145">
            <v>1</v>
          </cell>
          <cell r="K3145">
            <v>0</v>
          </cell>
          <cell r="L3145">
            <v>0</v>
          </cell>
          <cell r="M3145">
            <v>0</v>
          </cell>
          <cell r="N3145">
            <v>1</v>
          </cell>
          <cell r="O3145">
            <v>43640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1</v>
          </cell>
          <cell r="U3145" t="str">
            <v>NONE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</row>
        <row r="3146">
          <cell r="D3146">
            <v>310802</v>
          </cell>
          <cell r="E3146" t="str">
            <v>Dao National High School</v>
          </cell>
          <cell r="F3146">
            <v>0</v>
          </cell>
          <cell r="G3146">
            <v>0</v>
          </cell>
          <cell r="H3146">
            <v>1</v>
          </cell>
          <cell r="I3146">
            <v>0</v>
          </cell>
          <cell r="J3146">
            <v>0</v>
          </cell>
          <cell r="K3146">
            <v>1</v>
          </cell>
          <cell r="L3146">
            <v>0</v>
          </cell>
          <cell r="M3146">
            <v>0</v>
          </cell>
          <cell r="N3146">
            <v>1</v>
          </cell>
          <cell r="O3146">
            <v>0</v>
          </cell>
          <cell r="P3146" t="str">
            <v>SUMMER 2018</v>
          </cell>
          <cell r="Q3146">
            <v>0</v>
          </cell>
          <cell r="R3146">
            <v>1</v>
          </cell>
          <cell r="S3146">
            <v>0</v>
          </cell>
          <cell r="T3146">
            <v>0</v>
          </cell>
          <cell r="U3146">
            <v>0</v>
          </cell>
          <cell r="V3146">
            <v>1</v>
          </cell>
          <cell r="W3146">
            <v>1</v>
          </cell>
          <cell r="X3146">
            <v>0</v>
          </cell>
          <cell r="Y3146">
            <v>0</v>
          </cell>
        </row>
        <row r="3147">
          <cell r="D3147">
            <v>302659</v>
          </cell>
          <cell r="E3147" t="str">
            <v>Lopez Jaena NHS</v>
          </cell>
          <cell r="F3147">
            <v>1</v>
          </cell>
          <cell r="G3147">
            <v>1</v>
          </cell>
          <cell r="H3147">
            <v>1</v>
          </cell>
          <cell r="I3147">
            <v>1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1</v>
          </cell>
          <cell r="O3147">
            <v>43756</v>
          </cell>
          <cell r="P3147">
            <v>0</v>
          </cell>
          <cell r="Q3147">
            <v>1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1</v>
          </cell>
          <cell r="W3147">
            <v>0</v>
          </cell>
          <cell r="X3147">
            <v>0</v>
          </cell>
          <cell r="Y3147">
            <v>0</v>
          </cell>
        </row>
        <row r="3148">
          <cell r="D3148">
            <v>302464</v>
          </cell>
          <cell r="E3148" t="str">
            <v>Binaliuan NHS</v>
          </cell>
          <cell r="F3148">
            <v>1</v>
          </cell>
          <cell r="G3148">
            <v>0</v>
          </cell>
          <cell r="H3148">
            <v>1</v>
          </cell>
          <cell r="I3148">
            <v>0</v>
          </cell>
          <cell r="J3148">
            <v>1</v>
          </cell>
          <cell r="K3148">
            <v>0</v>
          </cell>
          <cell r="L3148">
            <v>0</v>
          </cell>
          <cell r="M3148">
            <v>0</v>
          </cell>
          <cell r="N3148">
            <v>1</v>
          </cell>
          <cell r="O3148">
            <v>0</v>
          </cell>
          <cell r="P3148" t="str">
            <v>NONE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1</v>
          </cell>
          <cell r="X3148">
            <v>1</v>
          </cell>
          <cell r="Y3148">
            <v>1</v>
          </cell>
        </row>
        <row r="3149">
          <cell r="D3149">
            <v>302744</v>
          </cell>
          <cell r="E3149" t="str">
            <v>Jaro National High School</v>
          </cell>
          <cell r="F3149">
            <v>1</v>
          </cell>
          <cell r="G3149">
            <v>1</v>
          </cell>
          <cell r="H3149">
            <v>1</v>
          </cell>
          <cell r="I3149">
            <v>1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1</v>
          </cell>
          <cell r="O3149">
            <v>0</v>
          </cell>
          <cell r="P3149" t="str">
            <v>September</v>
          </cell>
          <cell r="Q3149">
            <v>1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1</v>
          </cell>
          <cell r="W3149">
            <v>2</v>
          </cell>
          <cell r="X3149">
            <v>0</v>
          </cell>
          <cell r="Y3149">
            <v>0</v>
          </cell>
        </row>
        <row r="3150">
          <cell r="D3150">
            <v>302736</v>
          </cell>
          <cell r="E3150" t="str">
            <v>Jerusalem National High School</v>
          </cell>
          <cell r="F3150">
            <v>0</v>
          </cell>
          <cell r="G3150">
            <v>0</v>
          </cell>
          <cell r="H3150">
            <v>1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1</v>
          </cell>
          <cell r="S3150">
            <v>0</v>
          </cell>
          <cell r="T3150">
            <v>0</v>
          </cell>
          <cell r="U3150">
            <v>0</v>
          </cell>
          <cell r="V3150">
            <v>1</v>
          </cell>
          <cell r="W3150">
            <v>0</v>
          </cell>
          <cell r="X3150">
            <v>0</v>
          </cell>
          <cell r="Y3150">
            <v>0</v>
          </cell>
        </row>
        <row r="3151">
          <cell r="D3151">
            <v>302660</v>
          </cell>
          <cell r="E3151" t="str">
            <v>Mabini National High School</v>
          </cell>
          <cell r="F3151">
            <v>1</v>
          </cell>
          <cell r="G3151">
            <v>1</v>
          </cell>
          <cell r="H3151">
            <v>1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1</v>
          </cell>
          <cell r="W3151">
            <v>2</v>
          </cell>
          <cell r="X3151">
            <v>2</v>
          </cell>
          <cell r="Y3151">
            <v>2</v>
          </cell>
        </row>
        <row r="3152">
          <cell r="D3152">
            <v>302615</v>
          </cell>
          <cell r="E3152" t="str">
            <v>Dian-ay National High School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</row>
        <row r="3153">
          <cell r="D3153">
            <v>302730</v>
          </cell>
          <cell r="E3153" t="str">
            <v>Dr. Vicente F. Gustilo Memorial NHS</v>
          </cell>
          <cell r="F3153">
            <v>0</v>
          </cell>
          <cell r="G3153">
            <v>0</v>
          </cell>
          <cell r="H3153">
            <v>1</v>
          </cell>
          <cell r="I3153">
            <v>0</v>
          </cell>
          <cell r="J3153">
            <v>0</v>
          </cell>
          <cell r="K3153">
            <v>1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</row>
        <row r="3154">
          <cell r="D3154">
            <v>500429</v>
          </cell>
          <cell r="E3154" t="str">
            <v>Aglalana Integrated School</v>
          </cell>
          <cell r="F3154">
            <v>0</v>
          </cell>
          <cell r="G3154">
            <v>1</v>
          </cell>
          <cell r="H3154">
            <v>1</v>
          </cell>
          <cell r="I3154">
            <v>0</v>
          </cell>
          <cell r="J3154">
            <v>1</v>
          </cell>
          <cell r="K3154">
            <v>0</v>
          </cell>
          <cell r="L3154">
            <v>0</v>
          </cell>
          <cell r="M3154">
            <v>0</v>
          </cell>
          <cell r="N3154">
            <v>1</v>
          </cell>
          <cell r="O3154">
            <v>0</v>
          </cell>
          <cell r="P3154">
            <v>43623</v>
          </cell>
          <cell r="Q3154">
            <v>0</v>
          </cell>
          <cell r="R3154">
            <v>1</v>
          </cell>
          <cell r="S3154">
            <v>0</v>
          </cell>
          <cell r="T3154">
            <v>0</v>
          </cell>
          <cell r="U3154">
            <v>0</v>
          </cell>
          <cell r="V3154">
            <v>1</v>
          </cell>
          <cell r="W3154">
            <v>2</v>
          </cell>
          <cell r="X3154">
            <v>2</v>
          </cell>
          <cell r="Y3154">
            <v>0</v>
          </cell>
        </row>
        <row r="3155">
          <cell r="D3155">
            <v>302728</v>
          </cell>
          <cell r="E3155" t="str">
            <v>Caduha-an NHS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</row>
        <row r="3156">
          <cell r="D3156">
            <v>500194</v>
          </cell>
          <cell r="E3156" t="str">
            <v>Inzo Arnaldo Village Integrated School</v>
          </cell>
          <cell r="F3156">
            <v>1</v>
          </cell>
          <cell r="G3156">
            <v>1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1</v>
          </cell>
          <cell r="M3156" t="str">
            <v>As needed</v>
          </cell>
          <cell r="N3156">
            <v>1</v>
          </cell>
          <cell r="O3156" t="str">
            <v>June 2019</v>
          </cell>
          <cell r="P3156">
            <v>43651</v>
          </cell>
          <cell r="Q3156">
            <v>1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1</v>
          </cell>
          <cell r="W3156">
            <v>0</v>
          </cell>
          <cell r="X3156">
            <v>0</v>
          </cell>
          <cell r="Y3156">
            <v>0</v>
          </cell>
        </row>
        <row r="3157">
          <cell r="D3157">
            <v>302654</v>
          </cell>
          <cell r="E3157" t="str">
            <v>Libas National High School</v>
          </cell>
          <cell r="F3157">
            <v>1</v>
          </cell>
          <cell r="G3157">
            <v>1</v>
          </cell>
          <cell r="H3157">
            <v>1</v>
          </cell>
          <cell r="I3157">
            <v>0</v>
          </cell>
          <cell r="J3157">
            <v>1</v>
          </cell>
          <cell r="K3157">
            <v>0</v>
          </cell>
          <cell r="L3157">
            <v>0</v>
          </cell>
          <cell r="M3157">
            <v>0</v>
          </cell>
          <cell r="N3157">
            <v>1</v>
          </cell>
          <cell r="O3157" t="str">
            <v>2/20/2019</v>
          </cell>
          <cell r="P3157" t="str">
            <v>3/21/2019</v>
          </cell>
          <cell r="Q3157">
            <v>0</v>
          </cell>
          <cell r="R3157">
            <v>1</v>
          </cell>
          <cell r="S3157">
            <v>0</v>
          </cell>
          <cell r="T3157">
            <v>0</v>
          </cell>
          <cell r="U3157">
            <v>0</v>
          </cell>
          <cell r="V3157">
            <v>1</v>
          </cell>
          <cell r="W3157">
            <v>0</v>
          </cell>
          <cell r="X3157">
            <v>0</v>
          </cell>
          <cell r="Y3157">
            <v>0</v>
          </cell>
        </row>
        <row r="3158">
          <cell r="D3158">
            <v>302653</v>
          </cell>
          <cell r="E3158" t="str">
            <v>Isabela National High School</v>
          </cell>
          <cell r="F3158">
            <v>0</v>
          </cell>
          <cell r="G3158">
            <v>0</v>
          </cell>
          <cell r="H3158">
            <v>1</v>
          </cell>
          <cell r="I3158">
            <v>0</v>
          </cell>
          <cell r="J3158">
            <v>0</v>
          </cell>
          <cell r="K3158">
            <v>1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1</v>
          </cell>
          <cell r="R3158">
            <v>0</v>
          </cell>
          <cell r="S3158">
            <v>0</v>
          </cell>
          <cell r="T3158">
            <v>0</v>
          </cell>
          <cell r="U3158">
            <v>43676</v>
          </cell>
          <cell r="V3158">
            <v>1</v>
          </cell>
          <cell r="W3158">
            <v>0</v>
          </cell>
          <cell r="X3158">
            <v>0</v>
          </cell>
          <cell r="Y3158">
            <v>0</v>
          </cell>
        </row>
        <row r="3159">
          <cell r="D3159">
            <v>302369</v>
          </cell>
          <cell r="E3159" t="str">
            <v>Pandan NVHS</v>
          </cell>
          <cell r="F3159">
            <v>1</v>
          </cell>
          <cell r="G3159">
            <v>1</v>
          </cell>
          <cell r="H3159">
            <v>1</v>
          </cell>
          <cell r="I3159">
            <v>0</v>
          </cell>
          <cell r="J3159">
            <v>1</v>
          </cell>
          <cell r="K3159">
            <v>0</v>
          </cell>
          <cell r="L3159">
            <v>0</v>
          </cell>
          <cell r="M3159">
            <v>0</v>
          </cell>
          <cell r="N3159">
            <v>1</v>
          </cell>
          <cell r="O3159">
            <v>0</v>
          </cell>
          <cell r="P3159" t="str">
            <v>NONE</v>
          </cell>
          <cell r="Q3159">
            <v>0</v>
          </cell>
          <cell r="R3159">
            <v>0</v>
          </cell>
          <cell r="S3159">
            <v>0</v>
          </cell>
          <cell r="T3159">
            <v>1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</row>
        <row r="3160">
          <cell r="D3160">
            <v>302664</v>
          </cell>
          <cell r="E3160" t="str">
            <v>Nabulao NHS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</row>
        <row r="3161">
          <cell r="D3161">
            <v>311106</v>
          </cell>
          <cell r="E3161" t="str">
            <v>Escalante NHS - Dr. Floro T. Bongco Mem. Ext.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</row>
        <row r="3162">
          <cell r="D3162">
            <v>325602</v>
          </cell>
          <cell r="E3162" t="str">
            <v>Buenavista NHS - Langub Ext.</v>
          </cell>
          <cell r="F3162">
            <v>1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</row>
        <row r="3163">
          <cell r="D3163">
            <v>302628</v>
          </cell>
          <cell r="E3163" t="str">
            <v>Escalante NHS - Washington Ext. (Palao)</v>
          </cell>
          <cell r="F3163">
            <v>0</v>
          </cell>
          <cell r="G3163">
            <v>0</v>
          </cell>
          <cell r="H3163">
            <v>1</v>
          </cell>
          <cell r="I3163">
            <v>0</v>
          </cell>
          <cell r="J3163">
            <v>1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</row>
        <row r="3164">
          <cell r="D3164">
            <v>302626</v>
          </cell>
          <cell r="E3164" t="str">
            <v>Old Poblacion National High School</v>
          </cell>
          <cell r="F3164">
            <v>1</v>
          </cell>
          <cell r="G3164">
            <v>0</v>
          </cell>
          <cell r="H3164">
            <v>1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</row>
        <row r="3165">
          <cell r="D3165">
            <v>302611</v>
          </cell>
          <cell r="E3165" t="str">
            <v>Catalino Soliguen NHS</v>
          </cell>
          <cell r="F3165">
            <v>1</v>
          </cell>
          <cell r="G3165">
            <v>1</v>
          </cell>
          <cell r="H3165">
            <v>1</v>
          </cell>
          <cell r="I3165">
            <v>0</v>
          </cell>
          <cell r="J3165">
            <v>1</v>
          </cell>
          <cell r="K3165">
            <v>0</v>
          </cell>
          <cell r="L3165">
            <v>0</v>
          </cell>
          <cell r="M3165">
            <v>0</v>
          </cell>
          <cell r="N3165">
            <v>1</v>
          </cell>
          <cell r="O3165">
            <v>43668</v>
          </cell>
          <cell r="P3165">
            <v>43471</v>
          </cell>
          <cell r="Q3165">
            <v>0</v>
          </cell>
          <cell r="R3165">
            <v>0</v>
          </cell>
          <cell r="S3165">
            <v>1</v>
          </cell>
          <cell r="T3165">
            <v>0</v>
          </cell>
          <cell r="U3165">
            <v>0</v>
          </cell>
          <cell r="V3165">
            <v>1</v>
          </cell>
          <cell r="W3165">
            <v>0</v>
          </cell>
          <cell r="X3165">
            <v>0</v>
          </cell>
          <cell r="Y3165">
            <v>0</v>
          </cell>
        </row>
        <row r="3166">
          <cell r="D3166">
            <v>302596</v>
          </cell>
          <cell r="E3166" t="str">
            <v>Buenavista NHS - Japitan Ext.</v>
          </cell>
          <cell r="F3166">
            <v>1</v>
          </cell>
          <cell r="G3166">
            <v>1</v>
          </cell>
          <cell r="H3166">
            <v>1</v>
          </cell>
          <cell r="I3166">
            <v>0</v>
          </cell>
          <cell r="J3166">
            <v>1</v>
          </cell>
          <cell r="K3166">
            <v>0</v>
          </cell>
          <cell r="L3166">
            <v>0</v>
          </cell>
          <cell r="M3166">
            <v>0</v>
          </cell>
          <cell r="N3166">
            <v>1</v>
          </cell>
          <cell r="O3166">
            <v>0</v>
          </cell>
          <cell r="P3166">
            <v>0</v>
          </cell>
          <cell r="Q3166">
            <v>0</v>
          </cell>
          <cell r="R3166">
            <v>1</v>
          </cell>
          <cell r="S3166">
            <v>0</v>
          </cell>
          <cell r="T3166">
            <v>0</v>
          </cell>
          <cell r="U3166">
            <v>0</v>
          </cell>
          <cell r="V3166">
            <v>1</v>
          </cell>
          <cell r="W3166">
            <v>1</v>
          </cell>
          <cell r="X3166">
            <v>0</v>
          </cell>
          <cell r="Y3166">
            <v>0</v>
          </cell>
        </row>
        <row r="3167">
          <cell r="D3167">
            <v>302393</v>
          </cell>
          <cell r="E3167" t="str">
            <v>Col. Patrocinio Artuz NHS</v>
          </cell>
          <cell r="F3167">
            <v>1</v>
          </cell>
          <cell r="G3167">
            <v>1</v>
          </cell>
          <cell r="H3167">
            <v>1</v>
          </cell>
          <cell r="I3167">
            <v>0</v>
          </cell>
          <cell r="J3167">
            <v>1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</row>
        <row r="3168">
          <cell r="D3168">
            <v>302802</v>
          </cell>
          <cell r="E3168" t="str">
            <v>Magballo National High School</v>
          </cell>
          <cell r="F3168">
            <v>1</v>
          </cell>
          <cell r="G3168">
            <v>1</v>
          </cell>
          <cell r="H3168">
            <v>1</v>
          </cell>
          <cell r="I3168">
            <v>0</v>
          </cell>
          <cell r="J3168">
            <v>0</v>
          </cell>
          <cell r="K3168">
            <v>1</v>
          </cell>
          <cell r="L3168">
            <v>0</v>
          </cell>
          <cell r="M3168">
            <v>0</v>
          </cell>
          <cell r="N3168">
            <v>1</v>
          </cell>
          <cell r="O3168">
            <v>43532</v>
          </cell>
          <cell r="P3168">
            <v>0</v>
          </cell>
          <cell r="Q3168">
            <v>0</v>
          </cell>
          <cell r="R3168">
            <v>0</v>
          </cell>
          <cell r="S3168">
            <v>1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</row>
        <row r="3169">
          <cell r="D3169">
            <v>305700</v>
          </cell>
          <cell r="E3169" t="str">
            <v>Alameda National High School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</row>
        <row r="3170">
          <cell r="D3170">
            <v>325605</v>
          </cell>
          <cell r="E3170" t="str">
            <v>Escalante NHS - Libertad Ext.</v>
          </cell>
          <cell r="F3170">
            <v>1</v>
          </cell>
          <cell r="G3170">
            <v>1</v>
          </cell>
          <cell r="H3170">
            <v>1</v>
          </cell>
          <cell r="I3170">
            <v>0</v>
          </cell>
          <cell r="J3170">
            <v>1</v>
          </cell>
          <cell r="K3170">
            <v>0</v>
          </cell>
          <cell r="L3170">
            <v>0</v>
          </cell>
          <cell r="M3170">
            <v>0</v>
          </cell>
          <cell r="N3170">
            <v>1</v>
          </cell>
          <cell r="O3170">
            <v>43480</v>
          </cell>
          <cell r="P3170">
            <v>43629</v>
          </cell>
          <cell r="Q3170">
            <v>1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1</v>
          </cell>
          <cell r="W3170">
            <v>2</v>
          </cell>
          <cell r="X3170">
            <v>0</v>
          </cell>
          <cell r="Y3170">
            <v>0</v>
          </cell>
        </row>
        <row r="3171">
          <cell r="D3171">
            <v>325603</v>
          </cell>
          <cell r="E3171" t="str">
            <v>Escalante NHS - Pinapugasan Ext.</v>
          </cell>
          <cell r="F3171">
            <v>1</v>
          </cell>
          <cell r="G3171">
            <v>1</v>
          </cell>
          <cell r="H3171">
            <v>1</v>
          </cell>
          <cell r="I3171">
            <v>0</v>
          </cell>
          <cell r="J3171">
            <v>1</v>
          </cell>
          <cell r="K3171">
            <v>0</v>
          </cell>
          <cell r="L3171">
            <v>0</v>
          </cell>
          <cell r="M3171">
            <v>0</v>
          </cell>
          <cell r="N3171">
            <v>1</v>
          </cell>
          <cell r="O3171" t="str">
            <v>10/28/19</v>
          </cell>
          <cell r="P3171">
            <v>0</v>
          </cell>
          <cell r="Q3171">
            <v>0</v>
          </cell>
          <cell r="R3171">
            <v>1</v>
          </cell>
          <cell r="S3171">
            <v>0</v>
          </cell>
          <cell r="T3171">
            <v>0</v>
          </cell>
          <cell r="U3171">
            <v>0</v>
          </cell>
          <cell r="V3171">
            <v>1</v>
          </cell>
          <cell r="W3171">
            <v>1</v>
          </cell>
          <cell r="X3171">
            <v>1</v>
          </cell>
          <cell r="Y3171">
            <v>0</v>
          </cell>
        </row>
        <row r="3172">
          <cell r="D3172">
            <v>302402</v>
          </cell>
          <cell r="E3172" t="str">
            <v>Estefania Montemayor NHS</v>
          </cell>
          <cell r="F3172">
            <v>1</v>
          </cell>
          <cell r="G3172">
            <v>0</v>
          </cell>
          <cell r="H3172">
            <v>1</v>
          </cell>
          <cell r="I3172">
            <v>0</v>
          </cell>
          <cell r="J3172">
            <v>1</v>
          </cell>
          <cell r="K3172">
            <v>0</v>
          </cell>
          <cell r="L3172">
            <v>0</v>
          </cell>
          <cell r="M3172">
            <v>0</v>
          </cell>
          <cell r="N3172">
            <v>1</v>
          </cell>
          <cell r="O3172">
            <v>43635</v>
          </cell>
          <cell r="P3172">
            <v>43617</v>
          </cell>
          <cell r="Q3172">
            <v>1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1</v>
          </cell>
          <cell r="W3172">
            <v>0</v>
          </cell>
          <cell r="X3172">
            <v>0</v>
          </cell>
          <cell r="Y3172">
            <v>0</v>
          </cell>
        </row>
        <row r="3173">
          <cell r="D3173">
            <v>302595</v>
          </cell>
          <cell r="E3173" t="str">
            <v>Buenavista National High School</v>
          </cell>
          <cell r="F3173">
            <v>1</v>
          </cell>
          <cell r="G3173">
            <v>1</v>
          </cell>
          <cell r="H3173">
            <v>0</v>
          </cell>
          <cell r="I3173">
            <v>0</v>
          </cell>
          <cell r="J3173">
            <v>1</v>
          </cell>
          <cell r="K3173">
            <v>0</v>
          </cell>
          <cell r="L3173">
            <v>0</v>
          </cell>
          <cell r="M3173">
            <v>0</v>
          </cell>
          <cell r="N3173">
            <v>1</v>
          </cell>
          <cell r="O3173">
            <v>0</v>
          </cell>
          <cell r="P3173">
            <v>0</v>
          </cell>
          <cell r="Q3173">
            <v>0</v>
          </cell>
          <cell r="R3173">
            <v>1</v>
          </cell>
          <cell r="S3173">
            <v>0</v>
          </cell>
          <cell r="T3173">
            <v>0</v>
          </cell>
          <cell r="U3173">
            <v>0</v>
          </cell>
          <cell r="V3173">
            <v>1</v>
          </cell>
          <cell r="W3173">
            <v>0</v>
          </cell>
          <cell r="X3173">
            <v>0</v>
          </cell>
          <cell r="Y3173">
            <v>0</v>
          </cell>
        </row>
        <row r="3174">
          <cell r="D3174">
            <v>325604</v>
          </cell>
          <cell r="E3174" t="str">
            <v>Escalante NHS - Magsaysay Ext.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</row>
        <row r="3175">
          <cell r="D3175">
            <v>302738</v>
          </cell>
          <cell r="E3175" t="str">
            <v>Iloilo City NHS</v>
          </cell>
          <cell r="F3175">
            <v>1</v>
          </cell>
          <cell r="G3175">
            <v>1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</row>
        <row r="3176">
          <cell r="D3176">
            <v>302678</v>
          </cell>
          <cell r="E3176" t="str">
            <v>Rafael B. Lacson NHS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 t="str">
            <v>N/A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</row>
        <row r="3177">
          <cell r="D3177">
            <v>310808</v>
          </cell>
          <cell r="E3177" t="str">
            <v>SAN ANTONIO NATIONAL HIGH SCHOOL</v>
          </cell>
          <cell r="F3177">
            <v>1</v>
          </cell>
          <cell r="G3177">
            <v>1</v>
          </cell>
          <cell r="H3177">
            <v>1</v>
          </cell>
          <cell r="I3177">
            <v>0</v>
          </cell>
          <cell r="J3177">
            <v>0</v>
          </cell>
          <cell r="K3177">
            <v>1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</row>
        <row r="3178">
          <cell r="D3178">
            <v>302669</v>
          </cell>
          <cell r="E3178" t="str">
            <v>Negros Occidental HS</v>
          </cell>
          <cell r="F3178">
            <v>0</v>
          </cell>
          <cell r="G3178">
            <v>0</v>
          </cell>
          <cell r="H3178">
            <v>1</v>
          </cell>
          <cell r="I3178">
            <v>0</v>
          </cell>
          <cell r="J3178">
            <v>1</v>
          </cell>
          <cell r="K3178">
            <v>0</v>
          </cell>
          <cell r="L3178">
            <v>0</v>
          </cell>
          <cell r="M3178">
            <v>0</v>
          </cell>
          <cell r="N3178">
            <v>1</v>
          </cell>
          <cell r="O3178">
            <v>43665</v>
          </cell>
          <cell r="P3178" t="str">
            <v>N/A</v>
          </cell>
          <cell r="Q3178">
            <v>0</v>
          </cell>
          <cell r="R3178">
            <v>0</v>
          </cell>
          <cell r="S3178">
            <v>0</v>
          </cell>
          <cell r="T3178">
            <v>1</v>
          </cell>
          <cell r="U3178" t="str">
            <v>N/A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</row>
        <row r="3179">
          <cell r="D3179">
            <v>302624</v>
          </cell>
          <cell r="E3179" t="str">
            <v>Enriqueta Montilla De Esteban MHS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1</v>
          </cell>
          <cell r="M3179" t="str">
            <v>NOT APPLICABLE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1</v>
          </cell>
          <cell r="U3179" t="str">
            <v>NOT NAPPLICABLE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</row>
        <row r="3180">
          <cell r="D3180">
            <v>302510</v>
          </cell>
          <cell r="E3180" t="str">
            <v>Ilongbukid NHS</v>
          </cell>
          <cell r="F3180">
            <v>1</v>
          </cell>
          <cell r="G3180">
            <v>0</v>
          </cell>
          <cell r="H3180">
            <v>1</v>
          </cell>
          <cell r="I3180">
            <v>0</v>
          </cell>
          <cell r="J3180">
            <v>0</v>
          </cell>
          <cell r="K3180">
            <v>1</v>
          </cell>
          <cell r="L3180">
            <v>0</v>
          </cell>
          <cell r="M3180">
            <v>0</v>
          </cell>
          <cell r="N3180">
            <v>0</v>
          </cell>
          <cell r="O3180" t="str">
            <v>AUGUST 2019.</v>
          </cell>
          <cell r="P3180" t="str">
            <v>AUGUST 2019.</v>
          </cell>
          <cell r="Q3180">
            <v>0</v>
          </cell>
          <cell r="R3180">
            <v>1</v>
          </cell>
          <cell r="S3180">
            <v>0</v>
          </cell>
          <cell r="T3180">
            <v>0</v>
          </cell>
          <cell r="U3180">
            <v>0</v>
          </cell>
          <cell r="V3180">
            <v>1</v>
          </cell>
          <cell r="W3180">
            <v>0</v>
          </cell>
          <cell r="X3180">
            <v>0</v>
          </cell>
          <cell r="Y3180">
            <v>0</v>
          </cell>
        </row>
        <row r="3181">
          <cell r="D3181">
            <v>325601</v>
          </cell>
          <cell r="E3181" t="str">
            <v>Escalante NHS - Cervantes Ext.</v>
          </cell>
          <cell r="F3181">
            <v>1</v>
          </cell>
          <cell r="G3181">
            <v>0</v>
          </cell>
          <cell r="H3181">
            <v>1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</row>
        <row r="3182">
          <cell r="D3182">
            <v>302416</v>
          </cell>
          <cell r="E3182" t="str">
            <v>Manuel F. Onato NHS</v>
          </cell>
          <cell r="F3182">
            <v>1</v>
          </cell>
          <cell r="G3182">
            <v>1</v>
          </cell>
          <cell r="H3182">
            <v>1</v>
          </cell>
          <cell r="I3182">
            <v>0</v>
          </cell>
          <cell r="J3182">
            <v>1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1</v>
          </cell>
          <cell r="S3182">
            <v>0</v>
          </cell>
          <cell r="T3182">
            <v>0</v>
          </cell>
          <cell r="U3182">
            <v>0</v>
          </cell>
          <cell r="V3182">
            <v>1</v>
          </cell>
          <cell r="W3182">
            <v>0</v>
          </cell>
          <cell r="X3182">
            <v>0</v>
          </cell>
          <cell r="Y3182">
            <v>0</v>
          </cell>
        </row>
        <row r="3183">
          <cell r="D3183">
            <v>302505</v>
          </cell>
          <cell r="E3183" t="str">
            <v>GRANADA NHS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</row>
        <row r="3184">
          <cell r="D3184">
            <v>302625</v>
          </cell>
          <cell r="E3184" t="str">
            <v>Escalante National High School</v>
          </cell>
          <cell r="F3184">
            <v>1</v>
          </cell>
          <cell r="G3184">
            <v>1</v>
          </cell>
          <cell r="H3184">
            <v>1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</row>
        <row r="3185">
          <cell r="D3185">
            <v>302726</v>
          </cell>
          <cell r="E3185" t="str">
            <v>Cadiz Viejo NHS</v>
          </cell>
          <cell r="F3185">
            <v>1</v>
          </cell>
          <cell r="G3185">
            <v>1</v>
          </cell>
          <cell r="H3185">
            <v>1</v>
          </cell>
          <cell r="I3185">
            <v>0</v>
          </cell>
          <cell r="J3185">
            <v>0</v>
          </cell>
          <cell r="K3185">
            <v>1</v>
          </cell>
          <cell r="L3185">
            <v>0</v>
          </cell>
          <cell r="M3185">
            <v>0</v>
          </cell>
          <cell r="N3185">
            <v>1</v>
          </cell>
          <cell r="O3185" t="str">
            <v>OCTOBER' 2019</v>
          </cell>
          <cell r="P3185" t="str">
            <v>OCTOBER' 2019</v>
          </cell>
          <cell r="Q3185">
            <v>0</v>
          </cell>
          <cell r="R3185">
            <v>0</v>
          </cell>
          <cell r="S3185">
            <v>1</v>
          </cell>
          <cell r="T3185">
            <v>0</v>
          </cell>
          <cell r="U3185">
            <v>0</v>
          </cell>
          <cell r="V3185">
            <v>1</v>
          </cell>
          <cell r="W3185">
            <v>5</v>
          </cell>
          <cell r="X3185">
            <v>1</v>
          </cell>
          <cell r="Y3185">
            <v>2</v>
          </cell>
        </row>
        <row r="3186">
          <cell r="D3186">
            <v>302593</v>
          </cell>
          <cell r="E3186" t="str">
            <v>Bocana NHS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1</v>
          </cell>
          <cell r="U3186" t="str">
            <v>as per advised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</row>
        <row r="3187">
          <cell r="D3187">
            <v>302627</v>
          </cell>
          <cell r="E3187" t="str">
            <v>Tamlang National High School</v>
          </cell>
          <cell r="F3187">
            <v>1</v>
          </cell>
          <cell r="G3187">
            <v>1</v>
          </cell>
          <cell r="H3187">
            <v>1</v>
          </cell>
          <cell r="I3187">
            <v>0</v>
          </cell>
          <cell r="J3187">
            <v>0</v>
          </cell>
          <cell r="K3187">
            <v>1</v>
          </cell>
          <cell r="L3187">
            <v>0</v>
          </cell>
          <cell r="M3187">
            <v>0</v>
          </cell>
          <cell r="N3187">
            <v>1</v>
          </cell>
          <cell r="O3187" t="str">
            <v>6/30/2019</v>
          </cell>
          <cell r="P3187" t="str">
            <v>7/15/2019</v>
          </cell>
          <cell r="Q3187">
            <v>1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1</v>
          </cell>
          <cell r="W3187">
            <v>1</v>
          </cell>
          <cell r="X3187">
            <v>1</v>
          </cell>
          <cell r="Y3187">
            <v>1</v>
          </cell>
        </row>
        <row r="3188">
          <cell r="D3188">
            <v>311104</v>
          </cell>
          <cell r="E3188" t="str">
            <v>Efegenio Lizares National High School</v>
          </cell>
          <cell r="F3188">
            <v>1</v>
          </cell>
          <cell r="G3188">
            <v>0</v>
          </cell>
          <cell r="H3188">
            <v>1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1</v>
          </cell>
          <cell r="O3188">
            <v>0</v>
          </cell>
          <cell r="P3188">
            <v>43635</v>
          </cell>
          <cell r="Q3188">
            <v>0</v>
          </cell>
          <cell r="R3188">
            <v>0</v>
          </cell>
          <cell r="S3188">
            <v>1</v>
          </cell>
          <cell r="T3188">
            <v>1</v>
          </cell>
          <cell r="U3188">
            <v>0</v>
          </cell>
          <cell r="V3188">
            <v>1</v>
          </cell>
          <cell r="W3188">
            <v>0</v>
          </cell>
          <cell r="X3188">
            <v>2</v>
          </cell>
          <cell r="Y3188">
            <v>7</v>
          </cell>
        </row>
        <row r="3189">
          <cell r="D3189">
            <v>302511</v>
          </cell>
          <cell r="E3189" t="str">
            <v>Jamabalud NHS</v>
          </cell>
          <cell r="F3189">
            <v>1</v>
          </cell>
          <cell r="G3189">
            <v>1</v>
          </cell>
          <cell r="H3189">
            <v>1</v>
          </cell>
          <cell r="I3189">
            <v>0</v>
          </cell>
          <cell r="J3189">
            <v>0</v>
          </cell>
          <cell r="K3189">
            <v>1</v>
          </cell>
          <cell r="L3189">
            <v>0</v>
          </cell>
          <cell r="M3189">
            <v>0</v>
          </cell>
          <cell r="N3189">
            <v>1</v>
          </cell>
          <cell r="O3189">
            <v>43617</v>
          </cell>
          <cell r="P3189" t="str">
            <v>August 13,2019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1</v>
          </cell>
          <cell r="W3189">
            <v>0</v>
          </cell>
          <cell r="X3189">
            <v>0</v>
          </cell>
          <cell r="Y3189">
            <v>0</v>
          </cell>
        </row>
        <row r="3190">
          <cell r="D3190">
            <v>302478</v>
          </cell>
          <cell r="E3190" t="str">
            <v>Calmay NHS</v>
          </cell>
          <cell r="F3190">
            <v>1</v>
          </cell>
          <cell r="G3190">
            <v>0</v>
          </cell>
          <cell r="H3190">
            <v>1</v>
          </cell>
          <cell r="I3190">
            <v>0</v>
          </cell>
          <cell r="J3190">
            <v>0</v>
          </cell>
          <cell r="K3190">
            <v>1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</row>
        <row r="3191">
          <cell r="D3191">
            <v>302791</v>
          </cell>
          <cell r="E3191" t="str">
            <v>Talubangi NHS</v>
          </cell>
          <cell r="F3191">
            <v>1</v>
          </cell>
          <cell r="G3191">
            <v>1</v>
          </cell>
          <cell r="H3191">
            <v>1</v>
          </cell>
          <cell r="I3191">
            <v>1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1</v>
          </cell>
          <cell r="O3191" t="str">
            <v>N/A</v>
          </cell>
          <cell r="P3191" t="str">
            <v>N/A</v>
          </cell>
          <cell r="Q3191">
            <v>1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1</v>
          </cell>
          <cell r="W3191">
            <v>0</v>
          </cell>
          <cell r="X3191">
            <v>0</v>
          </cell>
          <cell r="Y3191">
            <v>0</v>
          </cell>
        </row>
        <row r="3192">
          <cell r="D3192">
            <v>302642</v>
          </cell>
          <cell r="E3192" t="str">
            <v>Guiljungan NHS - Abaca Ext.</v>
          </cell>
          <cell r="F3192">
            <v>1</v>
          </cell>
          <cell r="G3192">
            <v>0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 t="str">
            <v>N/A</v>
          </cell>
          <cell r="P3192" t="str">
            <v>N/A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</row>
        <row r="3193">
          <cell r="D3193">
            <v>302635</v>
          </cell>
          <cell r="E3193" t="str">
            <v>Gil Montilla NHS - Cabadiangan Ext.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1</v>
          </cell>
          <cell r="M3193" t="str">
            <v>NA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</row>
        <row r="3194">
          <cell r="D3194">
            <v>302413</v>
          </cell>
          <cell r="E3194" t="str">
            <v>Maayon NHS</v>
          </cell>
          <cell r="F3194">
            <v>1</v>
          </cell>
          <cell r="G3194">
            <v>1</v>
          </cell>
          <cell r="H3194">
            <v>1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1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</row>
        <row r="3195">
          <cell r="D3195">
            <v>311403</v>
          </cell>
          <cell r="E3195" t="str">
            <v>Mabini NHS - Alimatoc Ext. HS</v>
          </cell>
          <cell r="F3195">
            <v>0</v>
          </cell>
          <cell r="G3195">
            <v>1</v>
          </cell>
          <cell r="H3195">
            <v>1</v>
          </cell>
          <cell r="I3195">
            <v>0</v>
          </cell>
          <cell r="J3195">
            <v>1</v>
          </cell>
          <cell r="K3195">
            <v>0</v>
          </cell>
          <cell r="L3195">
            <v>0</v>
          </cell>
          <cell r="M3195">
            <v>0</v>
          </cell>
          <cell r="N3195">
            <v>1</v>
          </cell>
          <cell r="O3195">
            <v>0</v>
          </cell>
          <cell r="P3195">
            <v>0</v>
          </cell>
          <cell r="Q3195">
            <v>0</v>
          </cell>
          <cell r="R3195">
            <v>1</v>
          </cell>
          <cell r="S3195">
            <v>0</v>
          </cell>
          <cell r="T3195">
            <v>0</v>
          </cell>
          <cell r="U3195">
            <v>0</v>
          </cell>
          <cell r="V3195">
            <v>1</v>
          </cell>
          <cell r="W3195">
            <v>2</v>
          </cell>
          <cell r="X3195">
            <v>1</v>
          </cell>
          <cell r="Y3195">
            <v>1</v>
          </cell>
        </row>
        <row r="3196">
          <cell r="D3196">
            <v>302559</v>
          </cell>
          <cell r="E3196" t="str">
            <v>Leon Mediana NHS</v>
          </cell>
          <cell r="F3196">
            <v>1</v>
          </cell>
          <cell r="G3196">
            <v>0</v>
          </cell>
          <cell r="H3196">
            <v>1</v>
          </cell>
          <cell r="I3196">
            <v>0</v>
          </cell>
          <cell r="J3196">
            <v>1</v>
          </cell>
          <cell r="K3196">
            <v>0</v>
          </cell>
          <cell r="L3196">
            <v>0</v>
          </cell>
          <cell r="M3196">
            <v>0</v>
          </cell>
          <cell r="N3196">
            <v>1</v>
          </cell>
          <cell r="O3196">
            <v>43617</v>
          </cell>
          <cell r="P3196">
            <v>43739</v>
          </cell>
          <cell r="Q3196">
            <v>0</v>
          </cell>
          <cell r="R3196">
            <v>1</v>
          </cell>
          <cell r="S3196">
            <v>0</v>
          </cell>
          <cell r="T3196">
            <v>0</v>
          </cell>
          <cell r="U3196">
            <v>0</v>
          </cell>
          <cell r="V3196">
            <v>1</v>
          </cell>
          <cell r="W3196">
            <v>7</v>
          </cell>
          <cell r="X3196">
            <v>6</v>
          </cell>
          <cell r="Y3196">
            <v>7</v>
          </cell>
        </row>
        <row r="3197">
          <cell r="D3197">
            <v>302612</v>
          </cell>
          <cell r="E3197" t="str">
            <v>CAUAYAN NATIONAL HIGH SCHOOL</v>
          </cell>
          <cell r="F3197">
            <v>1</v>
          </cell>
          <cell r="G3197">
            <v>1</v>
          </cell>
          <cell r="H3197">
            <v>1</v>
          </cell>
          <cell r="I3197">
            <v>0</v>
          </cell>
          <cell r="J3197">
            <v>0</v>
          </cell>
          <cell r="K3197">
            <v>1</v>
          </cell>
          <cell r="L3197">
            <v>0</v>
          </cell>
          <cell r="M3197">
            <v>0</v>
          </cell>
          <cell r="N3197">
            <v>0</v>
          </cell>
          <cell r="O3197" t="str">
            <v>n/a</v>
          </cell>
          <cell r="P3197" t="str">
            <v>n/a</v>
          </cell>
          <cell r="Q3197">
            <v>0</v>
          </cell>
          <cell r="R3197">
            <v>0</v>
          </cell>
          <cell r="S3197">
            <v>0</v>
          </cell>
          <cell r="T3197">
            <v>1</v>
          </cell>
          <cell r="U3197" t="str">
            <v>weekly</v>
          </cell>
          <cell r="V3197">
            <v>1</v>
          </cell>
          <cell r="W3197">
            <v>0</v>
          </cell>
          <cell r="X3197">
            <v>0</v>
          </cell>
          <cell r="Y3197">
            <v>0</v>
          </cell>
        </row>
        <row r="3198">
          <cell r="D3198">
            <v>311102</v>
          </cell>
          <cell r="E3198" t="str">
            <v>Minoyan National High School</v>
          </cell>
          <cell r="F3198">
            <v>1</v>
          </cell>
          <cell r="G3198">
            <v>1</v>
          </cell>
          <cell r="H3198">
            <v>0</v>
          </cell>
          <cell r="I3198">
            <v>0</v>
          </cell>
          <cell r="J3198">
            <v>1</v>
          </cell>
          <cell r="K3198">
            <v>0</v>
          </cell>
          <cell r="L3198">
            <v>0</v>
          </cell>
          <cell r="M3198">
            <v>0</v>
          </cell>
          <cell r="N3198">
            <v>1</v>
          </cell>
          <cell r="O3198">
            <v>0</v>
          </cell>
          <cell r="P3198">
            <v>0</v>
          </cell>
          <cell r="Q3198">
            <v>1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1</v>
          </cell>
          <cell r="W3198">
            <v>0</v>
          </cell>
          <cell r="X3198">
            <v>0</v>
          </cell>
          <cell r="Y3198">
            <v>0</v>
          </cell>
        </row>
        <row r="3199">
          <cell r="D3199">
            <v>302720</v>
          </cell>
          <cell r="E3199" t="str">
            <v>Ramon Torres Dulao NHS</v>
          </cell>
          <cell r="F3199">
            <v>1</v>
          </cell>
          <cell r="G3199">
            <v>1</v>
          </cell>
          <cell r="H3199">
            <v>1</v>
          </cell>
          <cell r="I3199">
            <v>0</v>
          </cell>
          <cell r="J3199">
            <v>1</v>
          </cell>
          <cell r="K3199">
            <v>0</v>
          </cell>
          <cell r="L3199">
            <v>0</v>
          </cell>
          <cell r="M3199">
            <v>0</v>
          </cell>
          <cell r="N3199">
            <v>1</v>
          </cell>
          <cell r="O3199">
            <v>43739</v>
          </cell>
          <cell r="P3199">
            <v>43686</v>
          </cell>
          <cell r="Q3199">
            <v>0</v>
          </cell>
          <cell r="R3199">
            <v>1</v>
          </cell>
          <cell r="S3199">
            <v>0</v>
          </cell>
          <cell r="T3199">
            <v>0</v>
          </cell>
          <cell r="U3199">
            <v>0</v>
          </cell>
          <cell r="V3199">
            <v>1</v>
          </cell>
          <cell r="W3199">
            <v>2</v>
          </cell>
          <cell r="X3199">
            <v>2</v>
          </cell>
          <cell r="Y3199">
            <v>2</v>
          </cell>
        </row>
        <row r="3200">
          <cell r="D3200">
            <v>302667</v>
          </cell>
          <cell r="E3200" t="str">
            <v>Negros Occ National Science High School</v>
          </cell>
          <cell r="F3200">
            <v>0</v>
          </cell>
          <cell r="G3200">
            <v>0</v>
          </cell>
          <cell r="H3200">
            <v>1</v>
          </cell>
          <cell r="I3200">
            <v>0</v>
          </cell>
          <cell r="J3200">
            <v>0</v>
          </cell>
          <cell r="K3200">
            <v>1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 t="str">
            <v>n/a</v>
          </cell>
          <cell r="Q3200">
            <v>0</v>
          </cell>
          <cell r="R3200">
            <v>0</v>
          </cell>
          <cell r="S3200">
            <v>1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</row>
        <row r="3201">
          <cell r="D3201">
            <v>302651</v>
          </cell>
          <cell r="E3201" t="str">
            <v>Hinigaran NHS</v>
          </cell>
          <cell r="F3201">
            <v>1</v>
          </cell>
          <cell r="G3201">
            <v>1</v>
          </cell>
          <cell r="H3201">
            <v>1</v>
          </cell>
          <cell r="I3201">
            <v>0</v>
          </cell>
          <cell r="J3201">
            <v>1</v>
          </cell>
          <cell r="K3201">
            <v>0</v>
          </cell>
          <cell r="L3201">
            <v>0</v>
          </cell>
          <cell r="M3201">
            <v>0</v>
          </cell>
          <cell r="N3201">
            <v>1</v>
          </cell>
          <cell r="O3201">
            <v>0</v>
          </cell>
          <cell r="P3201">
            <v>0</v>
          </cell>
          <cell r="Q3201">
            <v>0</v>
          </cell>
          <cell r="R3201">
            <v>1</v>
          </cell>
          <cell r="S3201">
            <v>0</v>
          </cell>
          <cell r="T3201">
            <v>0</v>
          </cell>
          <cell r="U3201">
            <v>0</v>
          </cell>
          <cell r="V3201">
            <v>1</v>
          </cell>
          <cell r="W3201">
            <v>6</v>
          </cell>
          <cell r="X3201">
            <v>0</v>
          </cell>
          <cell r="Y3201">
            <v>0</v>
          </cell>
        </row>
        <row r="3202">
          <cell r="D3202">
            <v>302590</v>
          </cell>
          <cell r="E3202" t="str">
            <v>Andulauan NHS - Ilog Poblacion Ext.</v>
          </cell>
          <cell r="F3202">
            <v>1</v>
          </cell>
          <cell r="G3202">
            <v>1</v>
          </cell>
          <cell r="H3202">
            <v>1</v>
          </cell>
          <cell r="I3202">
            <v>0</v>
          </cell>
          <cell r="J3202">
            <v>1</v>
          </cell>
          <cell r="K3202">
            <v>0</v>
          </cell>
          <cell r="L3202">
            <v>0</v>
          </cell>
          <cell r="M3202">
            <v>0</v>
          </cell>
          <cell r="N3202">
            <v>1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1</v>
          </cell>
          <cell r="W3202">
            <v>0</v>
          </cell>
          <cell r="X3202">
            <v>0</v>
          </cell>
          <cell r="Y3202">
            <v>0</v>
          </cell>
        </row>
        <row r="3203">
          <cell r="D3203">
            <v>302463</v>
          </cell>
          <cell r="E3203" t="str">
            <v>Binaba-an NHS</v>
          </cell>
          <cell r="F3203">
            <v>1</v>
          </cell>
          <cell r="G3203">
            <v>0</v>
          </cell>
          <cell r="H3203">
            <v>1</v>
          </cell>
          <cell r="I3203">
            <v>0</v>
          </cell>
          <cell r="J3203">
            <v>1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43644</v>
          </cell>
          <cell r="P3203">
            <v>43593</v>
          </cell>
          <cell r="Q3203">
            <v>1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1</v>
          </cell>
          <cell r="W3203">
            <v>0</v>
          </cell>
          <cell r="X3203">
            <v>0</v>
          </cell>
          <cell r="Y3203">
            <v>0</v>
          </cell>
        </row>
        <row r="3204">
          <cell r="D3204">
            <v>302589</v>
          </cell>
          <cell r="E3204" t="str">
            <v>Andulauan NHS</v>
          </cell>
          <cell r="F3204">
            <v>1</v>
          </cell>
          <cell r="G3204">
            <v>1</v>
          </cell>
          <cell r="H3204">
            <v>0</v>
          </cell>
          <cell r="I3204">
            <v>0</v>
          </cell>
          <cell r="J3204">
            <v>1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</row>
        <row r="3205">
          <cell r="D3205">
            <v>302790</v>
          </cell>
          <cell r="E3205" t="str">
            <v>TAGUKON NATIONAL HIGH SCHOOL</v>
          </cell>
          <cell r="F3205">
            <v>1</v>
          </cell>
          <cell r="G3205">
            <v>1</v>
          </cell>
          <cell r="H3205">
            <v>1</v>
          </cell>
          <cell r="I3205">
            <v>0</v>
          </cell>
          <cell r="J3205">
            <v>0</v>
          </cell>
          <cell r="K3205">
            <v>1</v>
          </cell>
          <cell r="L3205">
            <v>0</v>
          </cell>
          <cell r="M3205">
            <v>0</v>
          </cell>
          <cell r="N3205">
            <v>1</v>
          </cell>
          <cell r="O3205">
            <v>42909</v>
          </cell>
          <cell r="P3205">
            <v>42909</v>
          </cell>
          <cell r="Q3205">
            <v>0</v>
          </cell>
          <cell r="R3205">
            <v>0</v>
          </cell>
          <cell r="S3205">
            <v>1</v>
          </cell>
          <cell r="T3205">
            <v>0</v>
          </cell>
          <cell r="U3205">
            <v>0</v>
          </cell>
          <cell r="V3205">
            <v>1</v>
          </cell>
          <cell r="W3205">
            <v>0</v>
          </cell>
          <cell r="X3205">
            <v>0</v>
          </cell>
          <cell r="Y3205">
            <v>0</v>
          </cell>
        </row>
        <row r="3206">
          <cell r="D3206">
            <v>302767</v>
          </cell>
          <cell r="E3206" t="str">
            <v>Sagay National High School</v>
          </cell>
          <cell r="F3206">
            <v>1</v>
          </cell>
          <cell r="G3206">
            <v>1</v>
          </cell>
          <cell r="H3206">
            <v>1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1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1</v>
          </cell>
          <cell r="W3206">
            <v>0</v>
          </cell>
          <cell r="X3206">
            <v>0</v>
          </cell>
          <cell r="Y3206">
            <v>0</v>
          </cell>
        </row>
        <row r="3207">
          <cell r="D3207">
            <v>302640</v>
          </cell>
          <cell r="E3207" t="str">
            <v>Gil Montilla NHS - Manlucahoc Ext.</v>
          </cell>
          <cell r="F3207">
            <v>1</v>
          </cell>
          <cell r="G3207">
            <v>1</v>
          </cell>
          <cell r="H3207">
            <v>1</v>
          </cell>
          <cell r="I3207">
            <v>0</v>
          </cell>
          <cell r="J3207">
            <v>1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1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1</v>
          </cell>
          <cell r="W3207">
            <v>0</v>
          </cell>
          <cell r="X3207">
            <v>0</v>
          </cell>
          <cell r="Y3207">
            <v>0</v>
          </cell>
        </row>
        <row r="3208">
          <cell r="D3208">
            <v>302440</v>
          </cell>
          <cell r="E3208" t="str">
            <v>Alberto Sorongon Sr. Memorial National High School</v>
          </cell>
          <cell r="F3208">
            <v>1</v>
          </cell>
          <cell r="G3208">
            <v>1</v>
          </cell>
          <cell r="H3208">
            <v>1</v>
          </cell>
          <cell r="I3208">
            <v>0</v>
          </cell>
          <cell r="J3208">
            <v>1</v>
          </cell>
          <cell r="K3208">
            <v>0</v>
          </cell>
          <cell r="L3208">
            <v>0</v>
          </cell>
          <cell r="M3208">
            <v>0</v>
          </cell>
          <cell r="N3208">
            <v>1</v>
          </cell>
          <cell r="O3208">
            <v>43617</v>
          </cell>
          <cell r="P3208">
            <v>43739</v>
          </cell>
          <cell r="Q3208">
            <v>1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1</v>
          </cell>
          <cell r="W3208">
            <v>6</v>
          </cell>
          <cell r="X3208">
            <v>6</v>
          </cell>
          <cell r="Y3208">
            <v>6</v>
          </cell>
        </row>
        <row r="3209">
          <cell r="D3209">
            <v>500178</v>
          </cell>
          <cell r="E3209" t="str">
            <v>Catmon Integrated School</v>
          </cell>
          <cell r="F3209">
            <v>1</v>
          </cell>
          <cell r="G3209">
            <v>1</v>
          </cell>
          <cell r="H3209">
            <v>1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1</v>
          </cell>
          <cell r="O3209">
            <v>2018</v>
          </cell>
          <cell r="P3209">
            <v>43561</v>
          </cell>
          <cell r="Q3209">
            <v>0</v>
          </cell>
          <cell r="R3209">
            <v>1</v>
          </cell>
          <cell r="S3209">
            <v>0</v>
          </cell>
          <cell r="T3209">
            <v>0</v>
          </cell>
          <cell r="U3209">
            <v>0</v>
          </cell>
          <cell r="V3209">
            <v>1</v>
          </cell>
          <cell r="W3209">
            <v>0</v>
          </cell>
          <cell r="X3209">
            <v>0</v>
          </cell>
          <cell r="Y3209">
            <v>0</v>
          </cell>
        </row>
        <row r="3210">
          <cell r="D3210">
            <v>302661</v>
          </cell>
          <cell r="E3210" t="str">
            <v>Juan Gequillana NHS (Manalad NHS)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</row>
        <row r="3211">
          <cell r="D3211">
            <v>302650</v>
          </cell>
          <cell r="E3211" t="str">
            <v>San Antonio NHS</v>
          </cell>
          <cell r="F3211">
            <v>1</v>
          </cell>
          <cell r="G3211">
            <v>1</v>
          </cell>
          <cell r="H3211">
            <v>1</v>
          </cell>
          <cell r="I3211">
            <v>0</v>
          </cell>
          <cell r="J3211">
            <v>0</v>
          </cell>
          <cell r="K3211">
            <v>1</v>
          </cell>
          <cell r="L3211">
            <v>0</v>
          </cell>
          <cell r="M3211">
            <v>0</v>
          </cell>
          <cell r="N3211">
            <v>1</v>
          </cell>
          <cell r="O3211">
            <v>43634</v>
          </cell>
          <cell r="P3211">
            <v>0</v>
          </cell>
          <cell r="Q3211">
            <v>0</v>
          </cell>
          <cell r="R3211">
            <v>0</v>
          </cell>
          <cell r="S3211">
            <v>1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</row>
        <row r="3212">
          <cell r="D3212">
            <v>302771</v>
          </cell>
          <cell r="E3212" t="str">
            <v>Vito National High School</v>
          </cell>
          <cell r="F3212">
            <v>0</v>
          </cell>
          <cell r="G3212">
            <v>0</v>
          </cell>
          <cell r="H3212">
            <v>1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 t="str">
            <v>N/A</v>
          </cell>
          <cell r="P3212" t="str">
            <v>N/A</v>
          </cell>
          <cell r="Q3212">
            <v>0</v>
          </cell>
          <cell r="R3212">
            <v>0</v>
          </cell>
          <cell r="S3212">
            <v>0</v>
          </cell>
          <cell r="T3212">
            <v>1</v>
          </cell>
          <cell r="U3212" t="str">
            <v>NEVER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</row>
        <row r="3213">
          <cell r="D3213">
            <v>302680</v>
          </cell>
          <cell r="E3213" t="str">
            <v>Mahalang National High School</v>
          </cell>
          <cell r="F3213">
            <v>1</v>
          </cell>
          <cell r="G3213">
            <v>1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1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1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</row>
        <row r="3214">
          <cell r="D3214">
            <v>302737</v>
          </cell>
          <cell r="E3214" t="str">
            <v>Fort San Pedro National High School</v>
          </cell>
          <cell r="F3214">
            <v>1</v>
          </cell>
          <cell r="G3214">
            <v>0</v>
          </cell>
          <cell r="H3214">
            <v>1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1</v>
          </cell>
          <cell r="O3214">
            <v>0</v>
          </cell>
          <cell r="P3214">
            <v>0</v>
          </cell>
          <cell r="Q3214">
            <v>0</v>
          </cell>
          <cell r="R3214">
            <v>1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2</v>
          </cell>
          <cell r="X3214">
            <v>0</v>
          </cell>
          <cell r="Y3214">
            <v>0</v>
          </cell>
        </row>
        <row r="3215">
          <cell r="D3215">
            <v>311705</v>
          </cell>
          <cell r="E3215" t="str">
            <v>Roxas NHS</v>
          </cell>
          <cell r="F3215">
            <v>1</v>
          </cell>
          <cell r="G3215">
            <v>1</v>
          </cell>
          <cell r="H3215">
            <v>1</v>
          </cell>
          <cell r="I3215">
            <v>0</v>
          </cell>
          <cell r="J3215">
            <v>1</v>
          </cell>
          <cell r="K3215">
            <v>0</v>
          </cell>
          <cell r="L3215">
            <v>0</v>
          </cell>
          <cell r="M3215">
            <v>0</v>
          </cell>
          <cell r="N3215">
            <v>1</v>
          </cell>
          <cell r="O3215">
            <v>0</v>
          </cell>
          <cell r="P3215">
            <v>43525</v>
          </cell>
          <cell r="Q3215">
            <v>0</v>
          </cell>
          <cell r="R3215">
            <v>1</v>
          </cell>
          <cell r="S3215">
            <v>0</v>
          </cell>
          <cell r="T3215">
            <v>0</v>
          </cell>
          <cell r="U3215">
            <v>0</v>
          </cell>
          <cell r="V3215">
            <v>1</v>
          </cell>
          <cell r="W3215">
            <v>3</v>
          </cell>
          <cell r="X3215">
            <v>3</v>
          </cell>
          <cell r="Y3215">
            <v>3</v>
          </cell>
        </row>
        <row r="3216">
          <cell r="D3216">
            <v>302789</v>
          </cell>
          <cell r="E3216" t="str">
            <v>Kabankalan NHS</v>
          </cell>
          <cell r="F3216">
            <v>1</v>
          </cell>
          <cell r="G3216">
            <v>1</v>
          </cell>
          <cell r="H3216">
            <v>1</v>
          </cell>
          <cell r="I3216">
            <v>1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 t="str">
            <v>N/A</v>
          </cell>
          <cell r="P3216" t="str">
            <v>N/A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</row>
        <row r="3217">
          <cell r="D3217">
            <v>302679</v>
          </cell>
          <cell r="E3217" t="str">
            <v>Raymundo Tongson NHS</v>
          </cell>
          <cell r="F3217">
            <v>1</v>
          </cell>
          <cell r="G3217">
            <v>1</v>
          </cell>
          <cell r="H3217">
            <v>1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1</v>
          </cell>
          <cell r="O3217">
            <v>0</v>
          </cell>
          <cell r="P3217" t="str">
            <v>n/a</v>
          </cell>
          <cell r="Q3217">
            <v>0</v>
          </cell>
          <cell r="R3217">
            <v>0</v>
          </cell>
          <cell r="S3217">
            <v>1</v>
          </cell>
          <cell r="T3217">
            <v>0</v>
          </cell>
          <cell r="U3217">
            <v>0</v>
          </cell>
          <cell r="V3217">
            <v>1</v>
          </cell>
          <cell r="W3217">
            <v>0</v>
          </cell>
          <cell r="X3217">
            <v>0</v>
          </cell>
          <cell r="Y3217">
            <v>0</v>
          </cell>
        </row>
        <row r="3218">
          <cell r="D3218">
            <v>302613</v>
          </cell>
          <cell r="E3218" t="str">
            <v>Col. Griffin National High School</v>
          </cell>
          <cell r="F3218">
            <v>1</v>
          </cell>
          <cell r="G3218">
            <v>0</v>
          </cell>
          <cell r="H3218">
            <v>1</v>
          </cell>
          <cell r="I3218">
            <v>0</v>
          </cell>
          <cell r="J3218">
            <v>1</v>
          </cell>
          <cell r="K3218">
            <v>0</v>
          </cell>
          <cell r="L3218">
            <v>0</v>
          </cell>
          <cell r="M3218">
            <v>0</v>
          </cell>
          <cell r="N3218">
            <v>1</v>
          </cell>
          <cell r="O3218">
            <v>43623</v>
          </cell>
          <cell r="P3218">
            <v>43613</v>
          </cell>
          <cell r="Q3218">
            <v>0</v>
          </cell>
          <cell r="R3218">
            <v>0</v>
          </cell>
          <cell r="S3218">
            <v>1</v>
          </cell>
          <cell r="T3218">
            <v>0</v>
          </cell>
          <cell r="U3218">
            <v>0</v>
          </cell>
          <cell r="V3218">
            <v>1</v>
          </cell>
          <cell r="W3218">
            <v>1</v>
          </cell>
          <cell r="X3218">
            <v>0</v>
          </cell>
          <cell r="Y3218">
            <v>0</v>
          </cell>
        </row>
        <row r="3219">
          <cell r="D3219">
            <v>302618</v>
          </cell>
          <cell r="E3219" t="str">
            <v>Don Simplicio Lizares NHS</v>
          </cell>
          <cell r="F3219">
            <v>1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</row>
        <row r="3220">
          <cell r="D3220">
            <v>302622</v>
          </cell>
          <cell r="E3220" t="str">
            <v>Enrique B. Magalona NHS - Consing Ext.</v>
          </cell>
          <cell r="F3220">
            <v>1</v>
          </cell>
          <cell r="G3220">
            <v>1</v>
          </cell>
          <cell r="H3220">
            <v>1</v>
          </cell>
          <cell r="I3220">
            <v>0</v>
          </cell>
          <cell r="J3220">
            <v>0</v>
          </cell>
          <cell r="K3220">
            <v>1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</row>
        <row r="3221">
          <cell r="D3221">
            <v>302597</v>
          </cell>
          <cell r="E3221" t="str">
            <v>Bug-ang National High School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</row>
        <row r="3222">
          <cell r="D3222">
            <v>500588</v>
          </cell>
          <cell r="E3222" t="str">
            <v>Paloypoy Integrated School</v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1</v>
          </cell>
          <cell r="M3222" t="str">
            <v>N/A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1</v>
          </cell>
          <cell r="U3222" t="str">
            <v>N/A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</row>
        <row r="3223">
          <cell r="D3223">
            <v>302422</v>
          </cell>
          <cell r="E3223" t="str">
            <v>San Nicolas NHS (Pilar)</v>
          </cell>
          <cell r="F3223">
            <v>1</v>
          </cell>
          <cell r="G3223">
            <v>1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</row>
        <row r="3224">
          <cell r="D3224">
            <v>302643</v>
          </cell>
          <cell r="E3224" t="str">
            <v>Guiljungan NHS - Camindangan Ext.</v>
          </cell>
          <cell r="F3224">
            <v>1</v>
          </cell>
          <cell r="G3224">
            <v>1</v>
          </cell>
          <cell r="H3224">
            <v>1</v>
          </cell>
          <cell r="I3224">
            <v>0</v>
          </cell>
          <cell r="J3224">
            <v>1</v>
          </cell>
          <cell r="K3224">
            <v>0</v>
          </cell>
          <cell r="L3224">
            <v>0</v>
          </cell>
          <cell r="M3224">
            <v>0</v>
          </cell>
          <cell r="N3224">
            <v>1</v>
          </cell>
          <cell r="O3224">
            <v>0</v>
          </cell>
          <cell r="P3224">
            <v>43252</v>
          </cell>
          <cell r="Q3224">
            <v>1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1</v>
          </cell>
          <cell r="W3224">
            <v>2</v>
          </cell>
          <cell r="X3224">
            <v>2</v>
          </cell>
          <cell r="Y3224">
            <v>0</v>
          </cell>
        </row>
        <row r="3225">
          <cell r="D3225">
            <v>311105</v>
          </cell>
          <cell r="E3225" t="str">
            <v>Guinpana-an NHS - Poblacion Ext.</v>
          </cell>
          <cell r="F3225">
            <v>1</v>
          </cell>
          <cell r="G3225">
            <v>0</v>
          </cell>
          <cell r="H3225">
            <v>1</v>
          </cell>
          <cell r="I3225">
            <v>0</v>
          </cell>
          <cell r="J3225">
            <v>1</v>
          </cell>
          <cell r="K3225">
            <v>0</v>
          </cell>
          <cell r="L3225">
            <v>0</v>
          </cell>
          <cell r="M3225">
            <v>0</v>
          </cell>
          <cell r="N3225">
            <v>1</v>
          </cell>
          <cell r="O3225">
            <v>0</v>
          </cell>
          <cell r="P3225">
            <v>43749</v>
          </cell>
          <cell r="Q3225">
            <v>1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1</v>
          </cell>
          <cell r="W3225">
            <v>0</v>
          </cell>
          <cell r="X3225">
            <v>0</v>
          </cell>
          <cell r="Y3225">
            <v>0</v>
          </cell>
        </row>
        <row r="3226">
          <cell r="D3226">
            <v>500201</v>
          </cell>
          <cell r="E3226" t="str">
            <v>Violeta Integrated School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</row>
        <row r="3227">
          <cell r="D3227">
            <v>302522</v>
          </cell>
          <cell r="E3227" t="str">
            <v>Leon National High School</v>
          </cell>
          <cell r="F3227">
            <v>1</v>
          </cell>
          <cell r="G3227">
            <v>0</v>
          </cell>
          <cell r="H3227">
            <v>1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 t="str">
            <v>N/A</v>
          </cell>
          <cell r="P3227" t="str">
            <v>N/A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</row>
        <row r="3228">
          <cell r="D3228">
            <v>302616</v>
          </cell>
          <cell r="E3228" t="str">
            <v>Don Florencio Villafranca National High School</v>
          </cell>
          <cell r="F3228">
            <v>1</v>
          </cell>
          <cell r="G3228">
            <v>1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</row>
        <row r="3229">
          <cell r="D3229">
            <v>302383</v>
          </cell>
          <cell r="E3229" t="str">
            <v>Union NHS</v>
          </cell>
          <cell r="F3229">
            <v>1</v>
          </cell>
          <cell r="G3229">
            <v>1</v>
          </cell>
          <cell r="H3229">
            <v>1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1</v>
          </cell>
          <cell r="W3229">
            <v>0</v>
          </cell>
          <cell r="X3229">
            <v>0</v>
          </cell>
          <cell r="Y3229">
            <v>0</v>
          </cell>
        </row>
        <row r="3230">
          <cell r="D3230">
            <v>302289</v>
          </cell>
          <cell r="E3230" t="str">
            <v>Bacan National High School</v>
          </cell>
          <cell r="F3230">
            <v>1</v>
          </cell>
          <cell r="G3230">
            <v>1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</row>
        <row r="3231">
          <cell r="D3231">
            <v>302681</v>
          </cell>
          <cell r="E3231" t="str">
            <v>Raymundo Tongson NHS - Suay Ext.</v>
          </cell>
          <cell r="F3231">
            <v>0</v>
          </cell>
          <cell r="G3231">
            <v>0</v>
          </cell>
          <cell r="H3231">
            <v>1</v>
          </cell>
          <cell r="I3231">
            <v>1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1</v>
          </cell>
          <cell r="W3231">
            <v>1</v>
          </cell>
          <cell r="X3231">
            <v>0</v>
          </cell>
          <cell r="Y3231">
            <v>0</v>
          </cell>
        </row>
        <row r="3232">
          <cell r="D3232">
            <v>302336</v>
          </cell>
          <cell r="E3232" t="str">
            <v>Tangalan National High School</v>
          </cell>
          <cell r="F3232">
            <v>1</v>
          </cell>
          <cell r="G3232">
            <v>1</v>
          </cell>
          <cell r="H3232">
            <v>1</v>
          </cell>
          <cell r="I3232">
            <v>0</v>
          </cell>
          <cell r="J3232">
            <v>1</v>
          </cell>
          <cell r="K3232">
            <v>0</v>
          </cell>
          <cell r="L3232">
            <v>0</v>
          </cell>
          <cell r="M3232">
            <v>0</v>
          </cell>
          <cell r="N3232">
            <v>1</v>
          </cell>
          <cell r="O3232">
            <v>0</v>
          </cell>
          <cell r="P3232">
            <v>0</v>
          </cell>
          <cell r="Q3232">
            <v>0</v>
          </cell>
          <cell r="R3232">
            <v>1</v>
          </cell>
          <cell r="S3232">
            <v>0</v>
          </cell>
          <cell r="T3232">
            <v>0</v>
          </cell>
          <cell r="U3232">
            <v>0</v>
          </cell>
          <cell r="V3232">
            <v>1</v>
          </cell>
          <cell r="W3232">
            <v>3</v>
          </cell>
          <cell r="X3232">
            <v>3</v>
          </cell>
          <cell r="Y3232">
            <v>3</v>
          </cell>
        </row>
        <row r="3233">
          <cell r="D3233">
            <v>302587</v>
          </cell>
          <cell r="E3233" t="str">
            <v>Aguisan NHS</v>
          </cell>
          <cell r="F3233">
            <v>1</v>
          </cell>
          <cell r="G3233">
            <v>1</v>
          </cell>
          <cell r="H3233">
            <v>1</v>
          </cell>
          <cell r="I3233">
            <v>0</v>
          </cell>
          <cell r="J3233">
            <v>1</v>
          </cell>
          <cell r="K3233">
            <v>0</v>
          </cell>
          <cell r="L3233">
            <v>0</v>
          </cell>
          <cell r="M3233">
            <v>0</v>
          </cell>
          <cell r="N3233">
            <v>1</v>
          </cell>
          <cell r="O3233">
            <v>0</v>
          </cell>
          <cell r="P3233" t="str">
            <v>N/A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</row>
        <row r="3234">
          <cell r="D3234">
            <v>302577</v>
          </cell>
          <cell r="E3234" t="str">
            <v>Talingting NHS</v>
          </cell>
          <cell r="F3234">
            <v>1</v>
          </cell>
          <cell r="G3234">
            <v>1</v>
          </cell>
          <cell r="H3234">
            <v>1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1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</row>
        <row r="3235">
          <cell r="D3235">
            <v>500193</v>
          </cell>
          <cell r="E3235" t="str">
            <v>Marcos Fuentes IS</v>
          </cell>
          <cell r="F3235">
            <v>1</v>
          </cell>
          <cell r="G3235">
            <v>1</v>
          </cell>
          <cell r="H3235">
            <v>1</v>
          </cell>
          <cell r="I3235">
            <v>0</v>
          </cell>
          <cell r="J3235">
            <v>1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</row>
        <row r="3236">
          <cell r="D3236">
            <v>302517</v>
          </cell>
          <cell r="E3236" t="str">
            <v>Lambunao National High School</v>
          </cell>
          <cell r="F3236">
            <v>1</v>
          </cell>
          <cell r="G3236">
            <v>1</v>
          </cell>
          <cell r="H3236">
            <v>1</v>
          </cell>
          <cell r="I3236">
            <v>0</v>
          </cell>
          <cell r="J3236">
            <v>0</v>
          </cell>
          <cell r="K3236">
            <v>1</v>
          </cell>
          <cell r="L3236">
            <v>0</v>
          </cell>
          <cell r="M3236">
            <v>0</v>
          </cell>
          <cell r="N3236">
            <v>0</v>
          </cell>
          <cell r="O3236">
            <v>43453</v>
          </cell>
          <cell r="P3236" t="str">
            <v>None</v>
          </cell>
          <cell r="Q3236">
            <v>0</v>
          </cell>
          <cell r="R3236">
            <v>0</v>
          </cell>
          <cell r="S3236">
            <v>0</v>
          </cell>
          <cell r="T3236">
            <v>1</v>
          </cell>
          <cell r="U3236" t="str">
            <v>None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</row>
        <row r="3237">
          <cell r="D3237">
            <v>302401</v>
          </cell>
          <cell r="E3237" t="str">
            <v>Concepcion Castro Garcia NHS (Dumalag NHS) Sta. Cruz</v>
          </cell>
          <cell r="F3237">
            <v>1</v>
          </cell>
          <cell r="G3237">
            <v>1</v>
          </cell>
          <cell r="H3237">
            <v>1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1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1</v>
          </cell>
          <cell r="W3237">
            <v>0</v>
          </cell>
          <cell r="X3237">
            <v>0</v>
          </cell>
          <cell r="Y3237">
            <v>0</v>
          </cell>
        </row>
        <row r="3238">
          <cell r="D3238">
            <v>500196</v>
          </cell>
          <cell r="E3238" t="str">
            <v>Guinhalaran Integrated School - Secondary</v>
          </cell>
          <cell r="F3238">
            <v>1</v>
          </cell>
          <cell r="G3238">
            <v>1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</row>
        <row r="3239">
          <cell r="D3239">
            <v>302396</v>
          </cell>
          <cell r="E3239" t="str">
            <v>Cuartero NHS</v>
          </cell>
          <cell r="F3239">
            <v>1</v>
          </cell>
          <cell r="G3239">
            <v>0</v>
          </cell>
          <cell r="H3239">
            <v>1</v>
          </cell>
          <cell r="I3239">
            <v>0</v>
          </cell>
          <cell r="J3239">
            <v>0</v>
          </cell>
          <cell r="K3239">
            <v>1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</row>
        <row r="3240">
          <cell r="D3240">
            <v>500199</v>
          </cell>
          <cell r="E3240" t="str">
            <v>Don Albino &amp; Doña Dolores Jison IS</v>
          </cell>
          <cell r="F3240">
            <v>1</v>
          </cell>
          <cell r="G3240">
            <v>0</v>
          </cell>
          <cell r="H3240">
            <v>1</v>
          </cell>
          <cell r="I3240">
            <v>0</v>
          </cell>
          <cell r="J3240">
            <v>0</v>
          </cell>
          <cell r="K3240">
            <v>0</v>
          </cell>
          <cell r="L3240">
            <v>1</v>
          </cell>
          <cell r="M3240" t="str">
            <v>AS NEEDED</v>
          </cell>
          <cell r="N3240">
            <v>1</v>
          </cell>
          <cell r="O3240">
            <v>43644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1</v>
          </cell>
          <cell r="U3240" t="str">
            <v>AS NEEDED</v>
          </cell>
          <cell r="V3240">
            <v>1</v>
          </cell>
          <cell r="W3240">
            <v>0</v>
          </cell>
          <cell r="X3240">
            <v>0</v>
          </cell>
          <cell r="Y3240">
            <v>0</v>
          </cell>
        </row>
        <row r="3241">
          <cell r="D3241">
            <v>302641</v>
          </cell>
          <cell r="E3241" t="str">
            <v>Guiljungan NHS</v>
          </cell>
          <cell r="F3241">
            <v>1</v>
          </cell>
          <cell r="G3241">
            <v>1</v>
          </cell>
          <cell r="H3241">
            <v>1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</row>
        <row r="3242">
          <cell r="D3242">
            <v>500179</v>
          </cell>
          <cell r="E3242" t="str">
            <v>Kalibo Integrated Special Education Center</v>
          </cell>
          <cell r="F3242">
            <v>1</v>
          </cell>
          <cell r="G3242">
            <v>0</v>
          </cell>
          <cell r="H3242">
            <v>1</v>
          </cell>
          <cell r="I3242">
            <v>0</v>
          </cell>
          <cell r="J3242">
            <v>0</v>
          </cell>
          <cell r="K3242">
            <v>0</v>
          </cell>
          <cell r="L3242">
            <v>1</v>
          </cell>
          <cell r="M3242" t="str">
            <v>IF NEEDED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</row>
        <row r="3243">
          <cell r="D3243">
            <v>311013</v>
          </cell>
          <cell r="E3243" t="str">
            <v>Supt. Arsenio M. Napud MNHS</v>
          </cell>
          <cell r="F3243">
            <v>1</v>
          </cell>
          <cell r="G3243">
            <v>0</v>
          </cell>
          <cell r="H3243">
            <v>1</v>
          </cell>
          <cell r="I3243">
            <v>0</v>
          </cell>
          <cell r="J3243">
            <v>0</v>
          </cell>
          <cell r="K3243">
            <v>0</v>
          </cell>
          <cell r="L3243">
            <v>1</v>
          </cell>
          <cell r="M3243" t="str">
            <v>AS NEEDS ARISES</v>
          </cell>
          <cell r="N3243">
            <v>1</v>
          </cell>
          <cell r="O3243">
            <v>43662</v>
          </cell>
          <cell r="P3243">
            <v>43672</v>
          </cell>
          <cell r="Q3243">
            <v>0</v>
          </cell>
          <cell r="R3243">
            <v>0</v>
          </cell>
          <cell r="S3243">
            <v>0</v>
          </cell>
          <cell r="T3243">
            <v>1</v>
          </cell>
          <cell r="U3243" t="str">
            <v>AS NEEDS ARISES</v>
          </cell>
          <cell r="V3243">
            <v>1</v>
          </cell>
          <cell r="W3243">
            <v>0</v>
          </cell>
          <cell r="X3243">
            <v>0</v>
          </cell>
          <cell r="Y3243">
            <v>0</v>
          </cell>
        </row>
        <row r="3244">
          <cell r="D3244">
            <v>311028</v>
          </cell>
          <cell r="E3244" t="str">
            <v>Dalid National High School</v>
          </cell>
          <cell r="F3244">
            <v>1</v>
          </cell>
          <cell r="G3244">
            <v>1</v>
          </cell>
          <cell r="H3244">
            <v>1</v>
          </cell>
          <cell r="I3244">
            <v>0</v>
          </cell>
          <cell r="J3244">
            <v>1</v>
          </cell>
          <cell r="K3244">
            <v>0</v>
          </cell>
          <cell r="L3244">
            <v>0</v>
          </cell>
          <cell r="M3244">
            <v>0</v>
          </cell>
          <cell r="N3244">
            <v>1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7</v>
          </cell>
          <cell r="X3244">
            <v>7</v>
          </cell>
          <cell r="Y3244">
            <v>0</v>
          </cell>
        </row>
        <row r="3245">
          <cell r="D3245">
            <v>302571</v>
          </cell>
          <cell r="E3245" t="str">
            <v>Sinogbuhan National High School</v>
          </cell>
          <cell r="F3245">
            <v>1</v>
          </cell>
          <cell r="G3245">
            <v>1</v>
          </cell>
          <cell r="H3245">
            <v>1</v>
          </cell>
          <cell r="I3245">
            <v>0</v>
          </cell>
          <cell r="J3245">
            <v>0</v>
          </cell>
          <cell r="K3245">
            <v>1</v>
          </cell>
          <cell r="L3245">
            <v>0</v>
          </cell>
          <cell r="M3245">
            <v>0</v>
          </cell>
          <cell r="N3245">
            <v>1</v>
          </cell>
          <cell r="O3245" t="str">
            <v>Sept. 25, 2019</v>
          </cell>
          <cell r="P3245">
            <v>43617</v>
          </cell>
          <cell r="Q3245">
            <v>0</v>
          </cell>
          <cell r="R3245">
            <v>1</v>
          </cell>
          <cell r="S3245">
            <v>0</v>
          </cell>
          <cell r="T3245">
            <v>0</v>
          </cell>
          <cell r="U3245">
            <v>0</v>
          </cell>
          <cell r="V3245">
            <v>1</v>
          </cell>
          <cell r="W3245">
            <v>0</v>
          </cell>
          <cell r="X3245">
            <v>0</v>
          </cell>
          <cell r="Y3245">
            <v>0</v>
          </cell>
        </row>
        <row r="3246">
          <cell r="D3246">
            <v>302546</v>
          </cell>
          <cell r="E3246" t="str">
            <v>PALANGUIA NATIONAL HIGH SCHOOL</v>
          </cell>
          <cell r="F3246">
            <v>1</v>
          </cell>
          <cell r="G3246">
            <v>1</v>
          </cell>
          <cell r="H3246">
            <v>1</v>
          </cell>
          <cell r="I3246">
            <v>0</v>
          </cell>
          <cell r="J3246">
            <v>1</v>
          </cell>
          <cell r="K3246">
            <v>0</v>
          </cell>
          <cell r="L3246">
            <v>0</v>
          </cell>
          <cell r="M3246">
            <v>0</v>
          </cell>
          <cell r="N3246">
            <v>1</v>
          </cell>
          <cell r="O3246">
            <v>0</v>
          </cell>
          <cell r="P3246">
            <v>0</v>
          </cell>
          <cell r="Q3246">
            <v>0</v>
          </cell>
          <cell r="R3246">
            <v>1</v>
          </cell>
          <cell r="S3246">
            <v>0</v>
          </cell>
          <cell r="T3246">
            <v>0</v>
          </cell>
          <cell r="U3246">
            <v>0</v>
          </cell>
          <cell r="V3246">
            <v>1</v>
          </cell>
          <cell r="W3246">
            <v>2</v>
          </cell>
          <cell r="X3246">
            <v>0</v>
          </cell>
          <cell r="Y3246">
            <v>0</v>
          </cell>
        </row>
        <row r="3247">
          <cell r="D3247">
            <v>302782</v>
          </cell>
          <cell r="E3247" t="str">
            <v>Doña Montserrat Lopez MHS - HPCO Ext.</v>
          </cell>
          <cell r="F3247">
            <v>1</v>
          </cell>
          <cell r="G3247">
            <v>1</v>
          </cell>
          <cell r="H3247">
            <v>1</v>
          </cell>
          <cell r="I3247">
            <v>0</v>
          </cell>
          <cell r="J3247">
            <v>1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</row>
        <row r="3248">
          <cell r="D3248">
            <v>302536</v>
          </cell>
          <cell r="E3248" t="str">
            <v>Nalundan NHS</v>
          </cell>
          <cell r="F3248">
            <v>0</v>
          </cell>
          <cell r="G3248">
            <v>0</v>
          </cell>
          <cell r="H3248">
            <v>1</v>
          </cell>
          <cell r="I3248">
            <v>0</v>
          </cell>
          <cell r="J3248">
            <v>0</v>
          </cell>
          <cell r="K3248">
            <v>1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</row>
        <row r="3249">
          <cell r="D3249">
            <v>302549</v>
          </cell>
          <cell r="E3249" t="str">
            <v>Particion NHS</v>
          </cell>
          <cell r="F3249">
            <v>1</v>
          </cell>
          <cell r="G3249">
            <v>0</v>
          </cell>
          <cell r="H3249">
            <v>0</v>
          </cell>
          <cell r="I3249">
            <v>0</v>
          </cell>
          <cell r="J3249">
            <v>1</v>
          </cell>
          <cell r="K3249">
            <v>0</v>
          </cell>
          <cell r="L3249">
            <v>0</v>
          </cell>
          <cell r="M3249">
            <v>0</v>
          </cell>
          <cell r="N3249">
            <v>1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1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</row>
        <row r="3250">
          <cell r="D3250">
            <v>302514</v>
          </cell>
          <cell r="E3250" t="str">
            <v>Jose Facultad Memorial National High School</v>
          </cell>
          <cell r="F3250">
            <v>0</v>
          </cell>
          <cell r="G3250">
            <v>0</v>
          </cell>
          <cell r="H3250">
            <v>1</v>
          </cell>
          <cell r="I3250">
            <v>0</v>
          </cell>
          <cell r="J3250">
            <v>1</v>
          </cell>
          <cell r="K3250">
            <v>0</v>
          </cell>
          <cell r="L3250">
            <v>0</v>
          </cell>
          <cell r="M3250">
            <v>0</v>
          </cell>
          <cell r="N3250">
            <v>1</v>
          </cell>
          <cell r="O3250">
            <v>0</v>
          </cell>
          <cell r="P3250">
            <v>0</v>
          </cell>
          <cell r="Q3250">
            <v>0</v>
          </cell>
          <cell r="R3250">
            <v>1</v>
          </cell>
          <cell r="S3250">
            <v>0</v>
          </cell>
          <cell r="T3250">
            <v>0</v>
          </cell>
          <cell r="U3250">
            <v>0</v>
          </cell>
          <cell r="V3250">
            <v>1</v>
          </cell>
          <cell r="W3250">
            <v>0</v>
          </cell>
          <cell r="X3250">
            <v>0</v>
          </cell>
          <cell r="Y3250">
            <v>0</v>
          </cell>
        </row>
        <row r="3251">
          <cell r="D3251">
            <v>311017</v>
          </cell>
          <cell r="E3251" t="str">
            <v>Bancal NHS</v>
          </cell>
          <cell r="F3251">
            <v>1</v>
          </cell>
          <cell r="G3251">
            <v>0</v>
          </cell>
          <cell r="H3251">
            <v>1</v>
          </cell>
          <cell r="I3251">
            <v>0</v>
          </cell>
          <cell r="J3251">
            <v>0</v>
          </cell>
          <cell r="K3251">
            <v>0</v>
          </cell>
          <cell r="L3251">
            <v>1</v>
          </cell>
          <cell r="M3251" t="str">
            <v>as the need arises</v>
          </cell>
          <cell r="N3251">
            <v>1</v>
          </cell>
          <cell r="O3251">
            <v>43652</v>
          </cell>
          <cell r="P3251">
            <v>43713</v>
          </cell>
          <cell r="Q3251">
            <v>0</v>
          </cell>
          <cell r="R3251">
            <v>1</v>
          </cell>
          <cell r="S3251">
            <v>0</v>
          </cell>
          <cell r="T3251">
            <v>0</v>
          </cell>
          <cell r="U3251">
            <v>0</v>
          </cell>
          <cell r="V3251">
            <v>1</v>
          </cell>
          <cell r="W3251">
            <v>0</v>
          </cell>
          <cell r="X3251">
            <v>0</v>
          </cell>
          <cell r="Y3251">
            <v>0</v>
          </cell>
        </row>
        <row r="3252">
          <cell r="D3252">
            <v>302380</v>
          </cell>
          <cell r="E3252" t="str">
            <v>Sta. Ana NHS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2</v>
          </cell>
          <cell r="Y3252">
            <v>0</v>
          </cell>
        </row>
        <row r="3253">
          <cell r="D3253">
            <v>302562</v>
          </cell>
          <cell r="E3253" t="str">
            <v>San Antonio NHS</v>
          </cell>
          <cell r="F3253">
            <v>1</v>
          </cell>
          <cell r="G3253">
            <v>0</v>
          </cell>
          <cell r="H3253">
            <v>1</v>
          </cell>
          <cell r="I3253">
            <v>0</v>
          </cell>
          <cell r="J3253">
            <v>1</v>
          </cell>
          <cell r="K3253">
            <v>0</v>
          </cell>
          <cell r="L3253">
            <v>0</v>
          </cell>
          <cell r="M3253">
            <v>0</v>
          </cell>
          <cell r="N3253">
            <v>1</v>
          </cell>
          <cell r="O3253">
            <v>43710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1</v>
          </cell>
          <cell r="W3253">
            <v>0</v>
          </cell>
          <cell r="X3253">
            <v>0</v>
          </cell>
          <cell r="Y3253">
            <v>0</v>
          </cell>
        </row>
        <row r="3254">
          <cell r="D3254">
            <v>302572</v>
          </cell>
          <cell r="E3254" t="str">
            <v>Siwalo NHS</v>
          </cell>
          <cell r="F3254">
            <v>1</v>
          </cell>
          <cell r="G3254">
            <v>0</v>
          </cell>
          <cell r="H3254">
            <v>1</v>
          </cell>
          <cell r="I3254">
            <v>0</v>
          </cell>
          <cell r="J3254">
            <v>1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 t="str">
            <v>N/A</v>
          </cell>
          <cell r="P3254">
            <v>43678</v>
          </cell>
          <cell r="Q3254">
            <v>0</v>
          </cell>
          <cell r="R3254">
            <v>1</v>
          </cell>
          <cell r="S3254">
            <v>0</v>
          </cell>
          <cell r="T3254">
            <v>0</v>
          </cell>
          <cell r="U3254">
            <v>0</v>
          </cell>
          <cell r="V3254">
            <v>1</v>
          </cell>
          <cell r="W3254">
            <v>0</v>
          </cell>
          <cell r="X3254">
            <v>0</v>
          </cell>
          <cell r="Y3254">
            <v>0</v>
          </cell>
        </row>
        <row r="3255">
          <cell r="D3255">
            <v>302471</v>
          </cell>
          <cell r="E3255" t="str">
            <v>Burak NHS</v>
          </cell>
          <cell r="F3255">
            <v>1</v>
          </cell>
          <cell r="G3255">
            <v>0</v>
          </cell>
          <cell r="H3255">
            <v>1</v>
          </cell>
          <cell r="I3255">
            <v>0</v>
          </cell>
          <cell r="J3255">
            <v>0</v>
          </cell>
          <cell r="K3255">
            <v>1</v>
          </cell>
          <cell r="L3255">
            <v>0</v>
          </cell>
          <cell r="M3255">
            <v>0</v>
          </cell>
          <cell r="N3255">
            <v>1</v>
          </cell>
          <cell r="O3255">
            <v>43661</v>
          </cell>
          <cell r="P3255">
            <v>43738</v>
          </cell>
          <cell r="Q3255">
            <v>0</v>
          </cell>
          <cell r="R3255">
            <v>0</v>
          </cell>
          <cell r="S3255">
            <v>1</v>
          </cell>
          <cell r="T3255">
            <v>0</v>
          </cell>
          <cell r="U3255">
            <v>0</v>
          </cell>
          <cell r="V3255">
            <v>1</v>
          </cell>
          <cell r="W3255">
            <v>0</v>
          </cell>
          <cell r="X3255">
            <v>0</v>
          </cell>
          <cell r="Y3255">
            <v>0</v>
          </cell>
        </row>
        <row r="3256">
          <cell r="D3256">
            <v>302698</v>
          </cell>
          <cell r="E3256" t="str">
            <v>Victorias NHS - Gaston Ext.</v>
          </cell>
          <cell r="F3256">
            <v>1</v>
          </cell>
          <cell r="G3256">
            <v>1</v>
          </cell>
          <cell r="H3256">
            <v>1</v>
          </cell>
          <cell r="I3256">
            <v>0</v>
          </cell>
          <cell r="J3256">
            <v>1</v>
          </cell>
          <cell r="K3256">
            <v>0</v>
          </cell>
          <cell r="L3256">
            <v>0</v>
          </cell>
          <cell r="M3256">
            <v>0</v>
          </cell>
          <cell r="N3256">
            <v>1</v>
          </cell>
          <cell r="O3256">
            <v>0</v>
          </cell>
          <cell r="P3256">
            <v>0</v>
          </cell>
          <cell r="Q3256">
            <v>0</v>
          </cell>
          <cell r="R3256">
            <v>1</v>
          </cell>
          <cell r="S3256">
            <v>0</v>
          </cell>
          <cell r="T3256">
            <v>0</v>
          </cell>
          <cell r="U3256">
            <v>0</v>
          </cell>
          <cell r="V3256">
            <v>1</v>
          </cell>
          <cell r="W3256">
            <v>0</v>
          </cell>
          <cell r="X3256">
            <v>0</v>
          </cell>
          <cell r="Y3256">
            <v>0</v>
          </cell>
        </row>
        <row r="3257">
          <cell r="D3257">
            <v>302560</v>
          </cell>
          <cell r="E3257" t="str">
            <v>Quipot National High School</v>
          </cell>
          <cell r="F3257">
            <v>1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1</v>
          </cell>
          <cell r="L3257">
            <v>0</v>
          </cell>
          <cell r="M3257">
            <v>0</v>
          </cell>
          <cell r="N3257">
            <v>1</v>
          </cell>
          <cell r="O3257">
            <v>43806</v>
          </cell>
          <cell r="P3257">
            <v>0</v>
          </cell>
          <cell r="Q3257">
            <v>0</v>
          </cell>
          <cell r="R3257">
            <v>0</v>
          </cell>
          <cell r="S3257">
            <v>1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</row>
        <row r="3258">
          <cell r="D3258">
            <v>302287</v>
          </cell>
          <cell r="E3258" t="str">
            <v>Justicia Morales-Young National High School</v>
          </cell>
          <cell r="F3258">
            <v>1</v>
          </cell>
          <cell r="G3258">
            <v>0</v>
          </cell>
          <cell r="H3258">
            <v>1</v>
          </cell>
          <cell r="I3258">
            <v>0</v>
          </cell>
          <cell r="J3258">
            <v>0</v>
          </cell>
          <cell r="K3258">
            <v>1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1</v>
          </cell>
          <cell r="S3258">
            <v>0</v>
          </cell>
          <cell r="T3258">
            <v>0</v>
          </cell>
          <cell r="U3258">
            <v>0</v>
          </cell>
          <cell r="V3258">
            <v>1</v>
          </cell>
          <cell r="W3258">
            <v>0</v>
          </cell>
          <cell r="X3258">
            <v>0</v>
          </cell>
          <cell r="Y3258">
            <v>0</v>
          </cell>
        </row>
        <row r="3259">
          <cell r="D3259">
            <v>311011</v>
          </cell>
          <cell r="E3259" t="str">
            <v>Adriano Cabardo NHS</v>
          </cell>
          <cell r="F3259">
            <v>1</v>
          </cell>
          <cell r="G3259">
            <v>1</v>
          </cell>
          <cell r="H3259">
            <v>1</v>
          </cell>
          <cell r="I3259">
            <v>0</v>
          </cell>
          <cell r="J3259">
            <v>0</v>
          </cell>
          <cell r="K3259">
            <v>1</v>
          </cell>
          <cell r="L3259">
            <v>0</v>
          </cell>
          <cell r="M3259">
            <v>0</v>
          </cell>
          <cell r="N3259">
            <v>1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1</v>
          </cell>
          <cell r="T3259">
            <v>0</v>
          </cell>
          <cell r="U3259">
            <v>0</v>
          </cell>
          <cell r="V3259">
            <v>1</v>
          </cell>
          <cell r="W3259">
            <v>0</v>
          </cell>
          <cell r="X3259">
            <v>0</v>
          </cell>
          <cell r="Y3259">
            <v>0</v>
          </cell>
        </row>
        <row r="3260">
          <cell r="D3260">
            <v>302414</v>
          </cell>
          <cell r="E3260" t="str">
            <v>MALONOY NATIONAL HIGH SCHOOL</v>
          </cell>
          <cell r="F3260">
            <v>1</v>
          </cell>
          <cell r="G3260">
            <v>1</v>
          </cell>
          <cell r="H3260">
            <v>1</v>
          </cell>
          <cell r="I3260">
            <v>0</v>
          </cell>
          <cell r="J3260">
            <v>1</v>
          </cell>
          <cell r="K3260">
            <v>0</v>
          </cell>
          <cell r="L3260">
            <v>0</v>
          </cell>
          <cell r="M3260">
            <v>0</v>
          </cell>
          <cell r="N3260">
            <v>1</v>
          </cell>
          <cell r="O3260">
            <v>0</v>
          </cell>
          <cell r="P3260">
            <v>0</v>
          </cell>
          <cell r="Q3260">
            <v>0</v>
          </cell>
          <cell r="R3260">
            <v>1</v>
          </cell>
          <cell r="S3260">
            <v>0</v>
          </cell>
          <cell r="T3260">
            <v>0</v>
          </cell>
          <cell r="U3260">
            <v>0</v>
          </cell>
          <cell r="V3260">
            <v>1</v>
          </cell>
          <cell r="W3260">
            <v>0</v>
          </cell>
          <cell r="X3260">
            <v>0</v>
          </cell>
          <cell r="Y3260">
            <v>0</v>
          </cell>
        </row>
        <row r="3261">
          <cell r="D3261">
            <v>302528</v>
          </cell>
          <cell r="E3261" t="str">
            <v>Major Manuel A. Aaron Memorial NHS</v>
          </cell>
          <cell r="F3261">
            <v>1</v>
          </cell>
          <cell r="G3261">
            <v>1</v>
          </cell>
          <cell r="H3261">
            <v>1</v>
          </cell>
          <cell r="I3261">
            <v>0</v>
          </cell>
          <cell r="J3261">
            <v>1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</row>
        <row r="3262">
          <cell r="D3262">
            <v>302753</v>
          </cell>
          <cell r="E3262" t="str">
            <v>La Granja NHS - Yubo Ext.</v>
          </cell>
          <cell r="F3262">
            <v>1</v>
          </cell>
          <cell r="G3262">
            <v>1</v>
          </cell>
          <cell r="H3262">
            <v>1</v>
          </cell>
          <cell r="I3262">
            <v>0</v>
          </cell>
          <cell r="J3262">
            <v>0</v>
          </cell>
          <cell r="K3262">
            <v>1</v>
          </cell>
          <cell r="L3262">
            <v>0</v>
          </cell>
          <cell r="M3262">
            <v>0</v>
          </cell>
          <cell r="N3262">
            <v>0</v>
          </cell>
          <cell r="O3262" t="str">
            <v>N/A</v>
          </cell>
          <cell r="P3262" t="str">
            <v>11/06/2019</v>
          </cell>
          <cell r="Q3262">
            <v>0</v>
          </cell>
          <cell r="R3262">
            <v>1</v>
          </cell>
          <cell r="S3262">
            <v>0</v>
          </cell>
          <cell r="T3262">
            <v>0</v>
          </cell>
          <cell r="U3262">
            <v>0</v>
          </cell>
          <cell r="V3262">
            <v>1</v>
          </cell>
          <cell r="W3262">
            <v>0</v>
          </cell>
          <cell r="X3262">
            <v>0</v>
          </cell>
          <cell r="Y3262">
            <v>0</v>
          </cell>
        </row>
        <row r="3263">
          <cell r="D3263">
            <v>302725</v>
          </cell>
          <cell r="E3263" t="str">
            <v>Ramon Torres Taloc NHS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</row>
        <row r="3264">
          <cell r="D3264">
            <v>302761</v>
          </cell>
          <cell r="E3264" t="str">
            <v>Tanque NHS</v>
          </cell>
          <cell r="F3264">
            <v>1</v>
          </cell>
          <cell r="G3264">
            <v>1</v>
          </cell>
          <cell r="H3264">
            <v>1</v>
          </cell>
          <cell r="I3264">
            <v>0</v>
          </cell>
          <cell r="J3264">
            <v>0</v>
          </cell>
          <cell r="K3264">
            <v>1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1</v>
          </cell>
          <cell r="T3264">
            <v>0</v>
          </cell>
          <cell r="U3264">
            <v>0</v>
          </cell>
          <cell r="V3264">
            <v>1</v>
          </cell>
          <cell r="W3264">
            <v>2</v>
          </cell>
          <cell r="X3264">
            <v>0</v>
          </cell>
          <cell r="Y3264">
            <v>0</v>
          </cell>
        </row>
        <row r="3265">
          <cell r="D3265">
            <v>302497</v>
          </cell>
          <cell r="E3265" t="str">
            <v>Duenas General Comprehensive High School</v>
          </cell>
          <cell r="F3265">
            <v>0</v>
          </cell>
          <cell r="G3265">
            <v>0</v>
          </cell>
          <cell r="H3265">
            <v>1</v>
          </cell>
          <cell r="I3265">
            <v>0</v>
          </cell>
          <cell r="J3265">
            <v>1</v>
          </cell>
          <cell r="K3265">
            <v>0</v>
          </cell>
          <cell r="L3265">
            <v>0</v>
          </cell>
          <cell r="M3265">
            <v>0</v>
          </cell>
          <cell r="N3265">
            <v>1</v>
          </cell>
          <cell r="O3265">
            <v>0</v>
          </cell>
          <cell r="P3265">
            <v>43697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</row>
        <row r="3266">
          <cell r="D3266">
            <v>302519</v>
          </cell>
          <cell r="E3266" t="str">
            <v>Lawigan NHS</v>
          </cell>
          <cell r="F3266">
            <v>1</v>
          </cell>
          <cell r="G3266">
            <v>1</v>
          </cell>
          <cell r="H3266">
            <v>1</v>
          </cell>
          <cell r="I3266">
            <v>0</v>
          </cell>
          <cell r="J3266">
            <v>1</v>
          </cell>
          <cell r="K3266">
            <v>0</v>
          </cell>
          <cell r="L3266">
            <v>0</v>
          </cell>
          <cell r="M3266">
            <v>0</v>
          </cell>
          <cell r="N3266">
            <v>1</v>
          </cell>
          <cell r="O3266" t="str">
            <v>June 17, 2019</v>
          </cell>
          <cell r="P3266" t="str">
            <v>June 11, 2019</v>
          </cell>
          <cell r="Q3266">
            <v>0</v>
          </cell>
          <cell r="R3266">
            <v>1</v>
          </cell>
          <cell r="S3266">
            <v>0</v>
          </cell>
          <cell r="T3266">
            <v>0</v>
          </cell>
          <cell r="U3266">
            <v>0</v>
          </cell>
          <cell r="V3266">
            <v>1</v>
          </cell>
          <cell r="W3266">
            <v>0</v>
          </cell>
          <cell r="X3266">
            <v>0</v>
          </cell>
          <cell r="Y3266">
            <v>0</v>
          </cell>
        </row>
        <row r="3267">
          <cell r="D3267">
            <v>302529</v>
          </cell>
          <cell r="E3267" t="str">
            <v>Maribuyong NHS</v>
          </cell>
          <cell r="F3267">
            <v>1</v>
          </cell>
          <cell r="G3267">
            <v>1</v>
          </cell>
          <cell r="H3267">
            <v>1</v>
          </cell>
          <cell r="I3267">
            <v>0</v>
          </cell>
          <cell r="J3267">
            <v>1</v>
          </cell>
          <cell r="K3267">
            <v>0</v>
          </cell>
          <cell r="L3267">
            <v>1</v>
          </cell>
          <cell r="M3267">
            <v>0</v>
          </cell>
          <cell r="N3267">
            <v>1</v>
          </cell>
          <cell r="O3267">
            <v>0</v>
          </cell>
          <cell r="P3267">
            <v>0</v>
          </cell>
          <cell r="Q3267">
            <v>0</v>
          </cell>
          <cell r="R3267">
            <v>1</v>
          </cell>
          <cell r="S3267">
            <v>0</v>
          </cell>
          <cell r="T3267">
            <v>0</v>
          </cell>
          <cell r="U3267">
            <v>0</v>
          </cell>
          <cell r="V3267">
            <v>1</v>
          </cell>
          <cell r="W3267">
            <v>3</v>
          </cell>
          <cell r="X3267">
            <v>0</v>
          </cell>
          <cell r="Y3267">
            <v>0</v>
          </cell>
        </row>
        <row r="3268">
          <cell r="D3268">
            <v>302335</v>
          </cell>
          <cell r="E3268" t="str">
            <v>Solido National High School</v>
          </cell>
          <cell r="F3268">
            <v>1</v>
          </cell>
          <cell r="G3268">
            <v>0</v>
          </cell>
          <cell r="H3268">
            <v>1</v>
          </cell>
          <cell r="I3268">
            <v>0</v>
          </cell>
          <cell r="J3268">
            <v>1</v>
          </cell>
          <cell r="K3268">
            <v>0</v>
          </cell>
          <cell r="L3268">
            <v>0</v>
          </cell>
          <cell r="M3268">
            <v>0</v>
          </cell>
          <cell r="N3268">
            <v>1</v>
          </cell>
          <cell r="O3268" t="str">
            <v>June 7, 2019</v>
          </cell>
          <cell r="P3268">
            <v>0</v>
          </cell>
          <cell r="Q3268">
            <v>0</v>
          </cell>
          <cell r="R3268">
            <v>0</v>
          </cell>
          <cell r="S3268">
            <v>1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</row>
        <row r="3269">
          <cell r="D3269">
            <v>302466</v>
          </cell>
          <cell r="E3269" t="str">
            <v>Bololacao NHS</v>
          </cell>
          <cell r="F3269">
            <v>1</v>
          </cell>
          <cell r="G3269">
            <v>0</v>
          </cell>
          <cell r="H3269">
            <v>1</v>
          </cell>
          <cell r="I3269">
            <v>1</v>
          </cell>
          <cell r="J3269">
            <v>0</v>
          </cell>
          <cell r="K3269">
            <v>0</v>
          </cell>
          <cell r="L3269">
            <v>1</v>
          </cell>
          <cell r="M3269" t="str">
            <v>twice a year</v>
          </cell>
          <cell r="N3269">
            <v>0</v>
          </cell>
          <cell r="O3269">
            <v>0</v>
          </cell>
          <cell r="P3269">
            <v>43744</v>
          </cell>
          <cell r="Q3269">
            <v>0</v>
          </cell>
          <cell r="R3269">
            <v>0</v>
          </cell>
          <cell r="S3269">
            <v>1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</row>
        <row r="3270">
          <cell r="D3270">
            <v>311005</v>
          </cell>
          <cell r="E3270" t="str">
            <v>Lanag Norte National High School</v>
          </cell>
          <cell r="F3270">
            <v>1</v>
          </cell>
          <cell r="G3270">
            <v>0</v>
          </cell>
          <cell r="H3270">
            <v>1</v>
          </cell>
          <cell r="I3270">
            <v>0</v>
          </cell>
          <cell r="J3270">
            <v>1</v>
          </cell>
          <cell r="K3270">
            <v>0</v>
          </cell>
          <cell r="L3270">
            <v>0</v>
          </cell>
          <cell r="M3270">
            <v>0</v>
          </cell>
          <cell r="N3270">
            <v>1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2</v>
          </cell>
          <cell r="X3270">
            <v>0</v>
          </cell>
          <cell r="Y3270">
            <v>0</v>
          </cell>
        </row>
        <row r="3271">
          <cell r="D3271">
            <v>302451</v>
          </cell>
          <cell r="E3271" t="str">
            <v>Layog NHS</v>
          </cell>
          <cell r="F3271">
            <v>1</v>
          </cell>
          <cell r="G3271">
            <v>1</v>
          </cell>
          <cell r="H3271">
            <v>1</v>
          </cell>
          <cell r="I3271">
            <v>0</v>
          </cell>
          <cell r="J3271">
            <v>0</v>
          </cell>
          <cell r="K3271">
            <v>1</v>
          </cell>
          <cell r="L3271">
            <v>0</v>
          </cell>
          <cell r="M3271">
            <v>0</v>
          </cell>
          <cell r="N3271">
            <v>1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1</v>
          </cell>
          <cell r="T3271">
            <v>0</v>
          </cell>
          <cell r="U3271">
            <v>0</v>
          </cell>
          <cell r="V3271">
            <v>1</v>
          </cell>
          <cell r="W3271">
            <v>0</v>
          </cell>
          <cell r="X3271">
            <v>0</v>
          </cell>
          <cell r="Y3271">
            <v>0</v>
          </cell>
        </row>
        <row r="3272">
          <cell r="D3272">
            <v>302332</v>
          </cell>
          <cell r="E3272" t="str">
            <v>Regional Science High School for Region VI</v>
          </cell>
          <cell r="F3272">
            <v>1</v>
          </cell>
          <cell r="G3272">
            <v>1</v>
          </cell>
          <cell r="H3272">
            <v>1</v>
          </cell>
          <cell r="I3272">
            <v>0</v>
          </cell>
          <cell r="J3272">
            <v>0</v>
          </cell>
          <cell r="K3272">
            <v>1</v>
          </cell>
          <cell r="L3272">
            <v>0</v>
          </cell>
          <cell r="M3272">
            <v>0</v>
          </cell>
          <cell r="N3272">
            <v>1</v>
          </cell>
          <cell r="O3272">
            <v>43607</v>
          </cell>
          <cell r="P3272">
            <v>43625</v>
          </cell>
          <cell r="Q3272">
            <v>0</v>
          </cell>
          <cell r="R3272">
            <v>1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</row>
        <row r="3273">
          <cell r="D3273">
            <v>311029</v>
          </cell>
          <cell r="E3273" t="str">
            <v>Dagami National High School</v>
          </cell>
          <cell r="F3273">
            <v>1</v>
          </cell>
          <cell r="G3273">
            <v>1</v>
          </cell>
          <cell r="H3273">
            <v>1</v>
          </cell>
          <cell r="I3273">
            <v>0</v>
          </cell>
          <cell r="J3273">
            <v>1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43637</v>
          </cell>
          <cell r="P3273">
            <v>43766</v>
          </cell>
          <cell r="Q3273">
            <v>1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1</v>
          </cell>
          <cell r="W3273">
            <v>0</v>
          </cell>
          <cell r="X3273">
            <v>0</v>
          </cell>
          <cell r="Y3273">
            <v>0</v>
          </cell>
        </row>
        <row r="3274">
          <cell r="D3274">
            <v>302420</v>
          </cell>
          <cell r="E3274" t="str">
            <v>Pontevedra NHS</v>
          </cell>
          <cell r="F3274">
            <v>1</v>
          </cell>
          <cell r="G3274">
            <v>1</v>
          </cell>
          <cell r="H3274">
            <v>1</v>
          </cell>
          <cell r="I3274">
            <v>0</v>
          </cell>
          <cell r="J3274">
            <v>1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</row>
        <row r="3275">
          <cell r="D3275">
            <v>302352</v>
          </cell>
          <cell r="E3275" t="str">
            <v>Concepcion L. Cazenas MS</v>
          </cell>
          <cell r="F3275">
            <v>1</v>
          </cell>
          <cell r="G3275">
            <v>1</v>
          </cell>
          <cell r="H3275">
            <v>1</v>
          </cell>
          <cell r="I3275">
            <v>1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1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1</v>
          </cell>
          <cell r="T3275">
            <v>0</v>
          </cell>
          <cell r="U3275">
            <v>0</v>
          </cell>
          <cell r="V3275">
            <v>1</v>
          </cell>
          <cell r="W3275">
            <v>0</v>
          </cell>
          <cell r="X3275">
            <v>0</v>
          </cell>
          <cell r="Y3275">
            <v>0</v>
          </cell>
        </row>
        <row r="3276">
          <cell r="D3276">
            <v>302330</v>
          </cell>
          <cell r="E3276" t="str">
            <v>Ibajay NHS</v>
          </cell>
          <cell r="F3276">
            <v>1</v>
          </cell>
          <cell r="G3276">
            <v>0</v>
          </cell>
          <cell r="H3276">
            <v>1</v>
          </cell>
          <cell r="I3276">
            <v>0</v>
          </cell>
          <cell r="J3276">
            <v>0</v>
          </cell>
          <cell r="K3276">
            <v>1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</row>
        <row r="3277">
          <cell r="D3277">
            <v>302323</v>
          </cell>
          <cell r="E3277" t="str">
            <v>Gaudencio L. Vega NHS (Nalook NHS)</v>
          </cell>
          <cell r="F3277">
            <v>1</v>
          </cell>
          <cell r="G3277">
            <v>1</v>
          </cell>
          <cell r="H3277">
            <v>1</v>
          </cell>
          <cell r="I3277">
            <v>1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1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1</v>
          </cell>
          <cell r="U3277" t="str">
            <v>Weekly</v>
          </cell>
          <cell r="V3277">
            <v>1</v>
          </cell>
          <cell r="W3277">
            <v>0</v>
          </cell>
          <cell r="X3277">
            <v>0</v>
          </cell>
          <cell r="Y3277">
            <v>0</v>
          </cell>
        </row>
        <row r="3278">
          <cell r="D3278">
            <v>302502</v>
          </cell>
          <cell r="E3278" t="str">
            <v>GEN. LUNA NHS</v>
          </cell>
          <cell r="F3278">
            <v>1</v>
          </cell>
          <cell r="G3278">
            <v>0</v>
          </cell>
          <cell r="H3278">
            <v>1</v>
          </cell>
          <cell r="I3278">
            <v>0</v>
          </cell>
          <cell r="J3278">
            <v>0</v>
          </cell>
          <cell r="K3278">
            <v>1</v>
          </cell>
          <cell r="L3278">
            <v>0</v>
          </cell>
          <cell r="M3278">
            <v>0</v>
          </cell>
          <cell r="N3278">
            <v>1</v>
          </cell>
          <cell r="O3278">
            <v>43665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</row>
        <row r="3279">
          <cell r="D3279">
            <v>302722</v>
          </cell>
          <cell r="E3279" t="str">
            <v>Ramon Torres Malingin NHS</v>
          </cell>
          <cell r="F3279">
            <v>1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</row>
        <row r="3280">
          <cell r="D3280">
            <v>302458</v>
          </cell>
          <cell r="E3280" t="str">
            <v>Barotac Viejo National High School</v>
          </cell>
          <cell r="F3280">
            <v>1</v>
          </cell>
          <cell r="G3280">
            <v>1</v>
          </cell>
          <cell r="H3280">
            <v>1</v>
          </cell>
          <cell r="I3280">
            <v>1</v>
          </cell>
          <cell r="J3280">
            <v>0</v>
          </cell>
          <cell r="K3280">
            <v>0</v>
          </cell>
          <cell r="L3280">
            <v>1</v>
          </cell>
          <cell r="M3280" t="str">
            <v>IF NEEDED</v>
          </cell>
          <cell r="N3280">
            <v>1</v>
          </cell>
          <cell r="O3280" t="str">
            <v>August, 2019</v>
          </cell>
          <cell r="P3280">
            <v>43734</v>
          </cell>
          <cell r="Q3280">
            <v>1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1</v>
          </cell>
          <cell r="W3280">
            <v>4</v>
          </cell>
          <cell r="X3280">
            <v>0</v>
          </cell>
          <cell r="Y3280">
            <v>0</v>
          </cell>
        </row>
        <row r="3281">
          <cell r="D3281">
            <v>302423</v>
          </cell>
          <cell r="E3281" t="str">
            <v>San Nicolas NHS (Tapaz)</v>
          </cell>
          <cell r="F3281">
            <v>1</v>
          </cell>
          <cell r="G3281">
            <v>0</v>
          </cell>
          <cell r="H3281">
            <v>1</v>
          </cell>
          <cell r="I3281">
            <v>0</v>
          </cell>
          <cell r="J3281">
            <v>1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 t="str">
            <v>N/A</v>
          </cell>
          <cell r="Q3281">
            <v>0</v>
          </cell>
          <cell r="R3281">
            <v>1</v>
          </cell>
          <cell r="S3281">
            <v>0</v>
          </cell>
          <cell r="T3281">
            <v>0</v>
          </cell>
          <cell r="U3281">
            <v>0</v>
          </cell>
          <cell r="V3281">
            <v>1</v>
          </cell>
          <cell r="W3281">
            <v>0</v>
          </cell>
          <cell r="X3281">
            <v>0</v>
          </cell>
          <cell r="Y3281">
            <v>0</v>
          </cell>
        </row>
        <row r="3282">
          <cell r="D3282">
            <v>500643</v>
          </cell>
          <cell r="E3282" t="str">
            <v>San Roque Integrated School</v>
          </cell>
          <cell r="F3282">
            <v>1</v>
          </cell>
          <cell r="G3282">
            <v>1</v>
          </cell>
          <cell r="H3282">
            <v>1</v>
          </cell>
          <cell r="I3282">
            <v>0</v>
          </cell>
          <cell r="J3282">
            <v>0</v>
          </cell>
          <cell r="K3282">
            <v>1</v>
          </cell>
          <cell r="L3282">
            <v>0</v>
          </cell>
          <cell r="M3282">
            <v>0</v>
          </cell>
          <cell r="N3282">
            <v>1</v>
          </cell>
          <cell r="O3282">
            <v>43618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1</v>
          </cell>
          <cell r="U3282" t="str">
            <v>not monitored</v>
          </cell>
          <cell r="V3282">
            <v>0</v>
          </cell>
          <cell r="W3282">
            <v>2</v>
          </cell>
          <cell r="X3282">
            <v>0</v>
          </cell>
          <cell r="Y3282">
            <v>0</v>
          </cell>
        </row>
        <row r="3283">
          <cell r="D3283">
            <v>310813</v>
          </cell>
          <cell r="E3283" t="str">
            <v>Mambusao East NHS (ext. of David Moises)</v>
          </cell>
          <cell r="F3283">
            <v>1</v>
          </cell>
          <cell r="G3283">
            <v>1</v>
          </cell>
          <cell r="H3283">
            <v>1</v>
          </cell>
          <cell r="I3283">
            <v>0</v>
          </cell>
          <cell r="J3283">
            <v>1</v>
          </cell>
          <cell r="K3283">
            <v>0</v>
          </cell>
          <cell r="L3283">
            <v>0</v>
          </cell>
          <cell r="M3283">
            <v>0</v>
          </cell>
          <cell r="N3283">
            <v>1</v>
          </cell>
          <cell r="O3283">
            <v>0</v>
          </cell>
          <cell r="P3283" t="str">
            <v>n/a</v>
          </cell>
          <cell r="Q3283">
            <v>0</v>
          </cell>
          <cell r="R3283">
            <v>1</v>
          </cell>
          <cell r="S3283">
            <v>0</v>
          </cell>
          <cell r="T3283">
            <v>0</v>
          </cell>
          <cell r="U3283">
            <v>0</v>
          </cell>
          <cell r="V3283">
            <v>1</v>
          </cell>
          <cell r="W3283">
            <v>0</v>
          </cell>
          <cell r="X3283">
            <v>0</v>
          </cell>
          <cell r="Y3283">
            <v>0</v>
          </cell>
        </row>
        <row r="3284">
          <cell r="D3284">
            <v>302385</v>
          </cell>
          <cell r="E3284" t="str">
            <v>Arturo Jugo NHS</v>
          </cell>
          <cell r="F3284">
            <v>1</v>
          </cell>
          <cell r="G3284">
            <v>1</v>
          </cell>
          <cell r="H3284">
            <v>1</v>
          </cell>
          <cell r="I3284">
            <v>0</v>
          </cell>
          <cell r="J3284">
            <v>1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 t="str">
            <v>None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</row>
        <row r="3285">
          <cell r="D3285">
            <v>302459</v>
          </cell>
          <cell r="E3285" t="str">
            <v>Barroc NHS</v>
          </cell>
          <cell r="F3285">
            <v>1</v>
          </cell>
          <cell r="G3285">
            <v>1</v>
          </cell>
          <cell r="H3285">
            <v>1</v>
          </cell>
          <cell r="I3285">
            <v>0</v>
          </cell>
          <cell r="J3285">
            <v>0</v>
          </cell>
          <cell r="K3285">
            <v>1</v>
          </cell>
          <cell r="L3285">
            <v>0</v>
          </cell>
          <cell r="M3285">
            <v>0</v>
          </cell>
          <cell r="N3285">
            <v>1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1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</row>
        <row r="3286">
          <cell r="D3286">
            <v>302599</v>
          </cell>
          <cell r="E3286" t="str">
            <v>Bulwangan NHS</v>
          </cell>
          <cell r="F3286">
            <v>1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1</v>
          </cell>
          <cell r="M3286" t="str">
            <v>N/A</v>
          </cell>
          <cell r="N3286">
            <v>0</v>
          </cell>
          <cell r="O3286" t="str">
            <v>N/A</v>
          </cell>
          <cell r="P3286" t="str">
            <v>N/A</v>
          </cell>
          <cell r="Q3286">
            <v>0</v>
          </cell>
          <cell r="R3286">
            <v>0</v>
          </cell>
          <cell r="S3286">
            <v>0</v>
          </cell>
          <cell r="T3286">
            <v>1</v>
          </cell>
          <cell r="U3286" t="str">
            <v>N/A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</row>
        <row r="3287">
          <cell r="D3287">
            <v>302598</v>
          </cell>
          <cell r="E3287" t="str">
            <v>Bulata NHS</v>
          </cell>
          <cell r="F3287">
            <v>0</v>
          </cell>
          <cell r="G3287">
            <v>0</v>
          </cell>
          <cell r="H3287">
            <v>1</v>
          </cell>
          <cell r="I3287">
            <v>0</v>
          </cell>
          <cell r="J3287">
            <v>0</v>
          </cell>
          <cell r="K3287">
            <v>0</v>
          </cell>
          <cell r="L3287">
            <v>1</v>
          </cell>
          <cell r="M3287" t="str">
            <v>OCCASIONALLY</v>
          </cell>
          <cell r="N3287">
            <v>1</v>
          </cell>
          <cell r="O3287">
            <v>43635</v>
          </cell>
          <cell r="P3287">
            <v>43696</v>
          </cell>
          <cell r="Q3287">
            <v>0</v>
          </cell>
          <cell r="R3287">
            <v>0</v>
          </cell>
          <cell r="S3287">
            <v>1</v>
          </cell>
          <cell r="T3287">
            <v>1</v>
          </cell>
          <cell r="U3287" t="str">
            <v>OCCASIONALLY</v>
          </cell>
          <cell r="V3287">
            <v>1</v>
          </cell>
          <cell r="W3287">
            <v>0</v>
          </cell>
          <cell r="X3287">
            <v>0</v>
          </cell>
          <cell r="Y3287">
            <v>0</v>
          </cell>
        </row>
        <row r="3288">
          <cell r="D3288">
            <v>302441</v>
          </cell>
          <cell r="E3288" t="str">
            <v>Abangay National High School</v>
          </cell>
          <cell r="F3288">
            <v>1</v>
          </cell>
          <cell r="G3288">
            <v>1</v>
          </cell>
          <cell r="H3288">
            <v>1</v>
          </cell>
          <cell r="I3288">
            <v>0</v>
          </cell>
          <cell r="J3288">
            <v>1</v>
          </cell>
          <cell r="K3288">
            <v>0</v>
          </cell>
          <cell r="L3288">
            <v>0</v>
          </cell>
          <cell r="M3288">
            <v>0</v>
          </cell>
          <cell r="N3288">
            <v>1</v>
          </cell>
          <cell r="O3288">
            <v>43132</v>
          </cell>
          <cell r="P3288">
            <v>43132</v>
          </cell>
          <cell r="Q3288">
            <v>1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1</v>
          </cell>
          <cell r="W3288">
            <v>0</v>
          </cell>
          <cell r="X3288">
            <v>0</v>
          </cell>
          <cell r="Y3288">
            <v>0</v>
          </cell>
        </row>
        <row r="3289">
          <cell r="D3289">
            <v>302445</v>
          </cell>
          <cell r="E3289" t="str">
            <v>Alejandro Firmeza MNHS</v>
          </cell>
          <cell r="F3289">
            <v>1</v>
          </cell>
          <cell r="G3289">
            <v>1</v>
          </cell>
          <cell r="H3289">
            <v>1</v>
          </cell>
          <cell r="I3289">
            <v>0</v>
          </cell>
          <cell r="J3289">
            <v>0</v>
          </cell>
          <cell r="K3289">
            <v>1</v>
          </cell>
          <cell r="L3289">
            <v>0</v>
          </cell>
          <cell r="M3289">
            <v>0</v>
          </cell>
          <cell r="N3289">
            <v>1</v>
          </cell>
          <cell r="O3289" t="str">
            <v>6/26/2019</v>
          </cell>
          <cell r="P3289" t="str">
            <v>6/26/2019</v>
          </cell>
          <cell r="Q3289">
            <v>1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1</v>
          </cell>
          <cell r="W3289">
            <v>0</v>
          </cell>
          <cell r="X3289">
            <v>0</v>
          </cell>
          <cell r="Y3289">
            <v>0</v>
          </cell>
        </row>
        <row r="3290">
          <cell r="D3290">
            <v>311010</v>
          </cell>
          <cell r="E3290" t="str">
            <v>San Jose NHS</v>
          </cell>
          <cell r="F3290">
            <v>1</v>
          </cell>
          <cell r="G3290">
            <v>1</v>
          </cell>
          <cell r="H3290">
            <v>1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1</v>
          </cell>
          <cell r="O3290" t="str">
            <v>June 15,2019</v>
          </cell>
          <cell r="P3290" t="str">
            <v>June 15,2019</v>
          </cell>
          <cell r="Q3290">
            <v>1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1</v>
          </cell>
          <cell r="W3290">
            <v>0</v>
          </cell>
          <cell r="X3290">
            <v>0</v>
          </cell>
          <cell r="Y3290">
            <v>0</v>
          </cell>
        </row>
        <row r="3291">
          <cell r="D3291">
            <v>302674</v>
          </cell>
          <cell r="E3291" t="str">
            <v>Esteban Jalandoni Mem. NHS (Baga-as NHS)</v>
          </cell>
          <cell r="F3291">
            <v>1</v>
          </cell>
          <cell r="G3291">
            <v>1</v>
          </cell>
          <cell r="H3291">
            <v>1</v>
          </cell>
          <cell r="I3291">
            <v>0</v>
          </cell>
          <cell r="J3291">
            <v>1</v>
          </cell>
          <cell r="K3291">
            <v>0</v>
          </cell>
          <cell r="L3291">
            <v>0</v>
          </cell>
          <cell r="M3291">
            <v>0</v>
          </cell>
          <cell r="N3291">
            <v>1</v>
          </cell>
          <cell r="O3291" t="str">
            <v>August 1, 2019</v>
          </cell>
          <cell r="P3291" t="str">
            <v>August 2, 2019</v>
          </cell>
          <cell r="Q3291">
            <v>0</v>
          </cell>
          <cell r="R3291">
            <v>1</v>
          </cell>
          <cell r="S3291">
            <v>0</v>
          </cell>
          <cell r="T3291">
            <v>0</v>
          </cell>
          <cell r="U3291">
            <v>0</v>
          </cell>
          <cell r="V3291">
            <v>1</v>
          </cell>
          <cell r="W3291">
            <v>3</v>
          </cell>
          <cell r="X3291">
            <v>0</v>
          </cell>
          <cell r="Y3291">
            <v>0</v>
          </cell>
        </row>
        <row r="3292">
          <cell r="D3292">
            <v>310814</v>
          </cell>
          <cell r="E3292" t="str">
            <v>Presentacion Diez Gregorio NHS</v>
          </cell>
          <cell r="F3292">
            <v>0</v>
          </cell>
          <cell r="G3292">
            <v>0</v>
          </cell>
          <cell r="H3292">
            <v>1</v>
          </cell>
          <cell r="I3292">
            <v>0</v>
          </cell>
          <cell r="J3292">
            <v>0</v>
          </cell>
          <cell r="K3292">
            <v>1</v>
          </cell>
          <cell r="L3292">
            <v>0</v>
          </cell>
          <cell r="M3292">
            <v>0</v>
          </cell>
          <cell r="N3292">
            <v>1</v>
          </cell>
          <cell r="O3292" t="str">
            <v>JUNE 18, 2019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</row>
        <row r="3293">
          <cell r="D3293">
            <v>302428</v>
          </cell>
          <cell r="E3293" t="str">
            <v>Cabalagnan National High School</v>
          </cell>
          <cell r="F3293">
            <v>1</v>
          </cell>
          <cell r="G3293">
            <v>0</v>
          </cell>
          <cell r="H3293">
            <v>1</v>
          </cell>
          <cell r="I3293">
            <v>0</v>
          </cell>
          <cell r="J3293">
            <v>1</v>
          </cell>
          <cell r="K3293">
            <v>0</v>
          </cell>
          <cell r="L3293">
            <v>0</v>
          </cell>
          <cell r="M3293">
            <v>0</v>
          </cell>
          <cell r="N3293">
            <v>1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</row>
        <row r="3294">
          <cell r="D3294">
            <v>302346</v>
          </cell>
          <cell r="E3294" t="str">
            <v>Barbaza NHS</v>
          </cell>
          <cell r="F3294">
            <v>1</v>
          </cell>
          <cell r="G3294">
            <v>1</v>
          </cell>
          <cell r="H3294">
            <v>1</v>
          </cell>
          <cell r="I3294">
            <v>0</v>
          </cell>
          <cell r="J3294">
            <v>1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</row>
        <row r="3295">
          <cell r="D3295">
            <v>302492</v>
          </cell>
          <cell r="E3295" t="str">
            <v>Don B. Jalandoni NHS</v>
          </cell>
          <cell r="F3295">
            <v>1</v>
          </cell>
          <cell r="G3295">
            <v>1</v>
          </cell>
          <cell r="H3295">
            <v>1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 t="str">
            <v>n/a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1</v>
          </cell>
          <cell r="W3295">
            <v>0</v>
          </cell>
          <cell r="X3295">
            <v>0</v>
          </cell>
          <cell r="Y3295">
            <v>0</v>
          </cell>
        </row>
        <row r="3296">
          <cell r="D3296">
            <v>302415</v>
          </cell>
          <cell r="E3296" t="str">
            <v>Luis Escutin NHS</v>
          </cell>
          <cell r="F3296">
            <v>1</v>
          </cell>
          <cell r="G3296">
            <v>1</v>
          </cell>
          <cell r="H3296">
            <v>1</v>
          </cell>
          <cell r="I3296">
            <v>0</v>
          </cell>
          <cell r="J3296">
            <v>1</v>
          </cell>
          <cell r="K3296">
            <v>0</v>
          </cell>
          <cell r="L3296">
            <v>0</v>
          </cell>
          <cell r="M3296">
            <v>0</v>
          </cell>
          <cell r="N3296">
            <v>1</v>
          </cell>
          <cell r="O3296">
            <v>0</v>
          </cell>
          <cell r="P3296" t="str">
            <v>N/A</v>
          </cell>
          <cell r="Q3296">
            <v>0</v>
          </cell>
          <cell r="R3296">
            <v>1</v>
          </cell>
          <cell r="S3296">
            <v>0</v>
          </cell>
          <cell r="T3296">
            <v>0</v>
          </cell>
          <cell r="U3296">
            <v>0</v>
          </cell>
          <cell r="V3296">
            <v>1</v>
          </cell>
          <cell r="W3296">
            <v>0</v>
          </cell>
          <cell r="X3296">
            <v>0</v>
          </cell>
          <cell r="Y3296">
            <v>0</v>
          </cell>
        </row>
        <row r="3297">
          <cell r="D3297">
            <v>302308</v>
          </cell>
          <cell r="E3297" t="str">
            <v>Jose Borromeo Legaspi Memorial National High School</v>
          </cell>
          <cell r="F3297">
            <v>1</v>
          </cell>
          <cell r="G3297">
            <v>1</v>
          </cell>
          <cell r="H3297">
            <v>1</v>
          </cell>
          <cell r="I3297">
            <v>0</v>
          </cell>
          <cell r="J3297">
            <v>1</v>
          </cell>
          <cell r="K3297">
            <v>0</v>
          </cell>
          <cell r="L3297">
            <v>0</v>
          </cell>
          <cell r="M3297">
            <v>0</v>
          </cell>
          <cell r="N3297">
            <v>1</v>
          </cell>
          <cell r="O3297">
            <v>0</v>
          </cell>
          <cell r="P3297">
            <v>0</v>
          </cell>
          <cell r="Q3297">
            <v>0</v>
          </cell>
          <cell r="R3297">
            <v>1</v>
          </cell>
          <cell r="S3297">
            <v>0</v>
          </cell>
          <cell r="T3297">
            <v>0</v>
          </cell>
          <cell r="U3297">
            <v>0</v>
          </cell>
          <cell r="V3297">
            <v>1</v>
          </cell>
          <cell r="W3297">
            <v>3</v>
          </cell>
          <cell r="X3297">
            <v>3</v>
          </cell>
          <cell r="Y3297">
            <v>3</v>
          </cell>
        </row>
        <row r="3298">
          <cell r="D3298">
            <v>500177</v>
          </cell>
          <cell r="E3298" t="str">
            <v>Angas Integrated School</v>
          </cell>
          <cell r="F3298">
            <v>0</v>
          </cell>
          <cell r="G3298">
            <v>0</v>
          </cell>
          <cell r="H3298">
            <v>1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1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1</v>
          </cell>
          <cell r="W3298">
            <v>0</v>
          </cell>
          <cell r="X3298">
            <v>0</v>
          </cell>
          <cell r="Y3298">
            <v>0</v>
          </cell>
        </row>
        <row r="3299">
          <cell r="D3299">
            <v>311027</v>
          </cell>
          <cell r="E3299" t="str">
            <v>SINAMAY NATIONAL HIGH SCHOOL</v>
          </cell>
          <cell r="F3299">
            <v>1</v>
          </cell>
          <cell r="G3299">
            <v>1</v>
          </cell>
          <cell r="H3299">
            <v>1</v>
          </cell>
          <cell r="I3299">
            <v>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1</v>
          </cell>
          <cell r="O3299">
            <v>43629</v>
          </cell>
          <cell r="P3299">
            <v>43754</v>
          </cell>
          <cell r="Q3299">
            <v>1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1</v>
          </cell>
          <cell r="W3299">
            <v>0</v>
          </cell>
          <cell r="X3299">
            <v>0</v>
          </cell>
          <cell r="Y3299">
            <v>0</v>
          </cell>
        </row>
        <row r="3300">
          <cell r="D3300">
            <v>302719</v>
          </cell>
          <cell r="E3300" t="str">
            <v>Ramon Torres NHS</v>
          </cell>
          <cell r="F3300">
            <v>1</v>
          </cell>
          <cell r="G3300">
            <v>1</v>
          </cell>
          <cell r="H3300">
            <v>1</v>
          </cell>
          <cell r="I3300">
            <v>0</v>
          </cell>
          <cell r="J3300">
            <v>1</v>
          </cell>
          <cell r="K3300">
            <v>0</v>
          </cell>
          <cell r="L3300">
            <v>0</v>
          </cell>
          <cell r="M3300">
            <v>0</v>
          </cell>
          <cell r="N3300">
            <v>1</v>
          </cell>
          <cell r="O3300">
            <v>43623</v>
          </cell>
          <cell r="P3300">
            <v>0</v>
          </cell>
          <cell r="Q3300">
            <v>1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1</v>
          </cell>
          <cell r="W3300">
            <v>0</v>
          </cell>
          <cell r="X3300">
            <v>0</v>
          </cell>
          <cell r="Y3300">
            <v>0</v>
          </cell>
        </row>
        <row r="3301">
          <cell r="D3301">
            <v>302479</v>
          </cell>
          <cell r="E3301" t="str">
            <v>CAMANGAHAN NATIONAL HIGH SCHOOL</v>
          </cell>
          <cell r="F3301">
            <v>1</v>
          </cell>
          <cell r="G3301">
            <v>1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</row>
        <row r="3302">
          <cell r="D3302">
            <v>500038</v>
          </cell>
          <cell r="E3302" t="str">
            <v>Himogaan Baybay Integrated School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</row>
        <row r="3303">
          <cell r="D3303">
            <v>311702</v>
          </cell>
          <cell r="E3303" t="str">
            <v>Roxas City School for Philippine Craftsmen</v>
          </cell>
          <cell r="F3303">
            <v>1</v>
          </cell>
          <cell r="G3303">
            <v>1</v>
          </cell>
          <cell r="H3303">
            <v>1</v>
          </cell>
          <cell r="I3303">
            <v>0</v>
          </cell>
          <cell r="J3303">
            <v>1</v>
          </cell>
          <cell r="K3303">
            <v>0</v>
          </cell>
          <cell r="L3303">
            <v>0</v>
          </cell>
          <cell r="M3303">
            <v>0</v>
          </cell>
          <cell r="N3303">
            <v>1</v>
          </cell>
          <cell r="O3303">
            <v>43610</v>
          </cell>
          <cell r="P3303">
            <v>43647</v>
          </cell>
          <cell r="Q3303">
            <v>0</v>
          </cell>
          <cell r="R3303">
            <v>0</v>
          </cell>
          <cell r="S3303">
            <v>0</v>
          </cell>
          <cell r="T3303">
            <v>1</v>
          </cell>
          <cell r="U3303" t="str">
            <v>Weekly</v>
          </cell>
          <cell r="V3303">
            <v>1</v>
          </cell>
          <cell r="W3303">
            <v>2</v>
          </cell>
          <cell r="X3303">
            <v>0</v>
          </cell>
          <cell r="Y3303">
            <v>0</v>
          </cell>
        </row>
        <row r="3304">
          <cell r="D3304">
            <v>302723</v>
          </cell>
          <cell r="E3304" t="str">
            <v>Ramon Torres Sagasa National High School</v>
          </cell>
          <cell r="F3304">
            <v>1</v>
          </cell>
          <cell r="G3304">
            <v>1</v>
          </cell>
          <cell r="H3304">
            <v>1</v>
          </cell>
          <cell r="I3304">
            <v>0</v>
          </cell>
          <cell r="J3304">
            <v>0</v>
          </cell>
          <cell r="K3304">
            <v>1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</row>
        <row r="3305">
          <cell r="D3305">
            <v>302527</v>
          </cell>
          <cell r="E3305" t="str">
            <v>Malusgod NHS</v>
          </cell>
          <cell r="F3305">
            <v>0</v>
          </cell>
          <cell r="G3305">
            <v>0</v>
          </cell>
          <cell r="H3305">
            <v>1</v>
          </cell>
          <cell r="I3305">
            <v>0</v>
          </cell>
          <cell r="J3305">
            <v>1</v>
          </cell>
          <cell r="K3305">
            <v>0</v>
          </cell>
          <cell r="L3305">
            <v>0</v>
          </cell>
          <cell r="M3305">
            <v>0</v>
          </cell>
          <cell r="N3305">
            <v>1</v>
          </cell>
          <cell r="O3305">
            <v>43511</v>
          </cell>
          <cell r="P3305">
            <v>43743</v>
          </cell>
          <cell r="Q3305">
            <v>1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1</v>
          </cell>
          <cell r="W3305">
            <v>5</v>
          </cell>
          <cell r="X3305">
            <v>5</v>
          </cell>
          <cell r="Y3305">
            <v>5</v>
          </cell>
        </row>
        <row r="3306">
          <cell r="D3306">
            <v>302390</v>
          </cell>
          <cell r="E3306" t="str">
            <v>Candelaria NHS</v>
          </cell>
          <cell r="F3306">
            <v>1</v>
          </cell>
          <cell r="G3306">
            <v>0</v>
          </cell>
          <cell r="H3306">
            <v>1</v>
          </cell>
          <cell r="I3306">
            <v>0</v>
          </cell>
          <cell r="J3306">
            <v>0</v>
          </cell>
          <cell r="K3306">
            <v>1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</row>
        <row r="3307">
          <cell r="D3307">
            <v>310701</v>
          </cell>
          <cell r="E3307" t="str">
            <v>Guintas NHS</v>
          </cell>
          <cell r="F3307">
            <v>1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</row>
        <row r="3308">
          <cell r="D3308">
            <v>310812</v>
          </cell>
          <cell r="E3308" t="str">
            <v>Pawa National High School</v>
          </cell>
          <cell r="F3308">
            <v>1</v>
          </cell>
          <cell r="G3308">
            <v>1</v>
          </cell>
          <cell r="H3308">
            <v>1</v>
          </cell>
          <cell r="I3308">
            <v>0</v>
          </cell>
          <cell r="J3308">
            <v>1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1</v>
          </cell>
          <cell r="S3308">
            <v>0</v>
          </cell>
          <cell r="T3308">
            <v>0</v>
          </cell>
          <cell r="U3308">
            <v>0</v>
          </cell>
          <cell r="V3308">
            <v>1</v>
          </cell>
          <cell r="W3308">
            <v>0</v>
          </cell>
          <cell r="X3308">
            <v>0</v>
          </cell>
          <cell r="Y3308">
            <v>0</v>
          </cell>
        </row>
        <row r="3309">
          <cell r="D3309">
            <v>302462</v>
          </cell>
          <cell r="E3309" t="str">
            <v>Bayas National High School</v>
          </cell>
          <cell r="F3309">
            <v>1</v>
          </cell>
          <cell r="G3309">
            <v>0</v>
          </cell>
          <cell r="H3309">
            <v>1</v>
          </cell>
          <cell r="I3309">
            <v>0</v>
          </cell>
          <cell r="J3309">
            <v>0</v>
          </cell>
          <cell r="K3309">
            <v>0</v>
          </cell>
          <cell r="L3309">
            <v>1</v>
          </cell>
          <cell r="M3309" t="str">
            <v>AS NEEDED</v>
          </cell>
          <cell r="N3309">
            <v>0</v>
          </cell>
          <cell r="O3309" t="str">
            <v>N/A</v>
          </cell>
          <cell r="P3309" t="str">
            <v>N/A</v>
          </cell>
          <cell r="Q3309">
            <v>0</v>
          </cell>
          <cell r="R3309">
            <v>0</v>
          </cell>
          <cell r="S3309">
            <v>0</v>
          </cell>
          <cell r="T3309">
            <v>1</v>
          </cell>
          <cell r="U3309" t="str">
            <v>AS NEEDED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</row>
        <row r="3310">
          <cell r="D3310">
            <v>311004</v>
          </cell>
          <cell r="E3310" t="str">
            <v>Santiago NHS</v>
          </cell>
          <cell r="F3310">
            <v>1</v>
          </cell>
          <cell r="G3310">
            <v>1</v>
          </cell>
          <cell r="H3310">
            <v>1</v>
          </cell>
          <cell r="I3310">
            <v>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43133</v>
          </cell>
          <cell r="P3310">
            <v>43133</v>
          </cell>
          <cell r="Q3310">
            <v>1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1</v>
          </cell>
          <cell r="W3310">
            <v>1</v>
          </cell>
          <cell r="X3310">
            <v>0</v>
          </cell>
          <cell r="Y3310">
            <v>0</v>
          </cell>
        </row>
        <row r="3311">
          <cell r="D3311">
            <v>500186</v>
          </cell>
          <cell r="E3311" t="str">
            <v>Pinamuk-an Integrated School</v>
          </cell>
          <cell r="F3311">
            <v>1</v>
          </cell>
          <cell r="G3311">
            <v>1</v>
          </cell>
          <cell r="H3311">
            <v>1</v>
          </cell>
          <cell r="I3311">
            <v>0</v>
          </cell>
          <cell r="J3311">
            <v>1</v>
          </cell>
          <cell r="K3311">
            <v>0</v>
          </cell>
          <cell r="L3311">
            <v>0</v>
          </cell>
          <cell r="M3311">
            <v>0</v>
          </cell>
          <cell r="N3311">
            <v>1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1</v>
          </cell>
          <cell r="W3311">
            <v>0</v>
          </cell>
          <cell r="X3311">
            <v>0</v>
          </cell>
          <cell r="Y3311">
            <v>0</v>
          </cell>
        </row>
        <row r="3312">
          <cell r="D3312">
            <v>302524</v>
          </cell>
          <cell r="E3312" t="str">
            <v>Maasin National Comprehensive High School</v>
          </cell>
          <cell r="F3312">
            <v>1</v>
          </cell>
          <cell r="G3312">
            <v>1</v>
          </cell>
          <cell r="H3312">
            <v>1</v>
          </cell>
          <cell r="I3312">
            <v>0</v>
          </cell>
          <cell r="J3312">
            <v>1</v>
          </cell>
          <cell r="K3312">
            <v>0</v>
          </cell>
          <cell r="L3312">
            <v>0</v>
          </cell>
          <cell r="M3312">
            <v>0</v>
          </cell>
          <cell r="N3312">
            <v>1</v>
          </cell>
          <cell r="O3312">
            <v>43617</v>
          </cell>
          <cell r="P3312">
            <v>43749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1</v>
          </cell>
          <cell r="W3312">
            <v>2</v>
          </cell>
          <cell r="X3312">
            <v>2</v>
          </cell>
          <cell r="Y3312">
            <v>2</v>
          </cell>
        </row>
        <row r="3313">
          <cell r="D3313">
            <v>311014</v>
          </cell>
          <cell r="E3313" t="str">
            <v>Hda. Conchita NHS</v>
          </cell>
          <cell r="F3313">
            <v>1</v>
          </cell>
          <cell r="G3313">
            <v>1</v>
          </cell>
          <cell r="H3313">
            <v>0</v>
          </cell>
          <cell r="I3313">
            <v>0</v>
          </cell>
          <cell r="J3313">
            <v>1</v>
          </cell>
          <cell r="K3313">
            <v>0</v>
          </cell>
          <cell r="L3313">
            <v>0</v>
          </cell>
          <cell r="M3313">
            <v>0</v>
          </cell>
          <cell r="N3313">
            <v>1</v>
          </cell>
          <cell r="O3313" t="str">
            <v>10/23/2019</v>
          </cell>
          <cell r="P3313" t="str">
            <v>10/23/2019</v>
          </cell>
          <cell r="Q3313">
            <v>1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1</v>
          </cell>
          <cell r="W3313">
            <v>0</v>
          </cell>
          <cell r="X3313">
            <v>0</v>
          </cell>
          <cell r="Y3313">
            <v>0</v>
          </cell>
        </row>
        <row r="3314">
          <cell r="D3314">
            <v>302515</v>
          </cell>
          <cell r="E3314" t="str">
            <v>Kirayan NHS</v>
          </cell>
          <cell r="F3314">
            <v>1</v>
          </cell>
          <cell r="G3314">
            <v>1</v>
          </cell>
          <cell r="H3314">
            <v>1</v>
          </cell>
          <cell r="I3314">
            <v>0</v>
          </cell>
          <cell r="J3314">
            <v>0</v>
          </cell>
          <cell r="K3314">
            <v>1</v>
          </cell>
          <cell r="L3314">
            <v>0</v>
          </cell>
          <cell r="M3314">
            <v>0</v>
          </cell>
          <cell r="N3314">
            <v>1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1</v>
          </cell>
          <cell r="W3314">
            <v>0</v>
          </cell>
          <cell r="X3314">
            <v>0</v>
          </cell>
          <cell r="Y3314">
            <v>0</v>
          </cell>
        </row>
        <row r="3315">
          <cell r="D3315">
            <v>501116</v>
          </cell>
          <cell r="E3315" t="str">
            <v>Olotayan Integrated school</v>
          </cell>
          <cell r="F3315">
            <v>1</v>
          </cell>
          <cell r="G3315">
            <v>1</v>
          </cell>
          <cell r="H3315">
            <v>1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1</v>
          </cell>
          <cell r="O3315">
            <v>0</v>
          </cell>
          <cell r="P3315">
            <v>0</v>
          </cell>
          <cell r="Q3315">
            <v>1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1</v>
          </cell>
          <cell r="W3315">
            <v>0</v>
          </cell>
          <cell r="X3315">
            <v>0</v>
          </cell>
          <cell r="Y3315">
            <v>0</v>
          </cell>
        </row>
        <row r="3316">
          <cell r="D3316">
            <v>361021</v>
          </cell>
          <cell r="E3316" t="str">
            <v>Bago City Senior High School</v>
          </cell>
          <cell r="F3316">
            <v>1</v>
          </cell>
          <cell r="G3316">
            <v>1</v>
          </cell>
          <cell r="H3316">
            <v>1</v>
          </cell>
          <cell r="I3316">
            <v>0</v>
          </cell>
          <cell r="J3316">
            <v>1</v>
          </cell>
          <cell r="K3316">
            <v>0</v>
          </cell>
          <cell r="L3316">
            <v>0</v>
          </cell>
          <cell r="M3316">
            <v>0</v>
          </cell>
          <cell r="N3316">
            <v>1</v>
          </cell>
          <cell r="O3316">
            <v>0</v>
          </cell>
          <cell r="P3316">
            <v>0</v>
          </cell>
          <cell r="Q3316">
            <v>0</v>
          </cell>
          <cell r="R3316">
            <v>1</v>
          </cell>
          <cell r="S3316">
            <v>0</v>
          </cell>
          <cell r="T3316">
            <v>0</v>
          </cell>
          <cell r="U3316">
            <v>0</v>
          </cell>
          <cell r="V3316">
            <v>1</v>
          </cell>
          <cell r="W3316">
            <v>0</v>
          </cell>
          <cell r="X3316">
            <v>0</v>
          </cell>
          <cell r="Y3316">
            <v>0</v>
          </cell>
        </row>
        <row r="3317">
          <cell r="D3317">
            <v>302338</v>
          </cell>
          <cell r="E3317" t="str">
            <v>Torralba NHS</v>
          </cell>
          <cell r="F3317">
            <v>1</v>
          </cell>
          <cell r="G3317">
            <v>1</v>
          </cell>
          <cell r="H3317">
            <v>1</v>
          </cell>
          <cell r="I3317">
            <v>0</v>
          </cell>
          <cell r="J3317">
            <v>0</v>
          </cell>
          <cell r="K3317">
            <v>1</v>
          </cell>
          <cell r="L3317">
            <v>1</v>
          </cell>
          <cell r="M3317">
            <v>0</v>
          </cell>
          <cell r="N3317">
            <v>1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1</v>
          </cell>
          <cell r="U3317" t="str">
            <v>S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</row>
        <row r="3318">
          <cell r="D3318">
            <v>302742</v>
          </cell>
          <cell r="E3318" t="str">
            <v>Jalandoni Memorial National High School</v>
          </cell>
          <cell r="F3318">
            <v>1</v>
          </cell>
          <cell r="G3318">
            <v>0</v>
          </cell>
          <cell r="H3318">
            <v>1</v>
          </cell>
          <cell r="I3318">
            <v>0</v>
          </cell>
          <cell r="J3318">
            <v>1</v>
          </cell>
          <cell r="K3318">
            <v>0</v>
          </cell>
          <cell r="L3318">
            <v>1</v>
          </cell>
          <cell r="M3318" t="str">
            <v>n/a</v>
          </cell>
          <cell r="N3318">
            <v>0</v>
          </cell>
          <cell r="O3318" t="str">
            <v>not yet</v>
          </cell>
          <cell r="P3318" t="str">
            <v xml:space="preserve">Last Year </v>
          </cell>
          <cell r="Q3318">
            <v>0</v>
          </cell>
          <cell r="R3318">
            <v>0</v>
          </cell>
          <cell r="S3318">
            <v>1</v>
          </cell>
          <cell r="T3318">
            <v>1</v>
          </cell>
          <cell r="U3318" t="str">
            <v>n/a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</row>
        <row r="3319">
          <cell r="D3319">
            <v>302412</v>
          </cell>
          <cell r="E3319" t="str">
            <v>East Villaflores NHS</v>
          </cell>
          <cell r="F3319">
            <v>1</v>
          </cell>
          <cell r="G3319">
            <v>0</v>
          </cell>
          <cell r="H3319">
            <v>1</v>
          </cell>
          <cell r="I3319">
            <v>0</v>
          </cell>
          <cell r="J3319">
            <v>1</v>
          </cell>
          <cell r="K3319">
            <v>0</v>
          </cell>
          <cell r="L3319">
            <v>0</v>
          </cell>
          <cell r="M3319">
            <v>0</v>
          </cell>
          <cell r="N3319">
            <v>1</v>
          </cell>
          <cell r="O3319" t="str">
            <v>7/19/2019</v>
          </cell>
          <cell r="P3319" t="str">
            <v>7/19/2019</v>
          </cell>
          <cell r="Q3319">
            <v>0</v>
          </cell>
          <cell r="R3319">
            <v>1</v>
          </cell>
          <cell r="S3319">
            <v>0</v>
          </cell>
          <cell r="T3319">
            <v>0</v>
          </cell>
          <cell r="U3319">
            <v>0</v>
          </cell>
          <cell r="V3319">
            <v>1</v>
          </cell>
          <cell r="W3319">
            <v>2</v>
          </cell>
          <cell r="X3319">
            <v>2</v>
          </cell>
          <cell r="Y3319">
            <v>2</v>
          </cell>
        </row>
        <row r="3320">
          <cell r="D3320">
            <v>302371</v>
          </cell>
          <cell r="E3320" t="str">
            <v>Pascual M. Osuyos Memorial High School</v>
          </cell>
          <cell r="F3320">
            <v>1</v>
          </cell>
          <cell r="G3320">
            <v>1</v>
          </cell>
          <cell r="H3320">
            <v>1</v>
          </cell>
          <cell r="I3320">
            <v>0</v>
          </cell>
          <cell r="J3320">
            <v>0</v>
          </cell>
          <cell r="K3320">
            <v>1</v>
          </cell>
          <cell r="L3320">
            <v>0</v>
          </cell>
          <cell r="M3320">
            <v>0</v>
          </cell>
          <cell r="N3320">
            <v>1</v>
          </cell>
          <cell r="O3320">
            <v>43269</v>
          </cell>
          <cell r="P3320" t="str">
            <v>06/18/2019</v>
          </cell>
          <cell r="Q3320">
            <v>0</v>
          </cell>
          <cell r="R3320">
            <v>0</v>
          </cell>
          <cell r="S3320">
            <v>1</v>
          </cell>
          <cell r="T3320">
            <v>0</v>
          </cell>
          <cell r="U3320">
            <v>0</v>
          </cell>
          <cell r="V3320">
            <v>1</v>
          </cell>
          <cell r="W3320">
            <v>0</v>
          </cell>
          <cell r="X3320">
            <v>0</v>
          </cell>
          <cell r="Y3320">
            <v>0</v>
          </cell>
        </row>
        <row r="3321">
          <cell r="D3321">
            <v>302351</v>
          </cell>
          <cell r="E3321" t="str">
            <v>Col. Ruperto Abellon NHS</v>
          </cell>
          <cell r="F3321">
            <v>1</v>
          </cell>
          <cell r="G3321">
            <v>1</v>
          </cell>
          <cell r="H3321">
            <v>0</v>
          </cell>
          <cell r="I3321">
            <v>0</v>
          </cell>
          <cell r="J3321">
            <v>0</v>
          </cell>
          <cell r="K3321">
            <v>1</v>
          </cell>
          <cell r="L3321">
            <v>0</v>
          </cell>
          <cell r="M3321">
            <v>0</v>
          </cell>
          <cell r="N3321">
            <v>1</v>
          </cell>
          <cell r="O3321">
            <v>43761</v>
          </cell>
          <cell r="P3321">
            <v>43760</v>
          </cell>
          <cell r="Q3321">
            <v>0</v>
          </cell>
          <cell r="R3321">
            <v>0</v>
          </cell>
          <cell r="S3321">
            <v>1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</row>
        <row r="3322">
          <cell r="D3322">
            <v>302374</v>
          </cell>
          <cell r="E3322" t="str">
            <v>San Antonio National High School</v>
          </cell>
          <cell r="F3322">
            <v>0</v>
          </cell>
          <cell r="G3322">
            <v>0</v>
          </cell>
          <cell r="H3322">
            <v>1</v>
          </cell>
          <cell r="I3322">
            <v>0</v>
          </cell>
          <cell r="J3322">
            <v>1</v>
          </cell>
          <cell r="K3322">
            <v>0</v>
          </cell>
          <cell r="L3322">
            <v>0</v>
          </cell>
          <cell r="M3322">
            <v>0</v>
          </cell>
          <cell r="N3322">
            <v>1</v>
          </cell>
          <cell r="O3322" t="str">
            <v>20/25/2019</v>
          </cell>
          <cell r="P3322" t="str">
            <v>n/a</v>
          </cell>
          <cell r="Q3322">
            <v>0</v>
          </cell>
          <cell r="R3322">
            <v>1</v>
          </cell>
          <cell r="S3322">
            <v>0</v>
          </cell>
          <cell r="T3322">
            <v>0</v>
          </cell>
          <cell r="U3322">
            <v>0</v>
          </cell>
          <cell r="V3322">
            <v>1</v>
          </cell>
          <cell r="W3322">
            <v>0</v>
          </cell>
          <cell r="X3322">
            <v>0</v>
          </cell>
          <cell r="Y3322">
            <v>0</v>
          </cell>
        </row>
        <row r="3323">
          <cell r="D3323">
            <v>302430</v>
          </cell>
          <cell r="E3323" t="str">
            <v>East Valencia National High School</v>
          </cell>
          <cell r="F3323">
            <v>1</v>
          </cell>
          <cell r="G3323">
            <v>1</v>
          </cell>
          <cell r="H3323">
            <v>1</v>
          </cell>
          <cell r="I3323">
            <v>0</v>
          </cell>
          <cell r="J3323">
            <v>1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1</v>
          </cell>
          <cell r="W3323">
            <v>0</v>
          </cell>
          <cell r="X3323">
            <v>0</v>
          </cell>
          <cell r="Y3323">
            <v>0</v>
          </cell>
        </row>
        <row r="3324">
          <cell r="D3324">
            <v>302503</v>
          </cell>
          <cell r="E3324" t="str">
            <v>Gines National High School</v>
          </cell>
          <cell r="F3324">
            <v>1</v>
          </cell>
          <cell r="G3324">
            <v>1</v>
          </cell>
          <cell r="H3324">
            <v>1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1</v>
          </cell>
          <cell r="O3324">
            <v>0</v>
          </cell>
          <cell r="P3324" t="str">
            <v>10/29/2019</v>
          </cell>
          <cell r="Q3324">
            <v>0</v>
          </cell>
          <cell r="R3324">
            <v>1</v>
          </cell>
          <cell r="S3324">
            <v>0</v>
          </cell>
          <cell r="T3324">
            <v>0</v>
          </cell>
          <cell r="U3324">
            <v>0</v>
          </cell>
          <cell r="V3324">
            <v>1</v>
          </cell>
          <cell r="W3324">
            <v>1</v>
          </cell>
          <cell r="X3324">
            <v>1</v>
          </cell>
          <cell r="Y3324">
            <v>1</v>
          </cell>
        </row>
        <row r="3325">
          <cell r="D3325">
            <v>302721</v>
          </cell>
          <cell r="E3325" t="str">
            <v>Ramon Torres Ma-ao Sugar Central NHS</v>
          </cell>
          <cell r="F3325">
            <v>1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</row>
        <row r="3326">
          <cell r="D3326">
            <v>302724</v>
          </cell>
          <cell r="E3326" t="str">
            <v>Ramon Torres Louisiana NHS</v>
          </cell>
          <cell r="F3326">
            <v>1</v>
          </cell>
          <cell r="G3326">
            <v>1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</row>
        <row r="3327">
          <cell r="D3327">
            <v>302311</v>
          </cell>
          <cell r="E3327" t="str">
            <v>Guadalupe NHS</v>
          </cell>
          <cell r="F3327">
            <v>1</v>
          </cell>
          <cell r="G3327">
            <v>1</v>
          </cell>
          <cell r="H3327">
            <v>1</v>
          </cell>
          <cell r="I3327">
            <v>0</v>
          </cell>
          <cell r="J3327">
            <v>1</v>
          </cell>
          <cell r="K3327">
            <v>0</v>
          </cell>
          <cell r="L3327">
            <v>0</v>
          </cell>
          <cell r="M3327">
            <v>0</v>
          </cell>
          <cell r="N3327">
            <v>1</v>
          </cell>
          <cell r="O3327" t="str">
            <v>06/17/2019</v>
          </cell>
          <cell r="P3327">
            <v>0</v>
          </cell>
          <cell r="Q3327">
            <v>1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1</v>
          </cell>
          <cell r="W3327">
            <v>0</v>
          </cell>
          <cell r="X3327">
            <v>0</v>
          </cell>
          <cell r="Y3327">
            <v>0</v>
          </cell>
        </row>
        <row r="3328">
          <cell r="D3328">
            <v>302301</v>
          </cell>
          <cell r="E3328" t="str">
            <v>Camanci National High School</v>
          </cell>
          <cell r="F3328">
            <v>1</v>
          </cell>
          <cell r="G3328">
            <v>1</v>
          </cell>
          <cell r="H3328">
            <v>1</v>
          </cell>
          <cell r="I3328">
            <v>0</v>
          </cell>
          <cell r="J3328">
            <v>0</v>
          </cell>
          <cell r="K3328">
            <v>1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 t="str">
            <v>06/03/2019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</row>
        <row r="3329">
          <cell r="D3329">
            <v>500188</v>
          </cell>
          <cell r="E3329" t="str">
            <v>STO. NIÑO INTEGRATED SCHOOL</v>
          </cell>
          <cell r="F3329">
            <v>0</v>
          </cell>
          <cell r="G3329">
            <v>0</v>
          </cell>
          <cell r="H3329">
            <v>1</v>
          </cell>
          <cell r="I3329">
            <v>0</v>
          </cell>
          <cell r="J3329">
            <v>1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</row>
        <row r="3330">
          <cell r="D3330">
            <v>302379</v>
          </cell>
          <cell r="E3330" t="str">
            <v>Southern Bugasong NHS</v>
          </cell>
          <cell r="F3330">
            <v>1</v>
          </cell>
          <cell r="G3330">
            <v>1</v>
          </cell>
          <cell r="H3330">
            <v>1</v>
          </cell>
          <cell r="I3330">
            <v>0</v>
          </cell>
          <cell r="J3330">
            <v>1</v>
          </cell>
          <cell r="K3330">
            <v>0</v>
          </cell>
          <cell r="L3330">
            <v>0</v>
          </cell>
          <cell r="M3330">
            <v>0</v>
          </cell>
          <cell r="N3330">
            <v>1</v>
          </cell>
          <cell r="O3330">
            <v>0</v>
          </cell>
          <cell r="P3330" t="str">
            <v>n/a</v>
          </cell>
          <cell r="Q3330">
            <v>0</v>
          </cell>
          <cell r="R3330">
            <v>1</v>
          </cell>
          <cell r="S3330">
            <v>0</v>
          </cell>
          <cell r="T3330">
            <v>0</v>
          </cell>
          <cell r="U3330">
            <v>0</v>
          </cell>
          <cell r="V3330">
            <v>1</v>
          </cell>
          <cell r="W3330">
            <v>2</v>
          </cell>
          <cell r="X3330">
            <v>0</v>
          </cell>
          <cell r="Y3330">
            <v>0</v>
          </cell>
        </row>
        <row r="3331">
          <cell r="D3331">
            <v>302779</v>
          </cell>
          <cell r="E3331" t="str">
            <v>Don Felix T. Lacson Memorial National High School</v>
          </cell>
          <cell r="F3331">
            <v>1</v>
          </cell>
          <cell r="G3331">
            <v>0</v>
          </cell>
          <cell r="H3331">
            <v>1</v>
          </cell>
          <cell r="I3331">
            <v>0</v>
          </cell>
          <cell r="J3331">
            <v>1</v>
          </cell>
          <cell r="K3331">
            <v>0</v>
          </cell>
          <cell r="L3331">
            <v>0</v>
          </cell>
          <cell r="M3331">
            <v>0</v>
          </cell>
          <cell r="N3331">
            <v>1</v>
          </cell>
          <cell r="O3331">
            <v>43617</v>
          </cell>
          <cell r="P3331" t="str">
            <v>n/a</v>
          </cell>
          <cell r="Q3331">
            <v>0</v>
          </cell>
          <cell r="R3331">
            <v>0</v>
          </cell>
          <cell r="S3331">
            <v>0</v>
          </cell>
          <cell r="T3331">
            <v>1</v>
          </cell>
          <cell r="U3331" t="str">
            <v>n/a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</row>
        <row r="3332">
          <cell r="D3332">
            <v>302411</v>
          </cell>
          <cell r="E3332" t="str">
            <v>Lucero NHS</v>
          </cell>
          <cell r="F3332">
            <v>1</v>
          </cell>
          <cell r="G3332">
            <v>0</v>
          </cell>
          <cell r="H3332">
            <v>1</v>
          </cell>
          <cell r="I3332">
            <v>0</v>
          </cell>
          <cell r="J3332">
            <v>0</v>
          </cell>
          <cell r="K3332">
            <v>1</v>
          </cell>
          <cell r="L3332">
            <v>0</v>
          </cell>
          <cell r="M3332">
            <v>0</v>
          </cell>
          <cell r="N3332">
            <v>1</v>
          </cell>
          <cell r="O3332" t="str">
            <v>08/29/2019</v>
          </cell>
          <cell r="P3332" t="str">
            <v>08/29/2019</v>
          </cell>
          <cell r="Q3332">
            <v>0</v>
          </cell>
          <cell r="R3332">
            <v>1</v>
          </cell>
          <cell r="S3332">
            <v>0</v>
          </cell>
          <cell r="T3332">
            <v>0</v>
          </cell>
          <cell r="U3332">
            <v>0</v>
          </cell>
          <cell r="V3332">
            <v>1</v>
          </cell>
          <cell r="W3332">
            <v>0</v>
          </cell>
          <cell r="X3332">
            <v>0</v>
          </cell>
          <cell r="Y3332">
            <v>0</v>
          </cell>
        </row>
        <row r="3333">
          <cell r="D3333">
            <v>302358</v>
          </cell>
          <cell r="E3333" t="str">
            <v>Gov. Julio V. Macuja MCHS</v>
          </cell>
          <cell r="F3333">
            <v>1</v>
          </cell>
          <cell r="G3333">
            <v>0</v>
          </cell>
          <cell r="H3333">
            <v>1</v>
          </cell>
          <cell r="I3333">
            <v>0</v>
          </cell>
          <cell r="J3333">
            <v>0</v>
          </cell>
          <cell r="K3333">
            <v>1</v>
          </cell>
          <cell r="L3333">
            <v>0</v>
          </cell>
          <cell r="M3333">
            <v>0</v>
          </cell>
          <cell r="N3333">
            <v>1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1</v>
          </cell>
          <cell r="T3333">
            <v>0</v>
          </cell>
          <cell r="U3333">
            <v>0</v>
          </cell>
          <cell r="V3333">
            <v>1</v>
          </cell>
          <cell r="W3333">
            <v>0</v>
          </cell>
          <cell r="X3333">
            <v>0</v>
          </cell>
          <cell r="Y3333">
            <v>0</v>
          </cell>
        </row>
        <row r="3334">
          <cell r="D3334">
            <v>302805</v>
          </cell>
          <cell r="E3334" t="str">
            <v>Passi National High School</v>
          </cell>
          <cell r="F3334">
            <v>1</v>
          </cell>
          <cell r="G3334">
            <v>0</v>
          </cell>
          <cell r="H3334">
            <v>1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43637</v>
          </cell>
          <cell r="P3334">
            <v>43637</v>
          </cell>
          <cell r="Q3334">
            <v>0</v>
          </cell>
          <cell r="R3334">
            <v>1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3</v>
          </cell>
          <cell r="X3334">
            <v>0</v>
          </cell>
          <cell r="Y3334">
            <v>0</v>
          </cell>
        </row>
        <row r="3335">
          <cell r="D3335">
            <v>302749</v>
          </cell>
          <cell r="E3335" t="str">
            <v>Mandurriao NHS</v>
          </cell>
          <cell r="F3335">
            <v>1</v>
          </cell>
          <cell r="G3335">
            <v>1</v>
          </cell>
          <cell r="H3335">
            <v>1</v>
          </cell>
          <cell r="I3335">
            <v>0</v>
          </cell>
          <cell r="J3335">
            <v>0</v>
          </cell>
          <cell r="K3335">
            <v>1</v>
          </cell>
          <cell r="L3335">
            <v>0</v>
          </cell>
          <cell r="M3335">
            <v>0</v>
          </cell>
          <cell r="N3335">
            <v>0</v>
          </cell>
          <cell r="O3335" t="str">
            <v>N.A.</v>
          </cell>
          <cell r="P3335" t="str">
            <v>N.A.</v>
          </cell>
          <cell r="Q3335">
            <v>0</v>
          </cell>
          <cell r="R3335">
            <v>0</v>
          </cell>
          <cell r="S3335">
            <v>0</v>
          </cell>
          <cell r="T3335">
            <v>1</v>
          </cell>
          <cell r="U3335" t="str">
            <v>N.A.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</row>
        <row r="3336">
          <cell r="D3336">
            <v>302747</v>
          </cell>
          <cell r="E3336" t="str">
            <v>La Paz NHS</v>
          </cell>
          <cell r="F3336">
            <v>1</v>
          </cell>
          <cell r="G3336">
            <v>0</v>
          </cell>
          <cell r="H3336">
            <v>1</v>
          </cell>
          <cell r="I3336">
            <v>0</v>
          </cell>
          <cell r="J3336">
            <v>0</v>
          </cell>
          <cell r="K3336">
            <v>0</v>
          </cell>
          <cell r="L3336">
            <v>1</v>
          </cell>
          <cell r="M3336" t="str">
            <v>as the need arises</v>
          </cell>
          <cell r="N3336">
            <v>1</v>
          </cell>
          <cell r="O3336" t="str">
            <v>n/a</v>
          </cell>
          <cell r="P3336" t="str">
            <v>11/13/2018</v>
          </cell>
          <cell r="Q3336">
            <v>0</v>
          </cell>
          <cell r="R3336">
            <v>1</v>
          </cell>
          <cell r="S3336">
            <v>0</v>
          </cell>
          <cell r="T3336">
            <v>1</v>
          </cell>
          <cell r="U3336" t="str">
            <v>free time (vacant period)</v>
          </cell>
          <cell r="V3336">
            <v>1</v>
          </cell>
          <cell r="W3336">
            <v>3</v>
          </cell>
          <cell r="X3336">
            <v>0</v>
          </cell>
          <cell r="Y3336">
            <v>0</v>
          </cell>
        </row>
        <row r="3337">
          <cell r="D3337">
            <v>302365</v>
          </cell>
          <cell r="E3337" t="str">
            <v>Mag-aba National High School</v>
          </cell>
          <cell r="F3337">
            <v>1</v>
          </cell>
          <cell r="G3337">
            <v>1</v>
          </cell>
          <cell r="H3337">
            <v>1</v>
          </cell>
          <cell r="I3337">
            <v>0</v>
          </cell>
          <cell r="J3337">
            <v>1</v>
          </cell>
          <cell r="K3337">
            <v>0</v>
          </cell>
          <cell r="L3337">
            <v>0</v>
          </cell>
          <cell r="M3337">
            <v>0</v>
          </cell>
          <cell r="N3337">
            <v>1</v>
          </cell>
          <cell r="O3337">
            <v>0</v>
          </cell>
          <cell r="P3337">
            <v>0</v>
          </cell>
          <cell r="Q3337">
            <v>0</v>
          </cell>
          <cell r="R3337">
            <v>1</v>
          </cell>
          <cell r="S3337">
            <v>0</v>
          </cell>
          <cell r="T3337">
            <v>0</v>
          </cell>
          <cell r="U3337">
            <v>0</v>
          </cell>
          <cell r="V3337">
            <v>1</v>
          </cell>
          <cell r="W3337">
            <v>7</v>
          </cell>
          <cell r="X3337">
            <v>3</v>
          </cell>
          <cell r="Y3337">
            <v>1</v>
          </cell>
        </row>
        <row r="3338">
          <cell r="D3338">
            <v>302366</v>
          </cell>
          <cell r="E3338" t="str">
            <v>Moscoso-Rios NHS</v>
          </cell>
          <cell r="F3338">
            <v>1</v>
          </cell>
          <cell r="G3338">
            <v>1</v>
          </cell>
          <cell r="H3338">
            <v>1</v>
          </cell>
          <cell r="I3338">
            <v>0</v>
          </cell>
          <cell r="J3338">
            <v>1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1</v>
          </cell>
          <cell r="U3338" t="str">
            <v>as need arise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</row>
        <row r="3339">
          <cell r="D3339">
            <v>310811</v>
          </cell>
          <cell r="E3339" t="str">
            <v>YATING NATIONAL HIGH SCHOOL</v>
          </cell>
          <cell r="F3339">
            <v>0</v>
          </cell>
          <cell r="G3339">
            <v>0</v>
          </cell>
          <cell r="H3339">
            <v>1</v>
          </cell>
          <cell r="I3339">
            <v>1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</row>
        <row r="3340">
          <cell r="D3340">
            <v>302329</v>
          </cell>
          <cell r="E3340" t="str">
            <v>Ondoy National High School</v>
          </cell>
          <cell r="F3340">
            <v>1</v>
          </cell>
          <cell r="G3340">
            <v>1</v>
          </cell>
          <cell r="H3340">
            <v>1</v>
          </cell>
          <cell r="I3340">
            <v>0</v>
          </cell>
          <cell r="J3340">
            <v>0</v>
          </cell>
          <cell r="K3340">
            <v>0</v>
          </cell>
          <cell r="L3340">
            <v>1</v>
          </cell>
          <cell r="M3340" t="str">
            <v>Twice a year</v>
          </cell>
          <cell r="N3340">
            <v>0</v>
          </cell>
          <cell r="O3340">
            <v>43322</v>
          </cell>
          <cell r="P3340">
            <v>43322</v>
          </cell>
          <cell r="Q3340">
            <v>0</v>
          </cell>
          <cell r="R3340">
            <v>1</v>
          </cell>
          <cell r="S3340">
            <v>0</v>
          </cell>
          <cell r="T3340">
            <v>0</v>
          </cell>
          <cell r="U3340">
            <v>0</v>
          </cell>
          <cell r="V3340">
            <v>1</v>
          </cell>
          <cell r="W3340">
            <v>0</v>
          </cell>
          <cell r="X3340">
            <v>0</v>
          </cell>
          <cell r="Y3340">
            <v>0</v>
          </cell>
        </row>
        <row r="3341">
          <cell r="D3341">
            <v>302375</v>
          </cell>
          <cell r="E3341" t="str">
            <v>San Pedro NHS</v>
          </cell>
          <cell r="F3341">
            <v>1</v>
          </cell>
          <cell r="G3341">
            <v>1</v>
          </cell>
          <cell r="H3341">
            <v>1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</row>
        <row r="3342">
          <cell r="D3342">
            <v>311009</v>
          </cell>
          <cell r="E3342" t="str">
            <v>Granada NHS-Ballesteros Campus</v>
          </cell>
          <cell r="F3342">
            <v>1</v>
          </cell>
          <cell r="G3342">
            <v>1</v>
          </cell>
          <cell r="H3342">
            <v>1</v>
          </cell>
          <cell r="I3342">
            <v>0</v>
          </cell>
          <cell r="J3342">
            <v>1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</row>
        <row r="3343">
          <cell r="D3343">
            <v>302426</v>
          </cell>
          <cell r="E3343" t="str">
            <v>Buenavista National High School</v>
          </cell>
          <cell r="F3343">
            <v>1</v>
          </cell>
          <cell r="G3343">
            <v>1</v>
          </cell>
          <cell r="H3343">
            <v>1</v>
          </cell>
          <cell r="I3343">
            <v>0</v>
          </cell>
          <cell r="J3343">
            <v>0</v>
          </cell>
          <cell r="K3343">
            <v>1</v>
          </cell>
          <cell r="L3343">
            <v>0</v>
          </cell>
          <cell r="M3343">
            <v>0</v>
          </cell>
          <cell r="N3343">
            <v>1</v>
          </cell>
          <cell r="O3343">
            <v>43656</v>
          </cell>
          <cell r="P3343">
            <v>43656</v>
          </cell>
          <cell r="Q3343">
            <v>0</v>
          </cell>
          <cell r="R3343">
            <v>0</v>
          </cell>
          <cell r="S3343">
            <v>1</v>
          </cell>
          <cell r="T3343">
            <v>0</v>
          </cell>
          <cell r="U3343">
            <v>0</v>
          </cell>
          <cell r="V3343">
            <v>1</v>
          </cell>
          <cell r="W3343">
            <v>0</v>
          </cell>
          <cell r="X3343">
            <v>0</v>
          </cell>
          <cell r="Y3343">
            <v>0</v>
          </cell>
        </row>
        <row r="3344">
          <cell r="D3344">
            <v>302364</v>
          </cell>
          <cell r="E3344" t="str">
            <v>Lirio M. Escaño NHS</v>
          </cell>
          <cell r="F3344">
            <v>1</v>
          </cell>
          <cell r="G3344">
            <v>0</v>
          </cell>
          <cell r="H3344">
            <v>1</v>
          </cell>
          <cell r="I3344">
            <v>0</v>
          </cell>
          <cell r="J3344">
            <v>0</v>
          </cell>
          <cell r="K3344">
            <v>1</v>
          </cell>
          <cell r="L3344">
            <v>0</v>
          </cell>
          <cell r="M3344">
            <v>0</v>
          </cell>
          <cell r="N3344">
            <v>1</v>
          </cell>
          <cell r="O3344">
            <v>0</v>
          </cell>
          <cell r="P3344" t="str">
            <v>10/31/2019</v>
          </cell>
          <cell r="Q3344">
            <v>0</v>
          </cell>
          <cell r="R3344">
            <v>1</v>
          </cell>
          <cell r="S3344">
            <v>0</v>
          </cell>
          <cell r="T3344">
            <v>0</v>
          </cell>
          <cell r="U3344">
            <v>0</v>
          </cell>
          <cell r="V3344">
            <v>1</v>
          </cell>
          <cell r="W3344">
            <v>2</v>
          </cell>
          <cell r="X3344">
            <v>2</v>
          </cell>
          <cell r="Y3344">
            <v>2</v>
          </cell>
        </row>
        <row r="3345">
          <cell r="D3345">
            <v>302309</v>
          </cell>
          <cell r="E3345" t="str">
            <v>Jose Feliciano Meñez Memorial National High School</v>
          </cell>
          <cell r="F3345">
            <v>1</v>
          </cell>
          <cell r="G3345">
            <v>1</v>
          </cell>
          <cell r="H3345">
            <v>1</v>
          </cell>
          <cell r="I3345">
            <v>0</v>
          </cell>
          <cell r="J3345">
            <v>1</v>
          </cell>
          <cell r="K3345">
            <v>0</v>
          </cell>
          <cell r="L3345">
            <v>0</v>
          </cell>
          <cell r="M3345">
            <v>0</v>
          </cell>
          <cell r="N3345">
            <v>1</v>
          </cell>
          <cell r="O3345" t="str">
            <v>June 28, 2019</v>
          </cell>
          <cell r="P3345" t="str">
            <v>August 9, 2019</v>
          </cell>
          <cell r="Q3345">
            <v>1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1</v>
          </cell>
          <cell r="W3345">
            <v>4</v>
          </cell>
          <cell r="X3345">
            <v>4</v>
          </cell>
          <cell r="Y3345">
            <v>0</v>
          </cell>
        </row>
        <row r="3346">
          <cell r="D3346">
            <v>302541</v>
          </cell>
          <cell r="E3346" t="str">
            <v>Nicomedes R. Tubar Sr. NHS</v>
          </cell>
          <cell r="F3346">
            <v>1</v>
          </cell>
          <cell r="G3346">
            <v>1</v>
          </cell>
          <cell r="H3346">
            <v>0</v>
          </cell>
          <cell r="I3346">
            <v>0</v>
          </cell>
          <cell r="J3346">
            <v>1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43709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</row>
        <row r="3347">
          <cell r="D3347">
            <v>302354</v>
          </cell>
          <cell r="E3347" t="str">
            <v>Egaña National High School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</row>
        <row r="3348">
          <cell r="D3348">
            <v>302743</v>
          </cell>
          <cell r="E3348" t="str">
            <v>Bo. Obrero NHS</v>
          </cell>
          <cell r="F3348">
            <v>1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  <cell r="K3348">
            <v>1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1</v>
          </cell>
          <cell r="T3348">
            <v>0</v>
          </cell>
          <cell r="U3348">
            <v>0</v>
          </cell>
          <cell r="V3348">
            <v>1</v>
          </cell>
          <cell r="W3348">
            <v>0</v>
          </cell>
          <cell r="X3348">
            <v>0</v>
          </cell>
          <cell r="Y3348">
            <v>0</v>
          </cell>
        </row>
        <row r="3349">
          <cell r="D3349">
            <v>302483</v>
          </cell>
          <cell r="E3349" t="str">
            <v>Cayos NHS</v>
          </cell>
          <cell r="F3349">
            <v>1</v>
          </cell>
          <cell r="G3349">
            <v>1</v>
          </cell>
          <cell r="H3349">
            <v>0</v>
          </cell>
          <cell r="I3349">
            <v>0</v>
          </cell>
          <cell r="J3349">
            <v>1</v>
          </cell>
          <cell r="K3349">
            <v>0</v>
          </cell>
          <cell r="L3349">
            <v>0</v>
          </cell>
          <cell r="M3349">
            <v>0</v>
          </cell>
          <cell r="N3349">
            <v>1</v>
          </cell>
          <cell r="O3349" t="str">
            <v>09/24/2019</v>
          </cell>
          <cell r="P3349" t="str">
            <v>11/15/2019</v>
          </cell>
          <cell r="Q3349">
            <v>0</v>
          </cell>
          <cell r="R3349">
            <v>1</v>
          </cell>
          <cell r="S3349">
            <v>0</v>
          </cell>
          <cell r="T3349">
            <v>0</v>
          </cell>
          <cell r="U3349">
            <v>0</v>
          </cell>
          <cell r="V3349">
            <v>1</v>
          </cell>
          <cell r="W3349">
            <v>0</v>
          </cell>
          <cell r="X3349">
            <v>0</v>
          </cell>
          <cell r="Y3349">
            <v>0</v>
          </cell>
        </row>
        <row r="3350">
          <cell r="D3350">
            <v>500191</v>
          </cell>
          <cell r="E3350" t="str">
            <v>TCT-AR Foundation Integrated School</v>
          </cell>
          <cell r="F3350">
            <v>1</v>
          </cell>
          <cell r="G3350">
            <v>1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</row>
        <row r="3351">
          <cell r="D3351">
            <v>302427</v>
          </cell>
          <cell r="E3351" t="str">
            <v>Agsanayan National High School</v>
          </cell>
          <cell r="F3351">
            <v>1</v>
          </cell>
          <cell r="G3351">
            <v>1</v>
          </cell>
          <cell r="H3351">
            <v>1</v>
          </cell>
          <cell r="I3351">
            <v>0</v>
          </cell>
          <cell r="J3351">
            <v>0</v>
          </cell>
          <cell r="K3351">
            <v>1</v>
          </cell>
          <cell r="L3351">
            <v>0</v>
          </cell>
          <cell r="M3351">
            <v>0</v>
          </cell>
          <cell r="N3351">
            <v>1</v>
          </cell>
          <cell r="O3351" t="str">
            <v>June 18, 2019</v>
          </cell>
          <cell r="P3351" t="str">
            <v>June 18, 2019</v>
          </cell>
          <cell r="Q3351">
            <v>0</v>
          </cell>
          <cell r="R3351">
            <v>1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</row>
        <row r="3352">
          <cell r="D3352">
            <v>302382</v>
          </cell>
          <cell r="E3352" t="str">
            <v>Tinogboc NHS</v>
          </cell>
          <cell r="F3352">
            <v>1</v>
          </cell>
          <cell r="G3352">
            <v>0</v>
          </cell>
          <cell r="H3352">
            <v>1</v>
          </cell>
          <cell r="I3352">
            <v>0</v>
          </cell>
          <cell r="J3352">
            <v>0</v>
          </cell>
          <cell r="K3352">
            <v>1</v>
          </cell>
          <cell r="L3352">
            <v>0</v>
          </cell>
          <cell r="M3352">
            <v>0</v>
          </cell>
          <cell r="N3352">
            <v>1</v>
          </cell>
          <cell r="O3352">
            <v>43620</v>
          </cell>
          <cell r="P3352" t="str">
            <v>None</v>
          </cell>
          <cell r="Q3352">
            <v>0</v>
          </cell>
          <cell r="R3352">
            <v>1</v>
          </cell>
          <cell r="S3352">
            <v>0</v>
          </cell>
          <cell r="T3352">
            <v>0</v>
          </cell>
          <cell r="U3352">
            <v>0</v>
          </cell>
          <cell r="V3352">
            <v>1</v>
          </cell>
          <cell r="W3352">
            <v>2</v>
          </cell>
          <cell r="X3352">
            <v>2</v>
          </cell>
          <cell r="Y3352">
            <v>2</v>
          </cell>
        </row>
        <row r="3353">
          <cell r="D3353">
            <v>302362</v>
          </cell>
          <cell r="E3353" t="str">
            <v>Laua-an NHS</v>
          </cell>
          <cell r="F3353">
            <v>1</v>
          </cell>
          <cell r="G3353">
            <v>0</v>
          </cell>
          <cell r="H3353">
            <v>1</v>
          </cell>
          <cell r="I3353">
            <v>1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 t="str">
            <v>08/30/2019</v>
          </cell>
          <cell r="P3353" t="str">
            <v>06/21/2019</v>
          </cell>
          <cell r="Q3353">
            <v>0</v>
          </cell>
          <cell r="R3353">
            <v>0</v>
          </cell>
          <cell r="S3353">
            <v>1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</row>
        <row r="3354">
          <cell r="D3354">
            <v>302377</v>
          </cell>
          <cell r="E3354" t="str">
            <v>Sebaste HS</v>
          </cell>
          <cell r="F3354">
            <v>1</v>
          </cell>
          <cell r="G3354">
            <v>1</v>
          </cell>
          <cell r="H3354">
            <v>1</v>
          </cell>
          <cell r="I3354">
            <v>0</v>
          </cell>
          <cell r="J3354">
            <v>1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</row>
        <row r="3355">
          <cell r="D3355">
            <v>302324</v>
          </cell>
          <cell r="E3355" t="str">
            <v>Aklan NHS for Arts &amp; Trades</v>
          </cell>
          <cell r="F3355">
            <v>1</v>
          </cell>
          <cell r="G3355">
            <v>1</v>
          </cell>
          <cell r="H3355">
            <v>0</v>
          </cell>
          <cell r="I3355">
            <v>0</v>
          </cell>
          <cell r="J3355">
            <v>1</v>
          </cell>
          <cell r="K3355">
            <v>0</v>
          </cell>
          <cell r="L3355">
            <v>0</v>
          </cell>
          <cell r="M3355">
            <v>0</v>
          </cell>
          <cell r="N3355">
            <v>1</v>
          </cell>
          <cell r="O3355">
            <v>0</v>
          </cell>
          <cell r="P3355" t="str">
            <v>JUNE, 2019</v>
          </cell>
          <cell r="Q3355">
            <v>1</v>
          </cell>
          <cell r="R3355">
            <v>0</v>
          </cell>
          <cell r="S3355">
            <v>0</v>
          </cell>
          <cell r="T3355">
            <v>0</v>
          </cell>
          <cell r="U3355">
            <v>0</v>
          </cell>
          <cell r="V3355">
            <v>1</v>
          </cell>
          <cell r="W3355">
            <v>0</v>
          </cell>
          <cell r="X3355">
            <v>0</v>
          </cell>
          <cell r="Y3355">
            <v>0</v>
          </cell>
        </row>
        <row r="3356">
          <cell r="D3356">
            <v>302447</v>
          </cell>
          <cell r="E3356" t="str">
            <v>Ambrosio Maido MNHS</v>
          </cell>
          <cell r="F3356">
            <v>1</v>
          </cell>
          <cell r="G3356">
            <v>1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</row>
        <row r="3357">
          <cell r="D3357">
            <v>302299</v>
          </cell>
          <cell r="E3357" t="str">
            <v>CALIZO NATIONAL HIGH SCHOOL</v>
          </cell>
          <cell r="F3357">
            <v>1</v>
          </cell>
          <cell r="G3357">
            <v>1</v>
          </cell>
          <cell r="H3357">
            <v>1</v>
          </cell>
          <cell r="I3357">
            <v>0</v>
          </cell>
          <cell r="J3357">
            <v>0</v>
          </cell>
          <cell r="K3357">
            <v>1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</row>
        <row r="3358">
          <cell r="D3358">
            <v>302566</v>
          </cell>
          <cell r="E3358" t="str">
            <v>SAN JOAQUIN SCHOOL OF FISHERIES</v>
          </cell>
          <cell r="F3358">
            <v>1</v>
          </cell>
          <cell r="G3358">
            <v>1</v>
          </cell>
          <cell r="H3358">
            <v>1</v>
          </cell>
          <cell r="I3358">
            <v>0</v>
          </cell>
          <cell r="J3358">
            <v>1</v>
          </cell>
          <cell r="K3358">
            <v>0</v>
          </cell>
          <cell r="L3358">
            <v>0</v>
          </cell>
          <cell r="M3358">
            <v>0</v>
          </cell>
          <cell r="N3358">
            <v>1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1</v>
          </cell>
          <cell r="T3358">
            <v>0</v>
          </cell>
          <cell r="U3358">
            <v>0</v>
          </cell>
          <cell r="V3358">
            <v>1</v>
          </cell>
          <cell r="W3358">
            <v>0</v>
          </cell>
          <cell r="X3358">
            <v>0</v>
          </cell>
          <cell r="Y3358">
            <v>0</v>
          </cell>
        </row>
        <row r="3359">
          <cell r="D3359">
            <v>302431</v>
          </cell>
          <cell r="E3359" t="str">
            <v>Getulio NHS</v>
          </cell>
          <cell r="F3359">
            <v>1</v>
          </cell>
          <cell r="G3359">
            <v>1</v>
          </cell>
          <cell r="H3359">
            <v>1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3</v>
          </cell>
          <cell r="X3359">
            <v>1</v>
          </cell>
          <cell r="Y3359">
            <v>1</v>
          </cell>
        </row>
        <row r="3360">
          <cell r="D3360">
            <v>302807</v>
          </cell>
          <cell r="E3360" t="str">
            <v>Salngan National High School</v>
          </cell>
          <cell r="F3360">
            <v>1</v>
          </cell>
          <cell r="G3360">
            <v>1</v>
          </cell>
          <cell r="H3360">
            <v>1</v>
          </cell>
          <cell r="I3360">
            <v>0</v>
          </cell>
          <cell r="J3360">
            <v>1</v>
          </cell>
          <cell r="K3360">
            <v>0</v>
          </cell>
          <cell r="L3360">
            <v>0</v>
          </cell>
          <cell r="M3360">
            <v>0</v>
          </cell>
          <cell r="N3360">
            <v>1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1</v>
          </cell>
          <cell r="T3360">
            <v>0</v>
          </cell>
          <cell r="U3360">
            <v>0</v>
          </cell>
          <cell r="V3360">
            <v>1</v>
          </cell>
          <cell r="W3360">
            <v>0</v>
          </cell>
          <cell r="X3360">
            <v>0</v>
          </cell>
          <cell r="Y3360">
            <v>0</v>
          </cell>
        </row>
        <row r="3361">
          <cell r="D3361">
            <v>302305</v>
          </cell>
          <cell r="E3361" t="str">
            <v>Anselmo B. Legaspi NHS</v>
          </cell>
          <cell r="F3361">
            <v>1</v>
          </cell>
          <cell r="G3361">
            <v>1</v>
          </cell>
          <cell r="H3361">
            <v>1</v>
          </cell>
          <cell r="I3361">
            <v>0</v>
          </cell>
          <cell r="J3361">
            <v>1</v>
          </cell>
          <cell r="K3361">
            <v>0</v>
          </cell>
          <cell r="L3361">
            <v>0</v>
          </cell>
          <cell r="M3361">
            <v>0</v>
          </cell>
          <cell r="N3361">
            <v>1</v>
          </cell>
          <cell r="O3361">
            <v>43690</v>
          </cell>
          <cell r="P3361">
            <v>43690</v>
          </cell>
          <cell r="Q3361">
            <v>0</v>
          </cell>
          <cell r="R3361">
            <v>1</v>
          </cell>
          <cell r="S3361">
            <v>0</v>
          </cell>
          <cell r="T3361">
            <v>0</v>
          </cell>
          <cell r="U3361">
            <v>0</v>
          </cell>
          <cell r="V3361">
            <v>1</v>
          </cell>
          <cell r="W3361">
            <v>0</v>
          </cell>
          <cell r="X3361">
            <v>0</v>
          </cell>
          <cell r="Y3361">
            <v>0</v>
          </cell>
        </row>
        <row r="3362">
          <cell r="D3362">
            <v>302302</v>
          </cell>
          <cell r="E3362" t="str">
            <v>Candelaria NHS</v>
          </cell>
          <cell r="F3362">
            <v>1</v>
          </cell>
          <cell r="G3362">
            <v>1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</row>
        <row r="3363">
          <cell r="D3363">
            <v>302489</v>
          </cell>
          <cell r="E3363" t="str">
            <v>De La Paz National High School</v>
          </cell>
          <cell r="F3363">
            <v>1</v>
          </cell>
          <cell r="G3363">
            <v>1</v>
          </cell>
          <cell r="H3363">
            <v>1</v>
          </cell>
          <cell r="I3363">
            <v>0</v>
          </cell>
          <cell r="J3363">
            <v>0</v>
          </cell>
          <cell r="K3363">
            <v>0</v>
          </cell>
          <cell r="L3363">
            <v>1</v>
          </cell>
          <cell r="M3363" t="str">
            <v>IF NECESSARY</v>
          </cell>
          <cell r="N3363">
            <v>1</v>
          </cell>
          <cell r="O3363" t="str">
            <v>JULY 30, 2018</v>
          </cell>
          <cell r="P3363">
            <v>0</v>
          </cell>
          <cell r="Q3363">
            <v>0</v>
          </cell>
          <cell r="R3363">
            <v>0</v>
          </cell>
          <cell r="S3363">
            <v>1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</row>
        <row r="3364">
          <cell r="D3364">
            <v>310617</v>
          </cell>
          <cell r="E3364" t="str">
            <v>Alfonso XII NHS</v>
          </cell>
          <cell r="F3364">
            <v>1</v>
          </cell>
          <cell r="G3364">
            <v>1</v>
          </cell>
          <cell r="H3364">
            <v>1</v>
          </cell>
          <cell r="I3364">
            <v>0</v>
          </cell>
          <cell r="J3364">
            <v>1</v>
          </cell>
          <cell r="K3364">
            <v>0</v>
          </cell>
          <cell r="L3364">
            <v>0</v>
          </cell>
          <cell r="M3364">
            <v>0</v>
          </cell>
          <cell r="N3364">
            <v>1</v>
          </cell>
          <cell r="O3364">
            <v>43742</v>
          </cell>
          <cell r="P3364">
            <v>43745</v>
          </cell>
          <cell r="Q3364">
            <v>0</v>
          </cell>
          <cell r="R3364">
            <v>1</v>
          </cell>
          <cell r="S3364">
            <v>0</v>
          </cell>
          <cell r="T3364">
            <v>0</v>
          </cell>
          <cell r="U3364">
            <v>0</v>
          </cell>
          <cell r="V3364">
            <v>1</v>
          </cell>
          <cell r="W3364">
            <v>1</v>
          </cell>
          <cell r="X3364">
            <v>0</v>
          </cell>
          <cell r="Y3364">
            <v>0</v>
          </cell>
        </row>
        <row r="3365">
          <cell r="D3365">
            <v>302381</v>
          </cell>
          <cell r="E3365" t="str">
            <v>Sta. Justa National High School</v>
          </cell>
          <cell r="F3365">
            <v>1</v>
          </cell>
          <cell r="G3365">
            <v>1</v>
          </cell>
          <cell r="H3365">
            <v>1</v>
          </cell>
          <cell r="I3365">
            <v>0</v>
          </cell>
          <cell r="J3365">
            <v>0</v>
          </cell>
          <cell r="K3365">
            <v>1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1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</row>
        <row r="3366">
          <cell r="D3366">
            <v>302368</v>
          </cell>
          <cell r="E3366" t="str">
            <v>Northern Bugasong NHS</v>
          </cell>
          <cell r="F3366">
            <v>1</v>
          </cell>
          <cell r="G3366">
            <v>1</v>
          </cell>
          <cell r="H3366">
            <v>1</v>
          </cell>
          <cell r="I3366">
            <v>0</v>
          </cell>
          <cell r="J3366">
            <v>1</v>
          </cell>
          <cell r="K3366">
            <v>0</v>
          </cell>
          <cell r="L3366">
            <v>0</v>
          </cell>
          <cell r="M3366">
            <v>0</v>
          </cell>
          <cell r="N3366">
            <v>1</v>
          </cell>
          <cell r="O3366">
            <v>0</v>
          </cell>
          <cell r="P3366">
            <v>0</v>
          </cell>
          <cell r="Q3366">
            <v>0</v>
          </cell>
          <cell r="R3366">
            <v>1</v>
          </cell>
          <cell r="S3366">
            <v>0</v>
          </cell>
          <cell r="T3366">
            <v>0</v>
          </cell>
          <cell r="U3366">
            <v>0</v>
          </cell>
          <cell r="V3366">
            <v>1</v>
          </cell>
          <cell r="W3366">
            <v>0</v>
          </cell>
          <cell r="X3366">
            <v>0</v>
          </cell>
          <cell r="Y3366">
            <v>0</v>
          </cell>
        </row>
        <row r="3367">
          <cell r="D3367">
            <v>302303</v>
          </cell>
          <cell r="E3367" t="str">
            <v>New Washington NCHS</v>
          </cell>
          <cell r="F3367">
            <v>1</v>
          </cell>
          <cell r="G3367">
            <v>1</v>
          </cell>
          <cell r="H3367">
            <v>1</v>
          </cell>
          <cell r="I3367">
            <v>0</v>
          </cell>
          <cell r="J3367">
            <v>1</v>
          </cell>
          <cell r="K3367">
            <v>0</v>
          </cell>
          <cell r="L3367">
            <v>0</v>
          </cell>
          <cell r="M3367">
            <v>0</v>
          </cell>
          <cell r="N3367">
            <v>1</v>
          </cell>
          <cell r="O3367" t="str">
            <v>August 2, 2019</v>
          </cell>
          <cell r="P3367" t="str">
            <v>August 5, 2019</v>
          </cell>
          <cell r="Q3367">
            <v>0</v>
          </cell>
          <cell r="R3367">
            <v>1</v>
          </cell>
          <cell r="S3367">
            <v>0</v>
          </cell>
          <cell r="T3367">
            <v>0</v>
          </cell>
          <cell r="U3367">
            <v>0</v>
          </cell>
          <cell r="V3367">
            <v>1</v>
          </cell>
          <cell r="W3367">
            <v>0</v>
          </cell>
          <cell r="X3367">
            <v>0</v>
          </cell>
          <cell r="Y3367">
            <v>0</v>
          </cell>
        </row>
        <row r="3368">
          <cell r="D3368">
            <v>302348</v>
          </cell>
          <cell r="E3368" t="str">
            <v>Bitadton National High School</v>
          </cell>
          <cell r="F3368">
            <v>1</v>
          </cell>
          <cell r="G3368">
            <v>1</v>
          </cell>
          <cell r="H3368">
            <v>1</v>
          </cell>
          <cell r="I3368">
            <v>0</v>
          </cell>
          <cell r="J3368">
            <v>1</v>
          </cell>
          <cell r="K3368">
            <v>0</v>
          </cell>
          <cell r="L3368">
            <v>0</v>
          </cell>
          <cell r="M3368">
            <v>0</v>
          </cell>
          <cell r="N3368">
            <v>1</v>
          </cell>
          <cell r="O3368" t="str">
            <v>Oct. 2019</v>
          </cell>
          <cell r="P3368" t="str">
            <v>n/a</v>
          </cell>
          <cell r="Q3368">
            <v>0</v>
          </cell>
          <cell r="R3368">
            <v>1</v>
          </cell>
          <cell r="S3368">
            <v>0</v>
          </cell>
          <cell r="T3368">
            <v>0</v>
          </cell>
          <cell r="U3368">
            <v>0</v>
          </cell>
          <cell r="V3368">
            <v>1</v>
          </cell>
          <cell r="W3368">
            <v>5</v>
          </cell>
          <cell r="X3368">
            <v>5</v>
          </cell>
          <cell r="Y3368">
            <v>5</v>
          </cell>
        </row>
        <row r="3369">
          <cell r="D3369">
            <v>500545</v>
          </cell>
          <cell r="E3369" t="str">
            <v>Bakhaw Norte Integrated School</v>
          </cell>
          <cell r="F3369">
            <v>1</v>
          </cell>
          <cell r="G3369">
            <v>1</v>
          </cell>
          <cell r="H3369">
            <v>1</v>
          </cell>
          <cell r="I3369">
            <v>0</v>
          </cell>
          <cell r="J3369">
            <v>0</v>
          </cell>
          <cell r="K3369">
            <v>1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1</v>
          </cell>
          <cell r="S3369">
            <v>0</v>
          </cell>
          <cell r="T3369">
            <v>0</v>
          </cell>
          <cell r="U3369">
            <v>0</v>
          </cell>
          <cell r="V3369">
            <v>1</v>
          </cell>
          <cell r="W3369">
            <v>0</v>
          </cell>
          <cell r="X3369">
            <v>0</v>
          </cell>
          <cell r="Y3369">
            <v>0</v>
          </cell>
        </row>
        <row r="3370">
          <cell r="D3370">
            <v>310707</v>
          </cell>
          <cell r="E3370" t="str">
            <v>Gov. Evelio B. Javier MNHS</v>
          </cell>
          <cell r="F3370">
            <v>1</v>
          </cell>
          <cell r="G3370">
            <v>0</v>
          </cell>
          <cell r="H3370">
            <v>1</v>
          </cell>
          <cell r="I3370">
            <v>0</v>
          </cell>
          <cell r="J3370">
            <v>0</v>
          </cell>
          <cell r="K3370">
            <v>1</v>
          </cell>
          <cell r="L3370">
            <v>1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1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</row>
        <row r="3371">
          <cell r="D3371">
            <v>302752</v>
          </cell>
          <cell r="E3371" t="str">
            <v>La Granja NHS</v>
          </cell>
          <cell r="F3371">
            <v>1</v>
          </cell>
          <cell r="G3371">
            <v>1</v>
          </cell>
          <cell r="H3371">
            <v>1</v>
          </cell>
          <cell r="I3371">
            <v>1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1</v>
          </cell>
          <cell r="O3371" t="str">
            <v>10/10-11/2019</v>
          </cell>
          <cell r="P3371" t="str">
            <v>08/26/2019</v>
          </cell>
          <cell r="Q3371">
            <v>0</v>
          </cell>
          <cell r="R3371">
            <v>1</v>
          </cell>
          <cell r="S3371">
            <v>0</v>
          </cell>
          <cell r="T3371">
            <v>0</v>
          </cell>
          <cell r="U3371">
            <v>0</v>
          </cell>
          <cell r="V3371">
            <v>1</v>
          </cell>
          <cell r="W3371">
            <v>5</v>
          </cell>
          <cell r="X3371">
            <v>0</v>
          </cell>
          <cell r="Y3371">
            <v>5</v>
          </cell>
        </row>
        <row r="3372">
          <cell r="D3372">
            <v>310901</v>
          </cell>
          <cell r="E3372" t="str">
            <v>Ayangan National High School</v>
          </cell>
          <cell r="F3372">
            <v>1</v>
          </cell>
          <cell r="G3372">
            <v>0</v>
          </cell>
          <cell r="H3372">
            <v>1</v>
          </cell>
          <cell r="I3372">
            <v>0</v>
          </cell>
          <cell r="J3372">
            <v>1</v>
          </cell>
          <cell r="K3372">
            <v>0</v>
          </cell>
          <cell r="L3372">
            <v>0</v>
          </cell>
          <cell r="M3372">
            <v>0</v>
          </cell>
          <cell r="N3372">
            <v>1</v>
          </cell>
          <cell r="O3372">
            <v>43752</v>
          </cell>
          <cell r="P3372">
            <v>43656</v>
          </cell>
          <cell r="Q3372">
            <v>0</v>
          </cell>
          <cell r="R3372">
            <v>0</v>
          </cell>
          <cell r="S3372">
            <v>1</v>
          </cell>
          <cell r="T3372">
            <v>0</v>
          </cell>
          <cell r="U3372">
            <v>0</v>
          </cell>
          <cell r="V3372">
            <v>1</v>
          </cell>
          <cell r="W3372">
            <v>0</v>
          </cell>
          <cell r="X3372">
            <v>0</v>
          </cell>
          <cell r="Y3372">
            <v>0</v>
          </cell>
        </row>
        <row r="3373">
          <cell r="D3373">
            <v>302372</v>
          </cell>
          <cell r="E3373" t="str">
            <v>Patria National School</v>
          </cell>
          <cell r="F3373">
            <v>1</v>
          </cell>
          <cell r="G3373">
            <v>1</v>
          </cell>
          <cell r="H3373">
            <v>1</v>
          </cell>
          <cell r="I3373">
            <v>0</v>
          </cell>
          <cell r="J3373">
            <v>1</v>
          </cell>
          <cell r="K3373">
            <v>0</v>
          </cell>
          <cell r="L3373">
            <v>0</v>
          </cell>
          <cell r="M3373">
            <v>0</v>
          </cell>
          <cell r="N3373">
            <v>1</v>
          </cell>
          <cell r="O3373">
            <v>43644</v>
          </cell>
          <cell r="P3373">
            <v>43644</v>
          </cell>
          <cell r="Q3373">
            <v>0</v>
          </cell>
          <cell r="R3373">
            <v>1</v>
          </cell>
          <cell r="S3373">
            <v>0</v>
          </cell>
          <cell r="T3373">
            <v>0</v>
          </cell>
          <cell r="U3373">
            <v>0</v>
          </cell>
          <cell r="V3373">
            <v>1</v>
          </cell>
          <cell r="W3373">
            <v>10</v>
          </cell>
          <cell r="X3373">
            <v>3</v>
          </cell>
          <cell r="Y3373">
            <v>0</v>
          </cell>
        </row>
        <row r="3374">
          <cell r="D3374">
            <v>310704</v>
          </cell>
          <cell r="E3374" t="str">
            <v>Gen. Leandro Fullon NS</v>
          </cell>
          <cell r="F3374">
            <v>1</v>
          </cell>
          <cell r="G3374">
            <v>1</v>
          </cell>
          <cell r="H3374">
            <v>1</v>
          </cell>
          <cell r="I3374">
            <v>0</v>
          </cell>
          <cell r="J3374">
            <v>1</v>
          </cell>
          <cell r="K3374">
            <v>0</v>
          </cell>
          <cell r="L3374">
            <v>0</v>
          </cell>
          <cell r="M3374">
            <v>0</v>
          </cell>
          <cell r="N3374">
            <v>1</v>
          </cell>
          <cell r="O3374">
            <v>43784</v>
          </cell>
          <cell r="P3374">
            <v>43619</v>
          </cell>
          <cell r="Q3374">
            <v>1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1</v>
          </cell>
          <cell r="W3374">
            <v>20</v>
          </cell>
          <cell r="X3374">
            <v>20</v>
          </cell>
          <cell r="Y3374">
            <v>20</v>
          </cell>
        </row>
        <row r="3375">
          <cell r="D3375">
            <v>311006</v>
          </cell>
          <cell r="E3375" t="str">
            <v>P.D. Monfort National Science HS</v>
          </cell>
          <cell r="F3375">
            <v>1</v>
          </cell>
          <cell r="G3375">
            <v>1</v>
          </cell>
          <cell r="H3375">
            <v>1</v>
          </cell>
          <cell r="I3375">
            <v>0</v>
          </cell>
          <cell r="J3375">
            <v>1</v>
          </cell>
          <cell r="K3375">
            <v>0</v>
          </cell>
          <cell r="L3375">
            <v>0</v>
          </cell>
          <cell r="M3375">
            <v>0</v>
          </cell>
          <cell r="N3375">
            <v>1</v>
          </cell>
          <cell r="O3375">
            <v>0</v>
          </cell>
          <cell r="P3375">
            <v>0</v>
          </cell>
          <cell r="Q3375">
            <v>0</v>
          </cell>
          <cell r="R3375">
            <v>1</v>
          </cell>
          <cell r="S3375">
            <v>0</v>
          </cell>
          <cell r="T3375">
            <v>0</v>
          </cell>
          <cell r="U3375">
            <v>0</v>
          </cell>
          <cell r="V3375">
            <v>1</v>
          </cell>
          <cell r="W3375">
            <v>0</v>
          </cell>
          <cell r="X3375">
            <v>0</v>
          </cell>
          <cell r="Y3375">
            <v>0</v>
          </cell>
        </row>
        <row r="3376">
          <cell r="D3376">
            <v>500174</v>
          </cell>
          <cell r="E3376" t="str">
            <v>Ortega Integrated School</v>
          </cell>
          <cell r="F3376">
            <v>1</v>
          </cell>
          <cell r="G3376">
            <v>1</v>
          </cell>
          <cell r="H3376">
            <v>1</v>
          </cell>
          <cell r="I3376">
            <v>0</v>
          </cell>
          <cell r="J3376">
            <v>0</v>
          </cell>
          <cell r="K3376">
            <v>1</v>
          </cell>
          <cell r="L3376">
            <v>0</v>
          </cell>
          <cell r="M3376">
            <v>0</v>
          </cell>
          <cell r="N3376">
            <v>1</v>
          </cell>
          <cell r="O3376">
            <v>0</v>
          </cell>
          <cell r="P3376">
            <v>43682</v>
          </cell>
          <cell r="Q3376">
            <v>0</v>
          </cell>
          <cell r="R3376">
            <v>1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</row>
        <row r="3377">
          <cell r="D3377">
            <v>302474</v>
          </cell>
          <cell r="E3377" t="str">
            <v>Cabudian National High School</v>
          </cell>
          <cell r="F3377">
            <v>1</v>
          </cell>
          <cell r="G3377">
            <v>1</v>
          </cell>
          <cell r="H3377">
            <v>1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</row>
        <row r="3378">
          <cell r="D3378">
            <v>500638</v>
          </cell>
          <cell r="E3378" t="str">
            <v>Agtughangin Integrated School</v>
          </cell>
          <cell r="F3378">
            <v>1</v>
          </cell>
          <cell r="G3378">
            <v>1</v>
          </cell>
          <cell r="H3378">
            <v>1</v>
          </cell>
          <cell r="I3378">
            <v>0</v>
          </cell>
          <cell r="J3378">
            <v>1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 t="str">
            <v>May 30, 2019</v>
          </cell>
          <cell r="P3378">
            <v>0</v>
          </cell>
          <cell r="Q3378">
            <v>0</v>
          </cell>
          <cell r="R3378">
            <v>1</v>
          </cell>
          <cell r="S3378">
            <v>0</v>
          </cell>
          <cell r="T3378">
            <v>0</v>
          </cell>
          <cell r="U3378">
            <v>0</v>
          </cell>
          <cell r="V3378">
            <v>1</v>
          </cell>
          <cell r="W3378">
            <v>0</v>
          </cell>
          <cell r="X3378">
            <v>0</v>
          </cell>
          <cell r="Y3378">
            <v>0</v>
          </cell>
        </row>
        <row r="3379">
          <cell r="D3379">
            <v>302421</v>
          </cell>
          <cell r="E3379" t="str">
            <v>Putian National High School</v>
          </cell>
          <cell r="F3379">
            <v>1</v>
          </cell>
          <cell r="G3379">
            <v>0</v>
          </cell>
          <cell r="H3379">
            <v>1</v>
          </cell>
          <cell r="I3379">
            <v>0</v>
          </cell>
          <cell r="J3379">
            <v>1</v>
          </cell>
          <cell r="K3379">
            <v>0</v>
          </cell>
          <cell r="L3379">
            <v>0</v>
          </cell>
          <cell r="M3379">
            <v>0</v>
          </cell>
          <cell r="N3379">
            <v>1</v>
          </cell>
          <cell r="O3379">
            <v>0</v>
          </cell>
          <cell r="P3379" t="str">
            <v>3/22/2019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</row>
        <row r="3380">
          <cell r="D3380">
            <v>302300</v>
          </cell>
          <cell r="E3380" t="str">
            <v>Camaligan NHS</v>
          </cell>
          <cell r="F3380">
            <v>1</v>
          </cell>
          <cell r="G3380">
            <v>1</v>
          </cell>
          <cell r="H3380">
            <v>1</v>
          </cell>
          <cell r="I3380">
            <v>0</v>
          </cell>
          <cell r="J3380">
            <v>0</v>
          </cell>
          <cell r="K3380">
            <v>1</v>
          </cell>
          <cell r="L3380">
            <v>0</v>
          </cell>
          <cell r="M3380">
            <v>0</v>
          </cell>
          <cell r="N3380">
            <v>1</v>
          </cell>
          <cell r="O3380">
            <v>0</v>
          </cell>
          <cell r="P3380">
            <v>0</v>
          </cell>
          <cell r="Q3380">
            <v>0</v>
          </cell>
          <cell r="R3380">
            <v>1</v>
          </cell>
          <cell r="S3380">
            <v>0</v>
          </cell>
          <cell r="T3380">
            <v>0</v>
          </cell>
          <cell r="U3380">
            <v>0</v>
          </cell>
          <cell r="V3380">
            <v>1</v>
          </cell>
          <cell r="W3380">
            <v>0</v>
          </cell>
          <cell r="X3380">
            <v>0</v>
          </cell>
          <cell r="Y3380">
            <v>0</v>
          </cell>
        </row>
        <row r="3381">
          <cell r="D3381">
            <v>302294</v>
          </cell>
          <cell r="E3381" t="str">
            <v>Bay-ang-Magpag-ong NHS</v>
          </cell>
          <cell r="F3381">
            <v>1</v>
          </cell>
          <cell r="G3381">
            <v>1</v>
          </cell>
          <cell r="H3381">
            <v>1</v>
          </cell>
          <cell r="I3381">
            <v>0</v>
          </cell>
          <cell r="J3381">
            <v>1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 t="str">
            <v>JULY 18, 2019</v>
          </cell>
          <cell r="Q3381">
            <v>1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1</v>
          </cell>
          <cell r="W3381">
            <v>0</v>
          </cell>
          <cell r="X3381">
            <v>0</v>
          </cell>
          <cell r="Y3381">
            <v>0</v>
          </cell>
        </row>
        <row r="3382">
          <cell r="D3382">
            <v>302322</v>
          </cell>
          <cell r="E3382" t="str">
            <v>Naisud NHS</v>
          </cell>
          <cell r="F3382">
            <v>0</v>
          </cell>
          <cell r="G3382">
            <v>1</v>
          </cell>
          <cell r="H3382">
            <v>1</v>
          </cell>
          <cell r="I3382">
            <v>0</v>
          </cell>
          <cell r="J3382">
            <v>0</v>
          </cell>
          <cell r="K3382">
            <v>0</v>
          </cell>
          <cell r="L3382">
            <v>1</v>
          </cell>
          <cell r="M3382" t="str">
            <v>as the need arises</v>
          </cell>
          <cell r="N3382">
            <v>1</v>
          </cell>
          <cell r="O3382" t="str">
            <v>June 18, 2018</v>
          </cell>
          <cell r="P3382" t="str">
            <v>August 18, 2018</v>
          </cell>
          <cell r="Q3382">
            <v>1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1</v>
          </cell>
          <cell r="W3382">
            <v>3</v>
          </cell>
          <cell r="X3382">
            <v>1</v>
          </cell>
          <cell r="Y3382">
            <v>0</v>
          </cell>
        </row>
        <row r="3383">
          <cell r="D3383">
            <v>302751</v>
          </cell>
          <cell r="E3383" t="str">
            <v>Doña Hortencia Salas Benedicto NHS</v>
          </cell>
          <cell r="F3383">
            <v>1</v>
          </cell>
          <cell r="G3383">
            <v>1</v>
          </cell>
          <cell r="H3383">
            <v>0</v>
          </cell>
          <cell r="I3383">
            <v>1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1</v>
          </cell>
          <cell r="O3383">
            <v>43696</v>
          </cell>
          <cell r="P3383">
            <v>43675</v>
          </cell>
          <cell r="Q3383">
            <v>1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1</v>
          </cell>
          <cell r="W3383">
            <v>2</v>
          </cell>
          <cell r="X3383">
            <v>2</v>
          </cell>
          <cell r="Y3383">
            <v>2</v>
          </cell>
        </row>
        <row r="3384">
          <cell r="D3384">
            <v>302341</v>
          </cell>
          <cell r="E3384" t="str">
            <v>Antique NS</v>
          </cell>
          <cell r="F3384">
            <v>1</v>
          </cell>
          <cell r="G3384">
            <v>1</v>
          </cell>
          <cell r="H3384">
            <v>1</v>
          </cell>
          <cell r="I3384">
            <v>0</v>
          </cell>
          <cell r="J3384">
            <v>1</v>
          </cell>
          <cell r="K3384">
            <v>0</v>
          </cell>
          <cell r="L3384">
            <v>0</v>
          </cell>
          <cell r="M3384">
            <v>0</v>
          </cell>
          <cell r="N3384">
            <v>1</v>
          </cell>
          <cell r="O3384">
            <v>0</v>
          </cell>
          <cell r="P3384">
            <v>0</v>
          </cell>
          <cell r="Q3384">
            <v>0</v>
          </cell>
          <cell r="R3384">
            <v>1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</row>
        <row r="3385">
          <cell r="D3385">
            <v>302353</v>
          </cell>
          <cell r="E3385" t="str">
            <v>Diclum National High School</v>
          </cell>
          <cell r="F3385">
            <v>1</v>
          </cell>
          <cell r="G3385">
            <v>1</v>
          </cell>
          <cell r="H3385">
            <v>0</v>
          </cell>
          <cell r="I3385">
            <v>0</v>
          </cell>
          <cell r="J3385">
            <v>1</v>
          </cell>
          <cell r="K3385">
            <v>0</v>
          </cell>
          <cell r="L3385">
            <v>0</v>
          </cell>
          <cell r="M3385">
            <v>0</v>
          </cell>
          <cell r="N3385">
            <v>1</v>
          </cell>
          <cell r="O3385">
            <v>0</v>
          </cell>
          <cell r="P3385">
            <v>0</v>
          </cell>
          <cell r="Q3385">
            <v>1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1</v>
          </cell>
          <cell r="W3385">
            <v>0</v>
          </cell>
          <cell r="X3385">
            <v>0</v>
          </cell>
          <cell r="Y3385">
            <v>0</v>
          </cell>
        </row>
        <row r="3386">
          <cell r="D3386">
            <v>330516</v>
          </cell>
          <cell r="E3386" t="str">
            <v>Philippine Science High School - Western Visayas Campus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</row>
        <row r="3387">
          <cell r="D3387">
            <v>302290</v>
          </cell>
          <cell r="E3387" t="str">
            <v>Petronilo C. Ibadlit National High school</v>
          </cell>
          <cell r="F3387">
            <v>1</v>
          </cell>
          <cell r="G3387">
            <v>1</v>
          </cell>
          <cell r="H3387">
            <v>1</v>
          </cell>
          <cell r="I3387">
            <v>0</v>
          </cell>
          <cell r="J3387">
            <v>0</v>
          </cell>
          <cell r="K3387">
            <v>1</v>
          </cell>
          <cell r="L3387">
            <v>0</v>
          </cell>
          <cell r="M3387">
            <v>0</v>
          </cell>
          <cell r="N3387">
            <v>1</v>
          </cell>
          <cell r="O3387">
            <v>0</v>
          </cell>
          <cell r="P3387">
            <v>0</v>
          </cell>
          <cell r="Q3387">
            <v>0</v>
          </cell>
          <cell r="R3387">
            <v>1</v>
          </cell>
          <cell r="S3387">
            <v>0</v>
          </cell>
          <cell r="T3387">
            <v>0</v>
          </cell>
          <cell r="U3387">
            <v>0</v>
          </cell>
          <cell r="V3387">
            <v>1</v>
          </cell>
          <cell r="W3387">
            <v>0</v>
          </cell>
          <cell r="X3387">
            <v>0</v>
          </cell>
          <cell r="Y3387">
            <v>0</v>
          </cell>
        </row>
        <row r="3388">
          <cell r="D3388">
            <v>302356</v>
          </cell>
          <cell r="E3388" t="str">
            <v>Governor Julian Fullon Pacificador National School</v>
          </cell>
          <cell r="F3388">
            <v>1</v>
          </cell>
          <cell r="G3388">
            <v>1</v>
          </cell>
          <cell r="H3388">
            <v>1</v>
          </cell>
          <cell r="I3388">
            <v>0</v>
          </cell>
          <cell r="J3388">
            <v>1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1</v>
          </cell>
          <cell r="S3388">
            <v>0</v>
          </cell>
          <cell r="T3388">
            <v>0</v>
          </cell>
          <cell r="U3388">
            <v>0</v>
          </cell>
          <cell r="V3388">
            <v>1</v>
          </cell>
          <cell r="W3388">
            <v>0</v>
          </cell>
          <cell r="X3388">
            <v>0</v>
          </cell>
          <cell r="Y3388">
            <v>0</v>
          </cell>
        </row>
        <row r="3389">
          <cell r="D3389">
            <v>310708</v>
          </cell>
          <cell r="E3389" t="str">
            <v>Eastern Laua-an NHS (Maria NHS)</v>
          </cell>
          <cell r="F3389">
            <v>0</v>
          </cell>
          <cell r="G3389">
            <v>0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</row>
        <row r="3390">
          <cell r="D3390">
            <v>310602</v>
          </cell>
          <cell r="E3390" t="str">
            <v>Mangan National High School</v>
          </cell>
          <cell r="F3390">
            <v>1</v>
          </cell>
          <cell r="G3390">
            <v>1</v>
          </cell>
          <cell r="H3390">
            <v>1</v>
          </cell>
          <cell r="I3390">
            <v>0</v>
          </cell>
          <cell r="J3390">
            <v>1</v>
          </cell>
          <cell r="K3390">
            <v>0</v>
          </cell>
          <cell r="L3390">
            <v>0</v>
          </cell>
          <cell r="M3390">
            <v>0</v>
          </cell>
          <cell r="N3390">
            <v>1</v>
          </cell>
          <cell r="O3390">
            <v>0</v>
          </cell>
          <cell r="P3390" t="str">
            <v>N/A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2</v>
          </cell>
          <cell r="X3390">
            <v>2</v>
          </cell>
          <cell r="Y3390">
            <v>2</v>
          </cell>
        </row>
        <row r="3391">
          <cell r="D3391">
            <v>302345</v>
          </cell>
          <cell r="E3391" t="str">
            <v>Barasanan National High School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</row>
        <row r="3392">
          <cell r="D3392">
            <v>302314</v>
          </cell>
          <cell r="E3392" t="str">
            <v>LOCTUGA NATIONAL HIGH SCHOOL</v>
          </cell>
          <cell r="F3392">
            <v>1</v>
          </cell>
          <cell r="G3392">
            <v>1</v>
          </cell>
          <cell r="H3392">
            <v>0</v>
          </cell>
          <cell r="I3392">
            <v>0</v>
          </cell>
          <cell r="J3392">
            <v>0</v>
          </cell>
          <cell r="K3392">
            <v>1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</row>
        <row r="3393">
          <cell r="D3393">
            <v>302367</v>
          </cell>
          <cell r="E3393" t="str">
            <v>Northern Antique Vocational School</v>
          </cell>
          <cell r="F3393">
            <v>1</v>
          </cell>
          <cell r="G3393">
            <v>0</v>
          </cell>
          <cell r="H3393">
            <v>1</v>
          </cell>
          <cell r="I3393">
            <v>0</v>
          </cell>
          <cell r="J3393">
            <v>0</v>
          </cell>
          <cell r="K3393">
            <v>1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43710</v>
          </cell>
          <cell r="Q3393">
            <v>1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1</v>
          </cell>
          <cell r="W3393">
            <v>0</v>
          </cell>
          <cell r="X3393">
            <v>0</v>
          </cell>
          <cell r="Y3393">
            <v>0</v>
          </cell>
        </row>
        <row r="3394">
          <cell r="D3394">
            <v>302334</v>
          </cell>
          <cell r="E3394" t="str">
            <v>Rosario National High School</v>
          </cell>
          <cell r="F3394">
            <v>1</v>
          </cell>
          <cell r="G3394">
            <v>0</v>
          </cell>
          <cell r="H3394">
            <v>1</v>
          </cell>
          <cell r="I3394">
            <v>0</v>
          </cell>
          <cell r="J3394">
            <v>0</v>
          </cell>
          <cell r="K3394">
            <v>0</v>
          </cell>
          <cell r="L3394">
            <v>1</v>
          </cell>
          <cell r="M3394" t="str">
            <v>IF NECESSARY</v>
          </cell>
          <cell r="N3394">
            <v>1</v>
          </cell>
          <cell r="O3394" t="str">
            <v>07/23/2019</v>
          </cell>
          <cell r="P3394" t="str">
            <v>08/13/2019</v>
          </cell>
          <cell r="Q3394">
            <v>0</v>
          </cell>
          <cell r="R3394">
            <v>1</v>
          </cell>
          <cell r="S3394">
            <v>0</v>
          </cell>
          <cell r="T3394">
            <v>0</v>
          </cell>
          <cell r="U3394">
            <v>0</v>
          </cell>
          <cell r="V3394">
            <v>1</v>
          </cell>
          <cell r="W3394">
            <v>0</v>
          </cell>
          <cell r="X3394">
            <v>0</v>
          </cell>
          <cell r="Y3394">
            <v>0</v>
          </cell>
        </row>
        <row r="3395">
          <cell r="D3395">
            <v>302317</v>
          </cell>
          <cell r="E3395" t="str">
            <v>Malay National High School</v>
          </cell>
          <cell r="F3395">
            <v>0</v>
          </cell>
          <cell r="G3395">
            <v>0</v>
          </cell>
          <cell r="H3395">
            <v>1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 t="str">
            <v>JULY 10, 2009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1</v>
          </cell>
          <cell r="W3395">
            <v>0</v>
          </cell>
          <cell r="X3395">
            <v>0</v>
          </cell>
          <cell r="Y3395">
            <v>0</v>
          </cell>
        </row>
        <row r="3396">
          <cell r="D3396">
            <v>302429</v>
          </cell>
          <cell r="E3396" t="str">
            <v>Desiderio C. Gange NHS</v>
          </cell>
          <cell r="F3396">
            <v>1</v>
          </cell>
          <cell r="G3396">
            <v>1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</row>
        <row r="3397">
          <cell r="D3397">
            <v>302361</v>
          </cell>
          <cell r="E3397" t="str">
            <v>Igpalge NHS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1</v>
          </cell>
          <cell r="M3397" t="str">
            <v>NONE</v>
          </cell>
          <cell r="N3397">
            <v>0</v>
          </cell>
          <cell r="O3397" t="str">
            <v>N/A</v>
          </cell>
          <cell r="P3397" t="str">
            <v>N/A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</row>
        <row r="3398">
          <cell r="D3398">
            <v>500183</v>
          </cell>
          <cell r="E3398" t="str">
            <v>Jawili Integrated School</v>
          </cell>
          <cell r="F3398">
            <v>1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 t="str">
            <v>n/a</v>
          </cell>
          <cell r="P3398" t="str">
            <v>n/a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1</v>
          </cell>
          <cell r="X3398">
            <v>1</v>
          </cell>
          <cell r="Y3398">
            <v>0</v>
          </cell>
        </row>
        <row r="3399">
          <cell r="D3399">
            <v>500640</v>
          </cell>
          <cell r="E3399" t="str">
            <v>Ipil Integrated School</v>
          </cell>
          <cell r="F3399">
            <v>1</v>
          </cell>
          <cell r="G3399">
            <v>1</v>
          </cell>
          <cell r="H3399">
            <v>0</v>
          </cell>
          <cell r="I3399">
            <v>0</v>
          </cell>
          <cell r="J3399">
            <v>1</v>
          </cell>
          <cell r="K3399">
            <v>0</v>
          </cell>
          <cell r="L3399">
            <v>0</v>
          </cell>
          <cell r="M3399">
            <v>0</v>
          </cell>
          <cell r="N3399">
            <v>1</v>
          </cell>
          <cell r="O3399">
            <v>0</v>
          </cell>
          <cell r="P3399" t="str">
            <v>05/28/2019</v>
          </cell>
          <cell r="Q3399">
            <v>1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1</v>
          </cell>
          <cell r="W3399">
            <v>0</v>
          </cell>
          <cell r="X3399">
            <v>0</v>
          </cell>
          <cell r="Y3399">
            <v>0</v>
          </cell>
        </row>
        <row r="3400">
          <cell r="D3400">
            <v>500170</v>
          </cell>
          <cell r="E3400" t="str">
            <v>Aguinaldo T. Repiedad Sr. IS</v>
          </cell>
          <cell r="F3400">
            <v>1</v>
          </cell>
          <cell r="G3400">
            <v>0</v>
          </cell>
          <cell r="H3400">
            <v>1</v>
          </cell>
          <cell r="I3400">
            <v>0</v>
          </cell>
          <cell r="J3400">
            <v>1</v>
          </cell>
          <cell r="K3400">
            <v>0</v>
          </cell>
          <cell r="L3400">
            <v>0</v>
          </cell>
          <cell r="M3400">
            <v>0</v>
          </cell>
          <cell r="N3400">
            <v>1</v>
          </cell>
          <cell r="O3400" t="str">
            <v>June 28, 2019</v>
          </cell>
          <cell r="P3400" t="str">
            <v>July 5, 2019</v>
          </cell>
          <cell r="Q3400">
            <v>0</v>
          </cell>
          <cell r="R3400">
            <v>1</v>
          </cell>
          <cell r="S3400">
            <v>0</v>
          </cell>
          <cell r="T3400">
            <v>0</v>
          </cell>
          <cell r="U3400">
            <v>0</v>
          </cell>
          <cell r="V3400">
            <v>1</v>
          </cell>
          <cell r="W3400">
            <v>3</v>
          </cell>
          <cell r="X3400">
            <v>0</v>
          </cell>
          <cell r="Y3400">
            <v>3</v>
          </cell>
        </row>
        <row r="3401">
          <cell r="D3401">
            <v>302407</v>
          </cell>
          <cell r="E3401" t="str">
            <v>Macario Delfin Bermejo NHS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1</v>
          </cell>
          <cell r="U3401" t="str">
            <v>n/a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</row>
        <row r="3402">
          <cell r="D3402">
            <v>302319</v>
          </cell>
          <cell r="E3402" t="str">
            <v>Malinao Sch. For Phil. Craftsmen</v>
          </cell>
          <cell r="F3402">
            <v>1</v>
          </cell>
          <cell r="G3402">
            <v>1</v>
          </cell>
          <cell r="H3402">
            <v>1</v>
          </cell>
          <cell r="I3402">
            <v>0</v>
          </cell>
          <cell r="J3402">
            <v>1</v>
          </cell>
          <cell r="K3402">
            <v>0</v>
          </cell>
          <cell r="L3402">
            <v>0</v>
          </cell>
          <cell r="M3402">
            <v>0</v>
          </cell>
          <cell r="N3402">
            <v>1</v>
          </cell>
          <cell r="O3402">
            <v>0</v>
          </cell>
          <cell r="P3402">
            <v>0</v>
          </cell>
          <cell r="Q3402">
            <v>0</v>
          </cell>
          <cell r="R3402">
            <v>1</v>
          </cell>
          <cell r="S3402">
            <v>0</v>
          </cell>
          <cell r="T3402">
            <v>0</v>
          </cell>
          <cell r="U3402">
            <v>0</v>
          </cell>
          <cell r="V3402">
            <v>1</v>
          </cell>
          <cell r="W3402">
            <v>2</v>
          </cell>
          <cell r="X3402">
            <v>0</v>
          </cell>
          <cell r="Y3402">
            <v>0</v>
          </cell>
        </row>
        <row r="3403">
          <cell r="D3403">
            <v>310603</v>
          </cell>
          <cell r="E3403" t="str">
            <v>LAMBERTO H. TIROL NATIONAL HIGH SCHOOL</v>
          </cell>
          <cell r="F3403">
            <v>1</v>
          </cell>
          <cell r="G3403">
            <v>1</v>
          </cell>
          <cell r="H3403">
            <v>1</v>
          </cell>
          <cell r="I3403">
            <v>0</v>
          </cell>
          <cell r="J3403">
            <v>1</v>
          </cell>
          <cell r="K3403">
            <v>0</v>
          </cell>
          <cell r="L3403">
            <v>0</v>
          </cell>
          <cell r="M3403">
            <v>0</v>
          </cell>
          <cell r="N3403">
            <v>1</v>
          </cell>
          <cell r="O3403" t="str">
            <v>8/23/2018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1</v>
          </cell>
          <cell r="W3403">
            <v>81</v>
          </cell>
          <cell r="X3403">
            <v>1</v>
          </cell>
          <cell r="Y3403">
            <v>1</v>
          </cell>
        </row>
        <row r="3404">
          <cell r="D3404">
            <v>310809</v>
          </cell>
          <cell r="E3404" t="str">
            <v>REV. TOMAS CONEJAR NHS (katipunan)</v>
          </cell>
          <cell r="F3404">
            <v>1</v>
          </cell>
          <cell r="G3404">
            <v>0</v>
          </cell>
          <cell r="H3404">
            <v>1</v>
          </cell>
          <cell r="I3404">
            <v>0</v>
          </cell>
          <cell r="J3404">
            <v>0</v>
          </cell>
          <cell r="K3404">
            <v>1</v>
          </cell>
          <cell r="L3404">
            <v>0</v>
          </cell>
          <cell r="M3404">
            <v>0</v>
          </cell>
          <cell r="N3404">
            <v>1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</row>
        <row r="3405">
          <cell r="D3405">
            <v>302355</v>
          </cell>
          <cell r="E3405" t="str">
            <v>Gamad-Sto. Tomas NHS</v>
          </cell>
          <cell r="F3405">
            <v>1</v>
          </cell>
          <cell r="G3405">
            <v>0</v>
          </cell>
          <cell r="H3405">
            <v>1</v>
          </cell>
          <cell r="I3405">
            <v>0</v>
          </cell>
          <cell r="J3405">
            <v>1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1</v>
          </cell>
          <cell r="W3405">
            <v>0</v>
          </cell>
          <cell r="X3405">
            <v>0</v>
          </cell>
          <cell r="Y3405">
            <v>0</v>
          </cell>
        </row>
        <row r="3406">
          <cell r="D3406">
            <v>302575</v>
          </cell>
          <cell r="E3406" t="str">
            <v>Tabugon NHS</v>
          </cell>
          <cell r="F3406">
            <v>0</v>
          </cell>
          <cell r="G3406">
            <v>0</v>
          </cell>
          <cell r="H3406">
            <v>1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</row>
        <row r="3407">
          <cell r="D3407">
            <v>302307</v>
          </cell>
          <cell r="E3407" t="str">
            <v>Father Julian C. Rago Memorial NHS</v>
          </cell>
          <cell r="F3407">
            <v>1</v>
          </cell>
          <cell r="G3407">
            <v>1</v>
          </cell>
          <cell r="H3407">
            <v>1</v>
          </cell>
          <cell r="I3407">
            <v>0</v>
          </cell>
          <cell r="J3407">
            <v>0</v>
          </cell>
          <cell r="K3407">
            <v>1</v>
          </cell>
          <cell r="L3407">
            <v>0</v>
          </cell>
          <cell r="M3407">
            <v>0</v>
          </cell>
          <cell r="N3407">
            <v>1</v>
          </cell>
          <cell r="O3407">
            <v>43669</v>
          </cell>
          <cell r="P3407">
            <v>43619</v>
          </cell>
          <cell r="Q3407">
            <v>0</v>
          </cell>
          <cell r="R3407">
            <v>0</v>
          </cell>
          <cell r="S3407">
            <v>1</v>
          </cell>
          <cell r="T3407">
            <v>0</v>
          </cell>
          <cell r="U3407">
            <v>0</v>
          </cell>
          <cell r="V3407">
            <v>0</v>
          </cell>
          <cell r="W3407">
            <v>3</v>
          </cell>
          <cell r="X3407">
            <v>2</v>
          </cell>
          <cell r="Y3407">
            <v>2</v>
          </cell>
        </row>
        <row r="3408">
          <cell r="D3408">
            <v>302340</v>
          </cell>
          <cell r="E3408" t="str">
            <v>Union National High School</v>
          </cell>
          <cell r="F3408">
            <v>1</v>
          </cell>
          <cell r="G3408">
            <v>1</v>
          </cell>
          <cell r="H3408">
            <v>1</v>
          </cell>
          <cell r="I3408">
            <v>0</v>
          </cell>
          <cell r="J3408">
            <v>1</v>
          </cell>
          <cell r="K3408">
            <v>0</v>
          </cell>
          <cell r="L3408">
            <v>0</v>
          </cell>
          <cell r="M3408">
            <v>0</v>
          </cell>
          <cell r="N3408">
            <v>1</v>
          </cell>
          <cell r="O3408">
            <v>43676</v>
          </cell>
          <cell r="P3408">
            <v>43623</v>
          </cell>
          <cell r="Q3408">
            <v>0</v>
          </cell>
          <cell r="R3408">
            <v>1</v>
          </cell>
          <cell r="S3408">
            <v>0</v>
          </cell>
          <cell r="T3408">
            <v>1</v>
          </cell>
          <cell r="U3408">
            <v>0</v>
          </cell>
          <cell r="V3408">
            <v>1</v>
          </cell>
          <cell r="W3408">
            <v>2</v>
          </cell>
          <cell r="X3408">
            <v>0</v>
          </cell>
          <cell r="Y3408">
            <v>0</v>
          </cell>
        </row>
        <row r="3409">
          <cell r="D3409">
            <v>302286</v>
          </cell>
          <cell r="E3409" t="str">
            <v>Altavas National School</v>
          </cell>
          <cell r="F3409">
            <v>1</v>
          </cell>
          <cell r="G3409">
            <v>1</v>
          </cell>
          <cell r="H3409">
            <v>1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1</v>
          </cell>
          <cell r="O3409">
            <v>0</v>
          </cell>
          <cell r="P3409" t="str">
            <v>June 17, 2019</v>
          </cell>
          <cell r="Q3409">
            <v>1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1</v>
          </cell>
          <cell r="W3409">
            <v>0</v>
          </cell>
          <cell r="X3409">
            <v>0</v>
          </cell>
          <cell r="Y3409">
            <v>0</v>
          </cell>
        </row>
        <row r="3410">
          <cell r="D3410">
            <v>500173</v>
          </cell>
          <cell r="E3410" t="str">
            <v>Tamalagon Integrated School</v>
          </cell>
          <cell r="F3410">
            <v>1</v>
          </cell>
          <cell r="G3410">
            <v>1</v>
          </cell>
          <cell r="H3410">
            <v>1</v>
          </cell>
          <cell r="I3410">
            <v>0</v>
          </cell>
          <cell r="J3410">
            <v>1</v>
          </cell>
          <cell r="K3410">
            <v>0</v>
          </cell>
          <cell r="L3410">
            <v>0</v>
          </cell>
          <cell r="M3410">
            <v>0</v>
          </cell>
          <cell r="N3410">
            <v>1</v>
          </cell>
          <cell r="O3410" t="str">
            <v>February 8, 2019</v>
          </cell>
          <cell r="P3410" t="str">
            <v>February 8, 2019</v>
          </cell>
          <cell r="Q3410">
            <v>1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1</v>
          </cell>
          <cell r="X3410">
            <v>0</v>
          </cell>
          <cell r="Y3410">
            <v>0</v>
          </cell>
        </row>
        <row r="3411">
          <cell r="D3411">
            <v>302446</v>
          </cell>
          <cell r="E3411" t="str">
            <v>Alimodian NCHS</v>
          </cell>
          <cell r="F3411">
            <v>1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1</v>
          </cell>
          <cell r="M3411" t="str">
            <v>as the need arises</v>
          </cell>
          <cell r="N3411">
            <v>1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1</v>
          </cell>
          <cell r="U3411" t="str">
            <v>as the need arises</v>
          </cell>
          <cell r="V3411">
            <v>1</v>
          </cell>
          <cell r="W3411">
            <v>0</v>
          </cell>
          <cell r="X3411">
            <v>0</v>
          </cell>
          <cell r="Y3411">
            <v>0</v>
          </cell>
        </row>
        <row r="3412">
          <cell r="D3412">
            <v>310702</v>
          </cell>
          <cell r="E3412" t="str">
            <v>Tario Lim National Memorial High School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</row>
        <row r="3413">
          <cell r="D3413">
            <v>302310</v>
          </cell>
          <cell r="E3413" t="str">
            <v>Libacao National Forestry Vocational High School</v>
          </cell>
          <cell r="F3413">
            <v>1</v>
          </cell>
          <cell r="G3413">
            <v>1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</row>
        <row r="3414">
          <cell r="D3414">
            <v>302343</v>
          </cell>
          <cell r="E3414" t="str">
            <v>Aureliana NHS</v>
          </cell>
          <cell r="F3414">
            <v>1</v>
          </cell>
          <cell r="G3414">
            <v>1</v>
          </cell>
          <cell r="H3414">
            <v>1</v>
          </cell>
          <cell r="I3414">
            <v>0</v>
          </cell>
          <cell r="J3414">
            <v>1</v>
          </cell>
          <cell r="K3414">
            <v>0</v>
          </cell>
          <cell r="L3414">
            <v>0</v>
          </cell>
          <cell r="M3414">
            <v>0</v>
          </cell>
          <cell r="N3414">
            <v>1</v>
          </cell>
          <cell r="O3414">
            <v>43252</v>
          </cell>
          <cell r="P3414">
            <v>0</v>
          </cell>
          <cell r="Q3414">
            <v>0</v>
          </cell>
          <cell r="R3414">
            <v>1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3</v>
          </cell>
          <cell r="X3414">
            <v>0</v>
          </cell>
          <cell r="Y3414">
            <v>0</v>
          </cell>
        </row>
        <row r="3415">
          <cell r="D3415">
            <v>302754</v>
          </cell>
          <cell r="E3415" t="str">
            <v>San Miguel NHS</v>
          </cell>
          <cell r="F3415">
            <v>1</v>
          </cell>
          <cell r="G3415">
            <v>1</v>
          </cell>
          <cell r="H3415">
            <v>1</v>
          </cell>
          <cell r="I3415">
            <v>0</v>
          </cell>
          <cell r="J3415">
            <v>1</v>
          </cell>
          <cell r="K3415">
            <v>0</v>
          </cell>
          <cell r="L3415">
            <v>0</v>
          </cell>
          <cell r="M3415">
            <v>0</v>
          </cell>
          <cell r="N3415">
            <v>1</v>
          </cell>
          <cell r="O3415" t="str">
            <v>AUGUST 29, 2019</v>
          </cell>
          <cell r="P3415" t="str">
            <v>JULY 25, 2019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1</v>
          </cell>
          <cell r="X3415">
            <v>0</v>
          </cell>
          <cell r="Y3415">
            <v>0</v>
          </cell>
        </row>
        <row r="3416">
          <cell r="D3416">
            <v>500181</v>
          </cell>
          <cell r="E3416" t="str">
            <v>Dalagsaan Integrated School</v>
          </cell>
          <cell r="F3416">
            <v>1</v>
          </cell>
          <cell r="G3416">
            <v>1</v>
          </cell>
          <cell r="H3416">
            <v>1</v>
          </cell>
          <cell r="I3416">
            <v>0</v>
          </cell>
          <cell r="J3416">
            <v>1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1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</row>
        <row r="3417">
          <cell r="D3417">
            <v>500639</v>
          </cell>
          <cell r="E3417" t="str">
            <v>Baybay-Alibagon Integrated School</v>
          </cell>
          <cell r="F3417">
            <v>1</v>
          </cell>
          <cell r="G3417">
            <v>1</v>
          </cell>
          <cell r="H3417">
            <v>1</v>
          </cell>
          <cell r="I3417">
            <v>0</v>
          </cell>
          <cell r="J3417">
            <v>0</v>
          </cell>
          <cell r="K3417">
            <v>1</v>
          </cell>
          <cell r="L3417">
            <v>0</v>
          </cell>
          <cell r="M3417">
            <v>0</v>
          </cell>
          <cell r="N3417">
            <v>1</v>
          </cell>
          <cell r="O3417">
            <v>0</v>
          </cell>
          <cell r="P3417">
            <v>43617</v>
          </cell>
          <cell r="Q3417">
            <v>0</v>
          </cell>
          <cell r="R3417">
            <v>0</v>
          </cell>
          <cell r="S3417">
            <v>1</v>
          </cell>
          <cell r="T3417">
            <v>0</v>
          </cell>
          <cell r="U3417">
            <v>0</v>
          </cell>
          <cell r="V3417">
            <v>1</v>
          </cell>
          <cell r="W3417">
            <v>0</v>
          </cell>
          <cell r="X3417">
            <v>0</v>
          </cell>
          <cell r="Y3417">
            <v>0</v>
          </cell>
        </row>
        <row r="3418">
          <cell r="D3418">
            <v>302325</v>
          </cell>
          <cell r="E3418" t="str">
            <v>Navitas National High School</v>
          </cell>
          <cell r="F3418">
            <v>1</v>
          </cell>
          <cell r="G3418">
            <v>1</v>
          </cell>
          <cell r="H3418">
            <v>1</v>
          </cell>
          <cell r="I3418">
            <v>0</v>
          </cell>
          <cell r="J3418">
            <v>0</v>
          </cell>
          <cell r="K3418">
            <v>0</v>
          </cell>
          <cell r="L3418">
            <v>1</v>
          </cell>
          <cell r="M3418" t="str">
            <v>AS NEEDED</v>
          </cell>
          <cell r="N3418">
            <v>1</v>
          </cell>
          <cell r="O3418" t="str">
            <v>06/29/2019</v>
          </cell>
          <cell r="P3418" t="str">
            <v>07/20/2019</v>
          </cell>
          <cell r="Q3418">
            <v>0</v>
          </cell>
          <cell r="R3418">
            <v>0</v>
          </cell>
          <cell r="S3418">
            <v>0</v>
          </cell>
          <cell r="T3418">
            <v>1</v>
          </cell>
          <cell r="U3418" t="str">
            <v>AS NEEDED</v>
          </cell>
          <cell r="V3418">
            <v>1</v>
          </cell>
          <cell r="W3418">
            <v>0</v>
          </cell>
          <cell r="X3418">
            <v>0</v>
          </cell>
          <cell r="Y3418">
            <v>0</v>
          </cell>
        </row>
        <row r="3419">
          <cell r="D3419">
            <v>302331</v>
          </cell>
          <cell r="E3419" t="str">
            <v>Panayakan National High School</v>
          </cell>
          <cell r="F3419">
            <v>1</v>
          </cell>
          <cell r="G3419">
            <v>0</v>
          </cell>
          <cell r="H3419">
            <v>1</v>
          </cell>
          <cell r="I3419">
            <v>0</v>
          </cell>
          <cell r="J3419">
            <v>0</v>
          </cell>
          <cell r="K3419">
            <v>1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1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</row>
        <row r="3420">
          <cell r="D3420">
            <v>302376</v>
          </cell>
          <cell r="E3420" t="str">
            <v>San Roque-Ezpeleta NHS</v>
          </cell>
          <cell r="F3420">
            <v>1</v>
          </cell>
          <cell r="G3420">
            <v>0</v>
          </cell>
          <cell r="H3420">
            <v>1</v>
          </cell>
          <cell r="I3420">
            <v>0</v>
          </cell>
          <cell r="J3420">
            <v>0</v>
          </cell>
          <cell r="K3420">
            <v>0</v>
          </cell>
          <cell r="L3420">
            <v>1</v>
          </cell>
          <cell r="M3420" t="str">
            <v>semi-annually</v>
          </cell>
          <cell r="N3420">
            <v>1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</row>
        <row r="3421">
          <cell r="D3421">
            <v>500548</v>
          </cell>
          <cell r="E3421" t="str">
            <v>Lipata-Lamputong Integrated School</v>
          </cell>
          <cell r="F3421">
            <v>1</v>
          </cell>
          <cell r="G3421">
            <v>1</v>
          </cell>
          <cell r="H3421">
            <v>1</v>
          </cell>
          <cell r="I3421">
            <v>1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1</v>
          </cell>
          <cell r="O3421">
            <v>43747</v>
          </cell>
          <cell r="P3421">
            <v>43596</v>
          </cell>
          <cell r="Q3421">
            <v>1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1</v>
          </cell>
          <cell r="W3421">
            <v>5</v>
          </cell>
          <cell r="X3421">
            <v>0</v>
          </cell>
          <cell r="Y3421">
            <v>0</v>
          </cell>
        </row>
        <row r="3422">
          <cell r="D3422">
            <v>500642</v>
          </cell>
          <cell r="E3422" t="str">
            <v>Palay Integrated School</v>
          </cell>
          <cell r="F3422">
            <v>1</v>
          </cell>
          <cell r="G3422">
            <v>1</v>
          </cell>
          <cell r="H3422">
            <v>1</v>
          </cell>
          <cell r="I3422">
            <v>0</v>
          </cell>
          <cell r="J3422">
            <v>0</v>
          </cell>
          <cell r="K3422">
            <v>0</v>
          </cell>
          <cell r="L3422">
            <v>1</v>
          </cell>
          <cell r="M3422" t="str">
            <v>AS NEEDED</v>
          </cell>
          <cell r="N3422">
            <v>1</v>
          </cell>
          <cell r="O3422" t="str">
            <v>06/14/2019</v>
          </cell>
          <cell r="P3422">
            <v>0</v>
          </cell>
          <cell r="Q3422">
            <v>1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1</v>
          </cell>
          <cell r="W3422">
            <v>0</v>
          </cell>
          <cell r="X3422">
            <v>0</v>
          </cell>
          <cell r="Y3422">
            <v>0</v>
          </cell>
        </row>
        <row r="3423">
          <cell r="D3423">
            <v>302318</v>
          </cell>
          <cell r="E3423" t="str">
            <v>BURUANGA NATIONAL HIGH SCHOOL</v>
          </cell>
          <cell r="F3423">
            <v>1</v>
          </cell>
          <cell r="G3423">
            <v>1</v>
          </cell>
          <cell r="H3423">
            <v>1</v>
          </cell>
          <cell r="I3423">
            <v>0</v>
          </cell>
          <cell r="J3423">
            <v>1</v>
          </cell>
          <cell r="K3423">
            <v>0</v>
          </cell>
          <cell r="L3423">
            <v>0</v>
          </cell>
          <cell r="M3423">
            <v>0</v>
          </cell>
          <cell r="N3423">
            <v>1</v>
          </cell>
          <cell r="O3423">
            <v>0</v>
          </cell>
          <cell r="P3423">
            <v>0</v>
          </cell>
          <cell r="Q3423">
            <v>0</v>
          </cell>
          <cell r="R3423">
            <v>1</v>
          </cell>
          <cell r="S3423">
            <v>0</v>
          </cell>
          <cell r="T3423">
            <v>0</v>
          </cell>
          <cell r="U3423">
            <v>0</v>
          </cell>
          <cell r="V3423">
            <v>1</v>
          </cell>
          <cell r="W3423">
            <v>0</v>
          </cell>
          <cell r="X3423">
            <v>0</v>
          </cell>
          <cell r="Y3423">
            <v>0</v>
          </cell>
        </row>
        <row r="3424">
          <cell r="D3424">
            <v>311002</v>
          </cell>
          <cell r="E3424" t="str">
            <v>Jose Monfort National Science High School</v>
          </cell>
          <cell r="F3424">
            <v>1</v>
          </cell>
          <cell r="G3424">
            <v>1</v>
          </cell>
          <cell r="H3424">
            <v>1</v>
          </cell>
          <cell r="I3424">
            <v>0</v>
          </cell>
          <cell r="J3424">
            <v>1</v>
          </cell>
          <cell r="K3424">
            <v>0</v>
          </cell>
          <cell r="L3424">
            <v>0</v>
          </cell>
          <cell r="M3424">
            <v>0</v>
          </cell>
          <cell r="N3424">
            <v>1</v>
          </cell>
          <cell r="O3424" t="str">
            <v>June 10, 2019</v>
          </cell>
          <cell r="P3424" t="str">
            <v>August 22, 2017</v>
          </cell>
          <cell r="Q3424">
            <v>0</v>
          </cell>
          <cell r="R3424">
            <v>1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</row>
        <row r="3425">
          <cell r="D3425">
            <v>302344</v>
          </cell>
          <cell r="E3425" t="str">
            <v>Barangbang NHS</v>
          </cell>
          <cell r="F3425">
            <v>1</v>
          </cell>
          <cell r="G3425">
            <v>1</v>
          </cell>
          <cell r="H3425">
            <v>1</v>
          </cell>
          <cell r="I3425">
            <v>0</v>
          </cell>
          <cell r="J3425">
            <v>0</v>
          </cell>
          <cell r="K3425">
            <v>1</v>
          </cell>
          <cell r="L3425">
            <v>0</v>
          </cell>
          <cell r="M3425">
            <v>0</v>
          </cell>
          <cell r="N3425">
            <v>1</v>
          </cell>
          <cell r="O3425" t="str">
            <v>06/19/2019</v>
          </cell>
          <cell r="P3425">
            <v>0</v>
          </cell>
          <cell r="Q3425">
            <v>0</v>
          </cell>
          <cell r="R3425">
            <v>1</v>
          </cell>
          <cell r="S3425">
            <v>0</v>
          </cell>
          <cell r="T3425">
            <v>0</v>
          </cell>
          <cell r="U3425">
            <v>0</v>
          </cell>
          <cell r="V3425">
            <v>1</v>
          </cell>
          <cell r="W3425">
            <v>0</v>
          </cell>
          <cell r="X3425">
            <v>0</v>
          </cell>
          <cell r="Y3425">
            <v>0</v>
          </cell>
        </row>
        <row r="3426">
          <cell r="D3426">
            <v>302373</v>
          </cell>
          <cell r="E3426" t="str">
            <v>Pis-anan National High Sshool</v>
          </cell>
          <cell r="F3426">
            <v>1</v>
          </cell>
          <cell r="G3426">
            <v>1</v>
          </cell>
          <cell r="H3426">
            <v>0</v>
          </cell>
          <cell r="I3426">
            <v>0</v>
          </cell>
          <cell r="J3426">
            <v>1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1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</row>
        <row r="3427">
          <cell r="D3427">
            <v>302339</v>
          </cell>
          <cell r="E3427" t="str">
            <v>Unidos NHS</v>
          </cell>
          <cell r="F3427">
            <v>1</v>
          </cell>
          <cell r="G3427">
            <v>1</v>
          </cell>
          <cell r="H3427">
            <v>1</v>
          </cell>
          <cell r="I3427">
            <v>0</v>
          </cell>
          <cell r="J3427">
            <v>1</v>
          </cell>
          <cell r="K3427">
            <v>0</v>
          </cell>
          <cell r="L3427">
            <v>0</v>
          </cell>
          <cell r="M3427">
            <v>0</v>
          </cell>
          <cell r="N3427">
            <v>1</v>
          </cell>
          <cell r="O3427" t="str">
            <v>06/21/2019</v>
          </cell>
          <cell r="P3427" t="str">
            <v>06/28/2019</v>
          </cell>
          <cell r="Q3427">
            <v>0</v>
          </cell>
          <cell r="R3427">
            <v>1</v>
          </cell>
          <cell r="S3427">
            <v>0</v>
          </cell>
          <cell r="T3427">
            <v>0</v>
          </cell>
          <cell r="U3427">
            <v>0</v>
          </cell>
          <cell r="V3427">
            <v>1</v>
          </cell>
          <cell r="W3427">
            <v>4</v>
          </cell>
          <cell r="X3427">
            <v>4</v>
          </cell>
          <cell r="Y3427">
            <v>4</v>
          </cell>
        </row>
        <row r="3428">
          <cell r="D3428">
            <v>310805</v>
          </cell>
          <cell r="E3428" t="str">
            <v>MAMBUSAO NATIONAL HIGH SCHOOL</v>
          </cell>
          <cell r="F3428">
            <v>1</v>
          </cell>
          <cell r="G3428">
            <v>1</v>
          </cell>
          <cell r="H3428">
            <v>1</v>
          </cell>
          <cell r="I3428">
            <v>1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1</v>
          </cell>
          <cell r="O3428">
            <v>0</v>
          </cell>
          <cell r="P3428">
            <v>5</v>
          </cell>
          <cell r="Q3428">
            <v>0</v>
          </cell>
          <cell r="R3428">
            <v>0</v>
          </cell>
          <cell r="S3428">
            <v>0</v>
          </cell>
          <cell r="T3428">
            <v>1</v>
          </cell>
          <cell r="U3428" t="str">
            <v>AS REQUIRED</v>
          </cell>
          <cell r="V3428">
            <v>1</v>
          </cell>
          <cell r="W3428">
            <v>0</v>
          </cell>
          <cell r="X3428">
            <v>0</v>
          </cell>
          <cell r="Y3428">
            <v>0</v>
          </cell>
        </row>
        <row r="3429">
          <cell r="D3429">
            <v>302493</v>
          </cell>
          <cell r="E3429" t="str">
            <v>Carlos Lopez NHS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</row>
        <row r="3430">
          <cell r="D3430">
            <v>302349</v>
          </cell>
          <cell r="E3430" t="str">
            <v>Buhang NHS</v>
          </cell>
          <cell r="F3430">
            <v>1</v>
          </cell>
          <cell r="G3430">
            <v>1</v>
          </cell>
          <cell r="H3430">
            <v>1</v>
          </cell>
          <cell r="I3430">
            <v>0</v>
          </cell>
          <cell r="J3430">
            <v>1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43617</v>
          </cell>
          <cell r="P3430">
            <v>43617</v>
          </cell>
          <cell r="Q3430">
            <v>1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5</v>
          </cell>
          <cell r="X3430">
            <v>5</v>
          </cell>
          <cell r="Y3430">
            <v>5</v>
          </cell>
        </row>
        <row r="3431">
          <cell r="D3431">
            <v>310605</v>
          </cell>
          <cell r="E3431" t="str">
            <v>Madalag NHS - Mamba Ext.</v>
          </cell>
          <cell r="F3431">
            <v>1</v>
          </cell>
          <cell r="G3431">
            <v>1</v>
          </cell>
          <cell r="H3431">
            <v>1</v>
          </cell>
          <cell r="I3431">
            <v>0</v>
          </cell>
          <cell r="J3431">
            <v>1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 t="str">
            <v>June 1, 2019</v>
          </cell>
          <cell r="P3431">
            <v>0</v>
          </cell>
          <cell r="Q3431">
            <v>0</v>
          </cell>
          <cell r="R3431">
            <v>1</v>
          </cell>
          <cell r="S3431">
            <v>0</v>
          </cell>
          <cell r="T3431">
            <v>0</v>
          </cell>
          <cell r="U3431">
            <v>0</v>
          </cell>
          <cell r="V3431">
            <v>1</v>
          </cell>
          <cell r="W3431">
            <v>0</v>
          </cell>
          <cell r="X3431">
            <v>0</v>
          </cell>
          <cell r="Y3431">
            <v>0</v>
          </cell>
        </row>
        <row r="3432">
          <cell r="D3432">
            <v>302558</v>
          </cell>
          <cell r="E3432" t="str">
            <v>Wenceslao S. Grio NHS</v>
          </cell>
          <cell r="F3432">
            <v>1</v>
          </cell>
          <cell r="G3432">
            <v>1</v>
          </cell>
          <cell r="H3432">
            <v>1</v>
          </cell>
          <cell r="I3432">
            <v>0</v>
          </cell>
          <cell r="J3432">
            <v>1</v>
          </cell>
          <cell r="K3432">
            <v>0</v>
          </cell>
          <cell r="L3432">
            <v>0</v>
          </cell>
          <cell r="M3432">
            <v>0</v>
          </cell>
          <cell r="N3432">
            <v>1</v>
          </cell>
          <cell r="O3432" t="str">
            <v>September 13,2019</v>
          </cell>
          <cell r="P3432">
            <v>0</v>
          </cell>
          <cell r="Q3432">
            <v>0</v>
          </cell>
          <cell r="R3432">
            <v>1</v>
          </cell>
          <cell r="S3432">
            <v>0</v>
          </cell>
          <cell r="T3432">
            <v>0</v>
          </cell>
          <cell r="U3432">
            <v>0</v>
          </cell>
          <cell r="V3432">
            <v>1</v>
          </cell>
          <cell r="W3432">
            <v>0</v>
          </cell>
          <cell r="X3432">
            <v>0</v>
          </cell>
          <cell r="Y3432">
            <v>0</v>
          </cell>
        </row>
        <row r="3433">
          <cell r="D3433">
            <v>310806</v>
          </cell>
          <cell r="E3433" t="str">
            <v>Dumalag Central NHS</v>
          </cell>
          <cell r="F3433">
            <v>1</v>
          </cell>
          <cell r="G3433">
            <v>1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</row>
        <row r="3434">
          <cell r="D3434">
            <v>302582</v>
          </cell>
          <cell r="E3434" t="str">
            <v>Tiring NHS</v>
          </cell>
          <cell r="F3434">
            <v>1</v>
          </cell>
          <cell r="G3434">
            <v>1</v>
          </cell>
          <cell r="H3434">
            <v>1</v>
          </cell>
          <cell r="I3434">
            <v>0</v>
          </cell>
          <cell r="J3434">
            <v>1</v>
          </cell>
          <cell r="K3434">
            <v>0</v>
          </cell>
          <cell r="L3434">
            <v>0</v>
          </cell>
          <cell r="M3434">
            <v>0</v>
          </cell>
          <cell r="N3434">
            <v>1</v>
          </cell>
          <cell r="O3434">
            <v>0</v>
          </cell>
          <cell r="P3434">
            <v>0</v>
          </cell>
          <cell r="Q3434">
            <v>0</v>
          </cell>
          <cell r="R3434">
            <v>1</v>
          </cell>
          <cell r="S3434">
            <v>0</v>
          </cell>
          <cell r="T3434">
            <v>0</v>
          </cell>
          <cell r="U3434">
            <v>0</v>
          </cell>
          <cell r="V3434">
            <v>1</v>
          </cell>
          <cell r="W3434">
            <v>0</v>
          </cell>
          <cell r="X3434">
            <v>0</v>
          </cell>
          <cell r="Y3434">
            <v>0</v>
          </cell>
        </row>
        <row r="3435">
          <cell r="D3435">
            <v>500184</v>
          </cell>
          <cell r="E3435" t="str">
            <v>Mandong Integrated School</v>
          </cell>
          <cell r="F3435">
            <v>1</v>
          </cell>
          <cell r="G3435">
            <v>1</v>
          </cell>
          <cell r="H3435">
            <v>1</v>
          </cell>
          <cell r="I3435">
            <v>0</v>
          </cell>
          <cell r="J3435">
            <v>0</v>
          </cell>
          <cell r="K3435">
            <v>1</v>
          </cell>
          <cell r="L3435">
            <v>0</v>
          </cell>
          <cell r="M3435">
            <v>0</v>
          </cell>
          <cell r="N3435">
            <v>1</v>
          </cell>
          <cell r="O3435">
            <v>43139</v>
          </cell>
          <cell r="P3435">
            <v>43139</v>
          </cell>
          <cell r="Q3435">
            <v>0</v>
          </cell>
          <cell r="R3435">
            <v>0</v>
          </cell>
          <cell r="S3435">
            <v>1</v>
          </cell>
          <cell r="T3435">
            <v>0</v>
          </cell>
          <cell r="U3435">
            <v>0</v>
          </cell>
          <cell r="V3435">
            <v>1</v>
          </cell>
          <cell r="W3435">
            <v>0</v>
          </cell>
          <cell r="X3435">
            <v>0</v>
          </cell>
          <cell r="Y3435">
            <v>0</v>
          </cell>
        </row>
        <row r="3436">
          <cell r="D3436">
            <v>302298</v>
          </cell>
          <cell r="E3436" t="str">
            <v>Dr. Ramon B. Legaspi, Sr. National High School</v>
          </cell>
          <cell r="F3436">
            <v>1</v>
          </cell>
          <cell r="G3436">
            <v>0</v>
          </cell>
          <cell r="H3436">
            <v>1</v>
          </cell>
          <cell r="I3436">
            <v>0</v>
          </cell>
          <cell r="J3436">
            <v>0</v>
          </cell>
          <cell r="K3436">
            <v>1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 t="str">
            <v>06/01/2019</v>
          </cell>
          <cell r="Q3436">
            <v>1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1</v>
          </cell>
          <cell r="W3436">
            <v>0</v>
          </cell>
          <cell r="X3436">
            <v>0</v>
          </cell>
          <cell r="Y3436">
            <v>0</v>
          </cell>
        </row>
        <row r="3437">
          <cell r="D3437">
            <v>500198</v>
          </cell>
          <cell r="E3437" t="str">
            <v>Silay SPED Center</v>
          </cell>
          <cell r="F3437">
            <v>1</v>
          </cell>
          <cell r="G3437">
            <v>1</v>
          </cell>
          <cell r="H3437">
            <v>1</v>
          </cell>
          <cell r="I3437">
            <v>0</v>
          </cell>
          <cell r="J3437">
            <v>1</v>
          </cell>
          <cell r="K3437">
            <v>0</v>
          </cell>
          <cell r="L3437">
            <v>0</v>
          </cell>
          <cell r="M3437">
            <v>0</v>
          </cell>
          <cell r="N3437">
            <v>1</v>
          </cell>
          <cell r="O3437">
            <v>0</v>
          </cell>
          <cell r="P3437">
            <v>0</v>
          </cell>
          <cell r="Q3437">
            <v>1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1</v>
          </cell>
          <cell r="W3437">
            <v>0</v>
          </cell>
          <cell r="X3437">
            <v>0</v>
          </cell>
          <cell r="Y3437">
            <v>0</v>
          </cell>
        </row>
        <row r="3438">
          <cell r="D3438">
            <v>500200</v>
          </cell>
          <cell r="E3438" t="str">
            <v>Napilas IS (Napilas ES)</v>
          </cell>
          <cell r="F3438">
            <v>1</v>
          </cell>
          <cell r="G3438">
            <v>1</v>
          </cell>
          <cell r="H3438">
            <v>1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1</v>
          </cell>
          <cell r="O3438">
            <v>43655</v>
          </cell>
          <cell r="P3438">
            <v>43655</v>
          </cell>
          <cell r="Q3438">
            <v>1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</row>
        <row r="3439">
          <cell r="D3439">
            <v>302384</v>
          </cell>
          <cell r="E3439" t="str">
            <v>Valderrama NHS</v>
          </cell>
          <cell r="F3439">
            <v>0</v>
          </cell>
          <cell r="G3439">
            <v>0</v>
          </cell>
          <cell r="H3439">
            <v>1</v>
          </cell>
          <cell r="I3439">
            <v>0</v>
          </cell>
          <cell r="J3439">
            <v>1</v>
          </cell>
          <cell r="K3439">
            <v>0</v>
          </cell>
          <cell r="L3439">
            <v>0</v>
          </cell>
          <cell r="M3439">
            <v>0</v>
          </cell>
          <cell r="N3439">
            <v>1</v>
          </cell>
          <cell r="O3439">
            <v>43780</v>
          </cell>
          <cell r="P3439">
            <v>0</v>
          </cell>
          <cell r="Q3439">
            <v>0</v>
          </cell>
          <cell r="R3439">
            <v>1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</row>
        <row r="3440">
          <cell r="D3440">
            <v>500202</v>
          </cell>
          <cell r="E3440" t="str">
            <v>SIBATO INTEGRATED SCHOOL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1</v>
          </cell>
          <cell r="M3440" t="str">
            <v>N/A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1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</row>
        <row r="3441">
          <cell r="D3441">
            <v>302288</v>
          </cell>
          <cell r="E3441" t="str">
            <v>Linayasan NHS</v>
          </cell>
          <cell r="F3441">
            <v>1</v>
          </cell>
          <cell r="G3441">
            <v>1</v>
          </cell>
          <cell r="H3441">
            <v>1</v>
          </cell>
          <cell r="I3441">
            <v>0</v>
          </cell>
          <cell r="J3441">
            <v>0</v>
          </cell>
          <cell r="K3441">
            <v>1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43647</v>
          </cell>
          <cell r="Q3441">
            <v>0</v>
          </cell>
          <cell r="R3441">
            <v>1</v>
          </cell>
          <cell r="S3441">
            <v>0</v>
          </cell>
          <cell r="T3441">
            <v>0</v>
          </cell>
          <cell r="U3441">
            <v>0</v>
          </cell>
          <cell r="V3441">
            <v>1</v>
          </cell>
          <cell r="W3441">
            <v>0</v>
          </cell>
          <cell r="X3441">
            <v>0</v>
          </cell>
          <cell r="Y3441">
            <v>0</v>
          </cell>
        </row>
        <row r="3442">
          <cell r="D3442">
            <v>500185</v>
          </cell>
          <cell r="E3442" t="str">
            <v>Medina Integrated School</v>
          </cell>
          <cell r="F3442">
            <v>1</v>
          </cell>
          <cell r="G3442">
            <v>1</v>
          </cell>
          <cell r="H3442">
            <v>1</v>
          </cell>
          <cell r="I3442">
            <v>0</v>
          </cell>
          <cell r="J3442">
            <v>1</v>
          </cell>
          <cell r="K3442">
            <v>0</v>
          </cell>
          <cell r="L3442">
            <v>0</v>
          </cell>
          <cell r="M3442">
            <v>0</v>
          </cell>
          <cell r="N3442">
            <v>1</v>
          </cell>
          <cell r="O3442">
            <v>0</v>
          </cell>
          <cell r="P3442">
            <v>0</v>
          </cell>
          <cell r="Q3442">
            <v>0</v>
          </cell>
          <cell r="R3442">
            <v>1</v>
          </cell>
          <cell r="S3442">
            <v>0</v>
          </cell>
          <cell r="T3442">
            <v>0</v>
          </cell>
          <cell r="U3442">
            <v>0</v>
          </cell>
          <cell r="V3442">
            <v>1</v>
          </cell>
          <cell r="W3442">
            <v>0</v>
          </cell>
          <cell r="X3442">
            <v>0</v>
          </cell>
          <cell r="Y3442">
            <v>0</v>
          </cell>
        </row>
        <row r="3443">
          <cell r="D3443">
            <v>500182</v>
          </cell>
          <cell r="E3443" t="str">
            <v>Habana Integrated School</v>
          </cell>
          <cell r="F3443">
            <v>1</v>
          </cell>
          <cell r="G3443">
            <v>1</v>
          </cell>
          <cell r="H3443">
            <v>1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 t="str">
            <v>As Needed</v>
          </cell>
          <cell r="N3443">
            <v>0</v>
          </cell>
          <cell r="O3443">
            <v>0</v>
          </cell>
          <cell r="P3443">
            <v>43647</v>
          </cell>
          <cell r="Q3443">
            <v>1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</row>
        <row r="3444">
          <cell r="D3444">
            <v>310601</v>
          </cell>
          <cell r="E3444" t="str">
            <v>LUPO NATIONAL HIGH SCHOOL</v>
          </cell>
          <cell r="F3444">
            <v>1</v>
          </cell>
          <cell r="G3444">
            <v>0</v>
          </cell>
          <cell r="H3444">
            <v>1</v>
          </cell>
          <cell r="I3444">
            <v>0</v>
          </cell>
          <cell r="J3444">
            <v>1</v>
          </cell>
          <cell r="K3444">
            <v>0</v>
          </cell>
          <cell r="L3444">
            <v>0</v>
          </cell>
          <cell r="M3444">
            <v>0</v>
          </cell>
          <cell r="N3444">
            <v>1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1</v>
          </cell>
          <cell r="U3444" t="str">
            <v>To be planned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</row>
        <row r="3445">
          <cell r="D3445">
            <v>302306</v>
          </cell>
          <cell r="E3445" t="str">
            <v>Daja Sur National High School</v>
          </cell>
          <cell r="F3445">
            <v>1</v>
          </cell>
          <cell r="G3445">
            <v>1</v>
          </cell>
          <cell r="H3445">
            <v>0</v>
          </cell>
          <cell r="I3445">
            <v>1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1</v>
          </cell>
          <cell r="O3445" t="str">
            <v>July 3, 2019</v>
          </cell>
          <cell r="P3445" t="str">
            <v>July 6, 2019</v>
          </cell>
          <cell r="Q3445">
            <v>1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1</v>
          </cell>
          <cell r="W3445">
            <v>4</v>
          </cell>
          <cell r="X3445">
            <v>4</v>
          </cell>
          <cell r="Y3445">
            <v>2</v>
          </cell>
        </row>
        <row r="3446">
          <cell r="D3446">
            <v>302804</v>
          </cell>
          <cell r="E3446" t="str">
            <v>Mulapula National High School</v>
          </cell>
          <cell r="F3446">
            <v>1</v>
          </cell>
          <cell r="G3446">
            <v>1</v>
          </cell>
          <cell r="H3446">
            <v>1</v>
          </cell>
          <cell r="I3446">
            <v>0</v>
          </cell>
          <cell r="J3446">
            <v>0</v>
          </cell>
          <cell r="K3446">
            <v>0</v>
          </cell>
          <cell r="L3446">
            <v>1</v>
          </cell>
          <cell r="M3446" t="str">
            <v>Semi-annually</v>
          </cell>
          <cell r="N3446">
            <v>1</v>
          </cell>
          <cell r="O3446">
            <v>43624</v>
          </cell>
          <cell r="P3446">
            <v>43619</v>
          </cell>
          <cell r="Q3446">
            <v>0</v>
          </cell>
          <cell r="R3446">
            <v>1</v>
          </cell>
          <cell r="S3446">
            <v>0</v>
          </cell>
          <cell r="T3446">
            <v>0</v>
          </cell>
          <cell r="U3446">
            <v>0</v>
          </cell>
          <cell r="V3446">
            <v>1</v>
          </cell>
          <cell r="W3446">
            <v>8</v>
          </cell>
          <cell r="X3446">
            <v>8</v>
          </cell>
          <cell r="Y3446">
            <v>8</v>
          </cell>
        </row>
        <row r="3447">
          <cell r="D3447">
            <v>302328</v>
          </cell>
          <cell r="E3447" t="str">
            <v>Ochando National High School</v>
          </cell>
          <cell r="F3447">
            <v>1</v>
          </cell>
          <cell r="G3447">
            <v>1</v>
          </cell>
          <cell r="H3447">
            <v>1</v>
          </cell>
          <cell r="I3447">
            <v>0</v>
          </cell>
          <cell r="J3447">
            <v>1</v>
          </cell>
          <cell r="K3447">
            <v>0</v>
          </cell>
          <cell r="L3447">
            <v>0</v>
          </cell>
          <cell r="M3447">
            <v>0</v>
          </cell>
          <cell r="N3447">
            <v>1</v>
          </cell>
          <cell r="O3447" t="str">
            <v>June 1, 2019</v>
          </cell>
          <cell r="P3447" t="str">
            <v>June 1, 2019</v>
          </cell>
          <cell r="Q3447">
            <v>0</v>
          </cell>
          <cell r="R3447">
            <v>0</v>
          </cell>
          <cell r="S3447">
            <v>1</v>
          </cell>
          <cell r="T3447">
            <v>0</v>
          </cell>
          <cell r="U3447">
            <v>0</v>
          </cell>
          <cell r="V3447">
            <v>0</v>
          </cell>
          <cell r="W3447">
            <v>1</v>
          </cell>
          <cell r="X3447">
            <v>0</v>
          </cell>
          <cell r="Y3447">
            <v>0</v>
          </cell>
        </row>
        <row r="3448">
          <cell r="D3448">
            <v>500175</v>
          </cell>
          <cell r="E3448" t="str">
            <v>Kinalangay Viejo IS</v>
          </cell>
          <cell r="F3448">
            <v>1</v>
          </cell>
          <cell r="G3448">
            <v>1</v>
          </cell>
          <cell r="H3448">
            <v>1</v>
          </cell>
          <cell r="I3448">
            <v>0</v>
          </cell>
          <cell r="J3448">
            <v>1</v>
          </cell>
          <cell r="K3448">
            <v>0</v>
          </cell>
          <cell r="L3448">
            <v>0</v>
          </cell>
          <cell r="M3448">
            <v>0</v>
          </cell>
          <cell r="N3448">
            <v>1</v>
          </cell>
          <cell r="O3448">
            <v>43530</v>
          </cell>
          <cell r="P3448" t="str">
            <v>07/22/2019</v>
          </cell>
          <cell r="Q3448">
            <v>0</v>
          </cell>
          <cell r="R3448">
            <v>1</v>
          </cell>
          <cell r="S3448">
            <v>0</v>
          </cell>
          <cell r="T3448">
            <v>0</v>
          </cell>
          <cell r="U3448">
            <v>0</v>
          </cell>
          <cell r="V3448">
            <v>1</v>
          </cell>
          <cell r="W3448">
            <v>0</v>
          </cell>
          <cell r="X3448">
            <v>0</v>
          </cell>
          <cell r="Y3448">
            <v>0</v>
          </cell>
        </row>
        <row r="3449">
          <cell r="D3449">
            <v>500171</v>
          </cell>
          <cell r="E3449" t="str">
            <v>Lezo IS</v>
          </cell>
          <cell r="F3449">
            <v>1</v>
          </cell>
          <cell r="G3449">
            <v>1</v>
          </cell>
          <cell r="H3449">
            <v>1</v>
          </cell>
          <cell r="I3449">
            <v>0</v>
          </cell>
          <cell r="J3449">
            <v>0</v>
          </cell>
          <cell r="K3449">
            <v>1</v>
          </cell>
          <cell r="L3449">
            <v>0</v>
          </cell>
          <cell r="M3449">
            <v>0</v>
          </cell>
          <cell r="N3449">
            <v>1</v>
          </cell>
          <cell r="O3449">
            <v>0</v>
          </cell>
          <cell r="P3449">
            <v>43665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1</v>
          </cell>
          <cell r="W3449">
            <v>0</v>
          </cell>
          <cell r="X3449">
            <v>0</v>
          </cell>
          <cell r="Y3449">
            <v>0</v>
          </cell>
        </row>
        <row r="3450">
          <cell r="D3450">
            <v>310705</v>
          </cell>
          <cell r="E3450" t="str">
            <v>Semirara NHS</v>
          </cell>
          <cell r="F3450">
            <v>1</v>
          </cell>
          <cell r="G3450">
            <v>1</v>
          </cell>
          <cell r="H3450">
            <v>0</v>
          </cell>
          <cell r="I3450">
            <v>0</v>
          </cell>
          <cell r="J3450">
            <v>1</v>
          </cell>
          <cell r="K3450">
            <v>0</v>
          </cell>
          <cell r="L3450">
            <v>0</v>
          </cell>
          <cell r="M3450">
            <v>0</v>
          </cell>
          <cell r="N3450">
            <v>1</v>
          </cell>
          <cell r="O3450">
            <v>0</v>
          </cell>
          <cell r="P3450">
            <v>0</v>
          </cell>
          <cell r="Q3450">
            <v>0</v>
          </cell>
          <cell r="R3450">
            <v>1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3</v>
          </cell>
          <cell r="X3450">
            <v>3</v>
          </cell>
          <cell r="Y3450">
            <v>2</v>
          </cell>
        </row>
        <row r="3451">
          <cell r="D3451">
            <v>500180</v>
          </cell>
          <cell r="E3451" t="str">
            <v>PATROCINIO A. LACHICA INTEGRATED SCHOOL</v>
          </cell>
          <cell r="F3451">
            <v>1</v>
          </cell>
          <cell r="G3451">
            <v>1</v>
          </cell>
          <cell r="H3451">
            <v>1</v>
          </cell>
          <cell r="I3451">
            <v>0</v>
          </cell>
          <cell r="J3451">
            <v>0</v>
          </cell>
          <cell r="K3451">
            <v>1</v>
          </cell>
          <cell r="L3451">
            <v>0</v>
          </cell>
          <cell r="M3451">
            <v>0</v>
          </cell>
          <cell r="N3451">
            <v>1</v>
          </cell>
          <cell r="O3451" t="str">
            <v>JUNE 28, 2019</v>
          </cell>
          <cell r="P3451" t="str">
            <v>JULY 03, 2019</v>
          </cell>
          <cell r="Q3451">
            <v>0</v>
          </cell>
          <cell r="R3451">
            <v>0</v>
          </cell>
          <cell r="S3451">
            <v>1</v>
          </cell>
          <cell r="T3451">
            <v>0</v>
          </cell>
          <cell r="U3451">
            <v>0</v>
          </cell>
          <cell r="V3451">
            <v>1</v>
          </cell>
          <cell r="W3451">
            <v>1</v>
          </cell>
          <cell r="X3451">
            <v>0</v>
          </cell>
          <cell r="Y3451">
            <v>0</v>
          </cell>
        </row>
        <row r="3452">
          <cell r="D3452">
            <v>302316</v>
          </cell>
          <cell r="E3452" t="str">
            <v>Loreto N. Nedic National High School (Alaminos NHS)</v>
          </cell>
          <cell r="F3452">
            <v>1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</row>
        <row r="3453">
          <cell r="D3453">
            <v>302359</v>
          </cell>
          <cell r="E3453" t="str">
            <v>Igburi National High School</v>
          </cell>
          <cell r="F3453">
            <v>1</v>
          </cell>
          <cell r="G3453">
            <v>1</v>
          </cell>
          <cell r="H3453">
            <v>1</v>
          </cell>
          <cell r="I3453">
            <v>0</v>
          </cell>
          <cell r="J3453">
            <v>1</v>
          </cell>
          <cell r="K3453">
            <v>0</v>
          </cell>
          <cell r="L3453">
            <v>0</v>
          </cell>
          <cell r="M3453">
            <v>0</v>
          </cell>
          <cell r="N3453">
            <v>1</v>
          </cell>
          <cell r="O3453">
            <v>43758</v>
          </cell>
          <cell r="P3453">
            <v>43773</v>
          </cell>
          <cell r="Q3453">
            <v>1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1</v>
          </cell>
          <cell r="W3453">
            <v>1</v>
          </cell>
          <cell r="X3453">
            <v>0</v>
          </cell>
          <cell r="Y3453">
            <v>0</v>
          </cell>
        </row>
        <row r="3454">
          <cell r="D3454">
            <v>500187</v>
          </cell>
          <cell r="E3454" t="str">
            <v>Tabon Integrated School</v>
          </cell>
          <cell r="F3454">
            <v>1</v>
          </cell>
          <cell r="G3454">
            <v>1</v>
          </cell>
          <cell r="H3454">
            <v>1</v>
          </cell>
          <cell r="I3454">
            <v>0</v>
          </cell>
          <cell r="J3454">
            <v>1</v>
          </cell>
          <cell r="K3454">
            <v>0</v>
          </cell>
          <cell r="L3454">
            <v>0</v>
          </cell>
          <cell r="M3454">
            <v>0</v>
          </cell>
          <cell r="N3454">
            <v>1</v>
          </cell>
          <cell r="O3454">
            <v>0</v>
          </cell>
          <cell r="P3454" t="str">
            <v>07/15/2019</v>
          </cell>
          <cell r="Q3454">
            <v>0</v>
          </cell>
          <cell r="R3454">
            <v>1</v>
          </cell>
          <cell r="S3454">
            <v>0</v>
          </cell>
          <cell r="T3454">
            <v>0</v>
          </cell>
          <cell r="U3454">
            <v>0</v>
          </cell>
          <cell r="V3454">
            <v>1</v>
          </cell>
          <cell r="W3454">
            <v>0</v>
          </cell>
          <cell r="X3454">
            <v>0</v>
          </cell>
          <cell r="Y3454">
            <v>0</v>
          </cell>
        </row>
        <row r="3455">
          <cell r="D3455">
            <v>302333</v>
          </cell>
          <cell r="E3455" t="str">
            <v>Rizal J. Rodriguez Sr. NHS</v>
          </cell>
          <cell r="F3455">
            <v>1</v>
          </cell>
          <cell r="G3455">
            <v>1</v>
          </cell>
          <cell r="H3455">
            <v>1</v>
          </cell>
          <cell r="I3455">
            <v>0</v>
          </cell>
          <cell r="J3455">
            <v>1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1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</row>
        <row r="3456">
          <cell r="D3456">
            <v>302321</v>
          </cell>
          <cell r="E3456" t="str">
            <v>Naile NHS</v>
          </cell>
          <cell r="F3456">
            <v>1</v>
          </cell>
          <cell r="G3456">
            <v>1</v>
          </cell>
          <cell r="H3456">
            <v>1</v>
          </cell>
          <cell r="I3456">
            <v>0</v>
          </cell>
          <cell r="J3456">
            <v>1</v>
          </cell>
          <cell r="K3456">
            <v>0</v>
          </cell>
          <cell r="L3456">
            <v>0</v>
          </cell>
          <cell r="M3456">
            <v>0</v>
          </cell>
          <cell r="N3456">
            <v>1</v>
          </cell>
          <cell r="O3456">
            <v>0</v>
          </cell>
          <cell r="P3456">
            <v>0</v>
          </cell>
          <cell r="Q3456">
            <v>0</v>
          </cell>
          <cell r="R3456">
            <v>1</v>
          </cell>
          <cell r="S3456">
            <v>0</v>
          </cell>
          <cell r="T3456">
            <v>0</v>
          </cell>
          <cell r="U3456">
            <v>0</v>
          </cell>
          <cell r="V3456">
            <v>1</v>
          </cell>
          <cell r="W3456">
            <v>0</v>
          </cell>
          <cell r="X3456">
            <v>0</v>
          </cell>
          <cell r="Y3456">
            <v>0</v>
          </cell>
        </row>
        <row r="3457">
          <cell r="D3457">
            <v>500641</v>
          </cell>
          <cell r="E3457" t="str">
            <v>Ma. Cristina Integrated School</v>
          </cell>
          <cell r="F3457">
            <v>1</v>
          </cell>
          <cell r="G3457">
            <v>0</v>
          </cell>
          <cell r="H3457">
            <v>1</v>
          </cell>
          <cell r="I3457">
            <v>0</v>
          </cell>
          <cell r="J3457">
            <v>1</v>
          </cell>
          <cell r="K3457">
            <v>0</v>
          </cell>
          <cell r="L3457">
            <v>0</v>
          </cell>
          <cell r="M3457">
            <v>0</v>
          </cell>
          <cell r="N3457">
            <v>1</v>
          </cell>
          <cell r="O3457" t="str">
            <v>AUGUST 21, 2019</v>
          </cell>
          <cell r="P3457">
            <v>0</v>
          </cell>
          <cell r="Q3457">
            <v>1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1</v>
          </cell>
          <cell r="W3457">
            <v>0</v>
          </cell>
          <cell r="X3457">
            <v>0</v>
          </cell>
          <cell r="Y3457">
            <v>0</v>
          </cell>
        </row>
        <row r="3458">
          <cell r="D3458">
            <v>500172</v>
          </cell>
          <cell r="E3458" t="str">
            <v>Makato Integrated School</v>
          </cell>
          <cell r="F3458">
            <v>1</v>
          </cell>
          <cell r="G3458">
            <v>1</v>
          </cell>
          <cell r="H3458">
            <v>0</v>
          </cell>
          <cell r="I3458">
            <v>0</v>
          </cell>
          <cell r="J3458">
            <v>0</v>
          </cell>
          <cell r="K3458">
            <v>1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</row>
        <row r="3459">
          <cell r="D3459">
            <v>500543</v>
          </cell>
          <cell r="E3459" t="str">
            <v>Balete Integrated School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1</v>
          </cell>
          <cell r="M3459" t="str">
            <v>N/A</v>
          </cell>
          <cell r="N3459">
            <v>0</v>
          </cell>
          <cell r="O3459" t="str">
            <v>N/A</v>
          </cell>
          <cell r="P3459" t="str">
            <v>N/A</v>
          </cell>
          <cell r="Q3459">
            <v>0</v>
          </cell>
          <cell r="R3459">
            <v>0</v>
          </cell>
          <cell r="S3459">
            <v>0</v>
          </cell>
          <cell r="T3459">
            <v>1</v>
          </cell>
          <cell r="U3459" t="str">
            <v>N/A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</row>
        <row r="3460">
          <cell r="D3460">
            <v>302350</v>
          </cell>
          <cell r="E3460" t="str">
            <v>Caluya NHS</v>
          </cell>
          <cell r="F3460">
            <v>1</v>
          </cell>
          <cell r="G3460">
            <v>1</v>
          </cell>
          <cell r="H3460">
            <v>1</v>
          </cell>
          <cell r="I3460">
            <v>0</v>
          </cell>
          <cell r="J3460">
            <v>0</v>
          </cell>
          <cell r="K3460">
            <v>1</v>
          </cell>
          <cell r="L3460">
            <v>0</v>
          </cell>
          <cell r="M3460">
            <v>0</v>
          </cell>
          <cell r="N3460">
            <v>1</v>
          </cell>
          <cell r="O3460">
            <v>0</v>
          </cell>
          <cell r="P3460">
            <v>43728</v>
          </cell>
          <cell r="Q3460">
            <v>0</v>
          </cell>
          <cell r="R3460">
            <v>1</v>
          </cell>
          <cell r="S3460">
            <v>0</v>
          </cell>
          <cell r="T3460">
            <v>0</v>
          </cell>
          <cell r="U3460">
            <v>0</v>
          </cell>
          <cell r="V3460">
            <v>1</v>
          </cell>
          <cell r="W3460">
            <v>0</v>
          </cell>
          <cell r="X3460">
            <v>0</v>
          </cell>
          <cell r="Y3460">
            <v>0</v>
          </cell>
        </row>
        <row r="3461">
          <cell r="D3461">
            <v>500035</v>
          </cell>
          <cell r="E3461" t="str">
            <v>Numancia Integrated School</v>
          </cell>
          <cell r="F3461">
            <v>1</v>
          </cell>
          <cell r="G3461">
            <v>1</v>
          </cell>
          <cell r="H3461">
            <v>1</v>
          </cell>
          <cell r="I3461">
            <v>0</v>
          </cell>
          <cell r="J3461">
            <v>1</v>
          </cell>
          <cell r="K3461">
            <v>0</v>
          </cell>
          <cell r="L3461">
            <v>0</v>
          </cell>
          <cell r="M3461">
            <v>0</v>
          </cell>
          <cell r="N3461">
            <v>1</v>
          </cell>
          <cell r="O3461">
            <v>0</v>
          </cell>
          <cell r="P3461">
            <v>2018</v>
          </cell>
          <cell r="Q3461">
            <v>0</v>
          </cell>
          <cell r="R3461">
            <v>1</v>
          </cell>
          <cell r="S3461">
            <v>0</v>
          </cell>
          <cell r="T3461">
            <v>0</v>
          </cell>
          <cell r="U3461">
            <v>0</v>
          </cell>
          <cell r="V3461">
            <v>1</v>
          </cell>
          <cell r="W3461">
            <v>5</v>
          </cell>
          <cell r="X3461">
            <v>3</v>
          </cell>
          <cell r="Y3461">
            <v>3</v>
          </cell>
        </row>
        <row r="3462">
          <cell r="D3462">
            <v>310703</v>
          </cell>
          <cell r="E3462" t="str">
            <v>Sibalom National High School</v>
          </cell>
          <cell r="F3462">
            <v>1</v>
          </cell>
          <cell r="G3462">
            <v>1</v>
          </cell>
          <cell r="H3462">
            <v>1</v>
          </cell>
          <cell r="I3462">
            <v>0</v>
          </cell>
          <cell r="J3462">
            <v>1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1</v>
          </cell>
          <cell r="S3462">
            <v>0</v>
          </cell>
          <cell r="T3462">
            <v>0</v>
          </cell>
          <cell r="U3462">
            <v>0</v>
          </cell>
          <cell r="V3462">
            <v>1</v>
          </cell>
          <cell r="W3462">
            <v>0</v>
          </cell>
          <cell r="X3462">
            <v>0</v>
          </cell>
          <cell r="Y3462">
            <v>0</v>
          </cell>
        </row>
        <row r="3463">
          <cell r="D3463">
            <v>302540</v>
          </cell>
          <cell r="E3463" t="str">
            <v>New Lucena National High School</v>
          </cell>
          <cell r="F3463">
            <v>1</v>
          </cell>
          <cell r="G3463">
            <v>1</v>
          </cell>
          <cell r="H3463">
            <v>1</v>
          </cell>
          <cell r="I3463">
            <v>0</v>
          </cell>
          <cell r="J3463">
            <v>1</v>
          </cell>
          <cell r="K3463">
            <v>0</v>
          </cell>
          <cell r="L3463">
            <v>0</v>
          </cell>
          <cell r="M3463">
            <v>0</v>
          </cell>
          <cell r="N3463">
            <v>1</v>
          </cell>
          <cell r="O3463">
            <v>43748</v>
          </cell>
          <cell r="P3463">
            <v>43691</v>
          </cell>
          <cell r="Q3463">
            <v>0</v>
          </cell>
          <cell r="R3463">
            <v>1</v>
          </cell>
          <cell r="S3463">
            <v>0</v>
          </cell>
          <cell r="T3463">
            <v>0</v>
          </cell>
          <cell r="U3463">
            <v>0</v>
          </cell>
          <cell r="V3463">
            <v>1</v>
          </cell>
          <cell r="W3463">
            <v>2</v>
          </cell>
          <cell r="X3463">
            <v>2</v>
          </cell>
          <cell r="Y3463">
            <v>2</v>
          </cell>
        </row>
        <row r="3464">
          <cell r="D3464">
            <v>302337</v>
          </cell>
          <cell r="E3464" t="str">
            <v>Toledo NHS</v>
          </cell>
          <cell r="F3464">
            <v>1</v>
          </cell>
          <cell r="G3464">
            <v>1</v>
          </cell>
          <cell r="H3464">
            <v>1</v>
          </cell>
          <cell r="I3464">
            <v>0</v>
          </cell>
          <cell r="J3464">
            <v>1</v>
          </cell>
          <cell r="K3464">
            <v>0</v>
          </cell>
          <cell r="L3464">
            <v>0</v>
          </cell>
          <cell r="M3464">
            <v>0</v>
          </cell>
          <cell r="N3464">
            <v>1</v>
          </cell>
          <cell r="O3464" t="str">
            <v>06/21/2019</v>
          </cell>
          <cell r="P3464" t="str">
            <v>06/28/2019</v>
          </cell>
          <cell r="Q3464">
            <v>0</v>
          </cell>
          <cell r="R3464">
            <v>1</v>
          </cell>
          <cell r="S3464">
            <v>0</v>
          </cell>
          <cell r="T3464">
            <v>0</v>
          </cell>
          <cell r="U3464">
            <v>0</v>
          </cell>
          <cell r="V3464">
            <v>1</v>
          </cell>
          <cell r="W3464">
            <v>6</v>
          </cell>
          <cell r="X3464">
            <v>6</v>
          </cell>
          <cell r="Y3464">
            <v>6</v>
          </cell>
        </row>
        <row r="3465">
          <cell r="D3465">
            <v>302436</v>
          </cell>
          <cell r="E3465" t="str">
            <v>Salvacion National High School</v>
          </cell>
          <cell r="F3465">
            <v>1</v>
          </cell>
          <cell r="G3465">
            <v>1</v>
          </cell>
          <cell r="H3465">
            <v>1</v>
          </cell>
          <cell r="I3465">
            <v>0</v>
          </cell>
          <cell r="J3465">
            <v>1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1</v>
          </cell>
          <cell r="T3465">
            <v>0</v>
          </cell>
          <cell r="U3465">
            <v>0</v>
          </cell>
          <cell r="V3465">
            <v>1</v>
          </cell>
          <cell r="W3465">
            <v>0</v>
          </cell>
          <cell r="X3465">
            <v>0</v>
          </cell>
          <cell r="Y3465">
            <v>0</v>
          </cell>
        </row>
        <row r="3466">
          <cell r="D3466">
            <v>302439</v>
          </cell>
          <cell r="E3466" t="str">
            <v>Remedios E. Vilches-San Lorenzo National High School</v>
          </cell>
          <cell r="F3466">
            <v>1</v>
          </cell>
          <cell r="G3466">
            <v>0</v>
          </cell>
          <cell r="H3466">
            <v>1</v>
          </cell>
          <cell r="I3466">
            <v>0</v>
          </cell>
          <cell r="J3466">
            <v>1</v>
          </cell>
          <cell r="K3466">
            <v>0</v>
          </cell>
          <cell r="L3466">
            <v>0</v>
          </cell>
          <cell r="M3466">
            <v>0</v>
          </cell>
          <cell r="N3466">
            <v>1</v>
          </cell>
          <cell r="O3466" t="str">
            <v>July 26, 2019</v>
          </cell>
          <cell r="P3466" t="str">
            <v>August 29, 2019</v>
          </cell>
          <cell r="Q3466">
            <v>0</v>
          </cell>
          <cell r="R3466">
            <v>1</v>
          </cell>
          <cell r="S3466">
            <v>0</v>
          </cell>
          <cell r="T3466">
            <v>0</v>
          </cell>
          <cell r="U3466">
            <v>0</v>
          </cell>
          <cell r="V3466">
            <v>1</v>
          </cell>
          <cell r="W3466">
            <v>0</v>
          </cell>
          <cell r="X3466">
            <v>0</v>
          </cell>
          <cell r="Y3466">
            <v>0</v>
          </cell>
        </row>
        <row r="3467">
          <cell r="D3467">
            <v>302370</v>
          </cell>
          <cell r="E3467" t="str">
            <v>Pangpang NHS</v>
          </cell>
          <cell r="F3467">
            <v>1</v>
          </cell>
          <cell r="G3467">
            <v>1</v>
          </cell>
          <cell r="H3467">
            <v>1</v>
          </cell>
          <cell r="I3467">
            <v>0</v>
          </cell>
          <cell r="J3467">
            <v>0</v>
          </cell>
          <cell r="K3467">
            <v>1</v>
          </cell>
          <cell r="L3467">
            <v>0</v>
          </cell>
          <cell r="M3467">
            <v>0</v>
          </cell>
          <cell r="N3467">
            <v>1</v>
          </cell>
          <cell r="O3467">
            <v>43619</v>
          </cell>
          <cell r="P3467">
            <v>43739</v>
          </cell>
          <cell r="Q3467">
            <v>0</v>
          </cell>
          <cell r="R3467">
            <v>1</v>
          </cell>
          <cell r="S3467">
            <v>0</v>
          </cell>
          <cell r="T3467">
            <v>0</v>
          </cell>
          <cell r="U3467">
            <v>0</v>
          </cell>
          <cell r="V3467">
            <v>1</v>
          </cell>
          <cell r="W3467">
            <v>3</v>
          </cell>
          <cell r="X3467">
            <v>3</v>
          </cell>
          <cell r="Y3467">
            <v>0</v>
          </cell>
        </row>
        <row r="3468">
          <cell r="D3468">
            <v>302296</v>
          </cell>
          <cell r="E3468" t="str">
            <v>Ciriaco L. Icamina, Sr. NHS</v>
          </cell>
          <cell r="F3468">
            <v>1</v>
          </cell>
          <cell r="G3468">
            <v>1</v>
          </cell>
          <cell r="H3468">
            <v>1</v>
          </cell>
          <cell r="I3468">
            <v>0</v>
          </cell>
          <cell r="J3468">
            <v>0</v>
          </cell>
          <cell r="K3468">
            <v>1</v>
          </cell>
          <cell r="L3468">
            <v>0</v>
          </cell>
          <cell r="M3468">
            <v>0</v>
          </cell>
          <cell r="N3468">
            <v>1</v>
          </cell>
          <cell r="O3468">
            <v>43658</v>
          </cell>
          <cell r="P3468">
            <v>43658</v>
          </cell>
          <cell r="Q3468">
            <v>0</v>
          </cell>
          <cell r="R3468">
            <v>1</v>
          </cell>
          <cell r="S3468">
            <v>0</v>
          </cell>
          <cell r="T3468">
            <v>0</v>
          </cell>
          <cell r="U3468">
            <v>0</v>
          </cell>
          <cell r="V3468">
            <v>1</v>
          </cell>
          <cell r="W3468">
            <v>3</v>
          </cell>
          <cell r="X3468">
            <v>0</v>
          </cell>
          <cell r="Y3468">
            <v>0</v>
          </cell>
        </row>
        <row r="3469">
          <cell r="D3469">
            <v>500544</v>
          </cell>
          <cell r="E3469" t="str">
            <v>Mambuquiao Integrated School</v>
          </cell>
          <cell r="F3469">
            <v>1</v>
          </cell>
          <cell r="G3469">
            <v>1</v>
          </cell>
          <cell r="H3469">
            <v>1</v>
          </cell>
          <cell r="I3469">
            <v>0</v>
          </cell>
          <cell r="J3469">
            <v>0</v>
          </cell>
          <cell r="K3469">
            <v>0</v>
          </cell>
          <cell r="L3469">
            <v>1</v>
          </cell>
          <cell r="M3469" t="str">
            <v>N/A</v>
          </cell>
          <cell r="N3469">
            <v>1</v>
          </cell>
          <cell r="O3469" t="str">
            <v>N/A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1</v>
          </cell>
          <cell r="U3469" t="str">
            <v>N/A</v>
          </cell>
          <cell r="V3469">
            <v>1</v>
          </cell>
          <cell r="W3469">
            <v>0</v>
          </cell>
          <cell r="X3469">
            <v>0</v>
          </cell>
          <cell r="Y3469">
            <v>0</v>
          </cell>
        </row>
        <row r="3470">
          <cell r="D3470">
            <v>302579</v>
          </cell>
          <cell r="E3470" t="str">
            <v>Tigbauan National High School</v>
          </cell>
          <cell r="F3470">
            <v>1</v>
          </cell>
          <cell r="G3470">
            <v>1</v>
          </cell>
          <cell r="H3470">
            <v>1</v>
          </cell>
          <cell r="I3470">
            <v>0</v>
          </cell>
          <cell r="J3470">
            <v>0</v>
          </cell>
          <cell r="K3470">
            <v>1</v>
          </cell>
          <cell r="L3470">
            <v>0</v>
          </cell>
          <cell r="M3470">
            <v>0</v>
          </cell>
          <cell r="N3470">
            <v>1</v>
          </cell>
          <cell r="O3470">
            <v>0</v>
          </cell>
          <cell r="P3470">
            <v>43700</v>
          </cell>
          <cell r="Q3470">
            <v>0</v>
          </cell>
          <cell r="R3470">
            <v>1</v>
          </cell>
          <cell r="S3470">
            <v>0</v>
          </cell>
          <cell r="T3470">
            <v>0</v>
          </cell>
          <cell r="U3470">
            <v>0</v>
          </cell>
          <cell r="V3470">
            <v>1</v>
          </cell>
          <cell r="W3470">
            <v>2</v>
          </cell>
          <cell r="X3470">
            <v>1</v>
          </cell>
          <cell r="Y3470">
            <v>2</v>
          </cell>
        </row>
        <row r="3471">
          <cell r="D3471">
            <v>310611</v>
          </cell>
          <cell r="E3471" t="str">
            <v>Manocmanoc National High School</v>
          </cell>
          <cell r="F3471">
            <v>1</v>
          </cell>
          <cell r="G3471">
            <v>1</v>
          </cell>
          <cell r="H3471">
            <v>1</v>
          </cell>
          <cell r="I3471">
            <v>0</v>
          </cell>
          <cell r="J3471">
            <v>1</v>
          </cell>
          <cell r="K3471">
            <v>0</v>
          </cell>
          <cell r="L3471">
            <v>0</v>
          </cell>
          <cell r="M3471">
            <v>0</v>
          </cell>
          <cell r="N3471">
            <v>1</v>
          </cell>
          <cell r="O3471">
            <v>43630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1</v>
          </cell>
          <cell r="W3471">
            <v>0</v>
          </cell>
          <cell r="X3471">
            <v>0</v>
          </cell>
          <cell r="Y3471">
            <v>0</v>
          </cell>
        </row>
        <row r="3472">
          <cell r="D3472">
            <v>310706</v>
          </cell>
          <cell r="E3472" t="str">
            <v>Sibay NHS</v>
          </cell>
          <cell r="F3472">
            <v>0</v>
          </cell>
          <cell r="G3472">
            <v>0</v>
          </cell>
          <cell r="H3472">
            <v>1</v>
          </cell>
          <cell r="I3472">
            <v>0</v>
          </cell>
          <cell r="J3472">
            <v>0</v>
          </cell>
          <cell r="K3472">
            <v>1</v>
          </cell>
          <cell r="L3472">
            <v>0</v>
          </cell>
          <cell r="M3472">
            <v>0</v>
          </cell>
          <cell r="N3472">
            <v>1</v>
          </cell>
          <cell r="O3472">
            <v>0</v>
          </cell>
          <cell r="P3472">
            <v>0</v>
          </cell>
          <cell r="Q3472">
            <v>0</v>
          </cell>
          <cell r="R3472">
            <v>1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</row>
        <row r="3473">
          <cell r="D3473">
            <v>500176</v>
          </cell>
          <cell r="E3473" t="str">
            <v>NAPTI INTEGRATED SCHOOL</v>
          </cell>
          <cell r="F3473">
            <v>1</v>
          </cell>
          <cell r="G3473">
            <v>0</v>
          </cell>
          <cell r="H3473">
            <v>1</v>
          </cell>
          <cell r="I3473">
            <v>0</v>
          </cell>
          <cell r="J3473">
            <v>1</v>
          </cell>
          <cell r="K3473">
            <v>0</v>
          </cell>
          <cell r="L3473">
            <v>0</v>
          </cell>
          <cell r="M3473">
            <v>0</v>
          </cell>
          <cell r="N3473">
            <v>1</v>
          </cell>
          <cell r="O3473">
            <v>43554</v>
          </cell>
          <cell r="P3473">
            <v>43554</v>
          </cell>
          <cell r="Q3473">
            <v>0</v>
          </cell>
          <cell r="R3473">
            <v>1</v>
          </cell>
          <cell r="S3473">
            <v>0</v>
          </cell>
          <cell r="T3473">
            <v>0</v>
          </cell>
          <cell r="U3473">
            <v>0</v>
          </cell>
          <cell r="V3473">
            <v>1</v>
          </cell>
          <cell r="W3473">
            <v>0</v>
          </cell>
          <cell r="X3473">
            <v>0</v>
          </cell>
          <cell r="Y3473">
            <v>0</v>
          </cell>
        </row>
        <row r="3474">
          <cell r="D3474">
            <v>302488</v>
          </cell>
          <cell r="E3474" t="str">
            <v>Dapdap NHS</v>
          </cell>
          <cell r="F3474">
            <v>1</v>
          </cell>
          <cell r="G3474">
            <v>1</v>
          </cell>
          <cell r="H3474">
            <v>1</v>
          </cell>
          <cell r="I3474">
            <v>0</v>
          </cell>
          <cell r="J3474">
            <v>0</v>
          </cell>
          <cell r="K3474">
            <v>1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1</v>
          </cell>
          <cell r="T3474">
            <v>0</v>
          </cell>
          <cell r="U3474">
            <v>0</v>
          </cell>
          <cell r="V3474">
            <v>1</v>
          </cell>
          <cell r="W3474">
            <v>0</v>
          </cell>
          <cell r="X3474">
            <v>0</v>
          </cell>
          <cell r="Y3474">
            <v>0</v>
          </cell>
        </row>
        <row r="3475">
          <cell r="D3475">
            <v>302304</v>
          </cell>
          <cell r="E3475" t="str">
            <v>Catalino M. Prado NHS</v>
          </cell>
          <cell r="F3475">
            <v>1</v>
          </cell>
          <cell r="G3475">
            <v>1</v>
          </cell>
          <cell r="H3475">
            <v>1</v>
          </cell>
          <cell r="I3475">
            <v>0</v>
          </cell>
          <cell r="J3475">
            <v>1</v>
          </cell>
          <cell r="K3475">
            <v>0</v>
          </cell>
          <cell r="L3475">
            <v>0</v>
          </cell>
          <cell r="M3475">
            <v>0</v>
          </cell>
          <cell r="N3475">
            <v>1</v>
          </cell>
          <cell r="O3475" t="str">
            <v>June 3, 2019</v>
          </cell>
          <cell r="P3475" t="str">
            <v>June 3, 2019</v>
          </cell>
          <cell r="Q3475">
            <v>0</v>
          </cell>
          <cell r="R3475">
            <v>0</v>
          </cell>
          <cell r="S3475">
            <v>0</v>
          </cell>
          <cell r="T3475">
            <v>1</v>
          </cell>
          <cell r="U3475" t="str">
            <v>as needed</v>
          </cell>
          <cell r="V3475">
            <v>1</v>
          </cell>
          <cell r="W3475">
            <v>0</v>
          </cell>
          <cell r="X3475">
            <v>0</v>
          </cell>
          <cell r="Y3475">
            <v>0</v>
          </cell>
        </row>
        <row r="3476">
          <cell r="D3476">
            <v>302434</v>
          </cell>
          <cell r="E3476" t="str">
            <v>Nueva Valencia National High School</v>
          </cell>
          <cell r="F3476">
            <v>1</v>
          </cell>
          <cell r="G3476">
            <v>1</v>
          </cell>
          <cell r="H3476">
            <v>1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</row>
        <row r="3477">
          <cell r="D3477">
            <v>302297</v>
          </cell>
          <cell r="E3477" t="str">
            <v>Buruanga Vocational School</v>
          </cell>
          <cell r="F3477">
            <v>1</v>
          </cell>
          <cell r="G3477">
            <v>1</v>
          </cell>
          <cell r="H3477">
            <v>1</v>
          </cell>
          <cell r="I3477">
            <v>0</v>
          </cell>
          <cell r="J3477">
            <v>1</v>
          </cell>
          <cell r="K3477">
            <v>0</v>
          </cell>
          <cell r="L3477">
            <v>0</v>
          </cell>
          <cell r="M3477">
            <v>0</v>
          </cell>
          <cell r="N3477">
            <v>1</v>
          </cell>
          <cell r="O3477" t="str">
            <v>06/04/2019</v>
          </cell>
          <cell r="P3477" t="str">
            <v>06/04/2019</v>
          </cell>
          <cell r="Q3477">
            <v>0</v>
          </cell>
          <cell r="R3477">
            <v>1</v>
          </cell>
          <cell r="S3477">
            <v>0</v>
          </cell>
          <cell r="T3477">
            <v>0</v>
          </cell>
          <cell r="U3477">
            <v>0</v>
          </cell>
          <cell r="V3477">
            <v>1</v>
          </cell>
          <cell r="W3477">
            <v>0</v>
          </cell>
          <cell r="X3477">
            <v>0</v>
          </cell>
          <cell r="Y3477">
            <v>0</v>
          </cell>
        </row>
        <row r="3478">
          <cell r="D3478">
            <v>302291</v>
          </cell>
          <cell r="E3478" t="str">
            <v>Batan Academy (A Nat'L Sch.)</v>
          </cell>
          <cell r="F3478">
            <v>1</v>
          </cell>
          <cell r="G3478">
            <v>1</v>
          </cell>
          <cell r="H3478">
            <v>1</v>
          </cell>
          <cell r="I3478">
            <v>0</v>
          </cell>
          <cell r="J3478">
            <v>1</v>
          </cell>
          <cell r="K3478">
            <v>0</v>
          </cell>
          <cell r="L3478">
            <v>0</v>
          </cell>
          <cell r="M3478">
            <v>0</v>
          </cell>
          <cell r="N3478">
            <v>1</v>
          </cell>
          <cell r="O3478">
            <v>0</v>
          </cell>
          <cell r="P3478">
            <v>0</v>
          </cell>
          <cell r="Q3478">
            <v>0</v>
          </cell>
          <cell r="R3478">
            <v>1</v>
          </cell>
          <cell r="S3478">
            <v>0</v>
          </cell>
          <cell r="T3478">
            <v>0</v>
          </cell>
          <cell r="U3478">
            <v>0</v>
          </cell>
          <cell r="V3478">
            <v>1</v>
          </cell>
          <cell r="W3478">
            <v>0</v>
          </cell>
          <cell r="X3478">
            <v>0</v>
          </cell>
          <cell r="Y3478">
            <v>0</v>
          </cell>
        </row>
        <row r="3479">
          <cell r="D3479">
            <v>302315</v>
          </cell>
          <cell r="E3479" t="str">
            <v>Madalag NHS</v>
          </cell>
          <cell r="F3479">
            <v>1</v>
          </cell>
          <cell r="G3479">
            <v>1</v>
          </cell>
          <cell r="H3479">
            <v>1</v>
          </cell>
          <cell r="I3479">
            <v>1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1</v>
          </cell>
          <cell r="O3479" t="str">
            <v>July 1, 2019</v>
          </cell>
          <cell r="P3479">
            <v>43644</v>
          </cell>
          <cell r="Q3479">
            <v>1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1</v>
          </cell>
          <cell r="W3479">
            <v>0</v>
          </cell>
          <cell r="X3479">
            <v>0</v>
          </cell>
          <cell r="Y3479">
            <v>0</v>
          </cell>
        </row>
        <row r="3480">
          <cell r="D3480">
            <v>302500</v>
          </cell>
          <cell r="E3480" t="str">
            <v>Estancia National High School</v>
          </cell>
          <cell r="F3480">
            <v>1</v>
          </cell>
          <cell r="G3480">
            <v>1</v>
          </cell>
          <cell r="H3480">
            <v>1</v>
          </cell>
          <cell r="I3480">
            <v>1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1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</row>
        <row r="3481">
          <cell r="D3481">
            <v>310709</v>
          </cell>
          <cell r="E3481" t="str">
            <v>Northern Bugasong NHS Annex</v>
          </cell>
          <cell r="F3481">
            <v>1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</row>
        <row r="3482">
          <cell r="D3482">
            <v>302535</v>
          </cell>
          <cell r="E3482" t="str">
            <v>Nabitasan NHS</v>
          </cell>
          <cell r="F3482">
            <v>1</v>
          </cell>
          <cell r="G3482">
            <v>1</v>
          </cell>
          <cell r="H3482">
            <v>1</v>
          </cell>
          <cell r="I3482">
            <v>0</v>
          </cell>
          <cell r="J3482">
            <v>0</v>
          </cell>
          <cell r="K3482">
            <v>0</v>
          </cell>
          <cell r="L3482">
            <v>1</v>
          </cell>
          <cell r="M3482" t="str">
            <v>N/A</v>
          </cell>
          <cell r="N3482">
            <v>1</v>
          </cell>
          <cell r="O3482">
            <v>0</v>
          </cell>
          <cell r="P3482">
            <v>0</v>
          </cell>
          <cell r="Q3482">
            <v>1</v>
          </cell>
          <cell r="R3482">
            <v>0</v>
          </cell>
          <cell r="S3482">
            <v>0</v>
          </cell>
          <cell r="T3482">
            <v>1</v>
          </cell>
          <cell r="U3482" t="str">
            <v xml:space="preserve">N/A </v>
          </cell>
          <cell r="V3482">
            <v>1</v>
          </cell>
          <cell r="W3482">
            <v>0</v>
          </cell>
          <cell r="X3482">
            <v>0</v>
          </cell>
          <cell r="Y3482">
            <v>0</v>
          </cell>
        </row>
        <row r="3483">
          <cell r="D3483">
            <v>302312</v>
          </cell>
          <cell r="E3483" t="str">
            <v>Lilo-an National High School</v>
          </cell>
          <cell r="F3483">
            <v>1</v>
          </cell>
          <cell r="G3483">
            <v>1</v>
          </cell>
          <cell r="H3483">
            <v>1</v>
          </cell>
          <cell r="I3483">
            <v>0</v>
          </cell>
          <cell r="J3483">
            <v>0</v>
          </cell>
          <cell r="K3483">
            <v>1</v>
          </cell>
          <cell r="L3483">
            <v>0</v>
          </cell>
          <cell r="M3483">
            <v>0</v>
          </cell>
          <cell r="N3483">
            <v>1</v>
          </cell>
          <cell r="O3483">
            <v>43617</v>
          </cell>
          <cell r="P3483">
            <v>0</v>
          </cell>
          <cell r="Q3483">
            <v>0</v>
          </cell>
          <cell r="R3483">
            <v>0</v>
          </cell>
          <cell r="S3483">
            <v>1</v>
          </cell>
          <cell r="T3483">
            <v>0</v>
          </cell>
          <cell r="U3483">
            <v>0</v>
          </cell>
          <cell r="V3483">
            <v>1</v>
          </cell>
          <cell r="W3483">
            <v>4</v>
          </cell>
          <cell r="X3483">
            <v>0</v>
          </cell>
          <cell r="Y3483">
            <v>0</v>
          </cell>
        </row>
        <row r="3484">
          <cell r="D3484">
            <v>302518</v>
          </cell>
          <cell r="E3484" t="str">
            <v>Lapayon NHS</v>
          </cell>
          <cell r="F3484">
            <v>1</v>
          </cell>
          <cell r="G3484">
            <v>1</v>
          </cell>
          <cell r="H3484">
            <v>1</v>
          </cell>
          <cell r="I3484">
            <v>1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1</v>
          </cell>
          <cell r="O3484">
            <v>0</v>
          </cell>
          <cell r="P3484">
            <v>0</v>
          </cell>
          <cell r="Q3484">
            <v>0</v>
          </cell>
          <cell r="R3484">
            <v>1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</row>
        <row r="3485">
          <cell r="D3485">
            <v>302509</v>
          </cell>
          <cell r="E3485" t="str">
            <v>Iloilo NHS</v>
          </cell>
          <cell r="F3485">
            <v>1</v>
          </cell>
          <cell r="G3485">
            <v>0</v>
          </cell>
          <cell r="H3485">
            <v>1</v>
          </cell>
          <cell r="I3485">
            <v>0</v>
          </cell>
          <cell r="J3485">
            <v>0</v>
          </cell>
          <cell r="K3485">
            <v>1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</row>
        <row r="3486">
          <cell r="D3486">
            <v>310810</v>
          </cell>
          <cell r="E3486" t="str">
            <v>Ishmael B. Orillos National High School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 t="str">
            <v>08/02/2019</v>
          </cell>
          <cell r="P3486" t="str">
            <v>08/30/2019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</row>
        <row r="3487">
          <cell r="D3487">
            <v>302438</v>
          </cell>
          <cell r="E3487" t="str">
            <v>Trinidad V. Canja-Sta. Teresa NHS</v>
          </cell>
          <cell r="F3487">
            <v>1</v>
          </cell>
          <cell r="G3487">
            <v>1</v>
          </cell>
          <cell r="H3487">
            <v>1</v>
          </cell>
          <cell r="I3487">
            <v>0</v>
          </cell>
          <cell r="J3487">
            <v>0</v>
          </cell>
          <cell r="K3487">
            <v>1</v>
          </cell>
          <cell r="L3487">
            <v>0</v>
          </cell>
          <cell r="M3487">
            <v>0</v>
          </cell>
          <cell r="N3487">
            <v>1</v>
          </cell>
          <cell r="O3487">
            <v>0</v>
          </cell>
          <cell r="P3487">
            <v>0</v>
          </cell>
          <cell r="Q3487">
            <v>1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1</v>
          </cell>
          <cell r="W3487">
            <v>0</v>
          </cell>
          <cell r="X3487">
            <v>0</v>
          </cell>
          <cell r="Y3487">
            <v>0</v>
          </cell>
        </row>
        <row r="3488">
          <cell r="D3488">
            <v>302357</v>
          </cell>
          <cell r="E3488" t="str">
            <v>Gideon M. Cabigunda MS</v>
          </cell>
          <cell r="F3488">
            <v>1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</row>
        <row r="3489">
          <cell r="D3489">
            <v>310710</v>
          </cell>
          <cell r="E3489" t="str">
            <v>Dr. Luis E. Baraquia NHS</v>
          </cell>
          <cell r="F3489">
            <v>1</v>
          </cell>
          <cell r="G3489">
            <v>1</v>
          </cell>
          <cell r="H3489">
            <v>1</v>
          </cell>
          <cell r="I3489">
            <v>0</v>
          </cell>
          <cell r="J3489">
            <v>1</v>
          </cell>
          <cell r="K3489">
            <v>0</v>
          </cell>
          <cell r="L3489">
            <v>0</v>
          </cell>
          <cell r="M3489">
            <v>0</v>
          </cell>
          <cell r="N3489">
            <v>1</v>
          </cell>
          <cell r="O3489">
            <v>43644</v>
          </cell>
          <cell r="P3489">
            <v>43644</v>
          </cell>
          <cell r="Q3489">
            <v>0</v>
          </cell>
          <cell r="R3489">
            <v>1</v>
          </cell>
          <cell r="S3489">
            <v>0</v>
          </cell>
          <cell r="T3489">
            <v>0</v>
          </cell>
          <cell r="U3489">
            <v>0</v>
          </cell>
          <cell r="V3489">
            <v>1</v>
          </cell>
          <cell r="W3489">
            <v>0</v>
          </cell>
          <cell r="X3489">
            <v>0</v>
          </cell>
          <cell r="Y3489">
            <v>0</v>
          </cell>
        </row>
        <row r="3490">
          <cell r="D3490">
            <v>302378</v>
          </cell>
          <cell r="E3490" t="str">
            <v>Sido-San Juan NHS</v>
          </cell>
          <cell r="F3490">
            <v>1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1</v>
          </cell>
          <cell r="M3490" t="str">
            <v>none</v>
          </cell>
          <cell r="N3490">
            <v>0</v>
          </cell>
          <cell r="O3490">
            <v>0</v>
          </cell>
          <cell r="P3490">
            <v>43678</v>
          </cell>
          <cell r="Q3490">
            <v>0</v>
          </cell>
          <cell r="R3490">
            <v>1</v>
          </cell>
          <cell r="S3490">
            <v>0</v>
          </cell>
          <cell r="T3490">
            <v>0</v>
          </cell>
          <cell r="U3490">
            <v>0</v>
          </cell>
          <cell r="V3490">
            <v>1</v>
          </cell>
          <cell r="W3490">
            <v>0</v>
          </cell>
          <cell r="X3490">
            <v>0</v>
          </cell>
          <cell r="Y3490">
            <v>0</v>
          </cell>
        </row>
        <row r="3491">
          <cell r="D3491">
            <v>302347</v>
          </cell>
          <cell r="E3491" t="str">
            <v>Belison NS</v>
          </cell>
          <cell r="F3491">
            <v>1</v>
          </cell>
          <cell r="G3491">
            <v>1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1</v>
          </cell>
          <cell r="M3491" t="str">
            <v>AS NEEDED</v>
          </cell>
          <cell r="N3491">
            <v>1</v>
          </cell>
          <cell r="O3491">
            <v>43252</v>
          </cell>
          <cell r="P3491">
            <v>43252</v>
          </cell>
          <cell r="Q3491">
            <v>0</v>
          </cell>
          <cell r="R3491">
            <v>1</v>
          </cell>
          <cell r="S3491">
            <v>0</v>
          </cell>
          <cell r="T3491">
            <v>0</v>
          </cell>
          <cell r="U3491">
            <v>0</v>
          </cell>
          <cell r="V3491">
            <v>1</v>
          </cell>
          <cell r="W3491">
            <v>2</v>
          </cell>
          <cell r="X3491">
            <v>0</v>
          </cell>
          <cell r="Y3491">
            <v>0</v>
          </cell>
        </row>
        <row r="3492">
          <cell r="D3492">
            <v>500787</v>
          </cell>
          <cell r="E3492" t="str">
            <v>Raymunda B. Hermosilla Integrated School</v>
          </cell>
          <cell r="F3492">
            <v>1</v>
          </cell>
          <cell r="G3492">
            <v>1</v>
          </cell>
          <cell r="H3492">
            <v>1</v>
          </cell>
          <cell r="I3492">
            <v>1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1</v>
          </cell>
          <cell r="O3492">
            <v>0</v>
          </cell>
          <cell r="P3492">
            <v>43610</v>
          </cell>
          <cell r="Q3492">
            <v>1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1</v>
          </cell>
          <cell r="W3492">
            <v>2</v>
          </cell>
          <cell r="X3492">
            <v>1</v>
          </cell>
          <cell r="Y3492">
            <v>1</v>
          </cell>
        </row>
        <row r="3493">
          <cell r="D3493">
            <v>322007</v>
          </cell>
          <cell r="E3493" t="str">
            <v>Baliang National High School</v>
          </cell>
          <cell r="F3493">
            <v>1</v>
          </cell>
          <cell r="G3493">
            <v>1</v>
          </cell>
          <cell r="H3493">
            <v>1</v>
          </cell>
          <cell r="I3493">
            <v>1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1</v>
          </cell>
          <cell r="O3493" t="str">
            <v>June 7, 2019</v>
          </cell>
          <cell r="P3493" t="str">
            <v>June 7, 2019</v>
          </cell>
          <cell r="Q3493">
            <v>1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1</v>
          </cell>
          <cell r="W3493">
            <v>0</v>
          </cell>
          <cell r="X3493">
            <v>0</v>
          </cell>
          <cell r="Y3493">
            <v>0</v>
          </cell>
        </row>
        <row r="3494">
          <cell r="D3494">
            <v>322001</v>
          </cell>
          <cell r="E3494" t="str">
            <v>Ubaldo Iway Memo. NHS</v>
          </cell>
          <cell r="F3494">
            <v>0</v>
          </cell>
          <cell r="G3494">
            <v>0</v>
          </cell>
          <cell r="H3494">
            <v>1</v>
          </cell>
          <cell r="I3494">
            <v>0</v>
          </cell>
          <cell r="J3494">
            <v>0</v>
          </cell>
          <cell r="K3494">
            <v>1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43628</v>
          </cell>
          <cell r="Q3494">
            <v>0</v>
          </cell>
          <cell r="R3494">
            <v>0</v>
          </cell>
          <cell r="S3494">
            <v>1</v>
          </cell>
          <cell r="T3494">
            <v>0</v>
          </cell>
          <cell r="U3494">
            <v>0</v>
          </cell>
          <cell r="V3494">
            <v>1</v>
          </cell>
          <cell r="W3494">
            <v>0</v>
          </cell>
          <cell r="X3494">
            <v>0</v>
          </cell>
          <cell r="Y3494">
            <v>0</v>
          </cell>
        </row>
        <row r="3495">
          <cell r="D3495">
            <v>500790</v>
          </cell>
          <cell r="E3495" t="str">
            <v>Sta. Rosa Integrated School</v>
          </cell>
          <cell r="F3495">
            <v>1</v>
          </cell>
          <cell r="G3495">
            <v>1</v>
          </cell>
          <cell r="H3495">
            <v>0</v>
          </cell>
          <cell r="I3495">
            <v>1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1</v>
          </cell>
          <cell r="O3495" t="str">
            <v>10/14/19</v>
          </cell>
          <cell r="P3495">
            <v>0</v>
          </cell>
          <cell r="Q3495">
            <v>1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1</v>
          </cell>
          <cell r="W3495">
            <v>0</v>
          </cell>
          <cell r="X3495">
            <v>0</v>
          </cell>
          <cell r="Y3495">
            <v>0</v>
          </cell>
        </row>
        <row r="3496">
          <cell r="D3496">
            <v>302959</v>
          </cell>
          <cell r="E3496" t="str">
            <v>Elpidio H. Perez Memorial Technical-Vocational High School</v>
          </cell>
          <cell r="F3496">
            <v>1</v>
          </cell>
          <cell r="G3496">
            <v>0</v>
          </cell>
          <cell r="H3496">
            <v>1</v>
          </cell>
          <cell r="I3496">
            <v>0</v>
          </cell>
          <cell r="J3496">
            <v>1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1</v>
          </cell>
          <cell r="S3496">
            <v>0</v>
          </cell>
          <cell r="T3496">
            <v>0</v>
          </cell>
          <cell r="U3496">
            <v>0</v>
          </cell>
          <cell r="V3496">
            <v>1</v>
          </cell>
          <cell r="W3496">
            <v>2</v>
          </cell>
          <cell r="X3496">
            <v>2</v>
          </cell>
          <cell r="Y3496">
            <v>0</v>
          </cell>
        </row>
        <row r="3497">
          <cell r="D3497">
            <v>312311</v>
          </cell>
          <cell r="E3497" t="str">
            <v>Mayor Pablo O. Lim MHS</v>
          </cell>
          <cell r="F3497">
            <v>1</v>
          </cell>
          <cell r="G3497">
            <v>0</v>
          </cell>
          <cell r="H3497">
            <v>1</v>
          </cell>
          <cell r="I3497">
            <v>1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1</v>
          </cell>
          <cell r="O3497">
            <v>0</v>
          </cell>
          <cell r="P3497" t="str">
            <v>monthly</v>
          </cell>
          <cell r="Q3497">
            <v>1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1</v>
          </cell>
          <cell r="W3497">
            <v>0</v>
          </cell>
          <cell r="X3497">
            <v>0</v>
          </cell>
          <cell r="Y3497">
            <v>0</v>
          </cell>
        </row>
        <row r="3498">
          <cell r="D3498">
            <v>302916</v>
          </cell>
          <cell r="E3498" t="str">
            <v>Valencia Tech-Voc HS</v>
          </cell>
          <cell r="F3498">
            <v>1</v>
          </cell>
          <cell r="G3498">
            <v>0</v>
          </cell>
          <cell r="H3498">
            <v>1</v>
          </cell>
          <cell r="I3498">
            <v>0</v>
          </cell>
          <cell r="J3498">
            <v>1</v>
          </cell>
          <cell r="K3498">
            <v>0</v>
          </cell>
          <cell r="L3498">
            <v>0</v>
          </cell>
          <cell r="M3498">
            <v>0</v>
          </cell>
          <cell r="N3498">
            <v>1</v>
          </cell>
          <cell r="O3498" t="str">
            <v>June 00, 2019</v>
          </cell>
          <cell r="P3498" t="str">
            <v>June 00, 2019</v>
          </cell>
          <cell r="Q3498">
            <v>0</v>
          </cell>
          <cell r="R3498">
            <v>1</v>
          </cell>
          <cell r="S3498">
            <v>0</v>
          </cell>
          <cell r="T3498">
            <v>0</v>
          </cell>
          <cell r="U3498">
            <v>0</v>
          </cell>
          <cell r="V3498">
            <v>1</v>
          </cell>
          <cell r="W3498">
            <v>0</v>
          </cell>
          <cell r="X3498">
            <v>0</v>
          </cell>
          <cell r="Y3498">
            <v>0</v>
          </cell>
        </row>
        <row r="3499">
          <cell r="D3499">
            <v>303267</v>
          </cell>
          <cell r="E3499" t="str">
            <v>Ong Che Tee - Bacong HS</v>
          </cell>
          <cell r="F3499">
            <v>1</v>
          </cell>
          <cell r="G3499">
            <v>1</v>
          </cell>
          <cell r="H3499">
            <v>1</v>
          </cell>
          <cell r="I3499">
            <v>0</v>
          </cell>
          <cell r="J3499">
            <v>0</v>
          </cell>
          <cell r="K3499">
            <v>0</v>
          </cell>
          <cell r="L3499">
            <v>1</v>
          </cell>
          <cell r="M3499" t="str">
            <v>As needed</v>
          </cell>
          <cell r="N3499">
            <v>1</v>
          </cell>
          <cell r="O3499" t="str">
            <v>July 25,2019</v>
          </cell>
          <cell r="P3499" t="str">
            <v>July 25,2019</v>
          </cell>
          <cell r="Q3499">
            <v>0</v>
          </cell>
          <cell r="R3499">
            <v>0</v>
          </cell>
          <cell r="S3499">
            <v>0</v>
          </cell>
          <cell r="T3499">
            <v>1</v>
          </cell>
          <cell r="U3499" t="str">
            <v>As needed</v>
          </cell>
          <cell r="V3499">
            <v>1</v>
          </cell>
          <cell r="W3499">
            <v>0</v>
          </cell>
          <cell r="X3499">
            <v>0</v>
          </cell>
          <cell r="Y3499">
            <v>0</v>
          </cell>
        </row>
        <row r="3500">
          <cell r="D3500">
            <v>302956</v>
          </cell>
          <cell r="E3500" t="str">
            <v>Estefa O. Monte Memo. National High School</v>
          </cell>
          <cell r="F3500">
            <v>1</v>
          </cell>
          <cell r="G3500">
            <v>0</v>
          </cell>
          <cell r="H3500">
            <v>1</v>
          </cell>
          <cell r="I3500">
            <v>0</v>
          </cell>
          <cell r="J3500">
            <v>1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5</v>
          </cell>
          <cell r="X3500">
            <v>0</v>
          </cell>
          <cell r="Y3500">
            <v>0</v>
          </cell>
        </row>
        <row r="3501">
          <cell r="D3501">
            <v>312950</v>
          </cell>
          <cell r="E3501" t="str">
            <v>Tayasan National Science High School</v>
          </cell>
          <cell r="F3501">
            <v>1</v>
          </cell>
          <cell r="G3501">
            <v>1</v>
          </cell>
          <cell r="H3501">
            <v>1</v>
          </cell>
          <cell r="I3501">
            <v>1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1</v>
          </cell>
          <cell r="O3501" t="str">
            <v xml:space="preserve"> June 8, 2019</v>
          </cell>
          <cell r="P3501" t="str">
            <v xml:space="preserve"> July 1, 2019</v>
          </cell>
          <cell r="Q3501">
            <v>1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1</v>
          </cell>
          <cell r="W3501">
            <v>4</v>
          </cell>
          <cell r="X3501">
            <v>0</v>
          </cell>
          <cell r="Y3501">
            <v>0</v>
          </cell>
        </row>
        <row r="3502">
          <cell r="D3502">
            <v>303290</v>
          </cell>
          <cell r="E3502" t="str">
            <v>Bago National High School</v>
          </cell>
          <cell r="F3502">
            <v>1</v>
          </cell>
          <cell r="G3502">
            <v>1</v>
          </cell>
          <cell r="H3502">
            <v>1</v>
          </cell>
          <cell r="I3502">
            <v>0</v>
          </cell>
          <cell r="J3502">
            <v>1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 t="str">
            <v>N/A</v>
          </cell>
          <cell r="Q3502">
            <v>0</v>
          </cell>
          <cell r="R3502">
            <v>0</v>
          </cell>
          <cell r="S3502">
            <v>0</v>
          </cell>
          <cell r="T3502">
            <v>1</v>
          </cell>
          <cell r="U3502" t="str">
            <v>N/A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</row>
        <row r="3503">
          <cell r="D3503">
            <v>303289</v>
          </cell>
          <cell r="E3503" t="str">
            <v>Tayasan National High School (Main)</v>
          </cell>
          <cell r="F3503">
            <v>1</v>
          </cell>
          <cell r="G3503">
            <v>1</v>
          </cell>
          <cell r="H3503">
            <v>1</v>
          </cell>
          <cell r="I3503">
            <v>1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1</v>
          </cell>
          <cell r="O3503" t="str">
            <v>JUNE 3, 2019</v>
          </cell>
          <cell r="P3503" t="str">
            <v>JULY 1, 2019</v>
          </cell>
          <cell r="Q3503">
            <v>1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1</v>
          </cell>
          <cell r="W3503">
            <v>4</v>
          </cell>
          <cell r="X3503">
            <v>0</v>
          </cell>
          <cell r="Y3503">
            <v>0</v>
          </cell>
        </row>
        <row r="3504">
          <cell r="D3504">
            <v>312942</v>
          </cell>
          <cell r="E3504" t="str">
            <v>Sumaliring HS [Inalad HS]</v>
          </cell>
          <cell r="F3504">
            <v>1</v>
          </cell>
          <cell r="G3504">
            <v>1</v>
          </cell>
          <cell r="H3504">
            <v>1</v>
          </cell>
          <cell r="I3504">
            <v>0</v>
          </cell>
          <cell r="J3504">
            <v>0</v>
          </cell>
          <cell r="K3504">
            <v>1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 t="str">
            <v>N/A</v>
          </cell>
          <cell r="Q3504">
            <v>0</v>
          </cell>
          <cell r="R3504">
            <v>1</v>
          </cell>
          <cell r="S3504">
            <v>0</v>
          </cell>
          <cell r="T3504">
            <v>0</v>
          </cell>
          <cell r="U3504">
            <v>0</v>
          </cell>
          <cell r="V3504">
            <v>1</v>
          </cell>
          <cell r="W3504">
            <v>0</v>
          </cell>
          <cell r="X3504">
            <v>0</v>
          </cell>
          <cell r="Y3504">
            <v>0</v>
          </cell>
        </row>
        <row r="3505">
          <cell r="D3505">
            <v>322003</v>
          </cell>
          <cell r="E3505" t="str">
            <v>Ramon M. Durano Sr. Foundation - Science and Technology Education Center</v>
          </cell>
          <cell r="F3505">
            <v>1</v>
          </cell>
          <cell r="G3505">
            <v>1</v>
          </cell>
          <cell r="H3505">
            <v>1</v>
          </cell>
          <cell r="I3505">
            <v>0</v>
          </cell>
          <cell r="J3505">
            <v>1</v>
          </cell>
          <cell r="K3505">
            <v>0</v>
          </cell>
          <cell r="L3505">
            <v>0</v>
          </cell>
          <cell r="M3505">
            <v>0</v>
          </cell>
          <cell r="N3505">
            <v>1</v>
          </cell>
          <cell r="O3505">
            <v>0</v>
          </cell>
          <cell r="P3505">
            <v>0</v>
          </cell>
          <cell r="Q3505">
            <v>0</v>
          </cell>
          <cell r="R3505">
            <v>1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</row>
        <row r="3506">
          <cell r="D3506">
            <v>303316</v>
          </cell>
          <cell r="E3506" t="str">
            <v>Toledo National Vocational School</v>
          </cell>
          <cell r="F3506">
            <v>1</v>
          </cell>
          <cell r="G3506">
            <v>1</v>
          </cell>
          <cell r="H3506">
            <v>1</v>
          </cell>
          <cell r="I3506">
            <v>0</v>
          </cell>
          <cell r="J3506">
            <v>1</v>
          </cell>
          <cell r="K3506">
            <v>0</v>
          </cell>
          <cell r="L3506">
            <v>0</v>
          </cell>
          <cell r="M3506">
            <v>0</v>
          </cell>
          <cell r="N3506">
            <v>1</v>
          </cell>
          <cell r="O3506">
            <v>0</v>
          </cell>
          <cell r="P3506">
            <v>0</v>
          </cell>
          <cell r="Q3506">
            <v>0</v>
          </cell>
          <cell r="R3506">
            <v>1</v>
          </cell>
          <cell r="S3506">
            <v>0</v>
          </cell>
          <cell r="T3506">
            <v>0</v>
          </cell>
          <cell r="U3506">
            <v>0</v>
          </cell>
          <cell r="V3506">
            <v>1</v>
          </cell>
          <cell r="W3506">
            <v>0</v>
          </cell>
          <cell r="X3506">
            <v>0</v>
          </cell>
          <cell r="Y3506">
            <v>0</v>
          </cell>
        </row>
        <row r="3507">
          <cell r="D3507">
            <v>303038</v>
          </cell>
          <cell r="E3507" t="str">
            <v>Nicolas U. Tiongko Memorial National High School</v>
          </cell>
          <cell r="F3507">
            <v>1</v>
          </cell>
          <cell r="G3507">
            <v>1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1</v>
          </cell>
          <cell r="O3507">
            <v>43734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1</v>
          </cell>
          <cell r="X3507">
            <v>0</v>
          </cell>
          <cell r="Y3507">
            <v>0</v>
          </cell>
        </row>
        <row r="3508">
          <cell r="D3508">
            <v>303309</v>
          </cell>
          <cell r="E3508" t="str">
            <v>Cantabaco NHS</v>
          </cell>
          <cell r="F3508">
            <v>1</v>
          </cell>
          <cell r="G3508">
            <v>0</v>
          </cell>
          <cell r="H3508">
            <v>1</v>
          </cell>
          <cell r="I3508">
            <v>0</v>
          </cell>
          <cell r="J3508">
            <v>1</v>
          </cell>
          <cell r="K3508">
            <v>0</v>
          </cell>
          <cell r="L3508">
            <v>0</v>
          </cell>
          <cell r="M3508">
            <v>0</v>
          </cell>
          <cell r="N3508">
            <v>1</v>
          </cell>
          <cell r="O3508">
            <v>0</v>
          </cell>
          <cell r="P3508">
            <v>0</v>
          </cell>
          <cell r="Q3508">
            <v>0</v>
          </cell>
          <cell r="R3508">
            <v>1</v>
          </cell>
          <cell r="S3508">
            <v>0</v>
          </cell>
          <cell r="T3508">
            <v>0</v>
          </cell>
          <cell r="U3508">
            <v>0</v>
          </cell>
          <cell r="V3508">
            <v>1</v>
          </cell>
          <cell r="W3508">
            <v>0</v>
          </cell>
          <cell r="X3508">
            <v>0</v>
          </cell>
          <cell r="Y3508">
            <v>0</v>
          </cell>
        </row>
        <row r="3509">
          <cell r="D3509">
            <v>312951</v>
          </cell>
          <cell r="E3509" t="str">
            <v>Mabinay Science High School</v>
          </cell>
          <cell r="F3509">
            <v>1</v>
          </cell>
          <cell r="G3509">
            <v>1</v>
          </cell>
          <cell r="H3509">
            <v>1</v>
          </cell>
          <cell r="I3509">
            <v>0</v>
          </cell>
          <cell r="J3509">
            <v>1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43694</v>
          </cell>
          <cell r="Q3509">
            <v>0</v>
          </cell>
          <cell r="R3509">
            <v>1</v>
          </cell>
          <cell r="S3509">
            <v>0</v>
          </cell>
          <cell r="T3509">
            <v>0</v>
          </cell>
          <cell r="U3509">
            <v>0</v>
          </cell>
          <cell r="V3509">
            <v>1</v>
          </cell>
          <cell r="W3509">
            <v>0</v>
          </cell>
          <cell r="X3509">
            <v>0</v>
          </cell>
          <cell r="Y3509">
            <v>0</v>
          </cell>
        </row>
        <row r="3510">
          <cell r="D3510">
            <v>303229</v>
          </cell>
          <cell r="E3510" t="str">
            <v>Demetrio Alviola NHS - Nalundan Extension</v>
          </cell>
          <cell r="F3510">
            <v>1</v>
          </cell>
          <cell r="G3510">
            <v>1</v>
          </cell>
          <cell r="H3510">
            <v>1</v>
          </cell>
          <cell r="I3510">
            <v>0</v>
          </cell>
          <cell r="J3510">
            <v>1</v>
          </cell>
          <cell r="K3510">
            <v>0</v>
          </cell>
          <cell r="L3510">
            <v>0</v>
          </cell>
          <cell r="M3510">
            <v>0</v>
          </cell>
          <cell r="N3510">
            <v>1</v>
          </cell>
          <cell r="O3510" t="str">
            <v>June 7, 2019</v>
          </cell>
          <cell r="P3510" t="str">
            <v>June 7, 2019</v>
          </cell>
          <cell r="Q3510">
            <v>0</v>
          </cell>
          <cell r="R3510">
            <v>1</v>
          </cell>
          <cell r="S3510">
            <v>0</v>
          </cell>
          <cell r="T3510">
            <v>0</v>
          </cell>
          <cell r="U3510">
            <v>0</v>
          </cell>
          <cell r="V3510">
            <v>1</v>
          </cell>
          <cell r="W3510">
            <v>0</v>
          </cell>
          <cell r="X3510">
            <v>0</v>
          </cell>
          <cell r="Y3510">
            <v>0</v>
          </cell>
        </row>
        <row r="3511">
          <cell r="D3511">
            <v>500041</v>
          </cell>
          <cell r="E3511" t="str">
            <v>Eduardo Gorre Memo. Integrated School</v>
          </cell>
          <cell r="F3511">
            <v>1</v>
          </cell>
          <cell r="G3511">
            <v>1</v>
          </cell>
          <cell r="H3511">
            <v>1</v>
          </cell>
          <cell r="I3511">
            <v>0</v>
          </cell>
          <cell r="J3511">
            <v>1</v>
          </cell>
          <cell r="K3511">
            <v>0</v>
          </cell>
          <cell r="L3511">
            <v>0</v>
          </cell>
          <cell r="M3511">
            <v>0</v>
          </cell>
          <cell r="N3511">
            <v>1</v>
          </cell>
          <cell r="O3511">
            <v>43733</v>
          </cell>
          <cell r="P3511">
            <v>43733</v>
          </cell>
          <cell r="Q3511">
            <v>0</v>
          </cell>
          <cell r="R3511">
            <v>1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4</v>
          </cell>
          <cell r="X3511">
            <v>4</v>
          </cell>
          <cell r="Y3511">
            <v>4</v>
          </cell>
        </row>
        <row r="3512">
          <cell r="D3512">
            <v>303313</v>
          </cell>
          <cell r="E3512" t="str">
            <v>Matab-ang NHS</v>
          </cell>
          <cell r="F3512">
            <v>1</v>
          </cell>
          <cell r="G3512">
            <v>1</v>
          </cell>
          <cell r="H3512">
            <v>1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 t="str">
            <v>NONE</v>
          </cell>
          <cell r="Q3512">
            <v>0</v>
          </cell>
          <cell r="R3512">
            <v>0</v>
          </cell>
          <cell r="S3512">
            <v>0</v>
          </cell>
          <cell r="T3512">
            <v>1</v>
          </cell>
          <cell r="U3512" t="str">
            <v>NONE</v>
          </cell>
          <cell r="V3512">
            <v>1</v>
          </cell>
          <cell r="W3512">
            <v>0</v>
          </cell>
          <cell r="X3512">
            <v>0</v>
          </cell>
          <cell r="Y3512">
            <v>0</v>
          </cell>
        </row>
        <row r="3513">
          <cell r="D3513">
            <v>303257</v>
          </cell>
          <cell r="E3513" t="str">
            <v>Owacan Provincial Comm. HS</v>
          </cell>
          <cell r="F3513">
            <v>1</v>
          </cell>
          <cell r="G3513">
            <v>1</v>
          </cell>
          <cell r="H3513">
            <v>1</v>
          </cell>
          <cell r="I3513">
            <v>0</v>
          </cell>
          <cell r="J3513">
            <v>1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1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</row>
        <row r="3514">
          <cell r="D3514">
            <v>303265</v>
          </cell>
          <cell r="E3514" t="str">
            <v>Sta. Catalina National High School</v>
          </cell>
          <cell r="F3514">
            <v>1</v>
          </cell>
          <cell r="G3514">
            <v>1</v>
          </cell>
          <cell r="H3514">
            <v>1</v>
          </cell>
          <cell r="I3514">
            <v>0</v>
          </cell>
          <cell r="J3514">
            <v>1</v>
          </cell>
          <cell r="K3514">
            <v>0</v>
          </cell>
          <cell r="L3514">
            <v>0</v>
          </cell>
          <cell r="M3514">
            <v>0</v>
          </cell>
          <cell r="N3514">
            <v>1</v>
          </cell>
          <cell r="O3514">
            <v>0</v>
          </cell>
          <cell r="P3514">
            <v>0</v>
          </cell>
          <cell r="Q3514">
            <v>0</v>
          </cell>
          <cell r="R3514">
            <v>1</v>
          </cell>
          <cell r="S3514">
            <v>0</v>
          </cell>
          <cell r="T3514">
            <v>0</v>
          </cell>
          <cell r="U3514">
            <v>0</v>
          </cell>
          <cell r="V3514">
            <v>1</v>
          </cell>
          <cell r="W3514">
            <v>0</v>
          </cell>
          <cell r="X3514">
            <v>0</v>
          </cell>
          <cell r="Y3514">
            <v>0</v>
          </cell>
        </row>
        <row r="3515">
          <cell r="D3515">
            <v>303039</v>
          </cell>
          <cell r="E3515" t="str">
            <v>Ramon M. Durano Sr. MNHS</v>
          </cell>
          <cell r="F3515">
            <v>1</v>
          </cell>
          <cell r="G3515">
            <v>1</v>
          </cell>
          <cell r="H3515">
            <v>1</v>
          </cell>
          <cell r="I3515">
            <v>1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1</v>
          </cell>
          <cell r="O3515" t="str">
            <v>09/30/2019</v>
          </cell>
          <cell r="P3515" t="str">
            <v>09/25/2019</v>
          </cell>
          <cell r="Q3515">
            <v>1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1</v>
          </cell>
          <cell r="W3515">
            <v>0</v>
          </cell>
          <cell r="X3515">
            <v>0</v>
          </cell>
          <cell r="Y3515">
            <v>0</v>
          </cell>
        </row>
        <row r="3516">
          <cell r="D3516">
            <v>312947</v>
          </cell>
          <cell r="E3516" t="str">
            <v>Zamboanguita Science HS</v>
          </cell>
          <cell r="F3516">
            <v>1</v>
          </cell>
          <cell r="G3516">
            <v>0</v>
          </cell>
          <cell r="H3516">
            <v>1</v>
          </cell>
          <cell r="I3516">
            <v>0</v>
          </cell>
          <cell r="J3516">
            <v>0</v>
          </cell>
          <cell r="K3516">
            <v>0</v>
          </cell>
          <cell r="L3516">
            <v>1</v>
          </cell>
          <cell r="M3516" t="str">
            <v>AS THE NEED ARISES</v>
          </cell>
          <cell r="N3516">
            <v>0</v>
          </cell>
          <cell r="O3516" t="str">
            <v>N/A</v>
          </cell>
          <cell r="P3516" t="str">
            <v>N/A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3</v>
          </cell>
          <cell r="X3516">
            <v>2</v>
          </cell>
          <cell r="Y3516">
            <v>0</v>
          </cell>
        </row>
        <row r="3517">
          <cell r="D3517">
            <v>303228</v>
          </cell>
          <cell r="E3517" t="str">
            <v>Demetrio L. Alviola NHS</v>
          </cell>
          <cell r="F3517">
            <v>1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</row>
        <row r="3518">
          <cell r="D3518">
            <v>312921</v>
          </cell>
          <cell r="E3518" t="str">
            <v>Froilan A. Alanano Memorial High School</v>
          </cell>
          <cell r="F3518">
            <v>1</v>
          </cell>
          <cell r="G3518">
            <v>1</v>
          </cell>
          <cell r="H3518">
            <v>1</v>
          </cell>
          <cell r="I3518">
            <v>0</v>
          </cell>
          <cell r="J3518">
            <v>1</v>
          </cell>
          <cell r="K3518">
            <v>0</v>
          </cell>
          <cell r="L3518">
            <v>0</v>
          </cell>
          <cell r="M3518">
            <v>0</v>
          </cell>
          <cell r="N3518">
            <v>1</v>
          </cell>
          <cell r="O3518">
            <v>0</v>
          </cell>
          <cell r="P3518" t="str">
            <v>March, 2019</v>
          </cell>
          <cell r="Q3518">
            <v>0</v>
          </cell>
          <cell r="R3518">
            <v>1</v>
          </cell>
          <cell r="S3518">
            <v>0</v>
          </cell>
          <cell r="T3518">
            <v>0</v>
          </cell>
          <cell r="U3518">
            <v>0</v>
          </cell>
          <cell r="V3518">
            <v>1</v>
          </cell>
          <cell r="W3518">
            <v>0</v>
          </cell>
          <cell r="X3518">
            <v>0</v>
          </cell>
          <cell r="Y3518">
            <v>0</v>
          </cell>
        </row>
        <row r="3519">
          <cell r="D3519">
            <v>312917</v>
          </cell>
          <cell r="E3519" t="str">
            <v>Cabcaban CHS</v>
          </cell>
          <cell r="F3519">
            <v>1</v>
          </cell>
          <cell r="G3519">
            <v>1</v>
          </cell>
          <cell r="H3519">
            <v>1</v>
          </cell>
          <cell r="I3519">
            <v>0</v>
          </cell>
          <cell r="J3519">
            <v>1</v>
          </cell>
          <cell r="K3519">
            <v>0</v>
          </cell>
          <cell r="L3519">
            <v>0</v>
          </cell>
          <cell r="M3519">
            <v>0</v>
          </cell>
          <cell r="N3519">
            <v>1</v>
          </cell>
          <cell r="O3519">
            <v>0</v>
          </cell>
          <cell r="P3519">
            <v>43543</v>
          </cell>
          <cell r="Q3519">
            <v>0</v>
          </cell>
          <cell r="R3519">
            <v>1</v>
          </cell>
          <cell r="S3519">
            <v>0</v>
          </cell>
          <cell r="T3519">
            <v>0</v>
          </cell>
          <cell r="U3519">
            <v>0</v>
          </cell>
          <cell r="V3519">
            <v>1</v>
          </cell>
          <cell r="W3519">
            <v>1</v>
          </cell>
          <cell r="X3519">
            <v>0</v>
          </cell>
          <cell r="Y3519">
            <v>0</v>
          </cell>
        </row>
        <row r="3520">
          <cell r="D3520">
            <v>312932</v>
          </cell>
          <cell r="E3520" t="str">
            <v>Eligio T. Monte De Ramos High School</v>
          </cell>
          <cell r="F3520">
            <v>1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1</v>
          </cell>
          <cell r="T3520">
            <v>1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</row>
        <row r="3521">
          <cell r="D3521">
            <v>303260</v>
          </cell>
          <cell r="E3521" t="str">
            <v>Pantao NHS</v>
          </cell>
          <cell r="F3521">
            <v>1</v>
          </cell>
          <cell r="G3521">
            <v>1</v>
          </cell>
          <cell r="H3521">
            <v>0</v>
          </cell>
          <cell r="I3521">
            <v>0</v>
          </cell>
          <cell r="J3521">
            <v>0</v>
          </cell>
          <cell r="K3521">
            <v>1</v>
          </cell>
          <cell r="L3521">
            <v>0</v>
          </cell>
          <cell r="M3521">
            <v>0</v>
          </cell>
          <cell r="N3521">
            <v>1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1</v>
          </cell>
          <cell r="T3521">
            <v>0</v>
          </cell>
          <cell r="U3521">
            <v>0</v>
          </cell>
          <cell r="V3521">
            <v>1</v>
          </cell>
          <cell r="W3521">
            <v>0</v>
          </cell>
          <cell r="X3521">
            <v>0</v>
          </cell>
          <cell r="Y3521">
            <v>0</v>
          </cell>
        </row>
        <row r="3522">
          <cell r="D3522">
            <v>303314</v>
          </cell>
          <cell r="E3522" t="str">
            <v>Media Once National High School</v>
          </cell>
          <cell r="F3522">
            <v>1</v>
          </cell>
          <cell r="G3522">
            <v>0</v>
          </cell>
          <cell r="H3522">
            <v>1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</row>
        <row r="3523">
          <cell r="D3523">
            <v>312968</v>
          </cell>
          <cell r="E3523" t="str">
            <v>Palayuhan High School</v>
          </cell>
          <cell r="F3523">
            <v>1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</row>
        <row r="3524">
          <cell r="D3524">
            <v>303244</v>
          </cell>
          <cell r="E3524" t="str">
            <v>Mabinay National High School</v>
          </cell>
          <cell r="F3524">
            <v>1</v>
          </cell>
          <cell r="G3524">
            <v>1</v>
          </cell>
          <cell r="H3524">
            <v>1</v>
          </cell>
          <cell r="I3524">
            <v>0</v>
          </cell>
          <cell r="J3524">
            <v>1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</row>
        <row r="3525">
          <cell r="D3525">
            <v>312919</v>
          </cell>
          <cell r="E3525" t="str">
            <v>Malongcay Dacu High School</v>
          </cell>
          <cell r="F3525">
            <v>1</v>
          </cell>
          <cell r="G3525">
            <v>1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</row>
        <row r="3526">
          <cell r="D3526">
            <v>303248</v>
          </cell>
          <cell r="E3526" t="str">
            <v>Tara Provincial Community High School</v>
          </cell>
          <cell r="F3526">
            <v>1</v>
          </cell>
          <cell r="G3526">
            <v>1</v>
          </cell>
          <cell r="H3526">
            <v>1</v>
          </cell>
          <cell r="I3526">
            <v>0</v>
          </cell>
          <cell r="J3526">
            <v>1</v>
          </cell>
          <cell r="K3526">
            <v>0</v>
          </cell>
          <cell r="L3526">
            <v>0</v>
          </cell>
          <cell r="M3526">
            <v>0</v>
          </cell>
          <cell r="N3526">
            <v>1</v>
          </cell>
          <cell r="O3526" t="str">
            <v>7/25/19</v>
          </cell>
          <cell r="P3526">
            <v>0</v>
          </cell>
          <cell r="Q3526">
            <v>0</v>
          </cell>
          <cell r="R3526">
            <v>1</v>
          </cell>
          <cell r="S3526">
            <v>0</v>
          </cell>
          <cell r="T3526">
            <v>0</v>
          </cell>
          <cell r="U3526">
            <v>0</v>
          </cell>
          <cell r="V3526">
            <v>1</v>
          </cell>
          <cell r="W3526">
            <v>2</v>
          </cell>
          <cell r="X3526">
            <v>0</v>
          </cell>
          <cell r="Y3526">
            <v>0</v>
          </cell>
        </row>
        <row r="3527">
          <cell r="D3527">
            <v>312924</v>
          </cell>
          <cell r="E3527" t="str">
            <v>Campanun-an Senior High School</v>
          </cell>
          <cell r="F3527">
            <v>1</v>
          </cell>
          <cell r="G3527">
            <v>0</v>
          </cell>
          <cell r="H3527">
            <v>1</v>
          </cell>
          <cell r="I3527">
            <v>0</v>
          </cell>
          <cell r="J3527">
            <v>1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 t="str">
            <v>June 12, 2019</v>
          </cell>
          <cell r="P3527">
            <v>0</v>
          </cell>
          <cell r="Q3527">
            <v>0</v>
          </cell>
          <cell r="R3527">
            <v>1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</row>
        <row r="3528">
          <cell r="D3528">
            <v>302855</v>
          </cell>
          <cell r="E3528" t="str">
            <v>Guinsularan High School</v>
          </cell>
          <cell r="F3528">
            <v>1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</row>
        <row r="3529">
          <cell r="D3529">
            <v>303266</v>
          </cell>
          <cell r="E3529" t="str">
            <v>San Miguel National High School</v>
          </cell>
          <cell r="F3529">
            <v>1</v>
          </cell>
          <cell r="G3529">
            <v>1</v>
          </cell>
          <cell r="H3529">
            <v>1</v>
          </cell>
          <cell r="I3529">
            <v>0</v>
          </cell>
          <cell r="J3529">
            <v>0</v>
          </cell>
          <cell r="K3529">
            <v>0</v>
          </cell>
          <cell r="L3529">
            <v>1</v>
          </cell>
          <cell r="M3529" t="str">
            <v>As needed</v>
          </cell>
          <cell r="N3529">
            <v>1</v>
          </cell>
          <cell r="O3529">
            <v>43671</v>
          </cell>
          <cell r="P3529">
            <v>43671</v>
          </cell>
          <cell r="Q3529">
            <v>0</v>
          </cell>
          <cell r="R3529">
            <v>0</v>
          </cell>
          <cell r="S3529">
            <v>0</v>
          </cell>
          <cell r="T3529">
            <v>1</v>
          </cell>
          <cell r="U3529" t="str">
            <v>As needed</v>
          </cell>
          <cell r="V3529">
            <v>1</v>
          </cell>
          <cell r="W3529">
            <v>0</v>
          </cell>
          <cell r="X3529">
            <v>0</v>
          </cell>
          <cell r="Y3529">
            <v>0</v>
          </cell>
        </row>
        <row r="3530">
          <cell r="D3530">
            <v>303235</v>
          </cell>
          <cell r="E3530" t="str">
            <v>Jimalalud National High School</v>
          </cell>
          <cell r="F3530">
            <v>1</v>
          </cell>
          <cell r="G3530">
            <v>1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</row>
        <row r="3531">
          <cell r="D3531">
            <v>312966</v>
          </cell>
          <cell r="E3531" t="str">
            <v>Panciao High School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 t="str">
            <v>N/A</v>
          </cell>
          <cell r="Q3531">
            <v>0</v>
          </cell>
          <cell r="R3531">
            <v>0</v>
          </cell>
          <cell r="S3531">
            <v>0</v>
          </cell>
          <cell r="T3531">
            <v>1</v>
          </cell>
          <cell r="U3531" t="str">
            <v>N/A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</row>
        <row r="3532">
          <cell r="D3532">
            <v>302890</v>
          </cell>
          <cell r="E3532" t="str">
            <v>San Isidro National High School</v>
          </cell>
          <cell r="F3532">
            <v>1</v>
          </cell>
          <cell r="G3532">
            <v>0</v>
          </cell>
          <cell r="H3532">
            <v>1</v>
          </cell>
          <cell r="I3532">
            <v>0</v>
          </cell>
          <cell r="J3532">
            <v>0</v>
          </cell>
          <cell r="K3532">
            <v>1</v>
          </cell>
          <cell r="L3532">
            <v>0</v>
          </cell>
          <cell r="M3532">
            <v>0</v>
          </cell>
          <cell r="N3532">
            <v>1</v>
          </cell>
          <cell r="O3532">
            <v>0</v>
          </cell>
          <cell r="P3532">
            <v>0</v>
          </cell>
          <cell r="Q3532">
            <v>1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1</v>
          </cell>
          <cell r="W3532">
            <v>3</v>
          </cell>
          <cell r="X3532">
            <v>0</v>
          </cell>
          <cell r="Y3532">
            <v>0</v>
          </cell>
        </row>
        <row r="3533">
          <cell r="D3533">
            <v>303310</v>
          </cell>
          <cell r="E3533" t="str">
            <v>Don Andres Soriano NHS</v>
          </cell>
          <cell r="F3533">
            <v>1</v>
          </cell>
          <cell r="G3533">
            <v>1</v>
          </cell>
          <cell r="H3533">
            <v>1</v>
          </cell>
          <cell r="I3533">
            <v>0</v>
          </cell>
          <cell r="J3533">
            <v>1</v>
          </cell>
          <cell r="K3533">
            <v>0</v>
          </cell>
          <cell r="L3533">
            <v>1</v>
          </cell>
          <cell r="M3533" t="str">
            <v>BARKADA KONTRA DROGA</v>
          </cell>
          <cell r="N3533">
            <v>0</v>
          </cell>
          <cell r="O3533">
            <v>0</v>
          </cell>
          <cell r="P3533" t="str">
            <v>JULY 24-25, 2019</v>
          </cell>
          <cell r="Q3533">
            <v>0</v>
          </cell>
          <cell r="R3533">
            <v>1</v>
          </cell>
          <cell r="S3533">
            <v>0</v>
          </cell>
          <cell r="T3533">
            <v>0</v>
          </cell>
          <cell r="U3533">
            <v>0</v>
          </cell>
          <cell r="V3533">
            <v>1</v>
          </cell>
          <cell r="W3533">
            <v>0</v>
          </cell>
          <cell r="X3533">
            <v>0</v>
          </cell>
          <cell r="Y3533">
            <v>0</v>
          </cell>
        </row>
        <row r="3534">
          <cell r="D3534">
            <v>303263</v>
          </cell>
          <cell r="E3534" t="str">
            <v>Don Emilio Macias MNHS (San Francisco NHS)</v>
          </cell>
          <cell r="F3534">
            <v>1</v>
          </cell>
          <cell r="G3534">
            <v>0</v>
          </cell>
          <cell r="H3534">
            <v>0</v>
          </cell>
          <cell r="I3534">
            <v>0</v>
          </cell>
          <cell r="J3534">
            <v>0</v>
          </cell>
          <cell r="K3534">
            <v>1</v>
          </cell>
          <cell r="L3534">
            <v>0</v>
          </cell>
          <cell r="M3534">
            <v>0</v>
          </cell>
          <cell r="N3534">
            <v>1</v>
          </cell>
          <cell r="O3534">
            <v>0</v>
          </cell>
          <cell r="P3534" t="str">
            <v>n/a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1</v>
          </cell>
          <cell r="X3534">
            <v>1</v>
          </cell>
          <cell r="Y3534">
            <v>1</v>
          </cell>
        </row>
        <row r="3535">
          <cell r="D3535">
            <v>303206</v>
          </cell>
          <cell r="E3535" t="str">
            <v>Avocado Community High School</v>
          </cell>
          <cell r="F3535">
            <v>1</v>
          </cell>
          <cell r="G3535">
            <v>1</v>
          </cell>
          <cell r="H3535">
            <v>1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1</v>
          </cell>
          <cell r="O3535">
            <v>0</v>
          </cell>
          <cell r="P3535">
            <v>43684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1</v>
          </cell>
          <cell r="W3535">
            <v>10</v>
          </cell>
          <cell r="X3535">
            <v>10</v>
          </cell>
          <cell r="Y3535">
            <v>10</v>
          </cell>
        </row>
        <row r="3536">
          <cell r="D3536">
            <v>303020</v>
          </cell>
          <cell r="E3536" t="str">
            <v>Pooc NHS (Jaclupan NHS - Pooc Ext.)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 t="str">
            <v>none</v>
          </cell>
          <cell r="P3536" t="str">
            <v>none</v>
          </cell>
          <cell r="Q3536">
            <v>0</v>
          </cell>
          <cell r="R3536">
            <v>0</v>
          </cell>
          <cell r="S3536">
            <v>0</v>
          </cell>
          <cell r="T3536">
            <v>1</v>
          </cell>
          <cell r="U3536" t="str">
            <v>none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</row>
        <row r="3537">
          <cell r="D3537">
            <v>303269</v>
          </cell>
          <cell r="E3537" t="str">
            <v>Lorenza P. Palarpalar MHS (Bonbonon PCHS)</v>
          </cell>
          <cell r="F3537">
            <v>1</v>
          </cell>
          <cell r="G3537">
            <v>0</v>
          </cell>
          <cell r="H3537">
            <v>1</v>
          </cell>
          <cell r="I3537">
            <v>0</v>
          </cell>
          <cell r="J3537">
            <v>1</v>
          </cell>
          <cell r="K3537">
            <v>0</v>
          </cell>
          <cell r="L3537">
            <v>0</v>
          </cell>
          <cell r="M3537">
            <v>0</v>
          </cell>
          <cell r="N3537">
            <v>1</v>
          </cell>
          <cell r="O3537" t="str">
            <v>N/A</v>
          </cell>
          <cell r="P3537" t="str">
            <v>N./A</v>
          </cell>
          <cell r="Q3537">
            <v>0</v>
          </cell>
          <cell r="R3537">
            <v>0</v>
          </cell>
          <cell r="S3537">
            <v>1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</row>
        <row r="3538">
          <cell r="D3538">
            <v>361077</v>
          </cell>
          <cell r="E3538" t="str">
            <v>Pulangbato National Senior High School</v>
          </cell>
          <cell r="F3538">
            <v>1</v>
          </cell>
          <cell r="G3538">
            <v>1</v>
          </cell>
          <cell r="H3538">
            <v>1</v>
          </cell>
          <cell r="I3538">
            <v>0</v>
          </cell>
          <cell r="J3538">
            <v>1</v>
          </cell>
          <cell r="K3538">
            <v>0</v>
          </cell>
          <cell r="L3538">
            <v>0</v>
          </cell>
          <cell r="M3538">
            <v>0</v>
          </cell>
          <cell r="N3538">
            <v>1</v>
          </cell>
          <cell r="O3538">
            <v>0</v>
          </cell>
          <cell r="P3538">
            <v>43655</v>
          </cell>
          <cell r="Q3538">
            <v>0</v>
          </cell>
          <cell r="R3538">
            <v>0</v>
          </cell>
          <cell r="S3538">
            <v>1</v>
          </cell>
          <cell r="T3538">
            <v>0</v>
          </cell>
          <cell r="U3538">
            <v>0</v>
          </cell>
          <cell r="V3538">
            <v>1</v>
          </cell>
          <cell r="W3538">
            <v>0</v>
          </cell>
          <cell r="X3538">
            <v>0</v>
          </cell>
          <cell r="Y3538">
            <v>0</v>
          </cell>
        </row>
        <row r="3539">
          <cell r="D3539">
            <v>312938</v>
          </cell>
          <cell r="E3539" t="str">
            <v>Paciente Cesar G. Cabrera HS (Napacao HS)</v>
          </cell>
          <cell r="F3539">
            <v>1</v>
          </cell>
          <cell r="G3539">
            <v>1</v>
          </cell>
          <cell r="H3539">
            <v>1</v>
          </cell>
          <cell r="I3539">
            <v>0</v>
          </cell>
          <cell r="J3539">
            <v>1</v>
          </cell>
          <cell r="K3539">
            <v>0</v>
          </cell>
          <cell r="L3539">
            <v>0</v>
          </cell>
          <cell r="M3539">
            <v>0</v>
          </cell>
          <cell r="N3539">
            <v>1</v>
          </cell>
          <cell r="O3539">
            <v>0</v>
          </cell>
          <cell r="P3539">
            <v>0</v>
          </cell>
          <cell r="Q3539">
            <v>0</v>
          </cell>
          <cell r="R3539">
            <v>1</v>
          </cell>
          <cell r="S3539">
            <v>0</v>
          </cell>
          <cell r="T3539">
            <v>0</v>
          </cell>
          <cell r="U3539">
            <v>0</v>
          </cell>
          <cell r="V3539">
            <v>1</v>
          </cell>
          <cell r="W3539">
            <v>0</v>
          </cell>
          <cell r="X3539">
            <v>0</v>
          </cell>
          <cell r="Y3539">
            <v>0</v>
          </cell>
        </row>
        <row r="3540">
          <cell r="D3540">
            <v>303236</v>
          </cell>
          <cell r="E3540" t="str">
            <v>Jose Marie Locsin MHS (Mayabon HS)</v>
          </cell>
          <cell r="F3540">
            <v>1</v>
          </cell>
          <cell r="G3540">
            <v>0</v>
          </cell>
          <cell r="H3540">
            <v>1</v>
          </cell>
          <cell r="I3540">
            <v>0</v>
          </cell>
          <cell r="J3540">
            <v>1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 t="str">
            <v>June 19, 2018</v>
          </cell>
          <cell r="P3540" t="str">
            <v>June 22, 2018</v>
          </cell>
          <cell r="Q3540">
            <v>0</v>
          </cell>
          <cell r="R3540">
            <v>1</v>
          </cell>
          <cell r="S3540">
            <v>0</v>
          </cell>
          <cell r="T3540">
            <v>0</v>
          </cell>
          <cell r="U3540">
            <v>0</v>
          </cell>
          <cell r="V3540">
            <v>1</v>
          </cell>
          <cell r="W3540">
            <v>3</v>
          </cell>
          <cell r="X3540">
            <v>0</v>
          </cell>
          <cell r="Y3540">
            <v>0</v>
          </cell>
        </row>
        <row r="3541">
          <cell r="D3541">
            <v>305593</v>
          </cell>
          <cell r="E3541" t="str">
            <v>Bangcal High School</v>
          </cell>
          <cell r="F3541">
            <v>1</v>
          </cell>
          <cell r="G3541">
            <v>1</v>
          </cell>
          <cell r="H3541">
            <v>1</v>
          </cell>
          <cell r="I3541">
            <v>0</v>
          </cell>
          <cell r="J3541">
            <v>0</v>
          </cell>
          <cell r="K3541">
            <v>1</v>
          </cell>
          <cell r="L3541">
            <v>0</v>
          </cell>
          <cell r="M3541">
            <v>0</v>
          </cell>
          <cell r="N3541">
            <v>1</v>
          </cell>
          <cell r="O3541">
            <v>0</v>
          </cell>
          <cell r="P3541">
            <v>0</v>
          </cell>
          <cell r="Q3541">
            <v>0</v>
          </cell>
          <cell r="R3541">
            <v>1</v>
          </cell>
          <cell r="S3541">
            <v>0</v>
          </cell>
          <cell r="T3541">
            <v>0</v>
          </cell>
          <cell r="U3541">
            <v>0</v>
          </cell>
          <cell r="V3541">
            <v>1</v>
          </cell>
          <cell r="W3541">
            <v>0</v>
          </cell>
          <cell r="X3541">
            <v>0</v>
          </cell>
          <cell r="Y3541">
            <v>0</v>
          </cell>
        </row>
        <row r="3542">
          <cell r="D3542">
            <v>312909</v>
          </cell>
          <cell r="E3542" t="str">
            <v>Apo Island High School</v>
          </cell>
          <cell r="F3542">
            <v>1</v>
          </cell>
          <cell r="G3542">
            <v>1</v>
          </cell>
          <cell r="H3542">
            <v>1</v>
          </cell>
          <cell r="I3542">
            <v>1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1</v>
          </cell>
          <cell r="O3542">
            <v>0</v>
          </cell>
          <cell r="P3542">
            <v>42522</v>
          </cell>
          <cell r="Q3542">
            <v>1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1</v>
          </cell>
          <cell r="W3542">
            <v>3</v>
          </cell>
          <cell r="X3542">
            <v>0</v>
          </cell>
          <cell r="Y3542">
            <v>0</v>
          </cell>
        </row>
        <row r="3543">
          <cell r="D3543">
            <v>303247</v>
          </cell>
          <cell r="E3543" t="str">
            <v>Benedicto P. Tirambulo Mem. National High School</v>
          </cell>
          <cell r="F3543">
            <v>1</v>
          </cell>
          <cell r="G3543">
            <v>1</v>
          </cell>
          <cell r="H3543">
            <v>1</v>
          </cell>
          <cell r="I3543">
            <v>0</v>
          </cell>
          <cell r="J3543">
            <v>1</v>
          </cell>
          <cell r="K3543">
            <v>0</v>
          </cell>
          <cell r="L3543">
            <v>0</v>
          </cell>
          <cell r="M3543">
            <v>0</v>
          </cell>
          <cell r="N3543">
            <v>1</v>
          </cell>
          <cell r="O3543">
            <v>43655</v>
          </cell>
          <cell r="P3543" t="str">
            <v>No violation recorded so far</v>
          </cell>
          <cell r="Q3543">
            <v>0</v>
          </cell>
          <cell r="R3543">
            <v>0</v>
          </cell>
          <cell r="S3543">
            <v>0</v>
          </cell>
          <cell r="T3543">
            <v>1</v>
          </cell>
          <cell r="U3543" t="str">
            <v>As the need arises</v>
          </cell>
          <cell r="V3543">
            <v>1</v>
          </cell>
          <cell r="W3543">
            <v>50</v>
          </cell>
          <cell r="X3543">
            <v>50</v>
          </cell>
          <cell r="Y3543">
            <v>50</v>
          </cell>
        </row>
        <row r="3544">
          <cell r="D3544">
            <v>302960</v>
          </cell>
          <cell r="E3544" t="str">
            <v>Sandayong Sur NHS</v>
          </cell>
          <cell r="F3544">
            <v>1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1</v>
          </cell>
          <cell r="M3544" t="str">
            <v>N/A</v>
          </cell>
          <cell r="N3544">
            <v>0</v>
          </cell>
          <cell r="O3544" t="str">
            <v>N/A</v>
          </cell>
          <cell r="P3544" t="str">
            <v>N/A</v>
          </cell>
          <cell r="Q3544">
            <v>0</v>
          </cell>
          <cell r="R3544">
            <v>0</v>
          </cell>
          <cell r="S3544">
            <v>0</v>
          </cell>
          <cell r="T3544">
            <v>1</v>
          </cell>
          <cell r="U3544" t="str">
            <v>N/A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</row>
        <row r="3545">
          <cell r="D3545">
            <v>312918</v>
          </cell>
          <cell r="E3545" t="str">
            <v>Buntod High School</v>
          </cell>
          <cell r="F3545">
            <v>1</v>
          </cell>
          <cell r="G3545">
            <v>1</v>
          </cell>
          <cell r="H3545">
            <v>1</v>
          </cell>
          <cell r="I3545">
            <v>0</v>
          </cell>
          <cell r="J3545">
            <v>0</v>
          </cell>
          <cell r="K3545">
            <v>0</v>
          </cell>
          <cell r="L3545">
            <v>1</v>
          </cell>
          <cell r="M3545">
            <v>0</v>
          </cell>
          <cell r="N3545">
            <v>1</v>
          </cell>
          <cell r="O3545" t="str">
            <v>June 3,2019</v>
          </cell>
          <cell r="P3545" t="str">
            <v>June 3, 2019</v>
          </cell>
          <cell r="Q3545">
            <v>0</v>
          </cell>
          <cell r="R3545">
            <v>0</v>
          </cell>
          <cell r="S3545">
            <v>0</v>
          </cell>
          <cell r="T3545">
            <v>1</v>
          </cell>
          <cell r="U3545" t="str">
            <v>As long as needed</v>
          </cell>
          <cell r="V3545">
            <v>1</v>
          </cell>
          <cell r="W3545">
            <v>0</v>
          </cell>
          <cell r="X3545">
            <v>0</v>
          </cell>
          <cell r="Y3545">
            <v>0</v>
          </cell>
        </row>
        <row r="3546">
          <cell r="D3546">
            <v>312956</v>
          </cell>
          <cell r="E3546" t="str">
            <v>Gregorio Elmaga MHS</v>
          </cell>
          <cell r="F3546">
            <v>1</v>
          </cell>
          <cell r="G3546">
            <v>1</v>
          </cell>
          <cell r="H3546">
            <v>1</v>
          </cell>
          <cell r="I3546">
            <v>1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1</v>
          </cell>
          <cell r="O3546">
            <v>43668</v>
          </cell>
          <cell r="P3546">
            <v>43669</v>
          </cell>
          <cell r="Q3546">
            <v>0</v>
          </cell>
          <cell r="R3546">
            <v>1</v>
          </cell>
          <cell r="S3546">
            <v>0</v>
          </cell>
          <cell r="T3546">
            <v>0</v>
          </cell>
          <cell r="U3546">
            <v>0</v>
          </cell>
          <cell r="V3546">
            <v>1</v>
          </cell>
          <cell r="W3546">
            <v>2</v>
          </cell>
          <cell r="X3546">
            <v>1</v>
          </cell>
          <cell r="Y3546">
            <v>1</v>
          </cell>
        </row>
        <row r="3547">
          <cell r="D3547">
            <v>312914</v>
          </cell>
          <cell r="E3547" t="str">
            <v>Siaton Science HS</v>
          </cell>
          <cell r="F3547">
            <v>1</v>
          </cell>
          <cell r="G3547">
            <v>0</v>
          </cell>
          <cell r="H3547">
            <v>1</v>
          </cell>
          <cell r="I3547">
            <v>0</v>
          </cell>
          <cell r="J3547">
            <v>1</v>
          </cell>
          <cell r="K3547">
            <v>0</v>
          </cell>
          <cell r="L3547">
            <v>0</v>
          </cell>
          <cell r="M3547">
            <v>0</v>
          </cell>
          <cell r="N3547">
            <v>1</v>
          </cell>
          <cell r="O3547" t="str">
            <v>AUGUST</v>
          </cell>
          <cell r="P3547" t="str">
            <v>AUGUST</v>
          </cell>
          <cell r="Q3547">
            <v>0</v>
          </cell>
          <cell r="R3547">
            <v>1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1</v>
          </cell>
          <cell r="X3547">
            <v>0</v>
          </cell>
          <cell r="Y3547">
            <v>0</v>
          </cell>
        </row>
        <row r="3548">
          <cell r="D3548">
            <v>312925</v>
          </cell>
          <cell r="E3548" t="str">
            <v>Cansal-ing Provincial Community High School</v>
          </cell>
          <cell r="F3548">
            <v>1</v>
          </cell>
          <cell r="G3548">
            <v>0</v>
          </cell>
          <cell r="H3548">
            <v>1</v>
          </cell>
          <cell r="I3548">
            <v>0</v>
          </cell>
          <cell r="J3548">
            <v>1</v>
          </cell>
          <cell r="K3548">
            <v>0</v>
          </cell>
          <cell r="L3548">
            <v>0</v>
          </cell>
          <cell r="M3548">
            <v>0</v>
          </cell>
          <cell r="N3548">
            <v>1</v>
          </cell>
          <cell r="O3548">
            <v>43624</v>
          </cell>
          <cell r="P3548">
            <v>39972</v>
          </cell>
          <cell r="Q3548">
            <v>0</v>
          </cell>
          <cell r="R3548">
            <v>1</v>
          </cell>
          <cell r="S3548">
            <v>0</v>
          </cell>
          <cell r="T3548">
            <v>0</v>
          </cell>
          <cell r="U3548">
            <v>0</v>
          </cell>
          <cell r="V3548">
            <v>1</v>
          </cell>
          <cell r="W3548">
            <v>0</v>
          </cell>
          <cell r="X3548">
            <v>0</v>
          </cell>
          <cell r="Y3548">
            <v>0</v>
          </cell>
        </row>
        <row r="3549">
          <cell r="D3549">
            <v>312969</v>
          </cell>
          <cell r="E3549" t="str">
            <v>Mainit High School</v>
          </cell>
          <cell r="F3549">
            <v>1</v>
          </cell>
          <cell r="G3549">
            <v>1</v>
          </cell>
          <cell r="H3549">
            <v>1</v>
          </cell>
          <cell r="I3549">
            <v>1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1</v>
          </cell>
          <cell r="O3549">
            <v>0</v>
          </cell>
          <cell r="P3549">
            <v>0</v>
          </cell>
          <cell r="Q3549">
            <v>1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1</v>
          </cell>
          <cell r="W3549">
            <v>0</v>
          </cell>
          <cell r="X3549">
            <v>0</v>
          </cell>
          <cell r="Y3549">
            <v>0</v>
          </cell>
        </row>
        <row r="3550">
          <cell r="D3550">
            <v>312959</v>
          </cell>
          <cell r="E3550" t="str">
            <v>Mayaposi Community High School</v>
          </cell>
          <cell r="F3550">
            <v>1</v>
          </cell>
          <cell r="G3550">
            <v>0</v>
          </cell>
          <cell r="H3550">
            <v>0</v>
          </cell>
          <cell r="I3550">
            <v>0</v>
          </cell>
          <cell r="J3550">
            <v>1</v>
          </cell>
          <cell r="K3550">
            <v>0</v>
          </cell>
          <cell r="L3550">
            <v>0</v>
          </cell>
          <cell r="M3550">
            <v>0</v>
          </cell>
          <cell r="N3550">
            <v>1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</row>
        <row r="3551">
          <cell r="D3551">
            <v>303249</v>
          </cell>
          <cell r="E3551" t="str">
            <v>Santiago Delmo MHS (Maluay HS)</v>
          </cell>
          <cell r="F3551">
            <v>1</v>
          </cell>
          <cell r="G3551">
            <v>0</v>
          </cell>
          <cell r="H3551">
            <v>1</v>
          </cell>
          <cell r="I3551">
            <v>0</v>
          </cell>
          <cell r="J3551">
            <v>0</v>
          </cell>
          <cell r="K3551">
            <v>0</v>
          </cell>
          <cell r="L3551">
            <v>1</v>
          </cell>
          <cell r="M3551" t="str">
            <v>as needed</v>
          </cell>
          <cell r="N3551">
            <v>0</v>
          </cell>
          <cell r="O3551" t="str">
            <v>none</v>
          </cell>
          <cell r="P3551" t="str">
            <v>NONE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0</v>
          </cell>
          <cell r="V3551">
            <v>0</v>
          </cell>
          <cell r="W3551">
            <v>0</v>
          </cell>
          <cell r="X3551">
            <v>0</v>
          </cell>
          <cell r="Y3551">
            <v>0</v>
          </cell>
        </row>
        <row r="3552">
          <cell r="D3552">
            <v>312933</v>
          </cell>
          <cell r="E3552" t="str">
            <v>Kakha High School</v>
          </cell>
          <cell r="F3552">
            <v>1</v>
          </cell>
          <cell r="G3552">
            <v>0</v>
          </cell>
          <cell r="H3552">
            <v>1</v>
          </cell>
          <cell r="I3552">
            <v>0</v>
          </cell>
          <cell r="J3552">
            <v>1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</row>
        <row r="3553">
          <cell r="D3553">
            <v>303207</v>
          </cell>
          <cell r="E3553" t="str">
            <v>Amlan National High School</v>
          </cell>
          <cell r="F3553">
            <v>1</v>
          </cell>
          <cell r="G3553">
            <v>1</v>
          </cell>
          <cell r="H3553">
            <v>1</v>
          </cell>
          <cell r="I3553">
            <v>1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1</v>
          </cell>
          <cell r="S3553">
            <v>0</v>
          </cell>
          <cell r="T3553">
            <v>0</v>
          </cell>
          <cell r="U3553">
            <v>0</v>
          </cell>
          <cell r="V3553">
            <v>1</v>
          </cell>
          <cell r="W3553">
            <v>0</v>
          </cell>
          <cell r="X3553">
            <v>0</v>
          </cell>
          <cell r="Y3553">
            <v>0</v>
          </cell>
        </row>
        <row r="3554">
          <cell r="D3554">
            <v>312913</v>
          </cell>
          <cell r="E3554" t="str">
            <v>Candugay HS (Siaton NHS Annex)</v>
          </cell>
          <cell r="F3554">
            <v>1</v>
          </cell>
          <cell r="G3554">
            <v>0</v>
          </cell>
          <cell r="H3554">
            <v>1</v>
          </cell>
          <cell r="I3554">
            <v>0</v>
          </cell>
          <cell r="J3554">
            <v>1</v>
          </cell>
          <cell r="K3554">
            <v>0</v>
          </cell>
          <cell r="L3554">
            <v>0</v>
          </cell>
          <cell r="M3554">
            <v>0</v>
          </cell>
          <cell r="N3554">
            <v>1</v>
          </cell>
          <cell r="O3554">
            <v>43624</v>
          </cell>
          <cell r="P3554">
            <v>43692</v>
          </cell>
          <cell r="Q3554">
            <v>1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1</v>
          </cell>
          <cell r="W3554">
            <v>2</v>
          </cell>
          <cell r="X3554">
            <v>0</v>
          </cell>
          <cell r="Y3554">
            <v>0</v>
          </cell>
        </row>
        <row r="3555">
          <cell r="D3555">
            <v>312939</v>
          </cell>
          <cell r="E3555" t="str">
            <v>Mantiquil Masaligan High School</v>
          </cell>
          <cell r="F3555">
            <v>1</v>
          </cell>
          <cell r="G3555">
            <v>1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</row>
        <row r="3556">
          <cell r="D3556">
            <v>303255</v>
          </cell>
          <cell r="E3556" t="str">
            <v>Negros Oriental High School</v>
          </cell>
          <cell r="F3556">
            <v>1</v>
          </cell>
          <cell r="G3556">
            <v>1</v>
          </cell>
          <cell r="H3556">
            <v>0</v>
          </cell>
          <cell r="I3556">
            <v>0</v>
          </cell>
          <cell r="J3556">
            <v>1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1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</row>
        <row r="3557">
          <cell r="D3557">
            <v>303252</v>
          </cell>
          <cell r="E3557" t="str">
            <v>Maria Macahig National High School</v>
          </cell>
          <cell r="F3557">
            <v>1</v>
          </cell>
          <cell r="G3557">
            <v>0</v>
          </cell>
          <cell r="H3557">
            <v>1</v>
          </cell>
          <cell r="I3557">
            <v>0</v>
          </cell>
          <cell r="J3557">
            <v>0</v>
          </cell>
          <cell r="K3557">
            <v>0</v>
          </cell>
          <cell r="L3557">
            <v>1</v>
          </cell>
          <cell r="M3557" t="str">
            <v>WHEN NEEDED</v>
          </cell>
          <cell r="N3557">
            <v>0</v>
          </cell>
          <cell r="O3557">
            <v>0</v>
          </cell>
          <cell r="P3557" t="str">
            <v>AUG. 15, 2018</v>
          </cell>
          <cell r="Q3557">
            <v>0</v>
          </cell>
          <cell r="R3557">
            <v>0</v>
          </cell>
          <cell r="S3557">
            <v>0</v>
          </cell>
          <cell r="T3557">
            <v>1</v>
          </cell>
          <cell r="U3557" t="str">
            <v>N/A</v>
          </cell>
          <cell r="V3557">
            <v>0</v>
          </cell>
          <cell r="W3557">
            <v>4</v>
          </cell>
          <cell r="X3557">
            <v>2</v>
          </cell>
          <cell r="Y3557">
            <v>0</v>
          </cell>
        </row>
        <row r="3558">
          <cell r="D3558">
            <v>312908</v>
          </cell>
          <cell r="E3558" t="str">
            <v>Balugo National High School</v>
          </cell>
          <cell r="F3558">
            <v>1</v>
          </cell>
          <cell r="G3558">
            <v>0</v>
          </cell>
          <cell r="H3558">
            <v>1</v>
          </cell>
          <cell r="I3558">
            <v>0</v>
          </cell>
          <cell r="J3558">
            <v>0</v>
          </cell>
          <cell r="K3558">
            <v>1</v>
          </cell>
          <cell r="L3558">
            <v>0</v>
          </cell>
          <cell r="M3558">
            <v>0</v>
          </cell>
          <cell r="N3558">
            <v>1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4</v>
          </cell>
          <cell r="X3558">
            <v>4</v>
          </cell>
          <cell r="Y3558">
            <v>4</v>
          </cell>
        </row>
        <row r="3559">
          <cell r="D3559">
            <v>303308</v>
          </cell>
          <cell r="E3559" t="str">
            <v>Bato NHS</v>
          </cell>
          <cell r="F3559">
            <v>1</v>
          </cell>
          <cell r="G3559">
            <v>0</v>
          </cell>
          <cell r="H3559">
            <v>1</v>
          </cell>
          <cell r="I3559">
            <v>1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1</v>
          </cell>
          <cell r="O3559" t="str">
            <v>SEPTEMBER 30, 2019</v>
          </cell>
          <cell r="P3559" t="str">
            <v>NONE</v>
          </cell>
          <cell r="Q3559">
            <v>0</v>
          </cell>
          <cell r="R3559">
            <v>0</v>
          </cell>
          <cell r="S3559">
            <v>0</v>
          </cell>
          <cell r="T3559">
            <v>1</v>
          </cell>
          <cell r="U3559" t="str">
            <v>Not Monitored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</row>
        <row r="3560">
          <cell r="D3560">
            <v>312958</v>
          </cell>
          <cell r="E3560" t="str">
            <v>Valencia National High School-Dobdob Ext.</v>
          </cell>
          <cell r="F3560">
            <v>1</v>
          </cell>
          <cell r="G3560">
            <v>1</v>
          </cell>
          <cell r="H3560">
            <v>1</v>
          </cell>
          <cell r="I3560">
            <v>0</v>
          </cell>
          <cell r="J3560">
            <v>1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 t="str">
            <v>6/25/2019</v>
          </cell>
          <cell r="P3560" t="str">
            <v>6/25/2019</v>
          </cell>
          <cell r="Q3560">
            <v>0</v>
          </cell>
          <cell r="R3560">
            <v>1</v>
          </cell>
          <cell r="S3560">
            <v>0</v>
          </cell>
          <cell r="T3560">
            <v>0</v>
          </cell>
          <cell r="U3560">
            <v>0</v>
          </cell>
          <cell r="V3560">
            <v>1</v>
          </cell>
          <cell r="W3560">
            <v>0</v>
          </cell>
          <cell r="X3560">
            <v>0</v>
          </cell>
          <cell r="Y3560">
            <v>0</v>
          </cell>
        </row>
        <row r="3561">
          <cell r="D3561">
            <v>303128</v>
          </cell>
          <cell r="E3561" t="str">
            <v>Abellana NHS (Day &amp; NIght)</v>
          </cell>
          <cell r="F3561">
            <v>1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</row>
        <row r="3562">
          <cell r="D3562">
            <v>312902</v>
          </cell>
          <cell r="E3562" t="str">
            <v>Sampiniton Provincial Community HS</v>
          </cell>
          <cell r="F3562">
            <v>1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</row>
        <row r="3563">
          <cell r="D3563">
            <v>312923</v>
          </cell>
          <cell r="E3563" t="str">
            <v>Canggohob High School</v>
          </cell>
          <cell r="F3563">
            <v>1</v>
          </cell>
          <cell r="G3563">
            <v>1</v>
          </cell>
          <cell r="H3563">
            <v>0</v>
          </cell>
          <cell r="I3563">
            <v>0</v>
          </cell>
          <cell r="J3563">
            <v>1</v>
          </cell>
          <cell r="K3563">
            <v>0</v>
          </cell>
          <cell r="L3563">
            <v>0</v>
          </cell>
          <cell r="M3563">
            <v>0</v>
          </cell>
          <cell r="N3563">
            <v>1</v>
          </cell>
          <cell r="O3563">
            <v>43619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1</v>
          </cell>
          <cell r="W3563">
            <v>0</v>
          </cell>
          <cell r="X3563">
            <v>0</v>
          </cell>
          <cell r="Y3563">
            <v>0</v>
          </cell>
        </row>
        <row r="3564">
          <cell r="D3564">
            <v>302848</v>
          </cell>
          <cell r="E3564" t="str">
            <v>Dusita High School</v>
          </cell>
          <cell r="F3564">
            <v>1</v>
          </cell>
          <cell r="G3564">
            <v>1</v>
          </cell>
          <cell r="H3564">
            <v>1</v>
          </cell>
          <cell r="I3564">
            <v>0</v>
          </cell>
          <cell r="J3564">
            <v>1</v>
          </cell>
          <cell r="K3564">
            <v>0</v>
          </cell>
          <cell r="L3564">
            <v>0</v>
          </cell>
          <cell r="M3564">
            <v>0</v>
          </cell>
          <cell r="N3564">
            <v>1</v>
          </cell>
          <cell r="O3564">
            <v>0</v>
          </cell>
          <cell r="P3564" t="str">
            <v>MARCH 20, 2019</v>
          </cell>
          <cell r="Q3564">
            <v>0</v>
          </cell>
          <cell r="R3564">
            <v>1</v>
          </cell>
          <cell r="S3564">
            <v>0</v>
          </cell>
          <cell r="T3564">
            <v>0</v>
          </cell>
          <cell r="U3564">
            <v>0</v>
          </cell>
          <cell r="V3564">
            <v>1</v>
          </cell>
          <cell r="W3564">
            <v>3</v>
          </cell>
          <cell r="X3564">
            <v>3</v>
          </cell>
          <cell r="Y3564">
            <v>0</v>
          </cell>
        </row>
        <row r="3565">
          <cell r="D3565">
            <v>312320</v>
          </cell>
          <cell r="E3565" t="str">
            <v>Haguilanan High School</v>
          </cell>
          <cell r="F3565">
            <v>1</v>
          </cell>
          <cell r="G3565">
            <v>0</v>
          </cell>
          <cell r="H3565">
            <v>1</v>
          </cell>
          <cell r="I3565">
            <v>0</v>
          </cell>
          <cell r="J3565">
            <v>1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1</v>
          </cell>
          <cell r="S3565">
            <v>0</v>
          </cell>
          <cell r="T3565">
            <v>0</v>
          </cell>
          <cell r="U3565">
            <v>0</v>
          </cell>
          <cell r="V3565">
            <v>1</v>
          </cell>
          <cell r="W3565">
            <v>0</v>
          </cell>
          <cell r="X3565">
            <v>0</v>
          </cell>
          <cell r="Y3565">
            <v>0</v>
          </cell>
        </row>
        <row r="3566">
          <cell r="D3566">
            <v>303268</v>
          </cell>
          <cell r="E3566" t="str">
            <v>Siaton NHS</v>
          </cell>
          <cell r="F3566">
            <v>1</v>
          </cell>
          <cell r="G3566">
            <v>1</v>
          </cell>
          <cell r="H3566">
            <v>1</v>
          </cell>
          <cell r="I3566">
            <v>0</v>
          </cell>
          <cell r="J3566">
            <v>0</v>
          </cell>
          <cell r="K3566">
            <v>0</v>
          </cell>
          <cell r="L3566">
            <v>1</v>
          </cell>
          <cell r="M3566" t="str">
            <v>If the need arises.</v>
          </cell>
          <cell r="N3566">
            <v>1</v>
          </cell>
          <cell r="O3566" t="str">
            <v>06/15/2019</v>
          </cell>
          <cell r="P3566" t="str">
            <v>06/15/2019</v>
          </cell>
          <cell r="Q3566">
            <v>0</v>
          </cell>
          <cell r="R3566">
            <v>1</v>
          </cell>
          <cell r="S3566">
            <v>0</v>
          </cell>
          <cell r="T3566">
            <v>0</v>
          </cell>
          <cell r="U3566">
            <v>0</v>
          </cell>
          <cell r="V3566">
            <v>1</v>
          </cell>
          <cell r="W3566">
            <v>2</v>
          </cell>
          <cell r="X3566">
            <v>0</v>
          </cell>
          <cell r="Y3566">
            <v>0</v>
          </cell>
        </row>
        <row r="3567">
          <cell r="D3567">
            <v>302820</v>
          </cell>
          <cell r="E3567" t="str">
            <v>Cabilao NHS</v>
          </cell>
          <cell r="F3567">
            <v>1</v>
          </cell>
          <cell r="G3567">
            <v>1</v>
          </cell>
          <cell r="H3567">
            <v>1</v>
          </cell>
          <cell r="I3567">
            <v>0</v>
          </cell>
          <cell r="J3567">
            <v>1</v>
          </cell>
          <cell r="K3567">
            <v>0</v>
          </cell>
          <cell r="L3567">
            <v>0</v>
          </cell>
          <cell r="M3567">
            <v>0</v>
          </cell>
          <cell r="N3567">
            <v>1</v>
          </cell>
          <cell r="O3567">
            <v>43685</v>
          </cell>
          <cell r="P3567">
            <v>43685</v>
          </cell>
          <cell r="Q3567">
            <v>1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1</v>
          </cell>
          <cell r="W3567">
            <v>2</v>
          </cell>
          <cell r="X3567">
            <v>0</v>
          </cell>
          <cell r="Y3567">
            <v>0</v>
          </cell>
        </row>
        <row r="3568">
          <cell r="D3568">
            <v>302902</v>
          </cell>
          <cell r="E3568" t="str">
            <v>Sandingan National High School</v>
          </cell>
          <cell r="F3568">
            <v>0</v>
          </cell>
          <cell r="G3568">
            <v>0</v>
          </cell>
          <cell r="H3568">
            <v>1</v>
          </cell>
          <cell r="I3568">
            <v>0</v>
          </cell>
          <cell r="J3568">
            <v>1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</row>
        <row r="3569">
          <cell r="D3569">
            <v>312967</v>
          </cell>
          <cell r="E3569" t="str">
            <v>Manlingay High School</v>
          </cell>
          <cell r="F3569">
            <v>1</v>
          </cell>
          <cell r="G3569">
            <v>0</v>
          </cell>
          <cell r="H3569">
            <v>1</v>
          </cell>
          <cell r="I3569">
            <v>0</v>
          </cell>
          <cell r="J3569">
            <v>1</v>
          </cell>
          <cell r="K3569">
            <v>0</v>
          </cell>
          <cell r="L3569">
            <v>0</v>
          </cell>
          <cell r="M3569">
            <v>0</v>
          </cell>
          <cell r="N3569">
            <v>1</v>
          </cell>
          <cell r="O3569" t="str">
            <v>June 10,2019</v>
          </cell>
          <cell r="P3569" t="str">
            <v>June 10,2019</v>
          </cell>
          <cell r="Q3569">
            <v>0</v>
          </cell>
          <cell r="R3569">
            <v>1</v>
          </cell>
          <cell r="S3569">
            <v>0</v>
          </cell>
          <cell r="T3569">
            <v>0</v>
          </cell>
          <cell r="U3569">
            <v>0</v>
          </cell>
          <cell r="V3569">
            <v>1</v>
          </cell>
          <cell r="W3569">
            <v>0</v>
          </cell>
          <cell r="X3569">
            <v>0</v>
          </cell>
          <cell r="Y3569">
            <v>0</v>
          </cell>
        </row>
        <row r="3570">
          <cell r="D3570">
            <v>312929</v>
          </cell>
          <cell r="E3570" t="str">
            <v>Cawitan High School</v>
          </cell>
          <cell r="F3570">
            <v>1</v>
          </cell>
          <cell r="G3570">
            <v>1</v>
          </cell>
          <cell r="H3570">
            <v>1</v>
          </cell>
          <cell r="I3570">
            <v>0</v>
          </cell>
          <cell r="J3570">
            <v>0</v>
          </cell>
          <cell r="K3570">
            <v>1</v>
          </cell>
          <cell r="L3570">
            <v>0</v>
          </cell>
          <cell r="M3570">
            <v>0</v>
          </cell>
          <cell r="N3570">
            <v>1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1</v>
          </cell>
          <cell r="T3570">
            <v>0</v>
          </cell>
          <cell r="U3570">
            <v>0</v>
          </cell>
          <cell r="V3570">
            <v>1</v>
          </cell>
          <cell r="W3570">
            <v>0</v>
          </cell>
          <cell r="X3570">
            <v>0</v>
          </cell>
          <cell r="Y3570">
            <v>0</v>
          </cell>
        </row>
        <row r="3571">
          <cell r="D3571">
            <v>303208</v>
          </cell>
          <cell r="E3571" t="str">
            <v>Jantianon National High School</v>
          </cell>
          <cell r="F3571">
            <v>1</v>
          </cell>
          <cell r="G3571">
            <v>1</v>
          </cell>
          <cell r="H3571">
            <v>1</v>
          </cell>
          <cell r="I3571">
            <v>0</v>
          </cell>
          <cell r="J3571">
            <v>0</v>
          </cell>
          <cell r="K3571">
            <v>1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1</v>
          </cell>
          <cell r="S3571">
            <v>0</v>
          </cell>
          <cell r="T3571">
            <v>0</v>
          </cell>
          <cell r="U3571">
            <v>0</v>
          </cell>
          <cell r="V3571">
            <v>1</v>
          </cell>
          <cell r="W3571">
            <v>0</v>
          </cell>
          <cell r="X3571">
            <v>0</v>
          </cell>
          <cell r="Y3571">
            <v>0</v>
          </cell>
        </row>
        <row r="3572">
          <cell r="D3572">
            <v>303210</v>
          </cell>
          <cell r="E3572" t="str">
            <v>Ayungon NHS</v>
          </cell>
          <cell r="F3572">
            <v>1</v>
          </cell>
          <cell r="G3572">
            <v>1</v>
          </cell>
          <cell r="H3572">
            <v>1</v>
          </cell>
          <cell r="I3572">
            <v>0</v>
          </cell>
          <cell r="J3572">
            <v>1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</row>
        <row r="3573">
          <cell r="D3573">
            <v>303291</v>
          </cell>
          <cell r="E3573" t="str">
            <v>Valencia National High School (Valencia Tech. Sch.)</v>
          </cell>
          <cell r="F3573">
            <v>1</v>
          </cell>
          <cell r="G3573">
            <v>1</v>
          </cell>
          <cell r="H3573">
            <v>1</v>
          </cell>
          <cell r="I3573">
            <v>0</v>
          </cell>
          <cell r="J3573">
            <v>0</v>
          </cell>
          <cell r="K3573">
            <v>1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 t="str">
            <v>NA</v>
          </cell>
          <cell r="Q3573">
            <v>0</v>
          </cell>
          <cell r="R3573">
            <v>0</v>
          </cell>
          <cell r="S3573">
            <v>0</v>
          </cell>
          <cell r="T3573">
            <v>1</v>
          </cell>
          <cell r="U3573" t="str">
            <v>NA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</row>
        <row r="3574">
          <cell r="D3574">
            <v>312957</v>
          </cell>
          <cell r="E3574" t="str">
            <v>Amlan NHS-Jugno Campus</v>
          </cell>
          <cell r="F3574">
            <v>1</v>
          </cell>
          <cell r="G3574">
            <v>0</v>
          </cell>
          <cell r="H3574">
            <v>0</v>
          </cell>
          <cell r="I3574">
            <v>1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</row>
        <row r="3575">
          <cell r="D3575">
            <v>312962</v>
          </cell>
          <cell r="E3575" t="str">
            <v>Ayungon NHS - Carol-an Extension</v>
          </cell>
          <cell r="F3575">
            <v>1</v>
          </cell>
          <cell r="G3575">
            <v>0</v>
          </cell>
          <cell r="H3575">
            <v>1</v>
          </cell>
          <cell r="I3575">
            <v>0</v>
          </cell>
          <cell r="J3575">
            <v>1</v>
          </cell>
          <cell r="K3575">
            <v>0</v>
          </cell>
          <cell r="L3575">
            <v>0</v>
          </cell>
          <cell r="M3575">
            <v>0</v>
          </cell>
          <cell r="N3575">
            <v>1</v>
          </cell>
          <cell r="O3575" t="str">
            <v>Sept. 5, 2019</v>
          </cell>
          <cell r="P3575" t="str">
            <v>Aug. 5, 2019</v>
          </cell>
          <cell r="Q3575">
            <v>1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1</v>
          </cell>
          <cell r="W3575">
            <v>0</v>
          </cell>
          <cell r="X3575">
            <v>0</v>
          </cell>
          <cell r="Y3575">
            <v>0</v>
          </cell>
        </row>
        <row r="3576">
          <cell r="D3576">
            <v>303276</v>
          </cell>
          <cell r="E3576" t="str">
            <v>Tambo National High School</v>
          </cell>
          <cell r="F3576">
            <v>1</v>
          </cell>
          <cell r="G3576">
            <v>1</v>
          </cell>
          <cell r="H3576">
            <v>1</v>
          </cell>
          <cell r="I3576">
            <v>0</v>
          </cell>
          <cell r="J3576">
            <v>1</v>
          </cell>
          <cell r="K3576">
            <v>0</v>
          </cell>
          <cell r="L3576">
            <v>0</v>
          </cell>
          <cell r="M3576">
            <v>0</v>
          </cell>
          <cell r="N3576">
            <v>1</v>
          </cell>
          <cell r="O3576" t="str">
            <v>08-23-2019</v>
          </cell>
          <cell r="P3576" t="str">
            <v>08-23-2019</v>
          </cell>
          <cell r="Q3576">
            <v>0</v>
          </cell>
          <cell r="R3576">
            <v>1</v>
          </cell>
          <cell r="S3576">
            <v>0</v>
          </cell>
          <cell r="T3576">
            <v>0</v>
          </cell>
          <cell r="U3576">
            <v>0</v>
          </cell>
          <cell r="V3576">
            <v>1</v>
          </cell>
          <cell r="W3576">
            <v>0</v>
          </cell>
          <cell r="X3576">
            <v>0</v>
          </cell>
          <cell r="Y3576">
            <v>0</v>
          </cell>
        </row>
        <row r="3577">
          <cell r="D3577">
            <v>303225</v>
          </cell>
          <cell r="E3577" t="str">
            <v>Dauin National High School</v>
          </cell>
          <cell r="F3577">
            <v>1</v>
          </cell>
          <cell r="G3577">
            <v>1</v>
          </cell>
          <cell r="H3577">
            <v>1</v>
          </cell>
          <cell r="I3577">
            <v>0</v>
          </cell>
          <cell r="J3577">
            <v>0</v>
          </cell>
          <cell r="K3577">
            <v>1</v>
          </cell>
          <cell r="L3577">
            <v>0</v>
          </cell>
          <cell r="M3577">
            <v>0</v>
          </cell>
          <cell r="N3577">
            <v>1</v>
          </cell>
          <cell r="O3577" t="str">
            <v>05/15/2019</v>
          </cell>
          <cell r="P3577" t="str">
            <v>05/15/2019</v>
          </cell>
          <cell r="Q3577">
            <v>0</v>
          </cell>
          <cell r="R3577">
            <v>0</v>
          </cell>
          <cell r="S3577">
            <v>1</v>
          </cell>
          <cell r="T3577">
            <v>0</v>
          </cell>
          <cell r="U3577">
            <v>0</v>
          </cell>
          <cell r="V3577">
            <v>1</v>
          </cell>
          <cell r="W3577">
            <v>2</v>
          </cell>
          <cell r="X3577">
            <v>0</v>
          </cell>
          <cell r="Y3577">
            <v>0</v>
          </cell>
        </row>
        <row r="3578">
          <cell r="D3578">
            <v>312941</v>
          </cell>
          <cell r="E3578" t="str">
            <v>Giligaon High School</v>
          </cell>
          <cell r="F3578">
            <v>1</v>
          </cell>
          <cell r="G3578">
            <v>0</v>
          </cell>
          <cell r="H3578">
            <v>1</v>
          </cell>
          <cell r="I3578">
            <v>1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1</v>
          </cell>
          <cell r="O3578">
            <v>43656</v>
          </cell>
          <cell r="P3578">
            <v>43658</v>
          </cell>
          <cell r="Q3578">
            <v>1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1</v>
          </cell>
          <cell r="W3578">
            <v>13</v>
          </cell>
          <cell r="X3578">
            <v>13</v>
          </cell>
          <cell r="Y3578">
            <v>13</v>
          </cell>
        </row>
        <row r="3579">
          <cell r="D3579">
            <v>303226</v>
          </cell>
          <cell r="E3579" t="str">
            <v>Antonio B. Alejado MHS (Mag-aso HS)</v>
          </cell>
          <cell r="F3579">
            <v>1</v>
          </cell>
          <cell r="G3579">
            <v>1</v>
          </cell>
          <cell r="H3579">
            <v>1</v>
          </cell>
          <cell r="I3579">
            <v>0</v>
          </cell>
          <cell r="J3579">
            <v>1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 t="str">
            <v>NA</v>
          </cell>
          <cell r="P3579">
            <v>43651</v>
          </cell>
          <cell r="Q3579">
            <v>1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1</v>
          </cell>
          <cell r="W3579">
            <v>0</v>
          </cell>
          <cell r="X3579">
            <v>0</v>
          </cell>
          <cell r="Y3579">
            <v>0</v>
          </cell>
        </row>
        <row r="3580">
          <cell r="D3580">
            <v>303264</v>
          </cell>
          <cell r="E3580" t="str">
            <v>Obat High School</v>
          </cell>
          <cell r="F3580">
            <v>1</v>
          </cell>
          <cell r="G3580">
            <v>1</v>
          </cell>
          <cell r="H3580">
            <v>1</v>
          </cell>
          <cell r="I3580">
            <v>0</v>
          </cell>
          <cell r="J3580">
            <v>0</v>
          </cell>
          <cell r="K3580">
            <v>1</v>
          </cell>
          <cell r="L3580">
            <v>0</v>
          </cell>
          <cell r="M3580">
            <v>0</v>
          </cell>
          <cell r="N3580">
            <v>0</v>
          </cell>
          <cell r="O3580">
            <v>43617</v>
          </cell>
          <cell r="P3580">
            <v>43617</v>
          </cell>
          <cell r="Q3580">
            <v>0</v>
          </cell>
          <cell r="R3580">
            <v>1</v>
          </cell>
          <cell r="S3580">
            <v>0</v>
          </cell>
          <cell r="T3580">
            <v>0</v>
          </cell>
          <cell r="U3580">
            <v>0</v>
          </cell>
          <cell r="V3580">
            <v>1</v>
          </cell>
          <cell r="W3580">
            <v>0</v>
          </cell>
          <cell r="X3580">
            <v>0</v>
          </cell>
          <cell r="Y3580">
            <v>0</v>
          </cell>
        </row>
        <row r="3581">
          <cell r="D3581">
            <v>312937</v>
          </cell>
          <cell r="E3581" t="str">
            <v>Aurelia G. Merecido Memorial High School</v>
          </cell>
          <cell r="F3581">
            <v>1</v>
          </cell>
          <cell r="G3581">
            <v>0</v>
          </cell>
          <cell r="H3581">
            <v>1</v>
          </cell>
          <cell r="I3581">
            <v>0</v>
          </cell>
          <cell r="J3581">
            <v>1</v>
          </cell>
          <cell r="K3581">
            <v>0</v>
          </cell>
          <cell r="L3581">
            <v>0</v>
          </cell>
          <cell r="M3581">
            <v>0</v>
          </cell>
          <cell r="N3581">
            <v>1</v>
          </cell>
          <cell r="O3581">
            <v>43586</v>
          </cell>
          <cell r="P3581" t="str">
            <v>AUGUST 2, 2019</v>
          </cell>
          <cell r="Q3581">
            <v>1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1</v>
          </cell>
          <cell r="W3581">
            <v>1</v>
          </cell>
          <cell r="X3581">
            <v>0</v>
          </cell>
          <cell r="Y3581">
            <v>1</v>
          </cell>
        </row>
        <row r="3582">
          <cell r="D3582">
            <v>303209</v>
          </cell>
          <cell r="E3582" t="str">
            <v>Silab Community High School Annex</v>
          </cell>
          <cell r="F3582">
            <v>1</v>
          </cell>
          <cell r="G3582">
            <v>1</v>
          </cell>
          <cell r="H3582">
            <v>1</v>
          </cell>
          <cell r="I3582">
            <v>0</v>
          </cell>
          <cell r="J3582">
            <v>1</v>
          </cell>
          <cell r="K3582">
            <v>0</v>
          </cell>
          <cell r="L3582">
            <v>0</v>
          </cell>
          <cell r="M3582">
            <v>0</v>
          </cell>
          <cell r="N3582">
            <v>1</v>
          </cell>
          <cell r="O3582" t="str">
            <v>6/07/2019</v>
          </cell>
          <cell r="P3582" t="str">
            <v>NO REPORTED VIOLATION</v>
          </cell>
          <cell r="Q3582">
            <v>0</v>
          </cell>
          <cell r="R3582">
            <v>1</v>
          </cell>
          <cell r="S3582">
            <v>0</v>
          </cell>
          <cell r="T3582">
            <v>1</v>
          </cell>
          <cell r="U3582" t="str">
            <v>6/07/2019</v>
          </cell>
          <cell r="V3582">
            <v>1</v>
          </cell>
          <cell r="W3582">
            <v>0</v>
          </cell>
          <cell r="X3582">
            <v>0</v>
          </cell>
          <cell r="Y3582">
            <v>0</v>
          </cell>
        </row>
        <row r="3583">
          <cell r="D3583">
            <v>303224</v>
          </cell>
          <cell r="E3583" t="str">
            <v>Apolinar B. Macias Memorial High School</v>
          </cell>
          <cell r="F3583">
            <v>1</v>
          </cell>
          <cell r="G3583">
            <v>1</v>
          </cell>
          <cell r="H3583">
            <v>1</v>
          </cell>
          <cell r="I3583">
            <v>0</v>
          </cell>
          <cell r="J3583">
            <v>1</v>
          </cell>
          <cell r="K3583">
            <v>1</v>
          </cell>
          <cell r="L3583">
            <v>0</v>
          </cell>
          <cell r="M3583">
            <v>0</v>
          </cell>
          <cell r="N3583">
            <v>1</v>
          </cell>
          <cell r="O3583">
            <v>43600</v>
          </cell>
          <cell r="P3583" t="str">
            <v>05/15/2019</v>
          </cell>
          <cell r="Q3583">
            <v>0</v>
          </cell>
          <cell r="R3583">
            <v>1</v>
          </cell>
          <cell r="S3583">
            <v>0</v>
          </cell>
          <cell r="T3583">
            <v>0</v>
          </cell>
          <cell r="U3583">
            <v>0</v>
          </cell>
          <cell r="V3583">
            <v>1</v>
          </cell>
          <cell r="W3583">
            <v>2</v>
          </cell>
          <cell r="X3583">
            <v>0</v>
          </cell>
          <cell r="Y3583">
            <v>0</v>
          </cell>
        </row>
        <row r="3584">
          <cell r="D3584">
            <v>312903</v>
          </cell>
          <cell r="E3584" t="str">
            <v>Kauswagan High School</v>
          </cell>
          <cell r="F3584">
            <v>1</v>
          </cell>
          <cell r="G3584">
            <v>1</v>
          </cell>
          <cell r="H3584">
            <v>1</v>
          </cell>
          <cell r="I3584">
            <v>0</v>
          </cell>
          <cell r="J3584">
            <v>0</v>
          </cell>
          <cell r="K3584">
            <v>1</v>
          </cell>
          <cell r="L3584">
            <v>0</v>
          </cell>
          <cell r="M3584">
            <v>0</v>
          </cell>
          <cell r="N3584">
            <v>1</v>
          </cell>
          <cell r="O3584">
            <v>43525</v>
          </cell>
          <cell r="P3584">
            <v>43617</v>
          </cell>
          <cell r="Q3584">
            <v>0</v>
          </cell>
          <cell r="R3584">
            <v>0</v>
          </cell>
          <cell r="S3584">
            <v>1</v>
          </cell>
          <cell r="T3584">
            <v>0</v>
          </cell>
          <cell r="U3584">
            <v>0</v>
          </cell>
          <cell r="V3584">
            <v>1</v>
          </cell>
          <cell r="W3584">
            <v>2</v>
          </cell>
          <cell r="X3584">
            <v>0</v>
          </cell>
          <cell r="Y3584">
            <v>0</v>
          </cell>
        </row>
        <row r="3585">
          <cell r="D3585">
            <v>312940</v>
          </cell>
          <cell r="E3585" t="str">
            <v>Cambonbon National High School</v>
          </cell>
          <cell r="F3585">
            <v>1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</row>
        <row r="3586">
          <cell r="D3586">
            <v>312963</v>
          </cell>
          <cell r="E3586" t="str">
            <v>Jose B. Cardenas MHS - Tabalogo Ext.</v>
          </cell>
          <cell r="F3586">
            <v>1</v>
          </cell>
          <cell r="G3586">
            <v>1</v>
          </cell>
          <cell r="H3586">
            <v>1</v>
          </cell>
          <cell r="I3586">
            <v>1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1</v>
          </cell>
          <cell r="O3586">
            <v>43652</v>
          </cell>
          <cell r="P3586" t="str">
            <v>NONE</v>
          </cell>
          <cell r="Q3586">
            <v>1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1</v>
          </cell>
          <cell r="W3586">
            <v>0</v>
          </cell>
          <cell r="X3586">
            <v>0</v>
          </cell>
          <cell r="Y3586">
            <v>0</v>
          </cell>
        </row>
        <row r="3587">
          <cell r="D3587">
            <v>303250</v>
          </cell>
          <cell r="E3587" t="str">
            <v>Casiano Z. Napigkit National High School</v>
          </cell>
          <cell r="F3587">
            <v>1</v>
          </cell>
          <cell r="G3587">
            <v>1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</row>
        <row r="3588">
          <cell r="D3588">
            <v>312912</v>
          </cell>
          <cell r="E3588" t="str">
            <v>Pedro R. Abul MHS</v>
          </cell>
          <cell r="F3588">
            <v>1</v>
          </cell>
          <cell r="G3588">
            <v>0</v>
          </cell>
          <cell r="H3588">
            <v>1</v>
          </cell>
          <cell r="I3588">
            <v>0</v>
          </cell>
          <cell r="J3588">
            <v>1</v>
          </cell>
          <cell r="K3588">
            <v>0</v>
          </cell>
          <cell r="L3588">
            <v>0</v>
          </cell>
          <cell r="M3588">
            <v>0</v>
          </cell>
          <cell r="N3588">
            <v>1</v>
          </cell>
          <cell r="O3588">
            <v>0</v>
          </cell>
          <cell r="P3588">
            <v>0</v>
          </cell>
          <cell r="Q3588">
            <v>0</v>
          </cell>
          <cell r="R3588">
            <v>1</v>
          </cell>
          <cell r="S3588">
            <v>0</v>
          </cell>
          <cell r="T3588">
            <v>0</v>
          </cell>
          <cell r="U3588">
            <v>0</v>
          </cell>
          <cell r="V3588">
            <v>1</v>
          </cell>
          <cell r="W3588">
            <v>1</v>
          </cell>
          <cell r="X3588">
            <v>0</v>
          </cell>
          <cell r="Y3588">
            <v>0</v>
          </cell>
        </row>
        <row r="3589">
          <cell r="D3589">
            <v>312920</v>
          </cell>
          <cell r="E3589" t="str">
            <v>Dauin Science High School</v>
          </cell>
          <cell r="F3589">
            <v>1</v>
          </cell>
          <cell r="G3589">
            <v>0</v>
          </cell>
          <cell r="H3589">
            <v>1</v>
          </cell>
          <cell r="I3589">
            <v>0</v>
          </cell>
          <cell r="J3589">
            <v>0</v>
          </cell>
          <cell r="K3589">
            <v>1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</row>
        <row r="3590">
          <cell r="D3590">
            <v>312961</v>
          </cell>
          <cell r="E3590" t="str">
            <v>Manjuyod Science High School</v>
          </cell>
          <cell r="F3590">
            <v>1</v>
          </cell>
          <cell r="G3590">
            <v>1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</row>
        <row r="3591">
          <cell r="D3591">
            <v>312955</v>
          </cell>
          <cell r="E3591" t="str">
            <v>Masulog HS</v>
          </cell>
          <cell r="F3591">
            <v>1</v>
          </cell>
          <cell r="G3591">
            <v>1</v>
          </cell>
          <cell r="H3591">
            <v>1</v>
          </cell>
          <cell r="I3591">
            <v>0</v>
          </cell>
          <cell r="J3591">
            <v>1</v>
          </cell>
          <cell r="K3591">
            <v>0</v>
          </cell>
          <cell r="L3591">
            <v>0</v>
          </cell>
          <cell r="M3591">
            <v>0</v>
          </cell>
          <cell r="N3591">
            <v>1</v>
          </cell>
          <cell r="O3591">
            <v>0</v>
          </cell>
          <cell r="P3591" t="str">
            <v>6/13/2019</v>
          </cell>
          <cell r="Q3591">
            <v>0</v>
          </cell>
          <cell r="R3591">
            <v>1</v>
          </cell>
          <cell r="S3591">
            <v>0</v>
          </cell>
          <cell r="T3591">
            <v>0</v>
          </cell>
          <cell r="U3591">
            <v>0</v>
          </cell>
          <cell r="V3591">
            <v>1</v>
          </cell>
          <cell r="W3591">
            <v>0</v>
          </cell>
          <cell r="X3591">
            <v>0</v>
          </cell>
          <cell r="Y3591">
            <v>0</v>
          </cell>
        </row>
        <row r="3592">
          <cell r="D3592">
            <v>500044</v>
          </cell>
          <cell r="E3592" t="str">
            <v>Mabini Integrated School</v>
          </cell>
          <cell r="F3592">
            <v>1</v>
          </cell>
          <cell r="G3592">
            <v>1</v>
          </cell>
          <cell r="H3592">
            <v>1</v>
          </cell>
          <cell r="I3592">
            <v>0</v>
          </cell>
          <cell r="J3592">
            <v>0</v>
          </cell>
          <cell r="K3592">
            <v>1</v>
          </cell>
          <cell r="L3592">
            <v>0</v>
          </cell>
          <cell r="M3592">
            <v>0</v>
          </cell>
          <cell r="N3592">
            <v>1</v>
          </cell>
          <cell r="O3592">
            <v>0</v>
          </cell>
          <cell r="P3592">
            <v>0</v>
          </cell>
          <cell r="Q3592">
            <v>1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1</v>
          </cell>
          <cell r="W3592">
            <v>0</v>
          </cell>
          <cell r="X3592">
            <v>0</v>
          </cell>
          <cell r="Y3592">
            <v>0</v>
          </cell>
        </row>
        <row r="3593">
          <cell r="D3593">
            <v>302977</v>
          </cell>
          <cell r="E3593" t="str">
            <v>Casay NHS</v>
          </cell>
          <cell r="F3593">
            <v>1</v>
          </cell>
          <cell r="G3593">
            <v>1</v>
          </cell>
          <cell r="H3593">
            <v>0</v>
          </cell>
          <cell r="I3593">
            <v>0</v>
          </cell>
          <cell r="J3593">
            <v>1</v>
          </cell>
          <cell r="K3593">
            <v>0</v>
          </cell>
          <cell r="L3593">
            <v>0</v>
          </cell>
          <cell r="M3593">
            <v>0</v>
          </cell>
          <cell r="N3593">
            <v>1</v>
          </cell>
          <cell r="O3593">
            <v>43631</v>
          </cell>
          <cell r="P3593">
            <v>0</v>
          </cell>
          <cell r="Q3593">
            <v>1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1</v>
          </cell>
          <cell r="W3593">
            <v>0</v>
          </cell>
          <cell r="X3593">
            <v>0</v>
          </cell>
          <cell r="Y3593">
            <v>0</v>
          </cell>
        </row>
        <row r="3594">
          <cell r="D3594">
            <v>312935</v>
          </cell>
          <cell r="E3594" t="str">
            <v>Sta. Catalina Science High School</v>
          </cell>
          <cell r="F3594">
            <v>1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</row>
        <row r="3595">
          <cell r="D3595">
            <v>303253</v>
          </cell>
          <cell r="E3595" t="str">
            <v>Maloh PCHS</v>
          </cell>
          <cell r="F3595">
            <v>1</v>
          </cell>
          <cell r="G3595">
            <v>1</v>
          </cell>
          <cell r="H3595">
            <v>1</v>
          </cell>
          <cell r="I3595">
            <v>0</v>
          </cell>
          <cell r="J3595">
            <v>0</v>
          </cell>
          <cell r="K3595">
            <v>0</v>
          </cell>
          <cell r="L3595">
            <v>1</v>
          </cell>
          <cell r="M3595" t="str">
            <v>as Needed</v>
          </cell>
          <cell r="N3595">
            <v>1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1</v>
          </cell>
          <cell r="U3595" t="str">
            <v>as Needed</v>
          </cell>
          <cell r="V3595">
            <v>1</v>
          </cell>
          <cell r="W3595">
            <v>7</v>
          </cell>
          <cell r="X3595">
            <v>7</v>
          </cell>
          <cell r="Y3595">
            <v>7</v>
          </cell>
        </row>
        <row r="3596">
          <cell r="D3596">
            <v>302854</v>
          </cell>
          <cell r="E3596" t="str">
            <v>Guinacot NHS</v>
          </cell>
          <cell r="F3596">
            <v>1</v>
          </cell>
          <cell r="G3596">
            <v>1</v>
          </cell>
          <cell r="H3596">
            <v>1</v>
          </cell>
          <cell r="I3596">
            <v>0</v>
          </cell>
          <cell r="J3596">
            <v>1</v>
          </cell>
          <cell r="K3596">
            <v>0</v>
          </cell>
          <cell r="L3596">
            <v>0</v>
          </cell>
          <cell r="M3596">
            <v>0</v>
          </cell>
          <cell r="N3596">
            <v>1</v>
          </cell>
          <cell r="O3596">
            <v>0</v>
          </cell>
          <cell r="P3596">
            <v>0</v>
          </cell>
          <cell r="Q3596">
            <v>0</v>
          </cell>
          <cell r="R3596">
            <v>1</v>
          </cell>
          <cell r="S3596">
            <v>0</v>
          </cell>
          <cell r="T3596">
            <v>0</v>
          </cell>
          <cell r="U3596">
            <v>0</v>
          </cell>
          <cell r="V3596">
            <v>1</v>
          </cell>
          <cell r="W3596">
            <v>0</v>
          </cell>
          <cell r="X3596">
            <v>0</v>
          </cell>
          <cell r="Y3596">
            <v>0</v>
          </cell>
        </row>
        <row r="3597">
          <cell r="D3597">
            <v>303318</v>
          </cell>
          <cell r="E3597" t="str">
            <v>LURAY II NATIONAL HIGH SCHOOL (DAY &amp; NIGHT))</v>
          </cell>
          <cell r="F3597">
            <v>1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</row>
        <row r="3598">
          <cell r="D3598">
            <v>500045</v>
          </cell>
          <cell r="E3598" t="str">
            <v>Sudlon NHS</v>
          </cell>
          <cell r="F3598">
            <v>1</v>
          </cell>
          <cell r="G3598">
            <v>1</v>
          </cell>
          <cell r="H3598">
            <v>1</v>
          </cell>
          <cell r="I3598">
            <v>0</v>
          </cell>
          <cell r="J3598">
            <v>1</v>
          </cell>
          <cell r="K3598">
            <v>0</v>
          </cell>
          <cell r="L3598">
            <v>0</v>
          </cell>
          <cell r="M3598">
            <v>0</v>
          </cell>
          <cell r="N3598">
            <v>1</v>
          </cell>
          <cell r="O3598">
            <v>0</v>
          </cell>
          <cell r="P3598">
            <v>0</v>
          </cell>
          <cell r="Q3598">
            <v>0</v>
          </cell>
          <cell r="R3598">
            <v>1</v>
          </cell>
          <cell r="S3598">
            <v>0</v>
          </cell>
          <cell r="T3598">
            <v>0</v>
          </cell>
          <cell r="U3598">
            <v>0</v>
          </cell>
          <cell r="V3598">
            <v>1</v>
          </cell>
          <cell r="W3598">
            <v>1</v>
          </cell>
          <cell r="X3598">
            <v>1</v>
          </cell>
          <cell r="Y3598">
            <v>0</v>
          </cell>
        </row>
        <row r="3599">
          <cell r="D3599">
            <v>302901</v>
          </cell>
          <cell r="E3599" t="str">
            <v>San Roque National High School</v>
          </cell>
          <cell r="F3599">
            <v>1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</row>
        <row r="3600">
          <cell r="D3600">
            <v>302867</v>
          </cell>
          <cell r="E3600" t="str">
            <v>Hinawanan NHS</v>
          </cell>
          <cell r="F3600">
            <v>0</v>
          </cell>
          <cell r="G3600">
            <v>0</v>
          </cell>
          <cell r="H3600">
            <v>1</v>
          </cell>
          <cell r="I3600">
            <v>0</v>
          </cell>
          <cell r="J3600">
            <v>0</v>
          </cell>
          <cell r="K3600">
            <v>1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1</v>
          </cell>
          <cell r="U3600" t="str">
            <v>NONE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</row>
        <row r="3601">
          <cell r="D3601">
            <v>303222</v>
          </cell>
          <cell r="E3601" t="str">
            <v>Budlasan National High School</v>
          </cell>
          <cell r="F3601">
            <v>1</v>
          </cell>
          <cell r="G3601">
            <v>1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</row>
        <row r="3602">
          <cell r="D3602">
            <v>302992</v>
          </cell>
          <cell r="E3602" t="str">
            <v>Tolotolo National High School</v>
          </cell>
          <cell r="F3602">
            <v>1</v>
          </cell>
          <cell r="G3602">
            <v>1</v>
          </cell>
          <cell r="H3602">
            <v>0</v>
          </cell>
          <cell r="I3602">
            <v>0</v>
          </cell>
          <cell r="J3602">
            <v>1</v>
          </cell>
          <cell r="K3602">
            <v>0</v>
          </cell>
          <cell r="L3602">
            <v>0</v>
          </cell>
          <cell r="M3602">
            <v>0</v>
          </cell>
          <cell r="N3602">
            <v>1</v>
          </cell>
          <cell r="O3602" t="str">
            <v>8/17/2019</v>
          </cell>
          <cell r="P3602" t="str">
            <v>Every first Monday of the month</v>
          </cell>
          <cell r="Q3602">
            <v>1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1</v>
          </cell>
          <cell r="W3602">
            <v>0</v>
          </cell>
          <cell r="X3602">
            <v>0</v>
          </cell>
          <cell r="Y3602">
            <v>0</v>
          </cell>
        </row>
        <row r="3603">
          <cell r="D3603">
            <v>312922</v>
          </cell>
          <cell r="E3603" t="str">
            <v>Jimalalud NHS - Tamao Ext.</v>
          </cell>
          <cell r="F3603">
            <v>1</v>
          </cell>
          <cell r="G3603">
            <v>1</v>
          </cell>
          <cell r="H3603">
            <v>1</v>
          </cell>
          <cell r="I3603">
            <v>0</v>
          </cell>
          <cell r="J3603">
            <v>0</v>
          </cell>
          <cell r="K3603">
            <v>1</v>
          </cell>
          <cell r="L3603">
            <v>0</v>
          </cell>
          <cell r="M3603">
            <v>0</v>
          </cell>
          <cell r="N3603">
            <v>1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1</v>
          </cell>
          <cell r="W3603">
            <v>0</v>
          </cell>
          <cell r="X3603">
            <v>0</v>
          </cell>
          <cell r="Y3603">
            <v>0</v>
          </cell>
        </row>
        <row r="3604">
          <cell r="D3604">
            <v>312916</v>
          </cell>
          <cell r="E3604" t="str">
            <v>Jose B. Cardenas MHS - Uptown Annex</v>
          </cell>
          <cell r="F3604">
            <v>1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1</v>
          </cell>
          <cell r="L3604">
            <v>0</v>
          </cell>
          <cell r="M3604">
            <v>0</v>
          </cell>
          <cell r="N3604">
            <v>1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1</v>
          </cell>
          <cell r="U3604" t="str">
            <v>always when needed</v>
          </cell>
          <cell r="V3604">
            <v>1</v>
          </cell>
          <cell r="W3604">
            <v>0</v>
          </cell>
          <cell r="X3604">
            <v>0</v>
          </cell>
          <cell r="Y3604">
            <v>0</v>
          </cell>
        </row>
        <row r="3605">
          <cell r="D3605">
            <v>302889</v>
          </cell>
          <cell r="E3605" t="str">
            <v>San Isidro Tech-Voc HS</v>
          </cell>
          <cell r="F3605">
            <v>1</v>
          </cell>
          <cell r="G3605">
            <v>1</v>
          </cell>
          <cell r="H3605">
            <v>1</v>
          </cell>
          <cell r="I3605">
            <v>0</v>
          </cell>
          <cell r="J3605">
            <v>0</v>
          </cell>
          <cell r="K3605">
            <v>0</v>
          </cell>
          <cell r="L3605">
            <v>1</v>
          </cell>
          <cell r="M3605" t="str">
            <v>BI-ANNUALLY</v>
          </cell>
          <cell r="N3605">
            <v>0</v>
          </cell>
          <cell r="O3605">
            <v>0</v>
          </cell>
          <cell r="P3605">
            <v>43686</v>
          </cell>
          <cell r="Q3605">
            <v>0</v>
          </cell>
          <cell r="R3605">
            <v>1</v>
          </cell>
          <cell r="S3605">
            <v>0</v>
          </cell>
          <cell r="T3605">
            <v>0</v>
          </cell>
          <cell r="U3605">
            <v>0</v>
          </cell>
          <cell r="V3605">
            <v>1</v>
          </cell>
          <cell r="W3605">
            <v>0</v>
          </cell>
          <cell r="X3605">
            <v>0</v>
          </cell>
          <cell r="Y3605">
            <v>0</v>
          </cell>
        </row>
        <row r="3606">
          <cell r="D3606">
            <v>303271</v>
          </cell>
          <cell r="E3606" t="str">
            <v>Ajong National HS</v>
          </cell>
          <cell r="F3606">
            <v>1</v>
          </cell>
          <cell r="G3606">
            <v>1</v>
          </cell>
          <cell r="H3606">
            <v>1</v>
          </cell>
          <cell r="I3606">
            <v>0</v>
          </cell>
          <cell r="J3606">
            <v>1</v>
          </cell>
          <cell r="K3606">
            <v>0</v>
          </cell>
          <cell r="L3606">
            <v>0</v>
          </cell>
          <cell r="M3606">
            <v>0</v>
          </cell>
          <cell r="N3606">
            <v>1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</row>
        <row r="3607">
          <cell r="D3607">
            <v>303211</v>
          </cell>
          <cell r="E3607" t="str">
            <v>Bagtic National High School</v>
          </cell>
          <cell r="F3607">
            <v>1</v>
          </cell>
          <cell r="G3607">
            <v>1</v>
          </cell>
          <cell r="H3607">
            <v>1</v>
          </cell>
          <cell r="I3607">
            <v>0</v>
          </cell>
          <cell r="J3607">
            <v>1</v>
          </cell>
          <cell r="K3607">
            <v>0</v>
          </cell>
          <cell r="L3607">
            <v>0</v>
          </cell>
          <cell r="M3607">
            <v>0</v>
          </cell>
          <cell r="N3607">
            <v>1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</row>
        <row r="3608">
          <cell r="D3608">
            <v>312907</v>
          </cell>
          <cell r="E3608" t="str">
            <v>Enrique Villanueva HS</v>
          </cell>
          <cell r="F3608">
            <v>0</v>
          </cell>
          <cell r="G3608">
            <v>0</v>
          </cell>
          <cell r="H3608">
            <v>1</v>
          </cell>
          <cell r="I3608">
            <v>0</v>
          </cell>
          <cell r="J3608">
            <v>1</v>
          </cell>
          <cell r="K3608">
            <v>0</v>
          </cell>
          <cell r="L3608">
            <v>0</v>
          </cell>
          <cell r="M3608">
            <v>0</v>
          </cell>
          <cell r="N3608">
            <v>1</v>
          </cell>
          <cell r="O3608">
            <v>43638</v>
          </cell>
          <cell r="P3608">
            <v>0</v>
          </cell>
          <cell r="Q3608">
            <v>1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1</v>
          </cell>
          <cell r="W3608">
            <v>0</v>
          </cell>
          <cell r="X3608">
            <v>0</v>
          </cell>
          <cell r="Y3608">
            <v>0</v>
          </cell>
        </row>
        <row r="3609">
          <cell r="D3609">
            <v>312945</v>
          </cell>
          <cell r="E3609" t="str">
            <v>Sibulan NHS - Balugo Ext.</v>
          </cell>
          <cell r="F3609">
            <v>1</v>
          </cell>
          <cell r="G3609">
            <v>0</v>
          </cell>
          <cell r="H3609">
            <v>1</v>
          </cell>
          <cell r="I3609">
            <v>0</v>
          </cell>
          <cell r="J3609">
            <v>0</v>
          </cell>
          <cell r="K3609">
            <v>1</v>
          </cell>
          <cell r="L3609">
            <v>0</v>
          </cell>
          <cell r="M3609">
            <v>0</v>
          </cell>
          <cell r="N3609">
            <v>1</v>
          </cell>
          <cell r="O3609">
            <v>43665</v>
          </cell>
          <cell r="P3609">
            <v>43665</v>
          </cell>
          <cell r="Q3609">
            <v>0</v>
          </cell>
          <cell r="R3609">
            <v>0</v>
          </cell>
          <cell r="S3609">
            <v>1</v>
          </cell>
          <cell r="T3609">
            <v>0</v>
          </cell>
          <cell r="U3609">
            <v>0</v>
          </cell>
          <cell r="V3609">
            <v>1</v>
          </cell>
          <cell r="W3609">
            <v>0</v>
          </cell>
          <cell r="X3609">
            <v>0</v>
          </cell>
          <cell r="Y3609">
            <v>0</v>
          </cell>
        </row>
        <row r="3610">
          <cell r="D3610">
            <v>303258</v>
          </cell>
          <cell r="E3610" t="str">
            <v>Pacuan National High School</v>
          </cell>
          <cell r="F3610">
            <v>1</v>
          </cell>
          <cell r="G3610">
            <v>0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</row>
        <row r="3611">
          <cell r="D3611">
            <v>303205</v>
          </cell>
          <cell r="E3611" t="str">
            <v>Amio Comprehensive High School</v>
          </cell>
          <cell r="F3611">
            <v>1</v>
          </cell>
          <cell r="G3611">
            <v>0</v>
          </cell>
          <cell r="H3611">
            <v>1</v>
          </cell>
          <cell r="I3611">
            <v>0</v>
          </cell>
          <cell r="J3611">
            <v>1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1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</row>
        <row r="3612">
          <cell r="D3612">
            <v>303171</v>
          </cell>
          <cell r="E3612" t="str">
            <v>Taclobo NHS</v>
          </cell>
          <cell r="F3612">
            <v>0</v>
          </cell>
          <cell r="G3612">
            <v>0</v>
          </cell>
          <cell r="H3612">
            <v>1</v>
          </cell>
          <cell r="I3612">
            <v>0</v>
          </cell>
          <cell r="J3612">
            <v>1</v>
          </cell>
          <cell r="K3612">
            <v>0</v>
          </cell>
          <cell r="L3612">
            <v>0</v>
          </cell>
          <cell r="M3612">
            <v>0</v>
          </cell>
          <cell r="N3612">
            <v>1</v>
          </cell>
          <cell r="O3612">
            <v>0</v>
          </cell>
          <cell r="P3612">
            <v>0</v>
          </cell>
          <cell r="Q3612">
            <v>1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1</v>
          </cell>
          <cell r="W3612">
            <v>0</v>
          </cell>
          <cell r="X3612">
            <v>0</v>
          </cell>
          <cell r="Y3612">
            <v>0</v>
          </cell>
        </row>
        <row r="3613">
          <cell r="D3613">
            <v>312901</v>
          </cell>
          <cell r="E3613" t="str">
            <v>Maningcao National High School</v>
          </cell>
          <cell r="F3613">
            <v>1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</row>
        <row r="3614">
          <cell r="D3614">
            <v>303261</v>
          </cell>
          <cell r="E3614" t="str">
            <v>Pinalubngan National High School</v>
          </cell>
          <cell r="F3614">
            <v>1</v>
          </cell>
          <cell r="G3614">
            <v>1</v>
          </cell>
          <cell r="H3614">
            <v>1</v>
          </cell>
          <cell r="I3614">
            <v>0</v>
          </cell>
          <cell r="J3614">
            <v>1</v>
          </cell>
          <cell r="K3614">
            <v>0</v>
          </cell>
          <cell r="L3614">
            <v>0</v>
          </cell>
          <cell r="M3614">
            <v>0</v>
          </cell>
          <cell r="N3614">
            <v>1</v>
          </cell>
          <cell r="O3614">
            <v>43634</v>
          </cell>
          <cell r="P3614" t="str">
            <v>JUNE 21,2019</v>
          </cell>
          <cell r="Q3614">
            <v>0</v>
          </cell>
          <cell r="R3614">
            <v>1</v>
          </cell>
          <cell r="S3614">
            <v>0</v>
          </cell>
          <cell r="T3614">
            <v>0</v>
          </cell>
          <cell r="U3614">
            <v>0</v>
          </cell>
          <cell r="V3614">
            <v>1</v>
          </cell>
          <cell r="W3614">
            <v>2</v>
          </cell>
          <cell r="X3614">
            <v>0</v>
          </cell>
          <cell r="Y3614">
            <v>0</v>
          </cell>
        </row>
        <row r="3615">
          <cell r="D3615">
            <v>303040</v>
          </cell>
          <cell r="E3615" t="str">
            <v>Lawaan NHS, Talisay</v>
          </cell>
          <cell r="F3615">
            <v>1</v>
          </cell>
          <cell r="G3615">
            <v>1</v>
          </cell>
          <cell r="H3615">
            <v>1</v>
          </cell>
          <cell r="I3615">
            <v>0</v>
          </cell>
          <cell r="J3615">
            <v>0</v>
          </cell>
          <cell r="K3615">
            <v>0</v>
          </cell>
          <cell r="L3615">
            <v>1</v>
          </cell>
          <cell r="M3615" t="str">
            <v>When necessary</v>
          </cell>
          <cell r="N3615">
            <v>1</v>
          </cell>
          <cell r="O3615" t="str">
            <v>September,2018</v>
          </cell>
          <cell r="P3615" t="str">
            <v>September, 2018</v>
          </cell>
          <cell r="Q3615">
            <v>0</v>
          </cell>
          <cell r="R3615">
            <v>0</v>
          </cell>
          <cell r="S3615">
            <v>0</v>
          </cell>
          <cell r="T3615">
            <v>1</v>
          </cell>
          <cell r="U3615" t="str">
            <v>as the need arises</v>
          </cell>
          <cell r="V3615">
            <v>1</v>
          </cell>
          <cell r="W3615">
            <v>0</v>
          </cell>
          <cell r="X3615">
            <v>0</v>
          </cell>
          <cell r="Y3615">
            <v>0</v>
          </cell>
        </row>
        <row r="3616">
          <cell r="D3616">
            <v>323002</v>
          </cell>
          <cell r="E3616" t="str">
            <v>Javier Laxina I Memorial HS</v>
          </cell>
          <cell r="F3616">
            <v>1</v>
          </cell>
          <cell r="G3616">
            <v>0</v>
          </cell>
          <cell r="H3616">
            <v>1</v>
          </cell>
          <cell r="I3616">
            <v>0</v>
          </cell>
          <cell r="J3616">
            <v>1</v>
          </cell>
          <cell r="K3616">
            <v>0</v>
          </cell>
          <cell r="L3616">
            <v>0</v>
          </cell>
          <cell r="M3616">
            <v>0</v>
          </cell>
          <cell r="N3616">
            <v>1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1</v>
          </cell>
          <cell r="W3616">
            <v>0</v>
          </cell>
          <cell r="X3616">
            <v>0</v>
          </cell>
          <cell r="Y3616">
            <v>0</v>
          </cell>
        </row>
        <row r="3617">
          <cell r="D3617">
            <v>312970</v>
          </cell>
          <cell r="E3617" t="str">
            <v>Caticugan HS</v>
          </cell>
          <cell r="F3617">
            <v>1</v>
          </cell>
          <cell r="G3617">
            <v>0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</row>
        <row r="3618">
          <cell r="D3618">
            <v>303162</v>
          </cell>
          <cell r="E3618" t="str">
            <v>OPRRA NHS (Day &amp; Night)</v>
          </cell>
          <cell r="F3618">
            <v>0</v>
          </cell>
          <cell r="G3618">
            <v>0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1</v>
          </cell>
          <cell r="M3618" t="str">
            <v>never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1</v>
          </cell>
          <cell r="U3618" t="str">
            <v>never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</row>
        <row r="3619">
          <cell r="D3619">
            <v>312930</v>
          </cell>
          <cell r="E3619" t="str">
            <v>Tamlang High School</v>
          </cell>
          <cell r="F3619">
            <v>0</v>
          </cell>
          <cell r="G3619">
            <v>0</v>
          </cell>
          <cell r="H3619">
            <v>1</v>
          </cell>
          <cell r="I3619">
            <v>1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1</v>
          </cell>
          <cell r="O3619">
            <v>43692</v>
          </cell>
          <cell r="P3619">
            <v>43697</v>
          </cell>
          <cell r="Q3619">
            <v>0</v>
          </cell>
          <cell r="R3619">
            <v>1</v>
          </cell>
          <cell r="S3619">
            <v>0</v>
          </cell>
          <cell r="T3619">
            <v>0</v>
          </cell>
          <cell r="U3619">
            <v>0</v>
          </cell>
          <cell r="V3619">
            <v>1</v>
          </cell>
          <cell r="W3619">
            <v>0</v>
          </cell>
          <cell r="X3619">
            <v>0</v>
          </cell>
          <cell r="Y3619">
            <v>0</v>
          </cell>
        </row>
        <row r="3620">
          <cell r="D3620">
            <v>500920</v>
          </cell>
          <cell r="E3620" t="str">
            <v>Kinawahan Integrated School</v>
          </cell>
          <cell r="F3620">
            <v>1</v>
          </cell>
          <cell r="G3620">
            <v>1</v>
          </cell>
          <cell r="H3620">
            <v>1</v>
          </cell>
          <cell r="I3620">
            <v>0</v>
          </cell>
          <cell r="J3620">
            <v>1</v>
          </cell>
          <cell r="K3620">
            <v>0</v>
          </cell>
          <cell r="L3620">
            <v>0</v>
          </cell>
          <cell r="M3620">
            <v>0</v>
          </cell>
          <cell r="N3620">
            <v>1</v>
          </cell>
          <cell r="O3620" t="str">
            <v>07/19/2019</v>
          </cell>
          <cell r="P3620" t="str">
            <v>10/16/2019</v>
          </cell>
          <cell r="Q3620">
            <v>0</v>
          </cell>
          <cell r="R3620">
            <v>1</v>
          </cell>
          <cell r="S3620">
            <v>0</v>
          </cell>
          <cell r="T3620">
            <v>0</v>
          </cell>
          <cell r="U3620">
            <v>0</v>
          </cell>
          <cell r="V3620">
            <v>1</v>
          </cell>
          <cell r="W3620">
            <v>1</v>
          </cell>
          <cell r="X3620">
            <v>1</v>
          </cell>
          <cell r="Y3620">
            <v>1</v>
          </cell>
        </row>
        <row r="3621">
          <cell r="D3621">
            <v>312934</v>
          </cell>
          <cell r="E3621" t="str">
            <v>San Miguel High School</v>
          </cell>
          <cell r="F3621">
            <v>1</v>
          </cell>
          <cell r="G3621">
            <v>0</v>
          </cell>
          <cell r="H3621">
            <v>1</v>
          </cell>
          <cell r="I3621">
            <v>0</v>
          </cell>
          <cell r="J3621">
            <v>0</v>
          </cell>
          <cell r="K3621">
            <v>1</v>
          </cell>
          <cell r="L3621">
            <v>0</v>
          </cell>
          <cell r="M3621">
            <v>0</v>
          </cell>
          <cell r="N3621">
            <v>1</v>
          </cell>
          <cell r="O3621">
            <v>42856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1</v>
          </cell>
          <cell r="X3621">
            <v>0</v>
          </cell>
          <cell r="Y3621">
            <v>0</v>
          </cell>
        </row>
        <row r="3622">
          <cell r="D3622">
            <v>302852</v>
          </cell>
          <cell r="E3622" t="str">
            <v>Garcia-Hernandez HS</v>
          </cell>
          <cell r="F3622">
            <v>1</v>
          </cell>
          <cell r="G3622">
            <v>0</v>
          </cell>
          <cell r="H3622">
            <v>1</v>
          </cell>
          <cell r="I3622">
            <v>0</v>
          </cell>
          <cell r="J3622">
            <v>1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</row>
        <row r="3623">
          <cell r="D3623">
            <v>312931</v>
          </cell>
          <cell r="E3623" t="str">
            <v>Nagbinlod High School</v>
          </cell>
          <cell r="F3623">
            <v>1</v>
          </cell>
          <cell r="G3623">
            <v>1</v>
          </cell>
          <cell r="H3623">
            <v>1</v>
          </cell>
          <cell r="I3623">
            <v>0</v>
          </cell>
          <cell r="J3623">
            <v>1</v>
          </cell>
          <cell r="K3623">
            <v>0</v>
          </cell>
          <cell r="L3623">
            <v>0</v>
          </cell>
          <cell r="M3623">
            <v>0</v>
          </cell>
          <cell r="N3623">
            <v>1</v>
          </cell>
          <cell r="O3623">
            <v>0</v>
          </cell>
          <cell r="P3623">
            <v>0</v>
          </cell>
          <cell r="Q3623">
            <v>1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1</v>
          </cell>
          <cell r="W3623">
            <v>0</v>
          </cell>
          <cell r="X3623">
            <v>0</v>
          </cell>
          <cell r="Y3623">
            <v>0</v>
          </cell>
        </row>
        <row r="3624">
          <cell r="D3624">
            <v>312953</v>
          </cell>
          <cell r="E3624" t="str">
            <v>Sibulan Night High School</v>
          </cell>
          <cell r="F3624">
            <v>0</v>
          </cell>
          <cell r="G3624">
            <v>0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</row>
        <row r="3625">
          <cell r="D3625">
            <v>303272</v>
          </cell>
          <cell r="E3625" t="str">
            <v>San Antonio National High School</v>
          </cell>
          <cell r="F3625">
            <v>0</v>
          </cell>
          <cell r="G3625">
            <v>0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</row>
        <row r="3626">
          <cell r="D3626">
            <v>302971</v>
          </cell>
          <cell r="E3626" t="str">
            <v>Cansojong National High School</v>
          </cell>
          <cell r="F3626">
            <v>1</v>
          </cell>
          <cell r="G3626">
            <v>1</v>
          </cell>
          <cell r="H3626">
            <v>1</v>
          </cell>
          <cell r="I3626">
            <v>0</v>
          </cell>
          <cell r="J3626">
            <v>1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8</v>
          </cell>
          <cell r="X3626">
            <v>8</v>
          </cell>
          <cell r="Y3626">
            <v>8</v>
          </cell>
        </row>
        <row r="3627">
          <cell r="D3627">
            <v>303317</v>
          </cell>
          <cell r="E3627" t="str">
            <v>Bunga NHS</v>
          </cell>
          <cell r="F3627">
            <v>1</v>
          </cell>
          <cell r="G3627">
            <v>1</v>
          </cell>
          <cell r="H3627">
            <v>1</v>
          </cell>
          <cell r="I3627">
            <v>0</v>
          </cell>
          <cell r="J3627">
            <v>0</v>
          </cell>
          <cell r="K3627">
            <v>1</v>
          </cell>
          <cell r="L3627">
            <v>0</v>
          </cell>
          <cell r="M3627">
            <v>0</v>
          </cell>
          <cell r="N3627">
            <v>1</v>
          </cell>
          <cell r="O3627" t="str">
            <v>10/28/2019</v>
          </cell>
          <cell r="P3627" t="str">
            <v>10/28/2019</v>
          </cell>
          <cell r="Q3627">
            <v>0</v>
          </cell>
          <cell r="R3627">
            <v>1</v>
          </cell>
          <cell r="S3627">
            <v>0</v>
          </cell>
          <cell r="T3627">
            <v>0</v>
          </cell>
          <cell r="U3627">
            <v>0</v>
          </cell>
          <cell r="V3627">
            <v>1</v>
          </cell>
          <cell r="W3627">
            <v>0</v>
          </cell>
          <cell r="X3627">
            <v>0</v>
          </cell>
          <cell r="Y3627">
            <v>0</v>
          </cell>
        </row>
        <row r="3628">
          <cell r="D3628">
            <v>312362</v>
          </cell>
          <cell r="E3628" t="str">
            <v>Nan-od High School</v>
          </cell>
          <cell r="F3628">
            <v>0</v>
          </cell>
          <cell r="G3628">
            <v>0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</row>
        <row r="3629">
          <cell r="D3629">
            <v>303019</v>
          </cell>
          <cell r="E3629" t="str">
            <v>Jaclupan National High School</v>
          </cell>
          <cell r="F3629">
            <v>1</v>
          </cell>
          <cell r="G3629">
            <v>1</v>
          </cell>
          <cell r="H3629">
            <v>1</v>
          </cell>
          <cell r="I3629">
            <v>0</v>
          </cell>
          <cell r="J3629">
            <v>1</v>
          </cell>
          <cell r="K3629">
            <v>0</v>
          </cell>
          <cell r="L3629">
            <v>0</v>
          </cell>
          <cell r="M3629">
            <v>0</v>
          </cell>
          <cell r="N3629">
            <v>1</v>
          </cell>
          <cell r="O3629">
            <v>0</v>
          </cell>
          <cell r="P3629" t="str">
            <v>June 7, 2019</v>
          </cell>
          <cell r="Q3629">
            <v>0</v>
          </cell>
          <cell r="R3629">
            <v>1</v>
          </cell>
          <cell r="S3629">
            <v>0</v>
          </cell>
          <cell r="T3629">
            <v>0</v>
          </cell>
          <cell r="U3629">
            <v>0</v>
          </cell>
          <cell r="V3629">
            <v>1</v>
          </cell>
          <cell r="W3629">
            <v>0</v>
          </cell>
          <cell r="X3629">
            <v>0</v>
          </cell>
          <cell r="Y3629">
            <v>0</v>
          </cell>
        </row>
        <row r="3630">
          <cell r="D3630">
            <v>303307</v>
          </cell>
          <cell r="E3630" t="str">
            <v>AWIHAO  NATIONAL HIGH SCHOOL</v>
          </cell>
          <cell r="F3630">
            <v>1</v>
          </cell>
          <cell r="G3630">
            <v>1</v>
          </cell>
          <cell r="H3630">
            <v>1</v>
          </cell>
          <cell r="I3630">
            <v>0</v>
          </cell>
          <cell r="J3630">
            <v>0</v>
          </cell>
          <cell r="K3630">
            <v>1</v>
          </cell>
          <cell r="L3630">
            <v>0</v>
          </cell>
          <cell r="M3630">
            <v>0</v>
          </cell>
          <cell r="N3630">
            <v>1</v>
          </cell>
          <cell r="O3630">
            <v>43647</v>
          </cell>
          <cell r="P3630">
            <v>43739</v>
          </cell>
          <cell r="Q3630">
            <v>1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1</v>
          </cell>
          <cell r="W3630">
            <v>2</v>
          </cell>
          <cell r="X3630">
            <v>0</v>
          </cell>
          <cell r="Y3630">
            <v>2</v>
          </cell>
        </row>
        <row r="3631">
          <cell r="D3631">
            <v>312319</v>
          </cell>
          <cell r="E3631" t="str">
            <v>Hagbuaya High School</v>
          </cell>
          <cell r="F3631">
            <v>0</v>
          </cell>
          <cell r="G3631">
            <v>0</v>
          </cell>
          <cell r="H3631">
            <v>1</v>
          </cell>
          <cell r="I3631">
            <v>0</v>
          </cell>
          <cell r="J3631">
            <v>0</v>
          </cell>
          <cell r="K3631">
            <v>0</v>
          </cell>
          <cell r="L3631">
            <v>1</v>
          </cell>
          <cell r="M3631" t="str">
            <v>as needed</v>
          </cell>
          <cell r="N3631">
            <v>1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1</v>
          </cell>
          <cell r="U3631" t="str">
            <v>as needed</v>
          </cell>
          <cell r="V3631">
            <v>1</v>
          </cell>
          <cell r="W3631">
            <v>1</v>
          </cell>
          <cell r="X3631">
            <v>0</v>
          </cell>
          <cell r="Y3631">
            <v>0</v>
          </cell>
        </row>
        <row r="3632">
          <cell r="D3632">
            <v>302891</v>
          </cell>
          <cell r="E3632" t="str">
            <v>San Jose National High School</v>
          </cell>
          <cell r="F3632">
            <v>0</v>
          </cell>
          <cell r="G3632">
            <v>0</v>
          </cell>
          <cell r="H3632">
            <v>1</v>
          </cell>
          <cell r="I3632">
            <v>0</v>
          </cell>
          <cell r="J3632">
            <v>1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 t="str">
            <v>NOT AVAILABLE</v>
          </cell>
          <cell r="P3632" t="str">
            <v>NOT AVAILABLE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</row>
        <row r="3633">
          <cell r="D3633">
            <v>302900</v>
          </cell>
          <cell r="E3633" t="str">
            <v>San Roque National High School</v>
          </cell>
          <cell r="F3633">
            <v>1</v>
          </cell>
          <cell r="G3633">
            <v>0</v>
          </cell>
          <cell r="H3633">
            <v>1</v>
          </cell>
          <cell r="I3633">
            <v>0</v>
          </cell>
          <cell r="J3633">
            <v>1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</row>
        <row r="3634">
          <cell r="D3634">
            <v>312949</v>
          </cell>
          <cell r="E3634" t="str">
            <v>Ayungon Science High School</v>
          </cell>
          <cell r="F3634">
            <v>1</v>
          </cell>
          <cell r="G3634">
            <v>0</v>
          </cell>
          <cell r="H3634">
            <v>1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2</v>
          </cell>
          <cell r="X3634">
            <v>0</v>
          </cell>
          <cell r="Y3634">
            <v>0</v>
          </cell>
        </row>
        <row r="3635">
          <cell r="D3635">
            <v>302905</v>
          </cell>
          <cell r="E3635" t="str">
            <v>Sierra Bullones Technical Vocational High School</v>
          </cell>
          <cell r="F3635">
            <v>1</v>
          </cell>
          <cell r="G3635">
            <v>1</v>
          </cell>
          <cell r="H3635">
            <v>0</v>
          </cell>
          <cell r="I3635">
            <v>0</v>
          </cell>
          <cell r="J3635">
            <v>1</v>
          </cell>
          <cell r="K3635">
            <v>0</v>
          </cell>
          <cell r="L3635">
            <v>0</v>
          </cell>
          <cell r="M3635">
            <v>0</v>
          </cell>
          <cell r="N3635">
            <v>1</v>
          </cell>
          <cell r="O3635" t="str">
            <v>JULY 17, 2019</v>
          </cell>
          <cell r="P3635">
            <v>0</v>
          </cell>
          <cell r="Q3635">
            <v>0</v>
          </cell>
          <cell r="R3635">
            <v>1</v>
          </cell>
          <cell r="S3635">
            <v>0</v>
          </cell>
          <cell r="T3635">
            <v>0</v>
          </cell>
          <cell r="U3635">
            <v>0</v>
          </cell>
          <cell r="V3635">
            <v>1</v>
          </cell>
          <cell r="W3635">
            <v>2</v>
          </cell>
          <cell r="X3635">
            <v>0</v>
          </cell>
          <cell r="Y3635">
            <v>0</v>
          </cell>
        </row>
        <row r="3636">
          <cell r="D3636">
            <v>303043</v>
          </cell>
          <cell r="E3636" t="str">
            <v>Logon NHS</v>
          </cell>
          <cell r="F3636">
            <v>1</v>
          </cell>
          <cell r="G3636">
            <v>0</v>
          </cell>
          <cell r="H3636">
            <v>1</v>
          </cell>
          <cell r="I3636">
            <v>0</v>
          </cell>
          <cell r="J3636">
            <v>1</v>
          </cell>
          <cell r="K3636">
            <v>0</v>
          </cell>
          <cell r="L3636">
            <v>0</v>
          </cell>
          <cell r="M3636">
            <v>0</v>
          </cell>
          <cell r="N3636">
            <v>1</v>
          </cell>
          <cell r="O3636">
            <v>43473</v>
          </cell>
          <cell r="P3636">
            <v>0</v>
          </cell>
          <cell r="Q3636">
            <v>0</v>
          </cell>
          <cell r="R3636">
            <v>0</v>
          </cell>
          <cell r="S3636">
            <v>1</v>
          </cell>
          <cell r="T3636">
            <v>0</v>
          </cell>
          <cell r="U3636">
            <v>0</v>
          </cell>
          <cell r="V3636">
            <v>1</v>
          </cell>
          <cell r="W3636">
            <v>0</v>
          </cell>
          <cell r="X3636">
            <v>0</v>
          </cell>
          <cell r="Y3636">
            <v>0</v>
          </cell>
        </row>
        <row r="3637">
          <cell r="D3637">
            <v>303243</v>
          </cell>
          <cell r="E3637" t="str">
            <v>La Libertad Technical-Vocational School</v>
          </cell>
          <cell r="F3637">
            <v>1</v>
          </cell>
          <cell r="G3637">
            <v>0</v>
          </cell>
          <cell r="H3637">
            <v>1</v>
          </cell>
          <cell r="I3637">
            <v>0</v>
          </cell>
          <cell r="J3637">
            <v>0</v>
          </cell>
          <cell r="K3637">
            <v>1</v>
          </cell>
          <cell r="L3637">
            <v>0</v>
          </cell>
          <cell r="M3637">
            <v>0</v>
          </cell>
          <cell r="N3637">
            <v>0</v>
          </cell>
          <cell r="O3637" t="str">
            <v>June 3, 2019</v>
          </cell>
          <cell r="P3637" t="str">
            <v>June 4, 2019</v>
          </cell>
          <cell r="Q3637">
            <v>0</v>
          </cell>
          <cell r="R3637">
            <v>0</v>
          </cell>
          <cell r="S3637">
            <v>1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</row>
        <row r="3638">
          <cell r="D3638">
            <v>312946</v>
          </cell>
          <cell r="E3638" t="str">
            <v>DR. BENJAMIN T. LOCSIN HIGH SCHOOL</v>
          </cell>
          <cell r="F3638">
            <v>1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</row>
        <row r="3639">
          <cell r="D3639">
            <v>303088</v>
          </cell>
          <cell r="E3639" t="str">
            <v>San Roque NHS</v>
          </cell>
          <cell r="F3639">
            <v>0</v>
          </cell>
          <cell r="G3639">
            <v>0</v>
          </cell>
          <cell r="H3639">
            <v>1</v>
          </cell>
          <cell r="I3639">
            <v>0</v>
          </cell>
          <cell r="J3639">
            <v>1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</row>
        <row r="3640">
          <cell r="D3640">
            <v>312944</v>
          </cell>
          <cell r="E3640" t="str">
            <v>Sibulan Science High School</v>
          </cell>
          <cell r="F3640">
            <v>1</v>
          </cell>
          <cell r="G3640">
            <v>1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1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1</v>
          </cell>
          <cell r="U3640" t="str">
            <v>N/A</v>
          </cell>
          <cell r="V3640">
            <v>0</v>
          </cell>
          <cell r="W3640">
            <v>1</v>
          </cell>
          <cell r="X3640">
            <v>1</v>
          </cell>
          <cell r="Y3640">
            <v>1</v>
          </cell>
        </row>
        <row r="3641">
          <cell r="D3641">
            <v>303113</v>
          </cell>
          <cell r="E3641" t="str">
            <v>Talisay City National High School</v>
          </cell>
          <cell r="F3641">
            <v>1</v>
          </cell>
          <cell r="G3641">
            <v>0</v>
          </cell>
          <cell r="H3641">
            <v>1</v>
          </cell>
          <cell r="I3641">
            <v>0</v>
          </cell>
          <cell r="J3641">
            <v>1</v>
          </cell>
          <cell r="K3641">
            <v>0</v>
          </cell>
          <cell r="L3641">
            <v>0</v>
          </cell>
          <cell r="M3641">
            <v>0</v>
          </cell>
          <cell r="N3641">
            <v>1</v>
          </cell>
          <cell r="O3641" t="str">
            <v>JULY 7, 2019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</row>
        <row r="3642">
          <cell r="D3642">
            <v>303246</v>
          </cell>
          <cell r="E3642" t="str">
            <v>Dahile PCHS</v>
          </cell>
          <cell r="F3642">
            <v>1</v>
          </cell>
          <cell r="G3642">
            <v>1</v>
          </cell>
          <cell r="H3642">
            <v>1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1</v>
          </cell>
          <cell r="O3642">
            <v>0</v>
          </cell>
          <cell r="P3642" t="str">
            <v>March 30, 2017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1</v>
          </cell>
          <cell r="W3642">
            <v>2</v>
          </cell>
          <cell r="X3642">
            <v>3</v>
          </cell>
          <cell r="Y3642">
            <v>2</v>
          </cell>
        </row>
        <row r="3643">
          <cell r="D3643">
            <v>303037</v>
          </cell>
          <cell r="E3643" t="str">
            <v>Maslog National High School</v>
          </cell>
          <cell r="F3643">
            <v>1</v>
          </cell>
          <cell r="G3643">
            <v>1</v>
          </cell>
          <cell r="H3643">
            <v>1</v>
          </cell>
          <cell r="I3643">
            <v>0</v>
          </cell>
          <cell r="J3643">
            <v>1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</row>
        <row r="3644">
          <cell r="D3644">
            <v>312936</v>
          </cell>
          <cell r="E3644" t="str">
            <v>Nagbalaye HS</v>
          </cell>
          <cell r="F3644">
            <v>1</v>
          </cell>
          <cell r="G3644">
            <v>1</v>
          </cell>
          <cell r="H3644">
            <v>1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1</v>
          </cell>
          <cell r="O3644" t="str">
            <v>7/29/2019</v>
          </cell>
          <cell r="P3644" t="str">
            <v>7/29/2019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1</v>
          </cell>
          <cell r="W3644">
            <v>0</v>
          </cell>
          <cell r="X3644">
            <v>0</v>
          </cell>
          <cell r="Y3644">
            <v>0</v>
          </cell>
        </row>
        <row r="3645">
          <cell r="D3645">
            <v>303234</v>
          </cell>
          <cell r="E3645" t="str">
            <v>Inapoy High School</v>
          </cell>
          <cell r="F3645">
            <v>1</v>
          </cell>
          <cell r="G3645">
            <v>0</v>
          </cell>
          <cell r="H3645">
            <v>1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43028</v>
          </cell>
          <cell r="Q3645">
            <v>0</v>
          </cell>
          <cell r="R3645">
            <v>0</v>
          </cell>
          <cell r="S3645">
            <v>1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</row>
        <row r="3646">
          <cell r="D3646">
            <v>303111</v>
          </cell>
          <cell r="E3646" t="str">
            <v>Tabunok National High School</v>
          </cell>
          <cell r="F3646">
            <v>1</v>
          </cell>
          <cell r="G3646">
            <v>1</v>
          </cell>
          <cell r="H3646">
            <v>1</v>
          </cell>
          <cell r="I3646">
            <v>1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1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1</v>
          </cell>
          <cell r="W3646">
            <v>1</v>
          </cell>
          <cell r="X3646">
            <v>0</v>
          </cell>
          <cell r="Y3646">
            <v>0</v>
          </cell>
        </row>
        <row r="3647">
          <cell r="D3647">
            <v>303240</v>
          </cell>
          <cell r="E3647" t="str">
            <v>Manduaw National High School</v>
          </cell>
          <cell r="F3647">
            <v>1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1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</row>
        <row r="3648">
          <cell r="D3648">
            <v>303242</v>
          </cell>
          <cell r="E3648" t="str">
            <v>Tayawan National High School</v>
          </cell>
          <cell r="F3648">
            <v>1</v>
          </cell>
          <cell r="G3648">
            <v>0</v>
          </cell>
          <cell r="H3648">
            <v>1</v>
          </cell>
          <cell r="I3648">
            <v>0</v>
          </cell>
          <cell r="J3648">
            <v>0</v>
          </cell>
          <cell r="K3648">
            <v>1</v>
          </cell>
          <cell r="L3648">
            <v>0</v>
          </cell>
          <cell r="M3648">
            <v>0</v>
          </cell>
          <cell r="N3648">
            <v>1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1</v>
          </cell>
          <cell r="T3648">
            <v>0</v>
          </cell>
          <cell r="U3648">
            <v>0</v>
          </cell>
          <cell r="V3648">
            <v>1</v>
          </cell>
          <cell r="W3648">
            <v>0</v>
          </cell>
          <cell r="X3648">
            <v>0</v>
          </cell>
          <cell r="Y3648">
            <v>0</v>
          </cell>
        </row>
        <row r="3649">
          <cell r="D3649">
            <v>312506</v>
          </cell>
          <cell r="E3649" t="str">
            <v>Tisa National High School ( Day &amp; Night)</v>
          </cell>
          <cell r="F3649">
            <v>1</v>
          </cell>
          <cell r="G3649">
            <v>1</v>
          </cell>
          <cell r="H3649">
            <v>1</v>
          </cell>
          <cell r="I3649">
            <v>1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1</v>
          </cell>
          <cell r="O3649">
            <v>43525</v>
          </cell>
          <cell r="P3649">
            <v>43709</v>
          </cell>
          <cell r="Q3649">
            <v>1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1</v>
          </cell>
          <cell r="W3649">
            <v>1</v>
          </cell>
          <cell r="X3649">
            <v>1</v>
          </cell>
          <cell r="Y3649">
            <v>1</v>
          </cell>
        </row>
        <row r="3650">
          <cell r="D3650">
            <v>322206</v>
          </cell>
          <cell r="E3650" t="str">
            <v>Lagtang Night HS</v>
          </cell>
          <cell r="F3650">
            <v>1</v>
          </cell>
          <cell r="G3650">
            <v>0</v>
          </cell>
          <cell r="H3650">
            <v>1</v>
          </cell>
          <cell r="I3650">
            <v>0</v>
          </cell>
          <cell r="J3650">
            <v>0</v>
          </cell>
          <cell r="K3650">
            <v>1</v>
          </cell>
          <cell r="L3650">
            <v>0</v>
          </cell>
          <cell r="M3650">
            <v>0</v>
          </cell>
          <cell r="N3650">
            <v>1</v>
          </cell>
          <cell r="O3650">
            <v>43672</v>
          </cell>
          <cell r="P3650">
            <v>43623</v>
          </cell>
          <cell r="Q3650">
            <v>0</v>
          </cell>
          <cell r="R3650">
            <v>0</v>
          </cell>
          <cell r="S3650">
            <v>1</v>
          </cell>
          <cell r="T3650">
            <v>0</v>
          </cell>
          <cell r="U3650">
            <v>0</v>
          </cell>
          <cell r="V3650">
            <v>1</v>
          </cell>
          <cell r="W3650">
            <v>2</v>
          </cell>
          <cell r="X3650">
            <v>1</v>
          </cell>
          <cell r="Y3650">
            <v>1</v>
          </cell>
        </row>
        <row r="3651">
          <cell r="D3651">
            <v>322208</v>
          </cell>
          <cell r="E3651" t="str">
            <v>Tapul National High School</v>
          </cell>
          <cell r="F3651">
            <v>1</v>
          </cell>
          <cell r="G3651">
            <v>1</v>
          </cell>
          <cell r="H3651">
            <v>1</v>
          </cell>
          <cell r="I3651">
            <v>0</v>
          </cell>
          <cell r="J3651">
            <v>0</v>
          </cell>
          <cell r="K3651">
            <v>1</v>
          </cell>
          <cell r="L3651">
            <v>0</v>
          </cell>
          <cell r="M3651">
            <v>0</v>
          </cell>
          <cell r="N3651">
            <v>1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1</v>
          </cell>
          <cell r="T3651">
            <v>0</v>
          </cell>
          <cell r="U3651">
            <v>0</v>
          </cell>
          <cell r="V3651">
            <v>1</v>
          </cell>
          <cell r="W3651">
            <v>0</v>
          </cell>
          <cell r="X3651">
            <v>0</v>
          </cell>
          <cell r="Y3651">
            <v>0</v>
          </cell>
        </row>
        <row r="3652">
          <cell r="D3652">
            <v>303227</v>
          </cell>
          <cell r="E3652" t="str">
            <v>Dawis National High School</v>
          </cell>
          <cell r="F3652">
            <v>1</v>
          </cell>
          <cell r="G3652">
            <v>1</v>
          </cell>
          <cell r="H3652">
            <v>1</v>
          </cell>
          <cell r="I3652">
            <v>0</v>
          </cell>
          <cell r="J3652">
            <v>1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2</v>
          </cell>
          <cell r="X3652">
            <v>1</v>
          </cell>
          <cell r="Y3652">
            <v>0</v>
          </cell>
        </row>
        <row r="3653">
          <cell r="D3653">
            <v>321904</v>
          </cell>
          <cell r="E3653" t="str">
            <v>Villasol High School</v>
          </cell>
          <cell r="F3653">
            <v>1</v>
          </cell>
          <cell r="G3653">
            <v>0</v>
          </cell>
          <cell r="H3653">
            <v>1</v>
          </cell>
          <cell r="I3653">
            <v>0</v>
          </cell>
          <cell r="J3653">
            <v>1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 t="str">
            <v>N/A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</row>
        <row r="3654">
          <cell r="D3654">
            <v>303217</v>
          </cell>
          <cell r="E3654" t="str">
            <v>Basay National High School</v>
          </cell>
          <cell r="F3654">
            <v>1</v>
          </cell>
          <cell r="G3654">
            <v>1</v>
          </cell>
          <cell r="H3654">
            <v>1</v>
          </cell>
          <cell r="I3654">
            <v>1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1</v>
          </cell>
          <cell r="O3654">
            <v>43807</v>
          </cell>
          <cell r="P3654">
            <v>43807</v>
          </cell>
          <cell r="Q3654">
            <v>0</v>
          </cell>
          <cell r="R3654">
            <v>1</v>
          </cell>
          <cell r="S3654">
            <v>0</v>
          </cell>
          <cell r="T3654">
            <v>0</v>
          </cell>
          <cell r="U3654">
            <v>0</v>
          </cell>
          <cell r="V3654">
            <v>1</v>
          </cell>
          <cell r="W3654">
            <v>1</v>
          </cell>
          <cell r="X3654">
            <v>0</v>
          </cell>
          <cell r="Y3654">
            <v>0</v>
          </cell>
        </row>
        <row r="3655">
          <cell r="D3655">
            <v>303223</v>
          </cell>
          <cell r="E3655" t="str">
            <v>Jose B. Cardenas MHS (Canlaon City NHS)</v>
          </cell>
          <cell r="F3655">
            <v>1</v>
          </cell>
          <cell r="G3655">
            <v>1</v>
          </cell>
          <cell r="H3655">
            <v>1</v>
          </cell>
          <cell r="I3655">
            <v>0</v>
          </cell>
          <cell r="J3655">
            <v>1</v>
          </cell>
          <cell r="K3655">
            <v>0</v>
          </cell>
          <cell r="L3655">
            <v>0</v>
          </cell>
          <cell r="M3655">
            <v>0</v>
          </cell>
          <cell r="N3655">
            <v>1</v>
          </cell>
          <cell r="O3655">
            <v>0</v>
          </cell>
          <cell r="P3655">
            <v>0</v>
          </cell>
          <cell r="Q3655">
            <v>1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1</v>
          </cell>
          <cell r="W3655">
            <v>0</v>
          </cell>
          <cell r="X3655">
            <v>0</v>
          </cell>
          <cell r="Y3655">
            <v>0</v>
          </cell>
        </row>
        <row r="3656">
          <cell r="D3656">
            <v>303251</v>
          </cell>
          <cell r="E3656" t="str">
            <v>Manjuyod National High School</v>
          </cell>
          <cell r="F3656">
            <v>1</v>
          </cell>
          <cell r="G3656">
            <v>0</v>
          </cell>
          <cell r="H3656">
            <v>1</v>
          </cell>
          <cell r="I3656">
            <v>0</v>
          </cell>
          <cell r="J3656">
            <v>1</v>
          </cell>
          <cell r="K3656">
            <v>0</v>
          </cell>
          <cell r="L3656">
            <v>0</v>
          </cell>
          <cell r="M3656">
            <v>0</v>
          </cell>
          <cell r="N3656">
            <v>1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1</v>
          </cell>
          <cell r="T3656">
            <v>0</v>
          </cell>
          <cell r="U3656">
            <v>0</v>
          </cell>
          <cell r="V3656">
            <v>1</v>
          </cell>
          <cell r="W3656">
            <v>0</v>
          </cell>
          <cell r="X3656">
            <v>0</v>
          </cell>
          <cell r="Y3656">
            <v>0</v>
          </cell>
        </row>
        <row r="3657">
          <cell r="D3657">
            <v>312954</v>
          </cell>
          <cell r="E3657" t="str">
            <v>Malaiba HS</v>
          </cell>
          <cell r="F3657">
            <v>0</v>
          </cell>
          <cell r="G3657">
            <v>0</v>
          </cell>
          <cell r="H3657">
            <v>1</v>
          </cell>
          <cell r="I3657">
            <v>0</v>
          </cell>
          <cell r="J3657">
            <v>1</v>
          </cell>
          <cell r="K3657">
            <v>0</v>
          </cell>
          <cell r="L3657">
            <v>0</v>
          </cell>
          <cell r="M3657">
            <v>0</v>
          </cell>
          <cell r="N3657">
            <v>1</v>
          </cell>
          <cell r="O3657">
            <v>43635</v>
          </cell>
          <cell r="P3657">
            <v>0</v>
          </cell>
          <cell r="Q3657">
            <v>0</v>
          </cell>
          <cell r="R3657">
            <v>1</v>
          </cell>
          <cell r="S3657">
            <v>0</v>
          </cell>
          <cell r="T3657">
            <v>1</v>
          </cell>
          <cell r="U3657">
            <v>43635</v>
          </cell>
          <cell r="V3657">
            <v>1</v>
          </cell>
          <cell r="W3657">
            <v>0</v>
          </cell>
          <cell r="X3657">
            <v>0</v>
          </cell>
          <cell r="Y3657">
            <v>0</v>
          </cell>
        </row>
        <row r="3658">
          <cell r="D3658">
            <v>321905</v>
          </cell>
          <cell r="E3658" t="str">
            <v>Lapay High School</v>
          </cell>
          <cell r="F3658">
            <v>1</v>
          </cell>
          <cell r="G3658">
            <v>1</v>
          </cell>
          <cell r="H3658">
            <v>1</v>
          </cell>
          <cell r="I3658">
            <v>0</v>
          </cell>
          <cell r="J3658">
            <v>1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</row>
        <row r="3659">
          <cell r="D3659">
            <v>303086</v>
          </cell>
          <cell r="E3659" t="str">
            <v>San Miguel NHS</v>
          </cell>
          <cell r="F3659">
            <v>1</v>
          </cell>
          <cell r="G3659">
            <v>1</v>
          </cell>
          <cell r="H3659">
            <v>1</v>
          </cell>
          <cell r="I3659">
            <v>0</v>
          </cell>
          <cell r="J3659">
            <v>1</v>
          </cell>
          <cell r="K3659">
            <v>1</v>
          </cell>
          <cell r="L3659">
            <v>0</v>
          </cell>
          <cell r="M3659">
            <v>0</v>
          </cell>
          <cell r="N3659">
            <v>1</v>
          </cell>
          <cell r="O3659">
            <v>0</v>
          </cell>
          <cell r="P3659" t="str">
            <v>10/13/2019</v>
          </cell>
          <cell r="Q3659">
            <v>0</v>
          </cell>
          <cell r="R3659">
            <v>1</v>
          </cell>
          <cell r="S3659">
            <v>0</v>
          </cell>
          <cell r="T3659">
            <v>0</v>
          </cell>
          <cell r="U3659">
            <v>0</v>
          </cell>
          <cell r="V3659">
            <v>1</v>
          </cell>
          <cell r="W3659">
            <v>1</v>
          </cell>
          <cell r="X3659">
            <v>1</v>
          </cell>
          <cell r="Y3659">
            <v>0</v>
          </cell>
        </row>
        <row r="3660">
          <cell r="D3660">
            <v>312964</v>
          </cell>
          <cell r="E3660" t="str">
            <v>Jose B. Cardenas Memorial High School - Bayog Ext.</v>
          </cell>
          <cell r="F3660">
            <v>1</v>
          </cell>
          <cell r="G3660">
            <v>1</v>
          </cell>
          <cell r="H3660">
            <v>0</v>
          </cell>
          <cell r="I3660">
            <v>1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1</v>
          </cell>
          <cell r="O3660">
            <v>43543</v>
          </cell>
          <cell r="P3660">
            <v>0</v>
          </cell>
          <cell r="Q3660">
            <v>1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1</v>
          </cell>
          <cell r="W3660">
            <v>0</v>
          </cell>
          <cell r="X3660">
            <v>0</v>
          </cell>
          <cell r="Y3660">
            <v>0</v>
          </cell>
        </row>
        <row r="3661">
          <cell r="D3661">
            <v>501131</v>
          </cell>
          <cell r="E3661" t="str">
            <v>Ali-is Integrated School</v>
          </cell>
          <cell r="F3661">
            <v>1</v>
          </cell>
          <cell r="G3661">
            <v>1</v>
          </cell>
          <cell r="H3661">
            <v>1</v>
          </cell>
          <cell r="I3661">
            <v>0</v>
          </cell>
          <cell r="J3661">
            <v>1</v>
          </cell>
          <cell r="K3661">
            <v>0</v>
          </cell>
          <cell r="L3661">
            <v>0</v>
          </cell>
          <cell r="M3661">
            <v>0</v>
          </cell>
          <cell r="N3661">
            <v>1</v>
          </cell>
          <cell r="O3661">
            <v>43632</v>
          </cell>
          <cell r="P3661">
            <v>43697</v>
          </cell>
          <cell r="Q3661">
            <v>0</v>
          </cell>
          <cell r="R3661">
            <v>0</v>
          </cell>
          <cell r="S3661">
            <v>1</v>
          </cell>
          <cell r="T3661">
            <v>0</v>
          </cell>
          <cell r="U3661">
            <v>0</v>
          </cell>
          <cell r="V3661">
            <v>0</v>
          </cell>
          <cell r="W3661">
            <v>50</v>
          </cell>
          <cell r="X3661">
            <v>0</v>
          </cell>
          <cell r="Y3661">
            <v>0</v>
          </cell>
        </row>
        <row r="3662">
          <cell r="D3662">
            <v>321906</v>
          </cell>
          <cell r="E3662" t="str">
            <v>San Jose National High School</v>
          </cell>
          <cell r="F3662">
            <v>0</v>
          </cell>
          <cell r="G3662">
            <v>0</v>
          </cell>
          <cell r="H3662">
            <v>1</v>
          </cell>
          <cell r="I3662">
            <v>0</v>
          </cell>
          <cell r="J3662">
            <v>0</v>
          </cell>
          <cell r="K3662">
            <v>1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1</v>
          </cell>
          <cell r="U3662" t="str">
            <v>as the need arises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</row>
        <row r="3663">
          <cell r="D3663">
            <v>303218</v>
          </cell>
          <cell r="E3663" t="str">
            <v>Actin National High School</v>
          </cell>
          <cell r="F3663">
            <v>1</v>
          </cell>
          <cell r="G3663">
            <v>0</v>
          </cell>
          <cell r="H3663">
            <v>1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</row>
        <row r="3664">
          <cell r="D3664">
            <v>312943</v>
          </cell>
          <cell r="E3664" t="str">
            <v>Bolocboloc High School</v>
          </cell>
          <cell r="F3664">
            <v>1</v>
          </cell>
          <cell r="G3664">
            <v>0</v>
          </cell>
          <cell r="H3664">
            <v>1</v>
          </cell>
          <cell r="I3664">
            <v>0</v>
          </cell>
          <cell r="J3664">
            <v>0</v>
          </cell>
          <cell r="K3664">
            <v>1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</row>
        <row r="3665">
          <cell r="D3665">
            <v>322204</v>
          </cell>
          <cell r="E3665" t="str">
            <v>Bulacao National High School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</row>
        <row r="3666">
          <cell r="D3666">
            <v>321903</v>
          </cell>
          <cell r="E3666" t="str">
            <v>Minaba National High School</v>
          </cell>
          <cell r="F3666">
            <v>1</v>
          </cell>
          <cell r="G3666">
            <v>0</v>
          </cell>
          <cell r="H3666">
            <v>1</v>
          </cell>
          <cell r="I3666">
            <v>0</v>
          </cell>
          <cell r="J3666">
            <v>0</v>
          </cell>
          <cell r="K3666">
            <v>1</v>
          </cell>
          <cell r="L3666">
            <v>0</v>
          </cell>
          <cell r="M3666">
            <v>0</v>
          </cell>
          <cell r="N3666">
            <v>1</v>
          </cell>
          <cell r="O3666" t="str">
            <v>August 19, 2019</v>
          </cell>
          <cell r="P3666" t="str">
            <v>June 30,2019</v>
          </cell>
          <cell r="Q3666">
            <v>0</v>
          </cell>
          <cell r="R3666">
            <v>0</v>
          </cell>
          <cell r="S3666">
            <v>1</v>
          </cell>
          <cell r="T3666">
            <v>0</v>
          </cell>
          <cell r="U3666">
            <v>0</v>
          </cell>
          <cell r="V3666">
            <v>1</v>
          </cell>
          <cell r="W3666">
            <v>0</v>
          </cell>
          <cell r="X3666">
            <v>0</v>
          </cell>
          <cell r="Y3666">
            <v>0</v>
          </cell>
        </row>
        <row r="3667">
          <cell r="D3667">
            <v>302877</v>
          </cell>
          <cell r="E3667" t="str">
            <v>Mantacida National High School</v>
          </cell>
          <cell r="F3667">
            <v>1</v>
          </cell>
          <cell r="G3667">
            <v>1</v>
          </cell>
          <cell r="H3667">
            <v>1</v>
          </cell>
          <cell r="I3667">
            <v>0</v>
          </cell>
          <cell r="J3667">
            <v>1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43775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1</v>
          </cell>
          <cell r="W3667">
            <v>2</v>
          </cell>
          <cell r="X3667">
            <v>0</v>
          </cell>
          <cell r="Y3667">
            <v>0</v>
          </cell>
        </row>
        <row r="3668">
          <cell r="D3668">
            <v>303056</v>
          </cell>
          <cell r="E3668" t="str">
            <v>Mohon (Divino Amore) National High School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1</v>
          </cell>
          <cell r="O3668">
            <v>43682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3</v>
          </cell>
          <cell r="X3668">
            <v>0</v>
          </cell>
          <cell r="Y3668">
            <v>0</v>
          </cell>
        </row>
        <row r="3669">
          <cell r="D3669">
            <v>322201</v>
          </cell>
          <cell r="E3669" t="str">
            <v>Maghaway National High School</v>
          </cell>
          <cell r="F3669">
            <v>1</v>
          </cell>
          <cell r="G3669">
            <v>0</v>
          </cell>
          <cell r="H3669">
            <v>1</v>
          </cell>
          <cell r="I3669">
            <v>1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2</v>
          </cell>
          <cell r="X3669">
            <v>2</v>
          </cell>
          <cell r="Y3669">
            <v>2</v>
          </cell>
        </row>
        <row r="3670">
          <cell r="D3670">
            <v>302835</v>
          </cell>
          <cell r="E3670" t="str">
            <v>Cawayanan NHS</v>
          </cell>
          <cell r="F3670">
            <v>1</v>
          </cell>
          <cell r="G3670">
            <v>0</v>
          </cell>
          <cell r="H3670">
            <v>1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</row>
        <row r="3671">
          <cell r="D3671">
            <v>303241</v>
          </cell>
          <cell r="E3671" t="str">
            <v>Tabuan Provincial Community High School</v>
          </cell>
          <cell r="F3671">
            <v>1</v>
          </cell>
          <cell r="G3671">
            <v>0</v>
          </cell>
          <cell r="H3671">
            <v>1</v>
          </cell>
          <cell r="I3671">
            <v>0</v>
          </cell>
          <cell r="J3671">
            <v>1</v>
          </cell>
          <cell r="K3671">
            <v>0</v>
          </cell>
          <cell r="L3671">
            <v>0</v>
          </cell>
          <cell r="M3671">
            <v>0</v>
          </cell>
          <cell r="N3671">
            <v>1</v>
          </cell>
          <cell r="O3671" t="str">
            <v>6/19/2019</v>
          </cell>
          <cell r="P3671" t="str">
            <v>6/19/2019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1</v>
          </cell>
          <cell r="W3671">
            <v>0</v>
          </cell>
          <cell r="X3671">
            <v>0</v>
          </cell>
          <cell r="Y3671">
            <v>0</v>
          </cell>
        </row>
        <row r="3672">
          <cell r="D3672">
            <v>303311</v>
          </cell>
          <cell r="E3672" t="str">
            <v>General Climaco NHS</v>
          </cell>
          <cell r="F3672">
            <v>0</v>
          </cell>
          <cell r="G3672">
            <v>0</v>
          </cell>
          <cell r="H3672">
            <v>1</v>
          </cell>
          <cell r="I3672">
            <v>0</v>
          </cell>
          <cell r="J3672">
            <v>0</v>
          </cell>
          <cell r="K3672">
            <v>1</v>
          </cell>
          <cell r="L3672">
            <v>0</v>
          </cell>
          <cell r="M3672">
            <v>0</v>
          </cell>
          <cell r="N3672">
            <v>1</v>
          </cell>
          <cell r="O3672" t="str">
            <v>June 16, 2018</v>
          </cell>
          <cell r="P3672" t="str">
            <v>June 16, 2018</v>
          </cell>
          <cell r="Q3672">
            <v>0</v>
          </cell>
          <cell r="R3672">
            <v>0</v>
          </cell>
          <cell r="S3672">
            <v>1</v>
          </cell>
          <cell r="T3672">
            <v>0</v>
          </cell>
          <cell r="U3672">
            <v>0</v>
          </cell>
          <cell r="V3672">
            <v>1</v>
          </cell>
          <cell r="W3672">
            <v>0</v>
          </cell>
          <cell r="X3672">
            <v>0</v>
          </cell>
          <cell r="Y3672">
            <v>0</v>
          </cell>
        </row>
        <row r="3673">
          <cell r="D3673">
            <v>303270</v>
          </cell>
          <cell r="E3673" t="str">
            <v>Sibulan National High School</v>
          </cell>
          <cell r="F3673">
            <v>1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1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</row>
        <row r="3674">
          <cell r="D3674">
            <v>302893</v>
          </cell>
          <cell r="E3674" t="str">
            <v>San Jose NHS</v>
          </cell>
          <cell r="F3674">
            <v>1</v>
          </cell>
          <cell r="G3674">
            <v>1</v>
          </cell>
          <cell r="H3674">
            <v>1</v>
          </cell>
          <cell r="I3674">
            <v>0</v>
          </cell>
          <cell r="J3674">
            <v>1</v>
          </cell>
          <cell r="K3674">
            <v>0</v>
          </cell>
          <cell r="L3674">
            <v>0</v>
          </cell>
          <cell r="M3674">
            <v>0</v>
          </cell>
          <cell r="N3674">
            <v>1</v>
          </cell>
          <cell r="O3674" t="str">
            <v>JAN-2019</v>
          </cell>
          <cell r="P3674" t="str">
            <v>JAN-2019</v>
          </cell>
          <cell r="Q3674">
            <v>0</v>
          </cell>
          <cell r="R3674">
            <v>1</v>
          </cell>
          <cell r="S3674">
            <v>0</v>
          </cell>
          <cell r="T3674">
            <v>0</v>
          </cell>
          <cell r="U3674">
            <v>0</v>
          </cell>
          <cell r="V3674">
            <v>1</v>
          </cell>
          <cell r="W3674">
            <v>3</v>
          </cell>
          <cell r="X3674">
            <v>3</v>
          </cell>
          <cell r="Y3674">
            <v>3</v>
          </cell>
        </row>
        <row r="3675">
          <cell r="D3675">
            <v>312927</v>
          </cell>
          <cell r="E3675" t="str">
            <v>Cambaloctot High School</v>
          </cell>
          <cell r="F3675">
            <v>1</v>
          </cell>
          <cell r="G3675">
            <v>1</v>
          </cell>
          <cell r="H3675">
            <v>1</v>
          </cell>
          <cell r="I3675">
            <v>0</v>
          </cell>
          <cell r="J3675">
            <v>1</v>
          </cell>
          <cell r="K3675">
            <v>0</v>
          </cell>
          <cell r="L3675">
            <v>0</v>
          </cell>
          <cell r="M3675">
            <v>0</v>
          </cell>
          <cell r="N3675">
            <v>1</v>
          </cell>
          <cell r="O3675" t="str">
            <v>7/29/2019</v>
          </cell>
          <cell r="P3675">
            <v>43677</v>
          </cell>
          <cell r="Q3675">
            <v>1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1</v>
          </cell>
          <cell r="W3675">
            <v>0</v>
          </cell>
          <cell r="X3675">
            <v>0</v>
          </cell>
          <cell r="Y3675">
            <v>0</v>
          </cell>
        </row>
        <row r="3676">
          <cell r="D3676">
            <v>302869</v>
          </cell>
          <cell r="E3676" t="str">
            <v>Loboc NHS</v>
          </cell>
          <cell r="F3676">
            <v>0</v>
          </cell>
          <cell r="G3676">
            <v>0</v>
          </cell>
          <cell r="H3676">
            <v>1</v>
          </cell>
          <cell r="I3676">
            <v>0</v>
          </cell>
          <cell r="J3676">
            <v>0</v>
          </cell>
          <cell r="K3676">
            <v>1</v>
          </cell>
          <cell r="L3676">
            <v>0</v>
          </cell>
          <cell r="M3676">
            <v>0</v>
          </cell>
          <cell r="N3676">
            <v>1</v>
          </cell>
          <cell r="O3676">
            <v>0</v>
          </cell>
          <cell r="P3676">
            <v>43189</v>
          </cell>
          <cell r="Q3676">
            <v>1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1</v>
          </cell>
          <cell r="W3676">
            <v>0</v>
          </cell>
          <cell r="X3676">
            <v>0</v>
          </cell>
          <cell r="Y3676">
            <v>0</v>
          </cell>
        </row>
        <row r="3677">
          <cell r="D3677">
            <v>303277</v>
          </cell>
          <cell r="E3677" t="str">
            <v>Mabato Provincial Community HS</v>
          </cell>
          <cell r="F3677">
            <v>1</v>
          </cell>
          <cell r="G3677">
            <v>1</v>
          </cell>
          <cell r="H3677">
            <v>1</v>
          </cell>
          <cell r="I3677">
            <v>0</v>
          </cell>
          <cell r="J3677">
            <v>0</v>
          </cell>
          <cell r="K3677">
            <v>1</v>
          </cell>
          <cell r="L3677">
            <v>0</v>
          </cell>
          <cell r="M3677">
            <v>0</v>
          </cell>
          <cell r="N3677">
            <v>1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</row>
        <row r="3678">
          <cell r="D3678">
            <v>303312</v>
          </cell>
          <cell r="E3678" t="str">
            <v>Magdugo National High School</v>
          </cell>
          <cell r="F3678">
            <v>1</v>
          </cell>
          <cell r="G3678">
            <v>1</v>
          </cell>
          <cell r="H3678">
            <v>1</v>
          </cell>
          <cell r="I3678">
            <v>0</v>
          </cell>
          <cell r="J3678">
            <v>1</v>
          </cell>
          <cell r="K3678">
            <v>0</v>
          </cell>
          <cell r="L3678">
            <v>0</v>
          </cell>
          <cell r="M3678">
            <v>0</v>
          </cell>
          <cell r="N3678">
            <v>1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1</v>
          </cell>
          <cell r="T3678">
            <v>0</v>
          </cell>
          <cell r="U3678">
            <v>0</v>
          </cell>
          <cell r="V3678">
            <v>1</v>
          </cell>
          <cell r="W3678">
            <v>0</v>
          </cell>
          <cell r="X3678">
            <v>0</v>
          </cell>
          <cell r="Y3678">
            <v>0</v>
          </cell>
        </row>
        <row r="3679">
          <cell r="D3679">
            <v>303131</v>
          </cell>
          <cell r="E3679" t="str">
            <v>BINALIW NATIONAL HIGH SCHOOL</v>
          </cell>
          <cell r="F3679">
            <v>1</v>
          </cell>
          <cell r="G3679">
            <v>0</v>
          </cell>
          <cell r="H3679">
            <v>1</v>
          </cell>
          <cell r="I3679">
            <v>0</v>
          </cell>
          <cell r="J3679">
            <v>1</v>
          </cell>
          <cell r="K3679">
            <v>0</v>
          </cell>
          <cell r="L3679">
            <v>0</v>
          </cell>
          <cell r="M3679">
            <v>0</v>
          </cell>
          <cell r="N3679">
            <v>1</v>
          </cell>
          <cell r="O3679">
            <v>43746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1</v>
          </cell>
          <cell r="U3679" t="str">
            <v>none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</row>
        <row r="3680">
          <cell r="D3680">
            <v>303156</v>
          </cell>
          <cell r="E3680" t="str">
            <v>Zapatera NHS (Day &amp; Night)</v>
          </cell>
          <cell r="F3680">
            <v>1</v>
          </cell>
          <cell r="G3680">
            <v>1</v>
          </cell>
          <cell r="H3680">
            <v>1</v>
          </cell>
          <cell r="I3680">
            <v>0</v>
          </cell>
          <cell r="J3680">
            <v>1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 t="str">
            <v>NONE</v>
          </cell>
          <cell r="Q3680">
            <v>0</v>
          </cell>
          <cell r="R3680">
            <v>0</v>
          </cell>
          <cell r="S3680">
            <v>0</v>
          </cell>
          <cell r="T3680">
            <v>1</v>
          </cell>
          <cell r="U3680">
            <v>0</v>
          </cell>
          <cell r="V3680">
            <v>0</v>
          </cell>
          <cell r="W3680">
            <v>15</v>
          </cell>
          <cell r="X3680">
            <v>15</v>
          </cell>
          <cell r="Y3680">
            <v>15</v>
          </cell>
        </row>
        <row r="3681">
          <cell r="D3681">
            <v>302885</v>
          </cell>
          <cell r="E3681" t="str">
            <v>Policronio S. Dano, Sr. HS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</row>
        <row r="3682">
          <cell r="D3682">
            <v>303245</v>
          </cell>
          <cell r="E3682" t="str">
            <v>Barras Annex National High School</v>
          </cell>
          <cell r="F3682">
            <v>1</v>
          </cell>
          <cell r="G3682">
            <v>0</v>
          </cell>
          <cell r="H3682">
            <v>1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1</v>
          </cell>
          <cell r="O3682">
            <v>43617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1</v>
          </cell>
          <cell r="W3682">
            <v>0</v>
          </cell>
          <cell r="X3682">
            <v>0</v>
          </cell>
          <cell r="Y3682">
            <v>0</v>
          </cell>
        </row>
        <row r="3683">
          <cell r="D3683">
            <v>321907</v>
          </cell>
          <cell r="E3683" t="str">
            <v>Atilano B. Cabangal Memorial High School</v>
          </cell>
          <cell r="F3683">
            <v>0</v>
          </cell>
          <cell r="G3683">
            <v>0</v>
          </cell>
          <cell r="H3683">
            <v>1</v>
          </cell>
          <cell r="I3683">
            <v>0</v>
          </cell>
          <cell r="J3683">
            <v>0</v>
          </cell>
          <cell r="K3683">
            <v>1</v>
          </cell>
          <cell r="L3683">
            <v>0</v>
          </cell>
          <cell r="M3683">
            <v>0</v>
          </cell>
          <cell r="N3683">
            <v>1</v>
          </cell>
          <cell r="O3683">
            <v>0</v>
          </cell>
          <cell r="P3683">
            <v>43678</v>
          </cell>
          <cell r="Q3683">
            <v>0</v>
          </cell>
          <cell r="R3683">
            <v>1</v>
          </cell>
          <cell r="S3683">
            <v>0</v>
          </cell>
          <cell r="T3683">
            <v>0</v>
          </cell>
          <cell r="U3683">
            <v>0</v>
          </cell>
          <cell r="V3683">
            <v>1</v>
          </cell>
          <cell r="W3683">
            <v>3</v>
          </cell>
          <cell r="X3683">
            <v>1</v>
          </cell>
          <cell r="Y3683">
            <v>0</v>
          </cell>
        </row>
        <row r="3684">
          <cell r="D3684">
            <v>312928</v>
          </cell>
          <cell r="E3684" t="str">
            <v>Siapo HS</v>
          </cell>
          <cell r="F3684">
            <v>1</v>
          </cell>
          <cell r="G3684">
            <v>0</v>
          </cell>
          <cell r="H3684">
            <v>1</v>
          </cell>
          <cell r="I3684">
            <v>0</v>
          </cell>
          <cell r="J3684">
            <v>1</v>
          </cell>
          <cell r="K3684">
            <v>0</v>
          </cell>
          <cell r="L3684">
            <v>0</v>
          </cell>
          <cell r="M3684">
            <v>0</v>
          </cell>
          <cell r="N3684">
            <v>1</v>
          </cell>
          <cell r="O3684">
            <v>43626</v>
          </cell>
          <cell r="P3684">
            <v>43626</v>
          </cell>
          <cell r="Q3684">
            <v>1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1</v>
          </cell>
          <cell r="W3684">
            <v>0</v>
          </cell>
          <cell r="X3684">
            <v>0</v>
          </cell>
          <cell r="Y3684">
            <v>0</v>
          </cell>
        </row>
        <row r="3685">
          <cell r="D3685">
            <v>302864</v>
          </cell>
          <cell r="E3685" t="str">
            <v>La Union NHS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</row>
        <row r="3686">
          <cell r="D3686">
            <v>321909</v>
          </cell>
          <cell r="E3686" t="str">
            <v>Malabugas HS</v>
          </cell>
          <cell r="F3686">
            <v>0</v>
          </cell>
          <cell r="G3686">
            <v>0</v>
          </cell>
          <cell r="H3686">
            <v>1</v>
          </cell>
          <cell r="I3686">
            <v>0</v>
          </cell>
          <cell r="J3686">
            <v>1</v>
          </cell>
          <cell r="K3686">
            <v>0</v>
          </cell>
          <cell r="L3686">
            <v>0</v>
          </cell>
          <cell r="M3686">
            <v>0</v>
          </cell>
          <cell r="N3686">
            <v>1</v>
          </cell>
          <cell r="O3686">
            <v>0</v>
          </cell>
          <cell r="P3686" t="str">
            <v>NONE</v>
          </cell>
          <cell r="Q3686">
            <v>1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2</v>
          </cell>
          <cell r="X3686">
            <v>1</v>
          </cell>
          <cell r="Y3686">
            <v>1</v>
          </cell>
        </row>
        <row r="3687">
          <cell r="D3687">
            <v>303256</v>
          </cell>
          <cell r="E3687" t="str">
            <v>Omod National High School</v>
          </cell>
          <cell r="F3687">
            <v>0</v>
          </cell>
          <cell r="G3687">
            <v>0</v>
          </cell>
          <cell r="H3687">
            <v>1</v>
          </cell>
          <cell r="I3687">
            <v>0</v>
          </cell>
          <cell r="J3687">
            <v>1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</row>
        <row r="3688">
          <cell r="D3688">
            <v>303238</v>
          </cell>
          <cell r="E3688" t="str">
            <v>Bugay National High School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1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 t="str">
            <v>6/22/19</v>
          </cell>
          <cell r="P3688" t="str">
            <v>9/27/19</v>
          </cell>
          <cell r="Q3688">
            <v>1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</row>
        <row r="3689">
          <cell r="D3689">
            <v>303237</v>
          </cell>
          <cell r="E3689" t="str">
            <v>Kalumboyan National High School</v>
          </cell>
          <cell r="F3689">
            <v>0</v>
          </cell>
          <cell r="G3689">
            <v>0</v>
          </cell>
          <cell r="H3689">
            <v>1</v>
          </cell>
          <cell r="I3689">
            <v>0</v>
          </cell>
          <cell r="J3689">
            <v>0</v>
          </cell>
          <cell r="K3689">
            <v>1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</row>
        <row r="3690">
          <cell r="D3690">
            <v>312965</v>
          </cell>
          <cell r="E3690" t="str">
            <v>Jose B. Cardenas MHS - Pula Ext.</v>
          </cell>
          <cell r="F3690">
            <v>0</v>
          </cell>
          <cell r="G3690">
            <v>0</v>
          </cell>
          <cell r="H3690">
            <v>1</v>
          </cell>
          <cell r="I3690">
            <v>0</v>
          </cell>
          <cell r="J3690">
            <v>1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 t="str">
            <v>8/17/2019</v>
          </cell>
          <cell r="P3690" t="str">
            <v>8/28/2019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</row>
        <row r="3691">
          <cell r="D3691">
            <v>321910</v>
          </cell>
          <cell r="E3691" t="str">
            <v>Pagatban Senior High School</v>
          </cell>
          <cell r="F3691">
            <v>1</v>
          </cell>
          <cell r="G3691">
            <v>0</v>
          </cell>
          <cell r="H3691">
            <v>1</v>
          </cell>
          <cell r="I3691">
            <v>0</v>
          </cell>
          <cell r="J3691">
            <v>1</v>
          </cell>
          <cell r="K3691">
            <v>0</v>
          </cell>
          <cell r="L3691">
            <v>0</v>
          </cell>
          <cell r="M3691">
            <v>0</v>
          </cell>
          <cell r="N3691">
            <v>1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</row>
        <row r="3692">
          <cell r="D3692">
            <v>321908</v>
          </cell>
          <cell r="E3692" t="str">
            <v>Antonio M. Lacson, Sr. Memorial High School</v>
          </cell>
          <cell r="F3692">
            <v>1</v>
          </cell>
          <cell r="G3692">
            <v>1</v>
          </cell>
          <cell r="H3692">
            <v>1</v>
          </cell>
          <cell r="I3692">
            <v>0</v>
          </cell>
          <cell r="J3692">
            <v>0</v>
          </cell>
          <cell r="K3692">
            <v>1</v>
          </cell>
          <cell r="L3692">
            <v>0</v>
          </cell>
          <cell r="M3692">
            <v>0</v>
          </cell>
          <cell r="N3692">
            <v>1</v>
          </cell>
          <cell r="O3692" t="str">
            <v>July 30, 2019</v>
          </cell>
          <cell r="P3692" t="str">
            <v>None</v>
          </cell>
          <cell r="Q3692">
            <v>0</v>
          </cell>
          <cell r="R3692">
            <v>0</v>
          </cell>
          <cell r="S3692">
            <v>1</v>
          </cell>
          <cell r="T3692">
            <v>0</v>
          </cell>
          <cell r="U3692">
            <v>0</v>
          </cell>
          <cell r="V3692">
            <v>1</v>
          </cell>
          <cell r="W3692">
            <v>5</v>
          </cell>
          <cell r="X3692">
            <v>3</v>
          </cell>
          <cell r="Y3692">
            <v>5</v>
          </cell>
        </row>
        <row r="3693">
          <cell r="D3693">
            <v>321902</v>
          </cell>
          <cell r="E3693" t="str">
            <v>Bayawan City Science and Technology Education Center - High School</v>
          </cell>
          <cell r="F3693">
            <v>0</v>
          </cell>
          <cell r="G3693">
            <v>0</v>
          </cell>
          <cell r="H3693">
            <v>1</v>
          </cell>
          <cell r="I3693">
            <v>0</v>
          </cell>
          <cell r="J3693">
            <v>0</v>
          </cell>
          <cell r="K3693">
            <v>1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</row>
        <row r="3694">
          <cell r="D3694">
            <v>312314</v>
          </cell>
          <cell r="E3694" t="str">
            <v>Quezon HS - Batuan NHS Annex</v>
          </cell>
          <cell r="F3694">
            <v>1</v>
          </cell>
          <cell r="G3694">
            <v>0</v>
          </cell>
          <cell r="H3694">
            <v>1</v>
          </cell>
          <cell r="I3694">
            <v>0</v>
          </cell>
          <cell r="J3694">
            <v>0</v>
          </cell>
          <cell r="K3694">
            <v>1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1</v>
          </cell>
          <cell r="T3694">
            <v>0</v>
          </cell>
          <cell r="U3694">
            <v>0</v>
          </cell>
          <cell r="V3694">
            <v>1</v>
          </cell>
          <cell r="W3694">
            <v>0</v>
          </cell>
          <cell r="X3694">
            <v>0</v>
          </cell>
          <cell r="Y3694">
            <v>0</v>
          </cell>
        </row>
        <row r="3695">
          <cell r="D3695">
            <v>303220</v>
          </cell>
          <cell r="E3695" t="str">
            <v>Maglinao National High School</v>
          </cell>
          <cell r="F3695">
            <v>1</v>
          </cell>
          <cell r="G3695">
            <v>0</v>
          </cell>
          <cell r="H3695">
            <v>0</v>
          </cell>
          <cell r="I3695">
            <v>0</v>
          </cell>
          <cell r="J3695">
            <v>1</v>
          </cell>
          <cell r="K3695">
            <v>1</v>
          </cell>
          <cell r="L3695">
            <v>0</v>
          </cell>
          <cell r="M3695">
            <v>0</v>
          </cell>
          <cell r="N3695">
            <v>1</v>
          </cell>
          <cell r="O3695">
            <v>0</v>
          </cell>
          <cell r="P3695">
            <v>0</v>
          </cell>
          <cell r="Q3695">
            <v>0</v>
          </cell>
          <cell r="R3695">
            <v>1</v>
          </cell>
          <cell r="S3695">
            <v>0</v>
          </cell>
          <cell r="T3695">
            <v>0</v>
          </cell>
          <cell r="U3695">
            <v>0</v>
          </cell>
          <cell r="V3695">
            <v>1</v>
          </cell>
          <cell r="W3695">
            <v>0</v>
          </cell>
          <cell r="X3695">
            <v>0</v>
          </cell>
          <cell r="Y3695">
            <v>0</v>
          </cell>
        </row>
        <row r="3696">
          <cell r="D3696">
            <v>321901</v>
          </cell>
          <cell r="E3696" t="str">
            <v>Banaybanay National High School</v>
          </cell>
          <cell r="F3696">
            <v>1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</row>
        <row r="3697">
          <cell r="D3697">
            <v>312906</v>
          </cell>
          <cell r="E3697" t="str">
            <v>San Jose Provincial High School</v>
          </cell>
          <cell r="F3697">
            <v>1</v>
          </cell>
          <cell r="G3697">
            <v>0</v>
          </cell>
          <cell r="H3697">
            <v>1</v>
          </cell>
          <cell r="I3697">
            <v>0</v>
          </cell>
          <cell r="J3697">
            <v>1</v>
          </cell>
          <cell r="K3697">
            <v>0</v>
          </cell>
          <cell r="L3697">
            <v>0</v>
          </cell>
          <cell r="M3697">
            <v>0</v>
          </cell>
          <cell r="N3697">
            <v>1</v>
          </cell>
          <cell r="O3697">
            <v>43319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</row>
        <row r="3698">
          <cell r="D3698">
            <v>303278</v>
          </cell>
          <cell r="E3698" t="str">
            <v>Crisostomo O. Retes National High School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 t="str">
            <v>NA</v>
          </cell>
          <cell r="P3698" t="str">
            <v>NA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</row>
        <row r="3699">
          <cell r="D3699">
            <v>303123</v>
          </cell>
          <cell r="E3699" t="str">
            <v>Usmad NHS</v>
          </cell>
          <cell r="F3699">
            <v>1</v>
          </cell>
          <cell r="G3699">
            <v>1</v>
          </cell>
          <cell r="H3699">
            <v>1</v>
          </cell>
          <cell r="I3699">
            <v>1</v>
          </cell>
          <cell r="J3699">
            <v>0</v>
          </cell>
          <cell r="K3699">
            <v>0</v>
          </cell>
          <cell r="L3699">
            <v>1</v>
          </cell>
          <cell r="M3699" t="str">
            <v>AS NEEDED</v>
          </cell>
          <cell r="N3699">
            <v>0</v>
          </cell>
          <cell r="O3699">
            <v>43718</v>
          </cell>
          <cell r="P3699">
            <v>43768</v>
          </cell>
          <cell r="Q3699">
            <v>1</v>
          </cell>
          <cell r="R3699">
            <v>0</v>
          </cell>
          <cell r="S3699">
            <v>0</v>
          </cell>
          <cell r="T3699">
            <v>1</v>
          </cell>
          <cell r="U3699" t="str">
            <v>WHENEVER THERE IS A REPORT</v>
          </cell>
          <cell r="V3699">
            <v>1</v>
          </cell>
          <cell r="W3699">
            <v>2</v>
          </cell>
          <cell r="X3699">
            <v>0</v>
          </cell>
          <cell r="Y3699">
            <v>0</v>
          </cell>
        </row>
        <row r="3700">
          <cell r="D3700">
            <v>303010</v>
          </cell>
          <cell r="E3700" t="str">
            <v>Garing NHS</v>
          </cell>
          <cell r="F3700">
            <v>1</v>
          </cell>
          <cell r="G3700">
            <v>1</v>
          </cell>
          <cell r="H3700">
            <v>0</v>
          </cell>
          <cell r="I3700">
            <v>0</v>
          </cell>
          <cell r="J3700">
            <v>1</v>
          </cell>
          <cell r="K3700">
            <v>0</v>
          </cell>
          <cell r="L3700">
            <v>0</v>
          </cell>
          <cell r="M3700">
            <v>0</v>
          </cell>
          <cell r="N3700">
            <v>1</v>
          </cell>
          <cell r="O3700">
            <v>0</v>
          </cell>
          <cell r="P3700">
            <v>0</v>
          </cell>
          <cell r="Q3700">
            <v>1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1</v>
          </cell>
          <cell r="W3700">
            <v>1</v>
          </cell>
          <cell r="X3700">
            <v>0</v>
          </cell>
          <cell r="Y3700">
            <v>0</v>
          </cell>
        </row>
        <row r="3701">
          <cell r="D3701">
            <v>303315</v>
          </cell>
          <cell r="E3701" t="str">
            <v>Toledo City Science High School</v>
          </cell>
          <cell r="F3701">
            <v>1</v>
          </cell>
          <cell r="G3701">
            <v>0</v>
          </cell>
          <cell r="H3701">
            <v>1</v>
          </cell>
          <cell r="I3701">
            <v>0</v>
          </cell>
          <cell r="J3701">
            <v>1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1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</row>
        <row r="3702">
          <cell r="D3702">
            <v>312316</v>
          </cell>
          <cell r="E3702" t="str">
            <v>Cayacay HS</v>
          </cell>
          <cell r="F3702">
            <v>1</v>
          </cell>
          <cell r="G3702">
            <v>1</v>
          </cell>
          <cell r="H3702">
            <v>1</v>
          </cell>
          <cell r="I3702">
            <v>1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1</v>
          </cell>
          <cell r="O3702">
            <v>43756</v>
          </cell>
          <cell r="P3702">
            <v>43756</v>
          </cell>
          <cell r="Q3702">
            <v>1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1</v>
          </cell>
          <cell r="W3702">
            <v>2</v>
          </cell>
          <cell r="X3702">
            <v>2</v>
          </cell>
          <cell r="Y3702">
            <v>0</v>
          </cell>
        </row>
        <row r="3703">
          <cell r="D3703">
            <v>312948</v>
          </cell>
          <cell r="E3703" t="str">
            <v>Tubigon High School</v>
          </cell>
          <cell r="F3703">
            <v>1</v>
          </cell>
          <cell r="G3703">
            <v>1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</row>
        <row r="3704">
          <cell r="D3704">
            <v>303221</v>
          </cell>
          <cell r="E3704" t="str">
            <v>Bayawan National High School</v>
          </cell>
          <cell r="F3704">
            <v>0</v>
          </cell>
          <cell r="G3704">
            <v>0</v>
          </cell>
          <cell r="H3704">
            <v>1</v>
          </cell>
          <cell r="I3704">
            <v>0</v>
          </cell>
          <cell r="J3704">
            <v>1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</row>
        <row r="3705">
          <cell r="D3705">
            <v>302817</v>
          </cell>
          <cell r="E3705" t="str">
            <v>Biking Tech-Voc HS</v>
          </cell>
          <cell r="F3705">
            <v>0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</row>
        <row r="3706">
          <cell r="D3706">
            <v>303193</v>
          </cell>
          <cell r="E3706" t="str">
            <v>Nemesio-Epifania Taneo MHS (Tingo HS (DE, January 15, 1995)</v>
          </cell>
          <cell r="F3706">
            <v>1</v>
          </cell>
          <cell r="G3706">
            <v>1</v>
          </cell>
          <cell r="H3706">
            <v>1</v>
          </cell>
          <cell r="I3706">
            <v>0</v>
          </cell>
          <cell r="J3706">
            <v>0</v>
          </cell>
          <cell r="K3706">
            <v>1</v>
          </cell>
          <cell r="L3706">
            <v>0</v>
          </cell>
          <cell r="M3706">
            <v>0</v>
          </cell>
          <cell r="N3706">
            <v>1</v>
          </cell>
          <cell r="O3706">
            <v>43689</v>
          </cell>
          <cell r="P3706">
            <v>0</v>
          </cell>
          <cell r="Q3706">
            <v>0</v>
          </cell>
          <cell r="R3706">
            <v>0</v>
          </cell>
          <cell r="S3706">
            <v>1</v>
          </cell>
          <cell r="T3706">
            <v>0</v>
          </cell>
          <cell r="U3706">
            <v>0</v>
          </cell>
          <cell r="V3706">
            <v>1</v>
          </cell>
          <cell r="W3706">
            <v>0</v>
          </cell>
          <cell r="X3706">
            <v>0</v>
          </cell>
          <cell r="Y3706">
            <v>0</v>
          </cell>
        </row>
        <row r="3707">
          <cell r="D3707">
            <v>302892</v>
          </cell>
          <cell r="E3707" t="str">
            <v>Inabanga HS- Nabuad</v>
          </cell>
          <cell r="F3707">
            <v>1</v>
          </cell>
          <cell r="G3707">
            <v>1</v>
          </cell>
          <cell r="H3707">
            <v>1</v>
          </cell>
          <cell r="I3707">
            <v>1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1</v>
          </cell>
          <cell r="O3707">
            <v>43683</v>
          </cell>
          <cell r="P3707">
            <v>43683</v>
          </cell>
          <cell r="Q3707">
            <v>1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1</v>
          </cell>
          <cell r="W3707">
            <v>8</v>
          </cell>
          <cell r="X3707">
            <v>2</v>
          </cell>
          <cell r="Y3707">
            <v>2</v>
          </cell>
        </row>
        <row r="3708">
          <cell r="D3708">
            <v>302873</v>
          </cell>
          <cell r="E3708" t="str">
            <v>Mahayag National High School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1</v>
          </cell>
          <cell r="K3708">
            <v>0</v>
          </cell>
          <cell r="L3708">
            <v>0</v>
          </cell>
          <cell r="M3708">
            <v>0</v>
          </cell>
          <cell r="N3708">
            <v>1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</row>
        <row r="3709">
          <cell r="D3709">
            <v>302865</v>
          </cell>
          <cell r="E3709" t="str">
            <v>Candijay National High School</v>
          </cell>
          <cell r="F3709">
            <v>1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</row>
        <row r="3710">
          <cell r="D3710">
            <v>321912</v>
          </cell>
          <cell r="E3710" t="str">
            <v>Cansumalig High School</v>
          </cell>
          <cell r="F3710">
            <v>1</v>
          </cell>
          <cell r="G3710">
            <v>0</v>
          </cell>
          <cell r="H3710">
            <v>1</v>
          </cell>
          <cell r="I3710">
            <v>0</v>
          </cell>
          <cell r="J3710">
            <v>1</v>
          </cell>
          <cell r="K3710">
            <v>0</v>
          </cell>
          <cell r="L3710">
            <v>0</v>
          </cell>
          <cell r="M3710">
            <v>0</v>
          </cell>
          <cell r="N3710">
            <v>1</v>
          </cell>
          <cell r="O3710" t="str">
            <v>OCTOBER 11, 2019</v>
          </cell>
          <cell r="P3710">
            <v>0</v>
          </cell>
          <cell r="Q3710">
            <v>1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1</v>
          </cell>
          <cell r="W3710">
            <v>0</v>
          </cell>
          <cell r="X3710">
            <v>0</v>
          </cell>
          <cell r="Y3710">
            <v>0</v>
          </cell>
        </row>
        <row r="3711">
          <cell r="D3711">
            <v>500214</v>
          </cell>
          <cell r="E3711" t="str">
            <v>Tapal IS</v>
          </cell>
          <cell r="F3711">
            <v>0</v>
          </cell>
          <cell r="G3711">
            <v>0</v>
          </cell>
          <cell r="H3711">
            <v>1</v>
          </cell>
          <cell r="I3711">
            <v>1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1</v>
          </cell>
          <cell r="O3711">
            <v>0</v>
          </cell>
          <cell r="P3711">
            <v>0</v>
          </cell>
          <cell r="Q3711">
            <v>1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1</v>
          </cell>
          <cell r="W3711">
            <v>0</v>
          </cell>
          <cell r="X3711">
            <v>0</v>
          </cell>
          <cell r="Y3711">
            <v>0</v>
          </cell>
        </row>
        <row r="3712">
          <cell r="D3712">
            <v>303073</v>
          </cell>
          <cell r="E3712" t="str">
            <v>Pilar NHS</v>
          </cell>
          <cell r="F3712">
            <v>1</v>
          </cell>
          <cell r="G3712">
            <v>1</v>
          </cell>
          <cell r="H3712">
            <v>1</v>
          </cell>
          <cell r="I3712">
            <v>0</v>
          </cell>
          <cell r="J3712">
            <v>1</v>
          </cell>
          <cell r="K3712">
            <v>0</v>
          </cell>
          <cell r="L3712">
            <v>0</v>
          </cell>
          <cell r="M3712">
            <v>0</v>
          </cell>
          <cell r="N3712">
            <v>1</v>
          </cell>
          <cell r="O3712">
            <v>0</v>
          </cell>
          <cell r="P3712">
            <v>0</v>
          </cell>
          <cell r="Q3712">
            <v>0</v>
          </cell>
          <cell r="R3712">
            <v>1</v>
          </cell>
          <cell r="S3712">
            <v>0</v>
          </cell>
          <cell r="T3712">
            <v>0</v>
          </cell>
          <cell r="U3712">
            <v>0</v>
          </cell>
          <cell r="V3712">
            <v>1</v>
          </cell>
          <cell r="W3712">
            <v>0</v>
          </cell>
          <cell r="X3712">
            <v>0</v>
          </cell>
          <cell r="Y3712">
            <v>0</v>
          </cell>
        </row>
        <row r="3713">
          <cell r="D3713">
            <v>303279</v>
          </cell>
          <cell r="E3713" t="str">
            <v>Tanjay High School (Legislated)</v>
          </cell>
          <cell r="F3713">
            <v>1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</row>
        <row r="3714">
          <cell r="D3714">
            <v>500215</v>
          </cell>
          <cell r="E3714" t="str">
            <v>Tubog Integrated School</v>
          </cell>
          <cell r="F3714">
            <v>1</v>
          </cell>
          <cell r="G3714">
            <v>0</v>
          </cell>
          <cell r="H3714">
            <v>1</v>
          </cell>
          <cell r="I3714">
            <v>0</v>
          </cell>
          <cell r="J3714">
            <v>0</v>
          </cell>
          <cell r="K3714">
            <v>0</v>
          </cell>
          <cell r="L3714">
            <v>1</v>
          </cell>
          <cell r="M3714" t="str">
            <v>if the need arise</v>
          </cell>
          <cell r="N3714">
            <v>0</v>
          </cell>
          <cell r="O3714">
            <v>0</v>
          </cell>
          <cell r="P3714" t="str">
            <v>not practice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</row>
        <row r="3715">
          <cell r="D3715">
            <v>322303</v>
          </cell>
          <cell r="E3715" t="str">
            <v>Nagsala HS</v>
          </cell>
          <cell r="F3715">
            <v>1</v>
          </cell>
          <cell r="G3715">
            <v>1</v>
          </cell>
          <cell r="H3715">
            <v>1</v>
          </cell>
          <cell r="I3715">
            <v>0</v>
          </cell>
          <cell r="J3715">
            <v>1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 t="str">
            <v>2/18/18</v>
          </cell>
          <cell r="P3715">
            <v>0</v>
          </cell>
          <cell r="Q3715">
            <v>1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</row>
        <row r="3716">
          <cell r="D3716">
            <v>302825</v>
          </cell>
          <cell r="E3716" t="str">
            <v>Camambugan NHS</v>
          </cell>
          <cell r="F3716">
            <v>1</v>
          </cell>
          <cell r="G3716">
            <v>1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</row>
        <row r="3717">
          <cell r="D3717">
            <v>303239</v>
          </cell>
          <cell r="E3717" t="str">
            <v>Kalamtukan High School</v>
          </cell>
          <cell r="F3717">
            <v>1</v>
          </cell>
          <cell r="G3717">
            <v>0</v>
          </cell>
          <cell r="H3717">
            <v>1</v>
          </cell>
          <cell r="I3717">
            <v>0</v>
          </cell>
          <cell r="J3717">
            <v>0</v>
          </cell>
          <cell r="K3717">
            <v>1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</row>
        <row r="3718">
          <cell r="D3718">
            <v>321911</v>
          </cell>
          <cell r="E3718" t="str">
            <v>Abundio Agarpao, Sr. Memorial High School</v>
          </cell>
          <cell r="F3718">
            <v>0</v>
          </cell>
          <cell r="G3718">
            <v>0</v>
          </cell>
          <cell r="H3718">
            <v>1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1</v>
          </cell>
          <cell r="O3718" t="str">
            <v>DURING GPTA MEETING</v>
          </cell>
          <cell r="P3718">
            <v>43718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1</v>
          </cell>
          <cell r="W3718">
            <v>0</v>
          </cell>
          <cell r="X3718">
            <v>0</v>
          </cell>
          <cell r="Y3718">
            <v>0</v>
          </cell>
        </row>
        <row r="3719">
          <cell r="D3719">
            <v>302915</v>
          </cell>
          <cell r="E3719" t="str">
            <v>Ubay National Science HS</v>
          </cell>
          <cell r="F3719">
            <v>1</v>
          </cell>
          <cell r="G3719">
            <v>1</v>
          </cell>
          <cell r="H3719">
            <v>1</v>
          </cell>
          <cell r="I3719">
            <v>0</v>
          </cell>
          <cell r="J3719">
            <v>1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</row>
        <row r="3720">
          <cell r="D3720">
            <v>303285</v>
          </cell>
          <cell r="E3720" t="str">
            <v>Bahi-an High School</v>
          </cell>
          <cell r="F3720">
            <v>1</v>
          </cell>
          <cell r="G3720">
            <v>1</v>
          </cell>
          <cell r="H3720">
            <v>0</v>
          </cell>
          <cell r="I3720">
            <v>1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1</v>
          </cell>
          <cell r="O3720">
            <v>43619</v>
          </cell>
          <cell r="P3720">
            <v>43647</v>
          </cell>
          <cell r="Q3720">
            <v>1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1</v>
          </cell>
          <cell r="W3720">
            <v>5</v>
          </cell>
          <cell r="X3720">
            <v>0</v>
          </cell>
          <cell r="Y3720">
            <v>0</v>
          </cell>
        </row>
        <row r="3721">
          <cell r="D3721">
            <v>303194</v>
          </cell>
          <cell r="E3721" t="str">
            <v>Cabancalan NHS</v>
          </cell>
          <cell r="F3721">
            <v>1</v>
          </cell>
          <cell r="G3721">
            <v>0</v>
          </cell>
          <cell r="H3721">
            <v>1</v>
          </cell>
          <cell r="I3721">
            <v>0</v>
          </cell>
          <cell r="J3721">
            <v>0</v>
          </cell>
          <cell r="K3721">
            <v>1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</row>
        <row r="3722">
          <cell r="D3722">
            <v>302824</v>
          </cell>
          <cell r="E3722" t="str">
            <v>Mayor A. R. Tuazon Nat'l Sch. of Fisheries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1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1</v>
          </cell>
          <cell r="U3722" t="str">
            <v>occasional</v>
          </cell>
          <cell r="V3722">
            <v>1</v>
          </cell>
          <cell r="W3722">
            <v>0</v>
          </cell>
          <cell r="X3722">
            <v>0</v>
          </cell>
          <cell r="Y3722">
            <v>0</v>
          </cell>
        </row>
        <row r="3723">
          <cell r="D3723">
            <v>312911</v>
          </cell>
          <cell r="E3723" t="str">
            <v>Hunop Community High School</v>
          </cell>
          <cell r="F3723">
            <v>0</v>
          </cell>
          <cell r="G3723">
            <v>0</v>
          </cell>
          <cell r="H3723">
            <v>1</v>
          </cell>
          <cell r="I3723">
            <v>0</v>
          </cell>
          <cell r="J3723">
            <v>0</v>
          </cell>
          <cell r="K3723">
            <v>0</v>
          </cell>
          <cell r="L3723">
            <v>1</v>
          </cell>
          <cell r="M3723" t="str">
            <v>IF NEEDED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</row>
        <row r="3724">
          <cell r="D3724">
            <v>302879</v>
          </cell>
          <cell r="E3724" t="str">
            <v>Nahawan NHS</v>
          </cell>
          <cell r="F3724">
            <v>1</v>
          </cell>
          <cell r="G3724">
            <v>0</v>
          </cell>
          <cell r="H3724">
            <v>1</v>
          </cell>
          <cell r="I3724">
            <v>0</v>
          </cell>
          <cell r="J3724">
            <v>1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1</v>
          </cell>
          <cell r="U3724" t="str">
            <v>NONE</v>
          </cell>
          <cell r="V3724">
            <v>1</v>
          </cell>
          <cell r="W3724">
            <v>0</v>
          </cell>
          <cell r="X3724">
            <v>0</v>
          </cell>
          <cell r="Y3724">
            <v>0</v>
          </cell>
        </row>
        <row r="3725">
          <cell r="D3725">
            <v>500206</v>
          </cell>
          <cell r="E3725" t="str">
            <v>Clemente Borja Memorial High School</v>
          </cell>
          <cell r="F3725">
            <v>1</v>
          </cell>
          <cell r="G3725">
            <v>0</v>
          </cell>
          <cell r="H3725">
            <v>1</v>
          </cell>
          <cell r="I3725">
            <v>1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1</v>
          </cell>
          <cell r="O3725">
            <v>43678</v>
          </cell>
          <cell r="P3725">
            <v>43678</v>
          </cell>
          <cell r="Q3725">
            <v>1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1</v>
          </cell>
          <cell r="W3725">
            <v>0</v>
          </cell>
          <cell r="X3725">
            <v>0</v>
          </cell>
          <cell r="Y3725">
            <v>0</v>
          </cell>
        </row>
        <row r="3726">
          <cell r="D3726">
            <v>303286</v>
          </cell>
          <cell r="E3726" t="str">
            <v>Novallas High School</v>
          </cell>
          <cell r="F3726">
            <v>1</v>
          </cell>
          <cell r="G3726">
            <v>0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 t="str">
            <v>n/a</v>
          </cell>
          <cell r="P3726" t="str">
            <v>N/A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</row>
        <row r="3727">
          <cell r="D3727">
            <v>302970</v>
          </cell>
          <cell r="E3727" t="str">
            <v>Can-asujan NHS</v>
          </cell>
          <cell r="F3727">
            <v>1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</row>
        <row r="3728">
          <cell r="D3728">
            <v>302896</v>
          </cell>
          <cell r="E3728" t="str">
            <v>Sikatuna Nat'l Agricultural HS</v>
          </cell>
          <cell r="F3728">
            <v>1</v>
          </cell>
          <cell r="G3728">
            <v>1</v>
          </cell>
          <cell r="H3728">
            <v>1</v>
          </cell>
          <cell r="I3728">
            <v>0</v>
          </cell>
          <cell r="J3728">
            <v>1</v>
          </cell>
          <cell r="K3728">
            <v>0</v>
          </cell>
          <cell r="L3728">
            <v>0</v>
          </cell>
          <cell r="M3728">
            <v>0</v>
          </cell>
          <cell r="N3728">
            <v>1</v>
          </cell>
          <cell r="O3728" t="str">
            <v>August 27, 2019</v>
          </cell>
          <cell r="P3728" t="str">
            <v>N/A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</row>
        <row r="3729">
          <cell r="D3729">
            <v>303259</v>
          </cell>
          <cell r="E3729" t="str">
            <v>Pamplona NHS</v>
          </cell>
          <cell r="F3729">
            <v>0</v>
          </cell>
          <cell r="G3729">
            <v>0</v>
          </cell>
          <cell r="H3729">
            <v>1</v>
          </cell>
          <cell r="I3729">
            <v>0</v>
          </cell>
          <cell r="J3729">
            <v>1</v>
          </cell>
          <cell r="K3729">
            <v>0</v>
          </cell>
          <cell r="L3729">
            <v>0</v>
          </cell>
          <cell r="M3729">
            <v>0</v>
          </cell>
          <cell r="N3729">
            <v>1</v>
          </cell>
          <cell r="O3729">
            <v>0</v>
          </cell>
          <cell r="P3729" t="str">
            <v>JULY 1 2019</v>
          </cell>
          <cell r="Q3729">
            <v>0</v>
          </cell>
          <cell r="R3729">
            <v>1</v>
          </cell>
          <cell r="S3729">
            <v>0</v>
          </cell>
          <cell r="T3729">
            <v>0</v>
          </cell>
          <cell r="U3729">
            <v>0</v>
          </cell>
          <cell r="V3729">
            <v>1</v>
          </cell>
          <cell r="W3729">
            <v>0</v>
          </cell>
          <cell r="X3729">
            <v>0</v>
          </cell>
          <cell r="Y3729">
            <v>0</v>
          </cell>
        </row>
        <row r="3730">
          <cell r="D3730">
            <v>303282</v>
          </cell>
          <cell r="E3730" t="str">
            <v>Tanjay NHS (Polo)</v>
          </cell>
          <cell r="F3730">
            <v>1</v>
          </cell>
          <cell r="G3730">
            <v>1</v>
          </cell>
          <cell r="H3730">
            <v>1</v>
          </cell>
          <cell r="I3730">
            <v>0</v>
          </cell>
          <cell r="J3730">
            <v>1</v>
          </cell>
          <cell r="K3730">
            <v>0</v>
          </cell>
          <cell r="L3730">
            <v>0</v>
          </cell>
          <cell r="M3730">
            <v>0</v>
          </cell>
          <cell r="N3730">
            <v>1</v>
          </cell>
          <cell r="O3730" t="str">
            <v>10/18/2019</v>
          </cell>
          <cell r="P3730" t="str">
            <v>10/18/2019</v>
          </cell>
          <cell r="Q3730">
            <v>1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1</v>
          </cell>
          <cell r="W3730">
            <v>0</v>
          </cell>
          <cell r="X3730">
            <v>0</v>
          </cell>
          <cell r="Y3730">
            <v>0</v>
          </cell>
        </row>
        <row r="3731">
          <cell r="D3731">
            <v>312809</v>
          </cell>
          <cell r="E3731" t="str">
            <v>Mandaue SPED Center HS</v>
          </cell>
          <cell r="F3731">
            <v>1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  <cell r="V3731">
            <v>0</v>
          </cell>
          <cell r="W3731">
            <v>0</v>
          </cell>
          <cell r="X3731">
            <v>0</v>
          </cell>
          <cell r="Y3731">
            <v>0</v>
          </cell>
        </row>
        <row r="3732">
          <cell r="D3732">
            <v>356059</v>
          </cell>
          <cell r="E3732" t="str">
            <v>Kalangyawon National High School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</row>
        <row r="3733">
          <cell r="D3733">
            <v>303219</v>
          </cell>
          <cell r="E3733" t="str">
            <v>Bal-os National High School</v>
          </cell>
          <cell r="F3733">
            <v>0</v>
          </cell>
          <cell r="G3733">
            <v>0</v>
          </cell>
          <cell r="H3733">
            <v>1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1</v>
          </cell>
          <cell r="O3733" t="str">
            <v>3/21/2019</v>
          </cell>
          <cell r="P3733">
            <v>43385</v>
          </cell>
          <cell r="Q3733">
            <v>1</v>
          </cell>
          <cell r="R3733">
            <v>0</v>
          </cell>
          <cell r="S3733">
            <v>0</v>
          </cell>
          <cell r="T3733">
            <v>1</v>
          </cell>
          <cell r="U3733">
            <v>0</v>
          </cell>
          <cell r="V3733">
            <v>0</v>
          </cell>
          <cell r="W3733">
            <v>2</v>
          </cell>
          <cell r="X3733">
            <v>0</v>
          </cell>
          <cell r="Y3733">
            <v>2</v>
          </cell>
        </row>
        <row r="3734">
          <cell r="D3734">
            <v>343971</v>
          </cell>
          <cell r="E3734" t="str">
            <v>Tuyom Senior High School</v>
          </cell>
          <cell r="F3734">
            <v>1</v>
          </cell>
          <cell r="G3734">
            <v>1</v>
          </cell>
          <cell r="H3734">
            <v>1</v>
          </cell>
          <cell r="I3734">
            <v>1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1</v>
          </cell>
          <cell r="O3734">
            <v>0</v>
          </cell>
          <cell r="P3734">
            <v>0</v>
          </cell>
          <cell r="Q3734">
            <v>1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</row>
        <row r="3735">
          <cell r="D3735">
            <v>312415</v>
          </cell>
          <cell r="E3735" t="str">
            <v>Ginatilan NHS</v>
          </cell>
          <cell r="F3735">
            <v>0</v>
          </cell>
          <cell r="G3735">
            <v>0</v>
          </cell>
          <cell r="H3735">
            <v>1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1</v>
          </cell>
          <cell r="U3735" t="str">
            <v>NO CPC ESTABLISHED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</row>
        <row r="3736">
          <cell r="D3736">
            <v>303066</v>
          </cell>
          <cell r="E3736" t="str">
            <v>OCAÑA NATIONAL HIGH SCHOOL</v>
          </cell>
          <cell r="F3736">
            <v>1</v>
          </cell>
          <cell r="G3736">
            <v>0</v>
          </cell>
          <cell r="H3736">
            <v>1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1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14</v>
          </cell>
          <cell r="X3736">
            <v>14</v>
          </cell>
          <cell r="Y3736">
            <v>14</v>
          </cell>
        </row>
        <row r="3737">
          <cell r="D3737">
            <v>302833</v>
          </cell>
          <cell r="E3737" t="str">
            <v>Catigbian NHS</v>
          </cell>
          <cell r="F3737">
            <v>1</v>
          </cell>
          <cell r="G3737">
            <v>1</v>
          </cell>
          <cell r="H3737">
            <v>1</v>
          </cell>
          <cell r="I3737">
            <v>0</v>
          </cell>
          <cell r="J3737">
            <v>0</v>
          </cell>
          <cell r="K3737">
            <v>0</v>
          </cell>
          <cell r="L3737">
            <v>1</v>
          </cell>
          <cell r="M3737" t="str">
            <v>as the need arises</v>
          </cell>
          <cell r="N3737">
            <v>1</v>
          </cell>
          <cell r="O3737">
            <v>43626</v>
          </cell>
          <cell r="P3737">
            <v>43678</v>
          </cell>
          <cell r="Q3737">
            <v>0</v>
          </cell>
          <cell r="R3737">
            <v>1</v>
          </cell>
          <cell r="S3737">
            <v>0</v>
          </cell>
          <cell r="T3737">
            <v>0</v>
          </cell>
          <cell r="U3737">
            <v>0</v>
          </cell>
          <cell r="V3737">
            <v>1</v>
          </cell>
          <cell r="W3737">
            <v>0</v>
          </cell>
          <cell r="X3737">
            <v>0</v>
          </cell>
          <cell r="Y3737">
            <v>0</v>
          </cell>
        </row>
        <row r="3738">
          <cell r="D3738">
            <v>303025</v>
          </cell>
          <cell r="E3738" t="str">
            <v>Almacen-Torrevillas National High School</v>
          </cell>
          <cell r="F3738">
            <v>1</v>
          </cell>
          <cell r="G3738">
            <v>0</v>
          </cell>
          <cell r="H3738">
            <v>1</v>
          </cell>
          <cell r="I3738">
            <v>0</v>
          </cell>
          <cell r="J3738">
            <v>0</v>
          </cell>
          <cell r="K3738">
            <v>1</v>
          </cell>
          <cell r="L3738">
            <v>0</v>
          </cell>
          <cell r="M3738">
            <v>0</v>
          </cell>
          <cell r="N3738">
            <v>0</v>
          </cell>
          <cell r="O3738" t="str">
            <v>NONE</v>
          </cell>
          <cell r="P3738" t="str">
            <v>NONE</v>
          </cell>
          <cell r="Q3738">
            <v>0</v>
          </cell>
          <cell r="R3738">
            <v>0</v>
          </cell>
          <cell r="S3738">
            <v>0</v>
          </cell>
          <cell r="T3738">
            <v>1</v>
          </cell>
          <cell r="U3738" t="str">
            <v>NONE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</row>
        <row r="3739">
          <cell r="D3739">
            <v>303139</v>
          </cell>
          <cell r="E3739" t="str">
            <v>Lahug NHS (Night)</v>
          </cell>
          <cell r="F3739">
            <v>1</v>
          </cell>
          <cell r="G3739">
            <v>0</v>
          </cell>
          <cell r="H3739">
            <v>1</v>
          </cell>
          <cell r="I3739">
            <v>0</v>
          </cell>
          <cell r="J3739">
            <v>0</v>
          </cell>
          <cell r="K3739">
            <v>1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 t="str">
            <v>NONE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</row>
        <row r="3740">
          <cell r="D3740">
            <v>303126</v>
          </cell>
          <cell r="E3740" t="str">
            <v>Valencia National Vocational HS</v>
          </cell>
          <cell r="F3740">
            <v>0</v>
          </cell>
          <cell r="G3740">
            <v>0</v>
          </cell>
          <cell r="H3740">
            <v>1</v>
          </cell>
          <cell r="I3740">
            <v>0</v>
          </cell>
          <cell r="J3740">
            <v>0</v>
          </cell>
          <cell r="K3740">
            <v>0</v>
          </cell>
          <cell r="L3740">
            <v>1</v>
          </cell>
          <cell r="M3740">
            <v>0</v>
          </cell>
          <cell r="N3740">
            <v>1</v>
          </cell>
          <cell r="O3740">
            <v>43714</v>
          </cell>
          <cell r="P3740">
            <v>43714</v>
          </cell>
          <cell r="Q3740">
            <v>0</v>
          </cell>
          <cell r="R3740">
            <v>0</v>
          </cell>
          <cell r="S3740">
            <v>1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</row>
        <row r="3741">
          <cell r="D3741">
            <v>303202</v>
          </cell>
          <cell r="E3741" t="str">
            <v>Subangdaku Tech-Voc HS (Mandaue City CNHS - Subangdaku NHS Ext.)</v>
          </cell>
          <cell r="F3741">
            <v>1</v>
          </cell>
          <cell r="G3741">
            <v>1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</row>
        <row r="3742">
          <cell r="D3742">
            <v>312810</v>
          </cell>
          <cell r="E3742" t="str">
            <v>Tingub High School</v>
          </cell>
          <cell r="F3742">
            <v>1</v>
          </cell>
          <cell r="G3742">
            <v>1</v>
          </cell>
          <cell r="H3742">
            <v>1</v>
          </cell>
          <cell r="I3742">
            <v>0</v>
          </cell>
          <cell r="J3742">
            <v>1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1</v>
          </cell>
          <cell r="S3742">
            <v>0</v>
          </cell>
          <cell r="T3742">
            <v>0</v>
          </cell>
          <cell r="U3742">
            <v>0</v>
          </cell>
          <cell r="V3742">
            <v>1</v>
          </cell>
          <cell r="W3742">
            <v>1</v>
          </cell>
          <cell r="X3742">
            <v>0</v>
          </cell>
          <cell r="Y3742">
            <v>0</v>
          </cell>
        </row>
        <row r="3743">
          <cell r="D3743">
            <v>302842</v>
          </cell>
          <cell r="E3743" t="str">
            <v>Cantubod NHS</v>
          </cell>
          <cell r="F3743">
            <v>1</v>
          </cell>
          <cell r="G3743">
            <v>1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</row>
        <row r="3744">
          <cell r="D3744">
            <v>312304</v>
          </cell>
          <cell r="E3744" t="str">
            <v>Dauis National High School</v>
          </cell>
          <cell r="F3744">
            <v>1</v>
          </cell>
          <cell r="G3744">
            <v>1</v>
          </cell>
          <cell r="H3744">
            <v>1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</row>
        <row r="3745">
          <cell r="D3745">
            <v>322305</v>
          </cell>
          <cell r="E3745" t="str">
            <v>Luca HS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</row>
        <row r="3746">
          <cell r="D3746">
            <v>312315</v>
          </cell>
          <cell r="E3746" t="str">
            <v>Rizal High Sschool</v>
          </cell>
          <cell r="F3746">
            <v>1</v>
          </cell>
          <cell r="G3746">
            <v>0</v>
          </cell>
          <cell r="H3746">
            <v>1</v>
          </cell>
          <cell r="I3746">
            <v>0</v>
          </cell>
          <cell r="J3746">
            <v>1</v>
          </cell>
          <cell r="K3746">
            <v>0</v>
          </cell>
          <cell r="L3746">
            <v>0</v>
          </cell>
          <cell r="M3746">
            <v>0</v>
          </cell>
          <cell r="N3746">
            <v>1</v>
          </cell>
          <cell r="O3746">
            <v>0</v>
          </cell>
          <cell r="P3746">
            <v>0</v>
          </cell>
          <cell r="Q3746">
            <v>1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1</v>
          </cell>
          <cell r="W3746">
            <v>2</v>
          </cell>
          <cell r="X3746">
            <v>2</v>
          </cell>
          <cell r="Y3746">
            <v>2</v>
          </cell>
        </row>
        <row r="3747">
          <cell r="D3747">
            <v>312301</v>
          </cell>
          <cell r="E3747" t="str">
            <v>Isabel S.J. Gujol Memorial HS</v>
          </cell>
          <cell r="F3747">
            <v>0</v>
          </cell>
          <cell r="G3747">
            <v>0</v>
          </cell>
          <cell r="H3747">
            <v>1</v>
          </cell>
          <cell r="I3747">
            <v>0</v>
          </cell>
          <cell r="J3747">
            <v>1</v>
          </cell>
          <cell r="K3747">
            <v>0</v>
          </cell>
          <cell r="L3747">
            <v>0</v>
          </cell>
          <cell r="M3747">
            <v>0</v>
          </cell>
          <cell r="N3747">
            <v>1</v>
          </cell>
          <cell r="O3747">
            <v>0</v>
          </cell>
          <cell r="P3747">
            <v>0</v>
          </cell>
          <cell r="Q3747">
            <v>1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1</v>
          </cell>
          <cell r="W3747">
            <v>0</v>
          </cell>
          <cell r="X3747">
            <v>0</v>
          </cell>
          <cell r="Y3747">
            <v>0</v>
          </cell>
        </row>
        <row r="3748">
          <cell r="D3748">
            <v>302819</v>
          </cell>
          <cell r="E3748" t="str">
            <v>Busao National High School</v>
          </cell>
          <cell r="F3748">
            <v>1</v>
          </cell>
          <cell r="G3748">
            <v>1</v>
          </cell>
          <cell r="H3748">
            <v>1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</row>
        <row r="3749">
          <cell r="D3749">
            <v>302899</v>
          </cell>
          <cell r="E3749" t="str">
            <v>San Pascual National Agr'l HS</v>
          </cell>
          <cell r="F3749">
            <v>0</v>
          </cell>
          <cell r="G3749">
            <v>0</v>
          </cell>
          <cell r="H3749">
            <v>1</v>
          </cell>
          <cell r="I3749">
            <v>0</v>
          </cell>
          <cell r="J3749">
            <v>0</v>
          </cell>
          <cell r="K3749">
            <v>1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</row>
        <row r="3750">
          <cell r="D3750">
            <v>302841</v>
          </cell>
          <cell r="E3750" t="str">
            <v>Danao NHS</v>
          </cell>
          <cell r="F3750">
            <v>1</v>
          </cell>
          <cell r="G3750">
            <v>1</v>
          </cell>
          <cell r="H3750">
            <v>1</v>
          </cell>
          <cell r="I3750">
            <v>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1</v>
          </cell>
          <cell r="S3750">
            <v>0</v>
          </cell>
          <cell r="T3750">
            <v>0</v>
          </cell>
          <cell r="U3750">
            <v>0</v>
          </cell>
          <cell r="V3750">
            <v>1</v>
          </cell>
          <cell r="W3750">
            <v>0</v>
          </cell>
          <cell r="X3750">
            <v>0</v>
          </cell>
          <cell r="Y3750">
            <v>0</v>
          </cell>
        </row>
        <row r="3751">
          <cell r="D3751">
            <v>302887</v>
          </cell>
          <cell r="E3751" t="str">
            <v>San Agustin NHS</v>
          </cell>
          <cell r="F3751">
            <v>0</v>
          </cell>
          <cell r="G3751">
            <v>0</v>
          </cell>
          <cell r="H3751">
            <v>1</v>
          </cell>
          <cell r="I3751">
            <v>0</v>
          </cell>
          <cell r="J3751">
            <v>1</v>
          </cell>
          <cell r="K3751">
            <v>0</v>
          </cell>
          <cell r="L3751">
            <v>0</v>
          </cell>
          <cell r="M3751">
            <v>0</v>
          </cell>
          <cell r="N3751">
            <v>1</v>
          </cell>
          <cell r="O3751">
            <v>43629</v>
          </cell>
          <cell r="P3751">
            <v>43654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1</v>
          </cell>
          <cell r="W3751">
            <v>0</v>
          </cell>
          <cell r="X3751">
            <v>0</v>
          </cell>
          <cell r="Y3751">
            <v>0</v>
          </cell>
        </row>
        <row r="3752">
          <cell r="D3752">
            <v>312358</v>
          </cell>
          <cell r="E3752" t="str">
            <v>Jagna HS</v>
          </cell>
          <cell r="F3752">
            <v>1</v>
          </cell>
          <cell r="G3752">
            <v>0</v>
          </cell>
          <cell r="H3752">
            <v>1</v>
          </cell>
          <cell r="I3752">
            <v>0</v>
          </cell>
          <cell r="J3752">
            <v>1</v>
          </cell>
          <cell r="K3752">
            <v>0</v>
          </cell>
          <cell r="L3752">
            <v>0</v>
          </cell>
          <cell r="M3752">
            <v>0</v>
          </cell>
          <cell r="N3752">
            <v>1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1</v>
          </cell>
          <cell r="W3752">
            <v>0</v>
          </cell>
          <cell r="X3752">
            <v>0</v>
          </cell>
          <cell r="Y3752">
            <v>0</v>
          </cell>
        </row>
        <row r="3753">
          <cell r="D3753">
            <v>302860</v>
          </cell>
          <cell r="E3753" t="str">
            <v>Katipunan NHS</v>
          </cell>
          <cell r="F3753">
            <v>1</v>
          </cell>
          <cell r="G3753">
            <v>0</v>
          </cell>
          <cell r="H3753">
            <v>1</v>
          </cell>
          <cell r="I3753">
            <v>0</v>
          </cell>
          <cell r="J3753">
            <v>1</v>
          </cell>
          <cell r="K3753">
            <v>0</v>
          </cell>
          <cell r="L3753">
            <v>1</v>
          </cell>
          <cell r="M3753" t="str">
            <v>As the need arises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1</v>
          </cell>
          <cell r="U3753" t="str">
            <v>No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</row>
        <row r="3754">
          <cell r="D3754">
            <v>312325</v>
          </cell>
          <cell r="E3754" t="str">
            <v>Gaus High School</v>
          </cell>
          <cell r="F3754">
            <v>1</v>
          </cell>
          <cell r="G3754">
            <v>1</v>
          </cell>
          <cell r="H3754">
            <v>1</v>
          </cell>
          <cell r="I3754">
            <v>0</v>
          </cell>
          <cell r="J3754">
            <v>1</v>
          </cell>
          <cell r="K3754">
            <v>0</v>
          </cell>
          <cell r="L3754">
            <v>0</v>
          </cell>
          <cell r="M3754">
            <v>0</v>
          </cell>
          <cell r="N3754">
            <v>1</v>
          </cell>
          <cell r="O3754" t="str">
            <v>8-17-2019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</row>
        <row r="3755">
          <cell r="D3755">
            <v>303200</v>
          </cell>
          <cell r="E3755" t="str">
            <v>Mandaue City CNHS - Labogon NHS Ext.</v>
          </cell>
          <cell r="F3755">
            <v>1</v>
          </cell>
          <cell r="G3755">
            <v>1</v>
          </cell>
          <cell r="H3755">
            <v>1</v>
          </cell>
          <cell r="I3755">
            <v>0</v>
          </cell>
          <cell r="J3755">
            <v>1</v>
          </cell>
          <cell r="K3755">
            <v>0</v>
          </cell>
          <cell r="L3755">
            <v>0</v>
          </cell>
          <cell r="M3755">
            <v>0</v>
          </cell>
          <cell r="N3755">
            <v>1</v>
          </cell>
          <cell r="O3755" t="str">
            <v>08/23/2019</v>
          </cell>
          <cell r="P3755" t="str">
            <v>08/16/2019</v>
          </cell>
          <cell r="Q3755">
            <v>0</v>
          </cell>
          <cell r="R3755">
            <v>1</v>
          </cell>
          <cell r="S3755">
            <v>0</v>
          </cell>
          <cell r="T3755">
            <v>0</v>
          </cell>
          <cell r="U3755">
            <v>0</v>
          </cell>
          <cell r="V3755">
            <v>1</v>
          </cell>
          <cell r="W3755">
            <v>2</v>
          </cell>
          <cell r="X3755">
            <v>2</v>
          </cell>
          <cell r="Y3755">
            <v>2</v>
          </cell>
        </row>
        <row r="3756">
          <cell r="D3756">
            <v>303273</v>
          </cell>
          <cell r="E3756" t="str">
            <v>Sta. Agueda National High School</v>
          </cell>
          <cell r="F3756">
            <v>1</v>
          </cell>
          <cell r="G3756">
            <v>1</v>
          </cell>
          <cell r="H3756">
            <v>1</v>
          </cell>
          <cell r="I3756">
            <v>0</v>
          </cell>
          <cell r="J3756">
            <v>1</v>
          </cell>
          <cell r="K3756">
            <v>0</v>
          </cell>
          <cell r="L3756">
            <v>0</v>
          </cell>
          <cell r="M3756">
            <v>0</v>
          </cell>
          <cell r="N3756">
            <v>1</v>
          </cell>
          <cell r="O3756" t="str">
            <v>NOV. 4, 2019</v>
          </cell>
          <cell r="P3756">
            <v>0</v>
          </cell>
          <cell r="Q3756">
            <v>0</v>
          </cell>
          <cell r="R3756">
            <v>1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</row>
        <row r="3757">
          <cell r="D3757">
            <v>303132</v>
          </cell>
          <cell r="E3757" t="str">
            <v>Lusaran NHS</v>
          </cell>
          <cell r="F3757">
            <v>1</v>
          </cell>
          <cell r="G3757">
            <v>1</v>
          </cell>
          <cell r="H3757">
            <v>1</v>
          </cell>
          <cell r="I3757">
            <v>0</v>
          </cell>
          <cell r="J3757">
            <v>1</v>
          </cell>
          <cell r="K3757">
            <v>0</v>
          </cell>
          <cell r="L3757">
            <v>0</v>
          </cell>
          <cell r="M3757">
            <v>0</v>
          </cell>
          <cell r="N3757">
            <v>1</v>
          </cell>
          <cell r="O3757" t="str">
            <v>3/31/2019</v>
          </cell>
          <cell r="P3757" t="str">
            <v>9/15/2019</v>
          </cell>
          <cell r="Q3757">
            <v>0</v>
          </cell>
          <cell r="R3757">
            <v>1</v>
          </cell>
          <cell r="S3757">
            <v>0</v>
          </cell>
          <cell r="T3757">
            <v>0</v>
          </cell>
          <cell r="U3757">
            <v>0</v>
          </cell>
          <cell r="V3757">
            <v>1</v>
          </cell>
          <cell r="W3757">
            <v>0</v>
          </cell>
          <cell r="X3757">
            <v>0</v>
          </cell>
          <cell r="Y3757">
            <v>0</v>
          </cell>
        </row>
        <row r="3758">
          <cell r="D3758">
            <v>302821</v>
          </cell>
          <cell r="E3758" t="str">
            <v>Cabul-an National High School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</row>
        <row r="3759">
          <cell r="D3759">
            <v>302844</v>
          </cell>
          <cell r="E3759" t="str">
            <v>Taming NHS</v>
          </cell>
          <cell r="F3759">
            <v>0</v>
          </cell>
          <cell r="G3759">
            <v>0</v>
          </cell>
          <cell r="H3759">
            <v>1</v>
          </cell>
          <cell r="I3759">
            <v>0</v>
          </cell>
          <cell r="J3759">
            <v>0</v>
          </cell>
          <cell r="K3759">
            <v>0</v>
          </cell>
          <cell r="L3759">
            <v>1</v>
          </cell>
          <cell r="M3759" t="str">
            <v>As needed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1</v>
          </cell>
          <cell r="U3759" t="str">
            <v>As needed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</row>
        <row r="3760">
          <cell r="D3760">
            <v>302834</v>
          </cell>
          <cell r="E3760" t="str">
            <v>Catungawan National High School</v>
          </cell>
          <cell r="F3760">
            <v>1</v>
          </cell>
          <cell r="G3760">
            <v>1</v>
          </cell>
          <cell r="H3760">
            <v>1</v>
          </cell>
          <cell r="I3760">
            <v>0</v>
          </cell>
          <cell r="J3760">
            <v>1</v>
          </cell>
          <cell r="K3760">
            <v>0</v>
          </cell>
          <cell r="L3760">
            <v>0</v>
          </cell>
          <cell r="M3760">
            <v>0</v>
          </cell>
          <cell r="N3760">
            <v>1</v>
          </cell>
          <cell r="O3760" t="str">
            <v>June 10, 2019</v>
          </cell>
          <cell r="P3760" t="str">
            <v>July 15, 2019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1</v>
          </cell>
          <cell r="W3760">
            <v>1</v>
          </cell>
          <cell r="X3760">
            <v>0</v>
          </cell>
          <cell r="Y3760">
            <v>0</v>
          </cell>
        </row>
        <row r="3761">
          <cell r="D3761">
            <v>302858</v>
          </cell>
          <cell r="E3761" t="str">
            <v>Hinlayagan NHS</v>
          </cell>
          <cell r="F3761">
            <v>1</v>
          </cell>
          <cell r="G3761">
            <v>1</v>
          </cell>
          <cell r="H3761">
            <v>1</v>
          </cell>
          <cell r="I3761">
            <v>0</v>
          </cell>
          <cell r="J3761">
            <v>1</v>
          </cell>
          <cell r="K3761">
            <v>0</v>
          </cell>
          <cell r="L3761">
            <v>0</v>
          </cell>
          <cell r="M3761">
            <v>0</v>
          </cell>
          <cell r="N3761">
            <v>1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1</v>
          </cell>
          <cell r="W3761">
            <v>2</v>
          </cell>
          <cell r="X3761">
            <v>0</v>
          </cell>
          <cell r="Y3761">
            <v>0</v>
          </cell>
        </row>
        <row r="3762">
          <cell r="D3762">
            <v>312360</v>
          </cell>
          <cell r="E3762" t="str">
            <v>Ponciano L. Padin National High School</v>
          </cell>
          <cell r="F3762">
            <v>1</v>
          </cell>
          <cell r="G3762">
            <v>0</v>
          </cell>
          <cell r="H3762">
            <v>1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</row>
        <row r="3763">
          <cell r="D3763">
            <v>312352</v>
          </cell>
          <cell r="E3763" t="str">
            <v>Cambuyo HS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</row>
        <row r="3764">
          <cell r="D3764">
            <v>312318</v>
          </cell>
          <cell r="E3764" t="str">
            <v>PEDRO S. BUDIONGAN HIGH SCHOOL</v>
          </cell>
          <cell r="F3764">
            <v>1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</row>
        <row r="3765">
          <cell r="D3765">
            <v>302868</v>
          </cell>
          <cell r="E3765" t="str">
            <v>Lila NHS</v>
          </cell>
          <cell r="F3765">
            <v>1</v>
          </cell>
          <cell r="G3765">
            <v>0</v>
          </cell>
          <cell r="H3765">
            <v>1</v>
          </cell>
          <cell r="I3765">
            <v>0</v>
          </cell>
          <cell r="J3765">
            <v>0</v>
          </cell>
          <cell r="K3765">
            <v>0</v>
          </cell>
          <cell r="L3765">
            <v>1</v>
          </cell>
          <cell r="M3765" t="str">
            <v>as the need arise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1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</row>
        <row r="3766">
          <cell r="D3766">
            <v>312334</v>
          </cell>
          <cell r="E3766" t="str">
            <v>Bulilis High School</v>
          </cell>
          <cell r="F3766">
            <v>1</v>
          </cell>
          <cell r="G3766">
            <v>1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</row>
        <row r="3767">
          <cell r="D3767">
            <v>312926</v>
          </cell>
          <cell r="E3767" t="str">
            <v>Apolinario Gerarda Arnaiz HS</v>
          </cell>
          <cell r="F3767">
            <v>0</v>
          </cell>
          <cell r="G3767">
            <v>0</v>
          </cell>
          <cell r="H3767">
            <v>1</v>
          </cell>
          <cell r="I3767">
            <v>0</v>
          </cell>
          <cell r="J3767">
            <v>1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</row>
        <row r="3768">
          <cell r="D3768">
            <v>312915</v>
          </cell>
          <cell r="E3768" t="str">
            <v>Inawasan PCHS</v>
          </cell>
          <cell r="F3768">
            <v>1</v>
          </cell>
          <cell r="G3768">
            <v>1</v>
          </cell>
          <cell r="H3768">
            <v>1</v>
          </cell>
          <cell r="I3768">
            <v>0</v>
          </cell>
          <cell r="J3768">
            <v>1</v>
          </cell>
          <cell r="K3768">
            <v>0</v>
          </cell>
          <cell r="L3768">
            <v>0</v>
          </cell>
          <cell r="M3768">
            <v>0</v>
          </cell>
          <cell r="N3768">
            <v>1</v>
          </cell>
          <cell r="O3768">
            <v>0</v>
          </cell>
          <cell r="P3768" t="str">
            <v>July 5,2019</v>
          </cell>
          <cell r="Q3768">
            <v>0</v>
          </cell>
          <cell r="R3768">
            <v>1</v>
          </cell>
          <cell r="S3768">
            <v>0</v>
          </cell>
          <cell r="T3768">
            <v>0</v>
          </cell>
          <cell r="U3768">
            <v>0</v>
          </cell>
          <cell r="V3768">
            <v>1</v>
          </cell>
          <cell r="W3768">
            <v>1</v>
          </cell>
          <cell r="X3768">
            <v>1</v>
          </cell>
          <cell r="Y3768">
            <v>1</v>
          </cell>
        </row>
        <row r="3769">
          <cell r="D3769">
            <v>302866</v>
          </cell>
          <cell r="E3769" t="str">
            <v>Cogtong NHS</v>
          </cell>
          <cell r="F3769">
            <v>1</v>
          </cell>
          <cell r="G3769">
            <v>1</v>
          </cell>
          <cell r="H3769">
            <v>1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1</v>
          </cell>
          <cell r="O3769">
            <v>0</v>
          </cell>
          <cell r="P3769">
            <v>0</v>
          </cell>
          <cell r="Q3769">
            <v>0</v>
          </cell>
          <cell r="R3769">
            <v>1</v>
          </cell>
          <cell r="S3769">
            <v>0</v>
          </cell>
          <cell r="T3769">
            <v>0</v>
          </cell>
          <cell r="U3769">
            <v>0</v>
          </cell>
          <cell r="V3769">
            <v>1</v>
          </cell>
          <cell r="W3769">
            <v>0</v>
          </cell>
          <cell r="X3769">
            <v>0</v>
          </cell>
          <cell r="Y3769">
            <v>0</v>
          </cell>
        </row>
        <row r="3770">
          <cell r="D3770">
            <v>303292</v>
          </cell>
          <cell r="E3770" t="str">
            <v>Vallehermoso National High School</v>
          </cell>
          <cell r="F3770">
            <v>0</v>
          </cell>
          <cell r="G3770">
            <v>0</v>
          </cell>
          <cell r="H3770">
            <v>1</v>
          </cell>
          <cell r="I3770">
            <v>0</v>
          </cell>
          <cell r="J3770">
            <v>0</v>
          </cell>
          <cell r="K3770">
            <v>1</v>
          </cell>
          <cell r="L3770">
            <v>0</v>
          </cell>
          <cell r="M3770">
            <v>0</v>
          </cell>
          <cell r="N3770">
            <v>1</v>
          </cell>
          <cell r="O3770">
            <v>43662</v>
          </cell>
          <cell r="P3770">
            <v>43662</v>
          </cell>
          <cell r="Q3770">
            <v>0</v>
          </cell>
          <cell r="R3770">
            <v>0</v>
          </cell>
          <cell r="S3770">
            <v>1</v>
          </cell>
          <cell r="T3770">
            <v>0</v>
          </cell>
          <cell r="U3770">
            <v>0</v>
          </cell>
          <cell r="V3770">
            <v>1</v>
          </cell>
          <cell r="W3770">
            <v>0</v>
          </cell>
          <cell r="X3770">
            <v>0</v>
          </cell>
          <cell r="Y3770">
            <v>0</v>
          </cell>
        </row>
        <row r="3771">
          <cell r="D3771">
            <v>302883</v>
          </cell>
          <cell r="E3771" t="str">
            <v>Calape National High School</v>
          </cell>
          <cell r="F3771">
            <v>1</v>
          </cell>
          <cell r="G3771">
            <v>1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</row>
        <row r="3772">
          <cell r="D3772">
            <v>303187</v>
          </cell>
          <cell r="E3772" t="str">
            <v>Pusok NHS</v>
          </cell>
          <cell r="F3772">
            <v>1</v>
          </cell>
          <cell r="G3772">
            <v>1</v>
          </cell>
          <cell r="H3772">
            <v>1</v>
          </cell>
          <cell r="I3772">
            <v>0</v>
          </cell>
          <cell r="J3772">
            <v>0</v>
          </cell>
          <cell r="K3772">
            <v>1</v>
          </cell>
          <cell r="L3772">
            <v>0</v>
          </cell>
          <cell r="M3772">
            <v>0</v>
          </cell>
          <cell r="N3772">
            <v>0</v>
          </cell>
          <cell r="O3772" t="str">
            <v>NA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1</v>
          </cell>
          <cell r="U3772" t="str">
            <v>NA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</row>
        <row r="3773">
          <cell r="D3773">
            <v>303254</v>
          </cell>
          <cell r="E3773" t="str">
            <v>NARRA National High School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1</v>
          </cell>
          <cell r="O3773">
            <v>43714</v>
          </cell>
          <cell r="P3773" t="str">
            <v>N/A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1</v>
          </cell>
          <cell r="W3773">
            <v>0</v>
          </cell>
          <cell r="X3773">
            <v>0</v>
          </cell>
          <cell r="Y3773">
            <v>0</v>
          </cell>
        </row>
        <row r="3774">
          <cell r="D3774">
            <v>302843</v>
          </cell>
          <cell r="E3774" t="str">
            <v>Francisco Dagohoy Memorial High School</v>
          </cell>
          <cell r="F3774">
            <v>0</v>
          </cell>
          <cell r="G3774">
            <v>0</v>
          </cell>
          <cell r="H3774">
            <v>1</v>
          </cell>
          <cell r="I3774">
            <v>0</v>
          </cell>
          <cell r="J3774">
            <v>0</v>
          </cell>
          <cell r="K3774">
            <v>0</v>
          </cell>
          <cell r="L3774">
            <v>1</v>
          </cell>
          <cell r="M3774" t="str">
            <v>if needed arises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</row>
        <row r="3775">
          <cell r="D3775">
            <v>303183</v>
          </cell>
          <cell r="E3775" t="str">
            <v>Marigondon NHS - Science Tech. Educ. Center (STEC) Ext.</v>
          </cell>
          <cell r="F3775">
            <v>1</v>
          </cell>
          <cell r="G3775">
            <v>0</v>
          </cell>
          <cell r="H3775">
            <v>1</v>
          </cell>
          <cell r="I3775">
            <v>0</v>
          </cell>
          <cell r="J3775">
            <v>1</v>
          </cell>
          <cell r="K3775">
            <v>0</v>
          </cell>
          <cell r="L3775">
            <v>0</v>
          </cell>
          <cell r="M3775">
            <v>0</v>
          </cell>
          <cell r="N3775">
            <v>1</v>
          </cell>
          <cell r="O3775" t="str">
            <v>JUNE 10, 2019</v>
          </cell>
          <cell r="P3775" t="str">
            <v>N/A</v>
          </cell>
          <cell r="Q3775">
            <v>0</v>
          </cell>
          <cell r="R3775">
            <v>0</v>
          </cell>
          <cell r="S3775">
            <v>0</v>
          </cell>
          <cell r="T3775">
            <v>1</v>
          </cell>
          <cell r="U3775" t="str">
            <v>N/A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</row>
        <row r="3776">
          <cell r="D3776">
            <v>303172</v>
          </cell>
          <cell r="E3776" t="str">
            <v>Babag National High School</v>
          </cell>
          <cell r="F3776">
            <v>1</v>
          </cell>
          <cell r="G3776">
            <v>0</v>
          </cell>
          <cell r="H3776">
            <v>0</v>
          </cell>
          <cell r="I3776">
            <v>0</v>
          </cell>
          <cell r="J3776">
            <v>1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</row>
        <row r="3777">
          <cell r="D3777">
            <v>303178</v>
          </cell>
          <cell r="E3777" t="str">
            <v>Mactan National High School</v>
          </cell>
          <cell r="F3777">
            <v>1</v>
          </cell>
          <cell r="G3777">
            <v>0</v>
          </cell>
          <cell r="H3777">
            <v>1</v>
          </cell>
          <cell r="I3777">
            <v>0</v>
          </cell>
          <cell r="J3777">
            <v>0</v>
          </cell>
          <cell r="K3777">
            <v>0</v>
          </cell>
          <cell r="L3777">
            <v>1</v>
          </cell>
          <cell r="M3777" t="str">
            <v>AS THE NEED ARISES</v>
          </cell>
          <cell r="N3777">
            <v>0</v>
          </cell>
          <cell r="O3777" t="str">
            <v>N/A</v>
          </cell>
          <cell r="P3777" t="str">
            <v>N/A</v>
          </cell>
          <cell r="Q3777">
            <v>0</v>
          </cell>
          <cell r="R3777">
            <v>0</v>
          </cell>
          <cell r="S3777">
            <v>0</v>
          </cell>
          <cell r="T3777">
            <v>1</v>
          </cell>
          <cell r="U3777" t="str">
            <v>N/A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</row>
        <row r="3778">
          <cell r="D3778">
            <v>302913</v>
          </cell>
          <cell r="E3778" t="str">
            <v>Tulang NHS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1</v>
          </cell>
          <cell r="L3778">
            <v>0</v>
          </cell>
          <cell r="M3778">
            <v>0</v>
          </cell>
          <cell r="N3778">
            <v>1</v>
          </cell>
          <cell r="O3778">
            <v>0</v>
          </cell>
          <cell r="P3778" t="str">
            <v>N/A</v>
          </cell>
          <cell r="Q3778">
            <v>0</v>
          </cell>
          <cell r="R3778">
            <v>0</v>
          </cell>
          <cell r="S3778">
            <v>0</v>
          </cell>
          <cell r="T3778">
            <v>1</v>
          </cell>
          <cell r="U3778" t="str">
            <v>WHEN THERE IS COMPLAIN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</row>
        <row r="3779">
          <cell r="D3779">
            <v>322306</v>
          </cell>
          <cell r="E3779" t="str">
            <v>Namonbon HS</v>
          </cell>
          <cell r="F3779">
            <v>1</v>
          </cell>
          <cell r="G3779">
            <v>0</v>
          </cell>
          <cell r="H3779">
            <v>1</v>
          </cell>
          <cell r="I3779">
            <v>0</v>
          </cell>
          <cell r="J3779">
            <v>1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1</v>
          </cell>
          <cell r="T3779">
            <v>0</v>
          </cell>
          <cell r="U3779">
            <v>0</v>
          </cell>
          <cell r="V3779">
            <v>1</v>
          </cell>
          <cell r="W3779">
            <v>0</v>
          </cell>
          <cell r="X3779">
            <v>0</v>
          </cell>
          <cell r="Y3779">
            <v>0</v>
          </cell>
        </row>
        <row r="3780">
          <cell r="D3780">
            <v>303180</v>
          </cell>
          <cell r="E3780" t="str">
            <v>Marigondon National High School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</row>
        <row r="3781">
          <cell r="D3781">
            <v>303189</v>
          </cell>
          <cell r="E3781" t="str">
            <v>Sta. Rosa NHS</v>
          </cell>
          <cell r="F3781">
            <v>1</v>
          </cell>
          <cell r="G3781">
            <v>0</v>
          </cell>
          <cell r="H3781">
            <v>1</v>
          </cell>
          <cell r="I3781">
            <v>0</v>
          </cell>
          <cell r="J3781">
            <v>0</v>
          </cell>
          <cell r="K3781">
            <v>1</v>
          </cell>
          <cell r="L3781">
            <v>0</v>
          </cell>
          <cell r="M3781">
            <v>0</v>
          </cell>
          <cell r="N3781">
            <v>0</v>
          </cell>
          <cell r="O3781" t="str">
            <v>n/a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</row>
        <row r="3782">
          <cell r="D3782">
            <v>303284</v>
          </cell>
          <cell r="E3782" t="str">
            <v>Lourdes Ledesma Del Prado MNHS</v>
          </cell>
          <cell r="F3782">
            <v>1</v>
          </cell>
          <cell r="G3782">
            <v>0</v>
          </cell>
          <cell r="H3782">
            <v>1</v>
          </cell>
          <cell r="I3782">
            <v>0</v>
          </cell>
          <cell r="J3782">
            <v>1</v>
          </cell>
          <cell r="K3782">
            <v>0</v>
          </cell>
          <cell r="L3782">
            <v>0</v>
          </cell>
          <cell r="M3782">
            <v>0</v>
          </cell>
          <cell r="N3782">
            <v>1</v>
          </cell>
          <cell r="O3782">
            <v>43780</v>
          </cell>
          <cell r="P3782" t="str">
            <v>not available</v>
          </cell>
          <cell r="Q3782">
            <v>0</v>
          </cell>
          <cell r="R3782">
            <v>1</v>
          </cell>
          <cell r="S3782">
            <v>0</v>
          </cell>
          <cell r="T3782">
            <v>0</v>
          </cell>
          <cell r="U3782">
            <v>0</v>
          </cell>
          <cell r="V3782">
            <v>1</v>
          </cell>
          <cell r="W3782">
            <v>6</v>
          </cell>
          <cell r="X3782">
            <v>1</v>
          </cell>
          <cell r="Y3782">
            <v>1</v>
          </cell>
        </row>
        <row r="3783">
          <cell r="D3783">
            <v>303174</v>
          </cell>
          <cell r="E3783" t="str">
            <v>Bankal National High School</v>
          </cell>
          <cell r="F3783">
            <v>1</v>
          </cell>
          <cell r="G3783">
            <v>0</v>
          </cell>
          <cell r="H3783">
            <v>1</v>
          </cell>
          <cell r="I3783">
            <v>0</v>
          </cell>
          <cell r="J3783">
            <v>0</v>
          </cell>
          <cell r="K3783">
            <v>1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 t="str">
            <v>NA</v>
          </cell>
          <cell r="Q3783">
            <v>0</v>
          </cell>
          <cell r="R3783">
            <v>0</v>
          </cell>
          <cell r="S3783">
            <v>0</v>
          </cell>
          <cell r="T3783">
            <v>1</v>
          </cell>
          <cell r="U3783" t="str">
            <v>NA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</row>
        <row r="3784">
          <cell r="D3784">
            <v>303184</v>
          </cell>
          <cell r="E3784" t="str">
            <v>Pajo National High School</v>
          </cell>
          <cell r="F3784">
            <v>1</v>
          </cell>
          <cell r="G3784">
            <v>1</v>
          </cell>
          <cell r="H3784">
            <v>1</v>
          </cell>
          <cell r="I3784">
            <v>0</v>
          </cell>
          <cell r="J3784">
            <v>1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 t="str">
            <v>None</v>
          </cell>
          <cell r="Q3784">
            <v>0</v>
          </cell>
          <cell r="R3784">
            <v>0</v>
          </cell>
          <cell r="S3784">
            <v>0</v>
          </cell>
          <cell r="T3784">
            <v>1</v>
          </cell>
          <cell r="U3784" t="str">
            <v>None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</row>
        <row r="3785">
          <cell r="D3785">
            <v>303177</v>
          </cell>
          <cell r="E3785" t="str">
            <v>Lo-ok National High School</v>
          </cell>
          <cell r="F3785">
            <v>1</v>
          </cell>
          <cell r="G3785">
            <v>0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 t="str">
            <v>n/a</v>
          </cell>
          <cell r="P3785" t="str">
            <v>n/a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</row>
        <row r="3786">
          <cell r="D3786">
            <v>302904</v>
          </cell>
          <cell r="E3786" t="str">
            <v>Cambagui-Calinginan Norte National  HS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1</v>
          </cell>
          <cell r="L3786">
            <v>0</v>
          </cell>
          <cell r="M3786">
            <v>0</v>
          </cell>
          <cell r="N3786">
            <v>1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</row>
        <row r="3787">
          <cell r="D3787">
            <v>325301</v>
          </cell>
          <cell r="E3787" t="str">
            <v>Alpaco National High School</v>
          </cell>
          <cell r="F3787">
            <v>1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</row>
        <row r="3788">
          <cell r="D3788">
            <v>500227</v>
          </cell>
          <cell r="E3788" t="str">
            <v>Taptap Integrated School</v>
          </cell>
          <cell r="F3788">
            <v>1</v>
          </cell>
          <cell r="G3788">
            <v>0</v>
          </cell>
          <cell r="H3788">
            <v>1</v>
          </cell>
          <cell r="I3788">
            <v>0</v>
          </cell>
          <cell r="J3788">
            <v>1</v>
          </cell>
          <cell r="K3788">
            <v>0</v>
          </cell>
          <cell r="L3788">
            <v>0</v>
          </cell>
          <cell r="M3788">
            <v>0</v>
          </cell>
          <cell r="N3788">
            <v>1</v>
          </cell>
          <cell r="O3788">
            <v>43475</v>
          </cell>
          <cell r="P3788">
            <v>43475</v>
          </cell>
          <cell r="Q3788">
            <v>1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1</v>
          </cell>
          <cell r="W3788">
            <v>0</v>
          </cell>
          <cell r="X3788">
            <v>0</v>
          </cell>
          <cell r="Y3788">
            <v>0</v>
          </cell>
        </row>
        <row r="3789">
          <cell r="D3789">
            <v>312324</v>
          </cell>
          <cell r="E3789" t="str">
            <v>Bonbonon High School</v>
          </cell>
          <cell r="F3789">
            <v>0</v>
          </cell>
          <cell r="G3789">
            <v>0</v>
          </cell>
          <cell r="H3789">
            <v>1</v>
          </cell>
          <cell r="I3789">
            <v>0</v>
          </cell>
          <cell r="J3789">
            <v>0</v>
          </cell>
          <cell r="K3789">
            <v>1</v>
          </cell>
          <cell r="L3789">
            <v>0</v>
          </cell>
          <cell r="M3789">
            <v>0</v>
          </cell>
          <cell r="N3789">
            <v>1</v>
          </cell>
          <cell r="O3789">
            <v>0</v>
          </cell>
          <cell r="P3789" t="str">
            <v>N/A</v>
          </cell>
          <cell r="Q3789">
            <v>1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1</v>
          </cell>
          <cell r="W3789">
            <v>1</v>
          </cell>
          <cell r="X3789">
            <v>0</v>
          </cell>
          <cell r="Y3789">
            <v>0</v>
          </cell>
        </row>
        <row r="3790">
          <cell r="D3790">
            <v>322301</v>
          </cell>
          <cell r="E3790" t="str">
            <v>Graciano Banogon HS</v>
          </cell>
          <cell r="F3790">
            <v>1</v>
          </cell>
          <cell r="G3790">
            <v>0</v>
          </cell>
          <cell r="H3790">
            <v>1</v>
          </cell>
          <cell r="I3790">
            <v>0</v>
          </cell>
          <cell r="J3790">
            <v>0</v>
          </cell>
          <cell r="K3790">
            <v>1</v>
          </cell>
          <cell r="L3790">
            <v>0</v>
          </cell>
          <cell r="M3790">
            <v>0</v>
          </cell>
          <cell r="N3790">
            <v>1</v>
          </cell>
          <cell r="O3790">
            <v>0</v>
          </cell>
          <cell r="P3790" t="str">
            <v>October 04, 2019</v>
          </cell>
          <cell r="Q3790">
            <v>0</v>
          </cell>
          <cell r="R3790">
            <v>1</v>
          </cell>
          <cell r="S3790">
            <v>0</v>
          </cell>
          <cell r="T3790">
            <v>0</v>
          </cell>
          <cell r="U3790">
            <v>0</v>
          </cell>
          <cell r="V3790">
            <v>1</v>
          </cell>
          <cell r="W3790">
            <v>0</v>
          </cell>
          <cell r="X3790">
            <v>0</v>
          </cell>
          <cell r="Y3790">
            <v>0</v>
          </cell>
        </row>
        <row r="3791">
          <cell r="D3791">
            <v>302829</v>
          </cell>
          <cell r="E3791" t="str">
            <v>Candabong National High School</v>
          </cell>
          <cell r="F3791">
            <v>1</v>
          </cell>
          <cell r="G3791">
            <v>1</v>
          </cell>
          <cell r="H3791">
            <v>1</v>
          </cell>
          <cell r="I3791">
            <v>0</v>
          </cell>
          <cell r="J3791">
            <v>1</v>
          </cell>
          <cell r="K3791">
            <v>0</v>
          </cell>
          <cell r="L3791">
            <v>0</v>
          </cell>
          <cell r="M3791">
            <v>0</v>
          </cell>
          <cell r="N3791">
            <v>1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</row>
        <row r="3792">
          <cell r="D3792">
            <v>302831</v>
          </cell>
          <cell r="E3792" t="str">
            <v>Lubang National High School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</row>
        <row r="3793">
          <cell r="D3793">
            <v>302911</v>
          </cell>
          <cell r="E3793" t="str">
            <v>Tambongan NHS</v>
          </cell>
          <cell r="F3793">
            <v>1</v>
          </cell>
          <cell r="G3793">
            <v>0</v>
          </cell>
          <cell r="H3793">
            <v>1</v>
          </cell>
          <cell r="I3793">
            <v>1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1</v>
          </cell>
          <cell r="O3793">
            <v>43619</v>
          </cell>
          <cell r="P3793">
            <v>43619</v>
          </cell>
          <cell r="Q3793">
            <v>0</v>
          </cell>
          <cell r="R3793">
            <v>0</v>
          </cell>
          <cell r="S3793">
            <v>1</v>
          </cell>
          <cell r="T3793">
            <v>0</v>
          </cell>
          <cell r="U3793">
            <v>0</v>
          </cell>
          <cell r="V3793">
            <v>1</v>
          </cell>
          <cell r="W3793">
            <v>0</v>
          </cell>
          <cell r="X3793">
            <v>0</v>
          </cell>
          <cell r="Y3793">
            <v>0</v>
          </cell>
        </row>
        <row r="3794">
          <cell r="D3794">
            <v>303274</v>
          </cell>
          <cell r="E3794" t="str">
            <v>Isidoro Salma MSHS (Balayong )</v>
          </cell>
          <cell r="F3794">
            <v>1</v>
          </cell>
          <cell r="G3794">
            <v>1</v>
          </cell>
          <cell r="H3794">
            <v>1</v>
          </cell>
          <cell r="I3794">
            <v>0</v>
          </cell>
          <cell r="J3794">
            <v>0</v>
          </cell>
          <cell r="K3794">
            <v>1</v>
          </cell>
          <cell r="L3794">
            <v>0</v>
          </cell>
          <cell r="M3794">
            <v>0</v>
          </cell>
          <cell r="N3794">
            <v>1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1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D3795">
            <v>312330</v>
          </cell>
          <cell r="E3795" t="str">
            <v>Santo Nino High School</v>
          </cell>
          <cell r="F3795">
            <v>1</v>
          </cell>
          <cell r="G3795">
            <v>1</v>
          </cell>
          <cell r="H3795">
            <v>1</v>
          </cell>
          <cell r="I3795">
            <v>0</v>
          </cell>
          <cell r="J3795">
            <v>0</v>
          </cell>
          <cell r="K3795">
            <v>1</v>
          </cell>
          <cell r="L3795">
            <v>0</v>
          </cell>
          <cell r="M3795">
            <v>0</v>
          </cell>
          <cell r="N3795">
            <v>1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1</v>
          </cell>
          <cell r="T3795">
            <v>0</v>
          </cell>
          <cell r="U3795">
            <v>0</v>
          </cell>
          <cell r="V3795">
            <v>1</v>
          </cell>
          <cell r="W3795">
            <v>1</v>
          </cell>
          <cell r="X3795">
            <v>0</v>
          </cell>
          <cell r="Y3795">
            <v>0</v>
          </cell>
        </row>
        <row r="3796">
          <cell r="D3796">
            <v>302923</v>
          </cell>
          <cell r="E3796" t="str">
            <v>Tubod NHS</v>
          </cell>
          <cell r="F3796">
            <v>1</v>
          </cell>
          <cell r="G3796">
            <v>1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</row>
        <row r="3797">
          <cell r="D3797">
            <v>312321</v>
          </cell>
          <cell r="E3797" t="str">
            <v>San Miguel-Puertos HS</v>
          </cell>
          <cell r="F3797">
            <v>0</v>
          </cell>
          <cell r="G3797">
            <v>0</v>
          </cell>
          <cell r="H3797">
            <v>1</v>
          </cell>
          <cell r="I3797">
            <v>0</v>
          </cell>
          <cell r="J3797">
            <v>1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</row>
        <row r="3798">
          <cell r="D3798">
            <v>312513</v>
          </cell>
          <cell r="E3798" t="str">
            <v>ALASKA HS</v>
          </cell>
          <cell r="F3798">
            <v>1</v>
          </cell>
          <cell r="G3798">
            <v>1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D3799">
            <v>325303</v>
          </cell>
          <cell r="E3799" t="str">
            <v>Tinaan National High School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</row>
        <row r="3800">
          <cell r="D3800">
            <v>302812</v>
          </cell>
          <cell r="E3800" t="str">
            <v>Badiang NHS</v>
          </cell>
          <cell r="F3800">
            <v>1</v>
          </cell>
          <cell r="G3800">
            <v>0</v>
          </cell>
          <cell r="H3800">
            <v>1</v>
          </cell>
          <cell r="I3800">
            <v>0</v>
          </cell>
          <cell r="J3800">
            <v>0</v>
          </cell>
          <cell r="K3800">
            <v>1</v>
          </cell>
          <cell r="L3800">
            <v>0</v>
          </cell>
          <cell r="M3800">
            <v>0</v>
          </cell>
          <cell r="N3800">
            <v>1</v>
          </cell>
          <cell r="O3800">
            <v>0</v>
          </cell>
          <cell r="P3800">
            <v>0</v>
          </cell>
          <cell r="Q3800">
            <v>0</v>
          </cell>
          <cell r="R3800">
            <v>1</v>
          </cell>
          <cell r="S3800">
            <v>0</v>
          </cell>
          <cell r="T3800">
            <v>0</v>
          </cell>
          <cell r="U3800">
            <v>0</v>
          </cell>
          <cell r="V3800">
            <v>1</v>
          </cell>
          <cell r="W3800">
            <v>0</v>
          </cell>
          <cell r="X3800">
            <v>0</v>
          </cell>
          <cell r="Y3800">
            <v>0</v>
          </cell>
        </row>
        <row r="3801">
          <cell r="D3801">
            <v>302861</v>
          </cell>
          <cell r="E3801" t="str">
            <v>Francisco L. Adlaon HS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</row>
        <row r="3802">
          <cell r="D3802">
            <v>302987</v>
          </cell>
          <cell r="E3802" t="str">
            <v>Colonia NHS</v>
          </cell>
          <cell r="F3802">
            <v>1</v>
          </cell>
          <cell r="G3802">
            <v>1</v>
          </cell>
          <cell r="H3802">
            <v>1</v>
          </cell>
          <cell r="I3802">
            <v>0</v>
          </cell>
          <cell r="J3802">
            <v>1</v>
          </cell>
          <cell r="K3802">
            <v>0</v>
          </cell>
          <cell r="L3802">
            <v>0</v>
          </cell>
          <cell r="M3802">
            <v>0</v>
          </cell>
          <cell r="N3802">
            <v>1</v>
          </cell>
          <cell r="O3802" t="str">
            <v>08/25/2019</v>
          </cell>
          <cell r="P3802" t="str">
            <v>10/21/2019</v>
          </cell>
          <cell r="Q3802">
            <v>1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1</v>
          </cell>
          <cell r="W3802">
            <v>3</v>
          </cell>
          <cell r="X3802">
            <v>3</v>
          </cell>
          <cell r="Y3802">
            <v>3</v>
          </cell>
        </row>
        <row r="3803">
          <cell r="D3803">
            <v>302912</v>
          </cell>
          <cell r="E3803" t="str">
            <v>Anoling National High School</v>
          </cell>
          <cell r="F3803">
            <v>1</v>
          </cell>
          <cell r="G3803">
            <v>1</v>
          </cell>
          <cell r="H3803">
            <v>1</v>
          </cell>
          <cell r="I3803">
            <v>0</v>
          </cell>
          <cell r="J3803">
            <v>1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1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</row>
        <row r="3804">
          <cell r="D3804">
            <v>302910</v>
          </cell>
          <cell r="E3804" t="str">
            <v>Tagum Sur NHS</v>
          </cell>
          <cell r="F3804">
            <v>1</v>
          </cell>
          <cell r="G3804">
            <v>1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D3805">
            <v>303201</v>
          </cell>
          <cell r="E3805" t="str">
            <v>Mandaue City CNHS - Mandaue City Science HS Ext.</v>
          </cell>
          <cell r="F3805">
            <v>1</v>
          </cell>
          <cell r="G3805">
            <v>1</v>
          </cell>
          <cell r="H3805">
            <v>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1</v>
          </cell>
          <cell r="U3805" t="str">
            <v>NOT ALL</v>
          </cell>
          <cell r="V3805">
            <v>1</v>
          </cell>
          <cell r="W3805">
            <v>7</v>
          </cell>
          <cell r="X3805">
            <v>0</v>
          </cell>
          <cell r="Y3805">
            <v>7</v>
          </cell>
        </row>
        <row r="3806">
          <cell r="D3806">
            <v>312326</v>
          </cell>
          <cell r="E3806" t="str">
            <v>Cuaming HS</v>
          </cell>
          <cell r="F3806">
            <v>0</v>
          </cell>
          <cell r="G3806">
            <v>0</v>
          </cell>
          <cell r="H3806">
            <v>1</v>
          </cell>
          <cell r="I3806">
            <v>0</v>
          </cell>
          <cell r="J3806">
            <v>0</v>
          </cell>
          <cell r="K3806">
            <v>0</v>
          </cell>
          <cell r="L3806">
            <v>1</v>
          </cell>
          <cell r="M3806" t="str">
            <v>N/A</v>
          </cell>
          <cell r="N3806">
            <v>0</v>
          </cell>
          <cell r="O3806">
            <v>0</v>
          </cell>
          <cell r="P3806" t="str">
            <v>N/A</v>
          </cell>
          <cell r="Q3806">
            <v>0</v>
          </cell>
          <cell r="R3806">
            <v>0</v>
          </cell>
          <cell r="S3806">
            <v>0</v>
          </cell>
          <cell r="T3806">
            <v>1</v>
          </cell>
          <cell r="U3806" t="str">
            <v>N/A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</row>
        <row r="3807">
          <cell r="D3807">
            <v>312359</v>
          </cell>
          <cell r="E3807" t="str">
            <v>Katipunan High School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</row>
        <row r="3808">
          <cell r="D3808">
            <v>302947</v>
          </cell>
          <cell r="E3808" t="str">
            <v>Gaas NHS</v>
          </cell>
          <cell r="F3808">
            <v>1</v>
          </cell>
          <cell r="G3808">
            <v>0</v>
          </cell>
          <cell r="H3808">
            <v>1</v>
          </cell>
          <cell r="I3808">
            <v>0</v>
          </cell>
          <cell r="J3808">
            <v>0</v>
          </cell>
          <cell r="K3808">
            <v>1</v>
          </cell>
          <cell r="L3808">
            <v>1</v>
          </cell>
          <cell r="M3808" t="str">
            <v>N/A</v>
          </cell>
          <cell r="N3808">
            <v>1</v>
          </cell>
          <cell r="O3808" t="str">
            <v>JULY 25, 2019</v>
          </cell>
          <cell r="P3808" t="str">
            <v>NOVEMBER 4,2019</v>
          </cell>
          <cell r="Q3808">
            <v>0</v>
          </cell>
          <cell r="R3808">
            <v>1</v>
          </cell>
          <cell r="S3808">
            <v>0</v>
          </cell>
          <cell r="T3808">
            <v>1</v>
          </cell>
          <cell r="U3808" t="str">
            <v>N/A</v>
          </cell>
          <cell r="V3808">
            <v>1</v>
          </cell>
          <cell r="W3808">
            <v>0</v>
          </cell>
          <cell r="X3808">
            <v>0</v>
          </cell>
          <cell r="Y3808">
            <v>0</v>
          </cell>
        </row>
        <row r="3809">
          <cell r="D3809">
            <v>303029</v>
          </cell>
          <cell r="E3809" t="str">
            <v>Lamac National High School</v>
          </cell>
          <cell r="F3809">
            <v>1</v>
          </cell>
          <cell r="G3809">
            <v>1</v>
          </cell>
          <cell r="H3809">
            <v>1</v>
          </cell>
          <cell r="I3809">
            <v>0</v>
          </cell>
          <cell r="J3809">
            <v>1</v>
          </cell>
          <cell r="K3809">
            <v>0</v>
          </cell>
          <cell r="L3809">
            <v>0</v>
          </cell>
          <cell r="M3809">
            <v>0</v>
          </cell>
          <cell r="N3809">
            <v>1</v>
          </cell>
          <cell r="O3809">
            <v>0</v>
          </cell>
          <cell r="P3809">
            <v>43700</v>
          </cell>
          <cell r="Q3809">
            <v>0</v>
          </cell>
          <cell r="R3809">
            <v>1</v>
          </cell>
          <cell r="S3809">
            <v>0</v>
          </cell>
          <cell r="T3809">
            <v>0</v>
          </cell>
          <cell r="U3809">
            <v>0</v>
          </cell>
          <cell r="V3809">
            <v>1</v>
          </cell>
          <cell r="W3809">
            <v>35</v>
          </cell>
          <cell r="X3809">
            <v>35</v>
          </cell>
          <cell r="Y3809">
            <v>10</v>
          </cell>
        </row>
        <row r="3810">
          <cell r="D3810">
            <v>312351</v>
          </cell>
          <cell r="E3810" t="str">
            <v>Cagting High School</v>
          </cell>
          <cell r="F3810">
            <v>0</v>
          </cell>
          <cell r="G3810">
            <v>0</v>
          </cell>
          <cell r="H3810">
            <v>1</v>
          </cell>
          <cell r="I3810">
            <v>0</v>
          </cell>
          <cell r="J3810">
            <v>1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 t="str">
            <v>June, 2019</v>
          </cell>
          <cell r="Q3810">
            <v>1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1</v>
          </cell>
          <cell r="W3810">
            <v>0</v>
          </cell>
          <cell r="X3810">
            <v>0</v>
          </cell>
          <cell r="Y3810">
            <v>0</v>
          </cell>
        </row>
        <row r="3811">
          <cell r="D3811">
            <v>312303</v>
          </cell>
          <cell r="E3811" t="str">
            <v>Mayor Inocencio B. Mendez HS</v>
          </cell>
          <cell r="F3811">
            <v>1</v>
          </cell>
          <cell r="G3811">
            <v>1</v>
          </cell>
          <cell r="H3811">
            <v>1</v>
          </cell>
          <cell r="I3811">
            <v>0</v>
          </cell>
          <cell r="J3811">
            <v>1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1</v>
          </cell>
          <cell r="S3811">
            <v>0</v>
          </cell>
          <cell r="T3811">
            <v>0</v>
          </cell>
          <cell r="U3811">
            <v>0</v>
          </cell>
          <cell r="V3811">
            <v>1</v>
          </cell>
          <cell r="W3811">
            <v>0</v>
          </cell>
          <cell r="X3811">
            <v>0</v>
          </cell>
          <cell r="Y3811">
            <v>0</v>
          </cell>
        </row>
        <row r="3812">
          <cell r="D3812">
            <v>303148</v>
          </cell>
          <cell r="E3812" t="str">
            <v>Punta Princesa NHS (Night)</v>
          </cell>
          <cell r="F3812">
            <v>1</v>
          </cell>
          <cell r="G3812">
            <v>1</v>
          </cell>
          <cell r="H3812">
            <v>1</v>
          </cell>
          <cell r="I3812">
            <v>0</v>
          </cell>
          <cell r="J3812">
            <v>0</v>
          </cell>
          <cell r="K3812">
            <v>1</v>
          </cell>
          <cell r="L3812">
            <v>0</v>
          </cell>
          <cell r="M3812">
            <v>0</v>
          </cell>
          <cell r="N3812">
            <v>1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1</v>
          </cell>
          <cell r="T3812">
            <v>1</v>
          </cell>
          <cell r="U3812">
            <v>0</v>
          </cell>
          <cell r="V3812">
            <v>1</v>
          </cell>
          <cell r="W3812">
            <v>0</v>
          </cell>
          <cell r="X3812">
            <v>0</v>
          </cell>
          <cell r="Y3812">
            <v>0</v>
          </cell>
        </row>
        <row r="3813">
          <cell r="D3813">
            <v>312306</v>
          </cell>
          <cell r="E3813" t="str">
            <v>Canlaas High School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</row>
        <row r="3814">
          <cell r="D3814">
            <v>500224</v>
          </cell>
          <cell r="E3814" t="str">
            <v>Dr. Emilio Osmena HS</v>
          </cell>
          <cell r="F3814">
            <v>1</v>
          </cell>
          <cell r="G3814">
            <v>1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1</v>
          </cell>
          <cell r="S3814">
            <v>0</v>
          </cell>
          <cell r="T3814">
            <v>0</v>
          </cell>
          <cell r="U3814">
            <v>0</v>
          </cell>
          <cell r="V3814">
            <v>1</v>
          </cell>
          <cell r="W3814">
            <v>0</v>
          </cell>
          <cell r="X3814">
            <v>0</v>
          </cell>
          <cell r="Y3814">
            <v>0</v>
          </cell>
        </row>
        <row r="3815">
          <cell r="D3815">
            <v>312905</v>
          </cell>
          <cell r="E3815" t="str">
            <v>Sta. Agueda NHS - Calicanan HS Ext.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D3816">
            <v>312350</v>
          </cell>
          <cell r="E3816" t="str">
            <v>San Isidro High School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</row>
        <row r="3817">
          <cell r="D3817">
            <v>500221</v>
          </cell>
          <cell r="E3817" t="str">
            <v>Busogon Integrated School</v>
          </cell>
          <cell r="F3817">
            <v>1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</row>
        <row r="3818">
          <cell r="D3818">
            <v>303021</v>
          </cell>
          <cell r="E3818" t="str">
            <v>Jose R. Martinez Memorial National High School</v>
          </cell>
          <cell r="F3818">
            <v>0</v>
          </cell>
          <cell r="G3818">
            <v>0</v>
          </cell>
          <cell r="H3818">
            <v>1</v>
          </cell>
          <cell r="I3818">
            <v>0</v>
          </cell>
          <cell r="J3818">
            <v>1</v>
          </cell>
          <cell r="K3818">
            <v>0</v>
          </cell>
          <cell r="L3818">
            <v>0</v>
          </cell>
          <cell r="M3818">
            <v>0</v>
          </cell>
          <cell r="N3818">
            <v>1</v>
          </cell>
          <cell r="O3818">
            <v>0</v>
          </cell>
          <cell r="P3818">
            <v>0</v>
          </cell>
          <cell r="Q3818">
            <v>0</v>
          </cell>
          <cell r="R3818">
            <v>1</v>
          </cell>
          <cell r="S3818">
            <v>0</v>
          </cell>
          <cell r="T3818">
            <v>0</v>
          </cell>
          <cell r="U3818">
            <v>0</v>
          </cell>
          <cell r="V3818">
            <v>1</v>
          </cell>
          <cell r="W3818">
            <v>0</v>
          </cell>
          <cell r="X3818">
            <v>0</v>
          </cell>
          <cell r="Y3818">
            <v>0</v>
          </cell>
        </row>
        <row r="3819">
          <cell r="D3819">
            <v>302827</v>
          </cell>
          <cell r="E3819" t="str">
            <v>Campao Oriental High School</v>
          </cell>
          <cell r="F3819">
            <v>1</v>
          </cell>
          <cell r="G3819">
            <v>1</v>
          </cell>
          <cell r="H3819">
            <v>1</v>
          </cell>
          <cell r="I3819">
            <v>0</v>
          </cell>
          <cell r="J3819">
            <v>1</v>
          </cell>
          <cell r="K3819">
            <v>0</v>
          </cell>
          <cell r="L3819">
            <v>0</v>
          </cell>
          <cell r="M3819">
            <v>0</v>
          </cell>
          <cell r="N3819">
            <v>1</v>
          </cell>
          <cell r="O3819">
            <v>43707</v>
          </cell>
          <cell r="P3819">
            <v>43707</v>
          </cell>
          <cell r="Q3819">
            <v>0</v>
          </cell>
          <cell r="R3819">
            <v>1</v>
          </cell>
          <cell r="S3819">
            <v>0</v>
          </cell>
          <cell r="T3819">
            <v>0</v>
          </cell>
          <cell r="U3819">
            <v>0</v>
          </cell>
          <cell r="V3819">
            <v>1</v>
          </cell>
          <cell r="W3819">
            <v>0</v>
          </cell>
          <cell r="X3819">
            <v>0</v>
          </cell>
          <cell r="Y3819">
            <v>0</v>
          </cell>
        </row>
        <row r="3820">
          <cell r="D3820">
            <v>303099</v>
          </cell>
          <cell r="E3820" t="str">
            <v>Oslob NHS</v>
          </cell>
          <cell r="F3820">
            <v>1</v>
          </cell>
          <cell r="G3820">
            <v>0</v>
          </cell>
          <cell r="H3820">
            <v>1</v>
          </cell>
          <cell r="I3820">
            <v>0</v>
          </cell>
          <cell r="J3820">
            <v>0</v>
          </cell>
          <cell r="K3820">
            <v>1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D3821">
            <v>312312</v>
          </cell>
          <cell r="E3821" t="str">
            <v>Panghagban HS</v>
          </cell>
          <cell r="F3821">
            <v>0</v>
          </cell>
          <cell r="G3821">
            <v>0</v>
          </cell>
          <cell r="H3821">
            <v>1</v>
          </cell>
          <cell r="I3821">
            <v>0</v>
          </cell>
          <cell r="J3821">
            <v>0</v>
          </cell>
          <cell r="K3821">
            <v>1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1</v>
          </cell>
          <cell r="U3821" t="str">
            <v>as needed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</row>
        <row r="3822">
          <cell r="D3822">
            <v>302836</v>
          </cell>
          <cell r="E3822" t="str">
            <v>Clarin National School of Fisheries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</row>
        <row r="3823">
          <cell r="D3823">
            <v>302808</v>
          </cell>
          <cell r="E3823" t="str">
            <v>Aguining National High School</v>
          </cell>
          <cell r="F3823">
            <v>1</v>
          </cell>
          <cell r="G3823">
            <v>1</v>
          </cell>
          <cell r="H3823">
            <v>1</v>
          </cell>
          <cell r="I3823">
            <v>0</v>
          </cell>
          <cell r="J3823">
            <v>1</v>
          </cell>
          <cell r="K3823">
            <v>0</v>
          </cell>
          <cell r="L3823">
            <v>0</v>
          </cell>
          <cell r="M3823">
            <v>0</v>
          </cell>
          <cell r="N3823">
            <v>1</v>
          </cell>
          <cell r="O3823" t="str">
            <v>07/19/2019</v>
          </cell>
          <cell r="P3823" t="str">
            <v>07/19/2019</v>
          </cell>
          <cell r="Q3823">
            <v>0</v>
          </cell>
          <cell r="R3823">
            <v>1</v>
          </cell>
          <cell r="S3823">
            <v>0</v>
          </cell>
          <cell r="T3823">
            <v>0</v>
          </cell>
          <cell r="U3823">
            <v>0</v>
          </cell>
          <cell r="V3823">
            <v>1</v>
          </cell>
          <cell r="W3823">
            <v>0</v>
          </cell>
          <cell r="X3823">
            <v>0</v>
          </cell>
          <cell r="Y3823">
            <v>0</v>
          </cell>
        </row>
        <row r="3824">
          <cell r="D3824">
            <v>500218</v>
          </cell>
          <cell r="E3824" t="str">
            <v>Naga Special Education Center Elementary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</row>
        <row r="3825">
          <cell r="D3825">
            <v>312328</v>
          </cell>
          <cell r="E3825" t="str">
            <v>Sebastian A. Jala Memorial High School</v>
          </cell>
          <cell r="F3825">
            <v>1</v>
          </cell>
          <cell r="G3825">
            <v>0</v>
          </cell>
          <cell r="H3825">
            <v>1</v>
          </cell>
          <cell r="I3825">
            <v>0</v>
          </cell>
          <cell r="J3825">
            <v>1</v>
          </cell>
          <cell r="K3825">
            <v>0</v>
          </cell>
          <cell r="L3825">
            <v>0</v>
          </cell>
          <cell r="M3825">
            <v>0</v>
          </cell>
          <cell r="N3825">
            <v>1</v>
          </cell>
          <cell r="O3825">
            <v>0</v>
          </cell>
          <cell r="P3825">
            <v>43629</v>
          </cell>
          <cell r="Q3825">
            <v>0</v>
          </cell>
          <cell r="R3825">
            <v>1</v>
          </cell>
          <cell r="S3825">
            <v>0</v>
          </cell>
          <cell r="T3825">
            <v>0</v>
          </cell>
          <cell r="U3825">
            <v>0</v>
          </cell>
          <cell r="V3825">
            <v>1</v>
          </cell>
          <cell r="W3825">
            <v>0</v>
          </cell>
          <cell r="X3825">
            <v>0</v>
          </cell>
          <cell r="Y3825">
            <v>0</v>
          </cell>
        </row>
        <row r="3826">
          <cell r="D3826">
            <v>303121</v>
          </cell>
          <cell r="E3826" t="str">
            <v>Uling National High School</v>
          </cell>
          <cell r="F3826">
            <v>1</v>
          </cell>
          <cell r="G3826">
            <v>1</v>
          </cell>
          <cell r="H3826">
            <v>1</v>
          </cell>
          <cell r="I3826">
            <v>0</v>
          </cell>
          <cell r="J3826">
            <v>1</v>
          </cell>
          <cell r="K3826">
            <v>0</v>
          </cell>
          <cell r="L3826">
            <v>0</v>
          </cell>
          <cell r="M3826">
            <v>0</v>
          </cell>
          <cell r="N3826">
            <v>1</v>
          </cell>
          <cell r="O3826" t="str">
            <v>Sept. 23,2019</v>
          </cell>
          <cell r="P3826" t="str">
            <v>Nov. 15,2019</v>
          </cell>
          <cell r="Q3826">
            <v>1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1</v>
          </cell>
          <cell r="W3826">
            <v>0</v>
          </cell>
          <cell r="X3826">
            <v>0</v>
          </cell>
          <cell r="Y3826">
            <v>0</v>
          </cell>
        </row>
        <row r="3827">
          <cell r="D3827">
            <v>302816</v>
          </cell>
          <cell r="E3827" t="str">
            <v>Biabas Trade High School</v>
          </cell>
          <cell r="F3827">
            <v>1</v>
          </cell>
          <cell r="G3827">
            <v>1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1</v>
          </cell>
          <cell r="M3827" t="str">
            <v>as the need arises</v>
          </cell>
          <cell r="N3827">
            <v>1</v>
          </cell>
          <cell r="O3827">
            <v>43622</v>
          </cell>
          <cell r="P3827">
            <v>43622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</row>
        <row r="3828">
          <cell r="D3828">
            <v>302857</v>
          </cell>
          <cell r="E3828" t="str">
            <v>Hingotanan NHS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</row>
        <row r="3829">
          <cell r="D3829">
            <v>302881</v>
          </cell>
          <cell r="E3829" t="str">
            <v>Pagnitoan National High School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</row>
        <row r="3830">
          <cell r="D3830">
            <v>312309</v>
          </cell>
          <cell r="E3830" t="str">
            <v>JAPeR Memorial High School</v>
          </cell>
          <cell r="F3830">
            <v>1</v>
          </cell>
          <cell r="G3830">
            <v>0</v>
          </cell>
          <cell r="H3830">
            <v>1</v>
          </cell>
          <cell r="I3830">
            <v>0</v>
          </cell>
          <cell r="J3830">
            <v>1</v>
          </cell>
          <cell r="K3830">
            <v>0</v>
          </cell>
          <cell r="L3830">
            <v>0</v>
          </cell>
          <cell r="M3830">
            <v>0</v>
          </cell>
          <cell r="N3830">
            <v>1</v>
          </cell>
          <cell r="O3830">
            <v>43644</v>
          </cell>
          <cell r="P3830">
            <v>43652</v>
          </cell>
          <cell r="Q3830">
            <v>0</v>
          </cell>
          <cell r="R3830">
            <v>1</v>
          </cell>
          <cell r="S3830">
            <v>0</v>
          </cell>
          <cell r="T3830">
            <v>0</v>
          </cell>
          <cell r="U3830">
            <v>0</v>
          </cell>
          <cell r="V3830">
            <v>1</v>
          </cell>
          <cell r="W3830">
            <v>2</v>
          </cell>
          <cell r="X3830">
            <v>0</v>
          </cell>
          <cell r="Y3830">
            <v>0</v>
          </cell>
        </row>
        <row r="3831">
          <cell r="D3831">
            <v>303001</v>
          </cell>
          <cell r="E3831" t="str">
            <v>Dapdap NHS, San Remigio</v>
          </cell>
          <cell r="F3831">
            <v>1</v>
          </cell>
          <cell r="G3831">
            <v>1</v>
          </cell>
          <cell r="H3831">
            <v>1</v>
          </cell>
          <cell r="I3831">
            <v>0</v>
          </cell>
          <cell r="J3831">
            <v>1</v>
          </cell>
          <cell r="K3831">
            <v>0</v>
          </cell>
          <cell r="L3831">
            <v>0</v>
          </cell>
          <cell r="M3831">
            <v>0</v>
          </cell>
          <cell r="N3831">
            <v>1</v>
          </cell>
          <cell r="O3831">
            <v>0</v>
          </cell>
          <cell r="P3831">
            <v>43626</v>
          </cell>
          <cell r="Q3831">
            <v>1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1</v>
          </cell>
          <cell r="W3831">
            <v>3</v>
          </cell>
          <cell r="X3831">
            <v>2</v>
          </cell>
          <cell r="Y3831">
            <v>2</v>
          </cell>
        </row>
        <row r="3832">
          <cell r="D3832">
            <v>302814</v>
          </cell>
          <cell r="E3832" t="str">
            <v>Zosimo A. Gulle Memorial National High School</v>
          </cell>
          <cell r="F3832">
            <v>1</v>
          </cell>
          <cell r="G3832">
            <v>0</v>
          </cell>
          <cell r="H3832">
            <v>1</v>
          </cell>
          <cell r="I3832">
            <v>0</v>
          </cell>
          <cell r="J3832">
            <v>1</v>
          </cell>
          <cell r="K3832">
            <v>0</v>
          </cell>
          <cell r="L3832">
            <v>0</v>
          </cell>
          <cell r="M3832">
            <v>0</v>
          </cell>
          <cell r="N3832">
            <v>1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1</v>
          </cell>
          <cell r="T3832">
            <v>0</v>
          </cell>
          <cell r="U3832">
            <v>0</v>
          </cell>
          <cell r="V3832">
            <v>1</v>
          </cell>
          <cell r="W3832">
            <v>0</v>
          </cell>
          <cell r="X3832">
            <v>0</v>
          </cell>
          <cell r="Y3832">
            <v>0</v>
          </cell>
        </row>
        <row r="3833">
          <cell r="D3833">
            <v>303287</v>
          </cell>
          <cell r="E3833" t="str">
            <v>Lourdes L. del Prado MNHS (Pal-ew)</v>
          </cell>
          <cell r="F3833">
            <v>0</v>
          </cell>
          <cell r="G3833">
            <v>0</v>
          </cell>
          <cell r="H3833">
            <v>1</v>
          </cell>
          <cell r="I3833">
            <v>0</v>
          </cell>
          <cell r="J3833">
            <v>1</v>
          </cell>
          <cell r="K3833">
            <v>0</v>
          </cell>
          <cell r="L3833">
            <v>0</v>
          </cell>
          <cell r="M3833">
            <v>0</v>
          </cell>
          <cell r="N3833">
            <v>1</v>
          </cell>
          <cell r="O3833" t="str">
            <v>September 19. 2019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</row>
        <row r="3834">
          <cell r="D3834">
            <v>302832</v>
          </cell>
          <cell r="E3834" t="str">
            <v>Canhayupon NHS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</row>
        <row r="3835">
          <cell r="D3835">
            <v>303000</v>
          </cell>
          <cell r="E3835" t="str">
            <v>Mantalongon NHS</v>
          </cell>
          <cell r="F3835">
            <v>1</v>
          </cell>
          <cell r="G3835">
            <v>1</v>
          </cell>
          <cell r="H3835">
            <v>1</v>
          </cell>
          <cell r="I3835">
            <v>0</v>
          </cell>
          <cell r="J3835">
            <v>0</v>
          </cell>
          <cell r="K3835">
            <v>1</v>
          </cell>
          <cell r="L3835">
            <v>0</v>
          </cell>
          <cell r="M3835">
            <v>0</v>
          </cell>
          <cell r="N3835">
            <v>1</v>
          </cell>
          <cell r="O3835">
            <v>0</v>
          </cell>
          <cell r="P3835">
            <v>0</v>
          </cell>
          <cell r="Q3835">
            <v>1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1</v>
          </cell>
          <cell r="W3835">
            <v>0</v>
          </cell>
          <cell r="X3835">
            <v>0</v>
          </cell>
          <cell r="Y3835">
            <v>0</v>
          </cell>
        </row>
        <row r="3836">
          <cell r="D3836">
            <v>303294</v>
          </cell>
          <cell r="E3836" t="str">
            <v>Kinamandagan High School</v>
          </cell>
          <cell r="F3836">
            <v>1</v>
          </cell>
          <cell r="G3836">
            <v>1</v>
          </cell>
          <cell r="H3836">
            <v>1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1</v>
          </cell>
          <cell r="O3836" t="str">
            <v>August 5, 2019</v>
          </cell>
          <cell r="P3836" t="str">
            <v>July 23, 2019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1</v>
          </cell>
          <cell r="W3836">
            <v>0</v>
          </cell>
          <cell r="X3836">
            <v>0</v>
          </cell>
          <cell r="Y3836">
            <v>0</v>
          </cell>
        </row>
        <row r="3837">
          <cell r="D3837">
            <v>302888</v>
          </cell>
          <cell r="E3837" t="str">
            <v>Eugenio V. Amores MHS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1</v>
          </cell>
          <cell r="M3837" t="str">
            <v>N/A</v>
          </cell>
          <cell r="N3837">
            <v>0</v>
          </cell>
          <cell r="O3837" t="str">
            <v>N/A</v>
          </cell>
          <cell r="P3837" t="str">
            <v>N/A</v>
          </cell>
          <cell r="Q3837">
            <v>0</v>
          </cell>
          <cell r="R3837">
            <v>0</v>
          </cell>
          <cell r="S3837">
            <v>0</v>
          </cell>
          <cell r="T3837">
            <v>1</v>
          </cell>
          <cell r="U3837" t="str">
            <v>N/A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</row>
        <row r="3838">
          <cell r="D3838">
            <v>302906</v>
          </cell>
          <cell r="E3838" t="str">
            <v>Sikatuna NHS</v>
          </cell>
          <cell r="F3838">
            <v>1</v>
          </cell>
          <cell r="G3838">
            <v>1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1</v>
          </cell>
          <cell r="O3838">
            <v>0</v>
          </cell>
          <cell r="P3838">
            <v>43647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1</v>
          </cell>
          <cell r="X3838">
            <v>1</v>
          </cell>
          <cell r="Y3838">
            <v>1</v>
          </cell>
        </row>
        <row r="3839">
          <cell r="D3839">
            <v>303049</v>
          </cell>
          <cell r="E3839" t="str">
            <v>Magsico NHS</v>
          </cell>
          <cell r="F3839">
            <v>1</v>
          </cell>
          <cell r="G3839">
            <v>1</v>
          </cell>
          <cell r="H3839">
            <v>0</v>
          </cell>
          <cell r="I3839">
            <v>0</v>
          </cell>
          <cell r="J3839">
            <v>1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</row>
        <row r="3840">
          <cell r="D3840">
            <v>303036</v>
          </cell>
          <cell r="E3840" t="str">
            <v>Lawaan National High School</v>
          </cell>
          <cell r="F3840">
            <v>1</v>
          </cell>
          <cell r="G3840">
            <v>0</v>
          </cell>
          <cell r="H3840">
            <v>1</v>
          </cell>
          <cell r="I3840">
            <v>0</v>
          </cell>
          <cell r="J3840">
            <v>1</v>
          </cell>
          <cell r="K3840">
            <v>1</v>
          </cell>
          <cell r="L3840">
            <v>0</v>
          </cell>
          <cell r="M3840">
            <v>0</v>
          </cell>
          <cell r="N3840">
            <v>1</v>
          </cell>
          <cell r="O3840">
            <v>0</v>
          </cell>
          <cell r="P3840">
            <v>0</v>
          </cell>
          <cell r="Q3840">
            <v>0</v>
          </cell>
          <cell r="R3840">
            <v>1</v>
          </cell>
          <cell r="S3840">
            <v>1</v>
          </cell>
          <cell r="T3840">
            <v>0</v>
          </cell>
          <cell r="U3840">
            <v>0</v>
          </cell>
          <cell r="V3840">
            <v>1</v>
          </cell>
          <cell r="W3840">
            <v>0</v>
          </cell>
          <cell r="X3840">
            <v>0</v>
          </cell>
          <cell r="Y3840">
            <v>0</v>
          </cell>
        </row>
        <row r="3841">
          <cell r="D3841">
            <v>303124</v>
          </cell>
          <cell r="E3841" t="str">
            <v>Calagasan National High School</v>
          </cell>
          <cell r="F3841">
            <v>1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</row>
        <row r="3842">
          <cell r="D3842">
            <v>302943</v>
          </cell>
          <cell r="E3842" t="str">
            <v>El Pardo NHS</v>
          </cell>
          <cell r="F3842">
            <v>1</v>
          </cell>
          <cell r="G3842">
            <v>1</v>
          </cell>
          <cell r="H3842">
            <v>1</v>
          </cell>
          <cell r="I3842">
            <v>0</v>
          </cell>
          <cell r="J3842">
            <v>1</v>
          </cell>
          <cell r="K3842">
            <v>0</v>
          </cell>
          <cell r="L3842">
            <v>0</v>
          </cell>
          <cell r="M3842">
            <v>0</v>
          </cell>
          <cell r="N3842">
            <v>1</v>
          </cell>
          <cell r="O3842">
            <v>0</v>
          </cell>
          <cell r="P3842" t="str">
            <v>10/30/2019</v>
          </cell>
          <cell r="Q3842">
            <v>1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1</v>
          </cell>
          <cell r="W3842">
            <v>0</v>
          </cell>
          <cell r="X3842">
            <v>0</v>
          </cell>
          <cell r="Y3842">
            <v>0</v>
          </cell>
        </row>
        <row r="3843">
          <cell r="D3843">
            <v>312454</v>
          </cell>
          <cell r="E3843" t="str">
            <v>Tan-awan NHS</v>
          </cell>
          <cell r="F3843">
            <v>1</v>
          </cell>
          <cell r="G3843">
            <v>1</v>
          </cell>
          <cell r="H3843">
            <v>1</v>
          </cell>
          <cell r="I3843">
            <v>0</v>
          </cell>
          <cell r="J3843">
            <v>1</v>
          </cell>
          <cell r="K3843">
            <v>0</v>
          </cell>
          <cell r="L3843">
            <v>0</v>
          </cell>
          <cell r="M3843">
            <v>0</v>
          </cell>
          <cell r="N3843">
            <v>1</v>
          </cell>
          <cell r="O3843">
            <v>43560</v>
          </cell>
          <cell r="P3843">
            <v>43560</v>
          </cell>
          <cell r="Q3843">
            <v>0</v>
          </cell>
          <cell r="R3843">
            <v>0</v>
          </cell>
          <cell r="S3843">
            <v>1</v>
          </cell>
          <cell r="T3843">
            <v>0</v>
          </cell>
          <cell r="U3843">
            <v>0</v>
          </cell>
          <cell r="V3843">
            <v>0</v>
          </cell>
          <cell r="W3843">
            <v>5</v>
          </cell>
          <cell r="X3843">
            <v>5</v>
          </cell>
          <cell r="Y3843">
            <v>5</v>
          </cell>
        </row>
        <row r="3844">
          <cell r="D3844">
            <v>302999</v>
          </cell>
          <cell r="E3844" t="str">
            <v>Manlapay National High School</v>
          </cell>
          <cell r="F3844">
            <v>1</v>
          </cell>
          <cell r="G3844">
            <v>1</v>
          </cell>
          <cell r="H3844">
            <v>1</v>
          </cell>
          <cell r="I3844">
            <v>1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1</v>
          </cell>
          <cell r="O3844">
            <v>43777</v>
          </cell>
          <cell r="P3844">
            <v>43777</v>
          </cell>
          <cell r="Q3844">
            <v>1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1</v>
          </cell>
          <cell r="W3844">
            <v>5</v>
          </cell>
          <cell r="X3844">
            <v>5</v>
          </cell>
          <cell r="Y3844">
            <v>5</v>
          </cell>
        </row>
        <row r="3845">
          <cell r="D3845">
            <v>302986</v>
          </cell>
          <cell r="E3845" t="str">
            <v>Mandilikit NHS</v>
          </cell>
          <cell r="F3845">
            <v>1</v>
          </cell>
          <cell r="G3845">
            <v>1</v>
          </cell>
          <cell r="H3845">
            <v>1</v>
          </cell>
          <cell r="I3845">
            <v>0</v>
          </cell>
          <cell r="J3845">
            <v>1</v>
          </cell>
          <cell r="K3845">
            <v>0</v>
          </cell>
          <cell r="L3845">
            <v>0</v>
          </cell>
          <cell r="M3845">
            <v>43687</v>
          </cell>
          <cell r="N3845">
            <v>1</v>
          </cell>
          <cell r="O3845">
            <v>0</v>
          </cell>
          <cell r="P3845">
            <v>43691</v>
          </cell>
          <cell r="Q3845">
            <v>0</v>
          </cell>
          <cell r="R3845">
            <v>1</v>
          </cell>
          <cell r="S3845">
            <v>0</v>
          </cell>
          <cell r="T3845">
            <v>0</v>
          </cell>
          <cell r="U3845">
            <v>0</v>
          </cell>
          <cell r="V3845">
            <v>1</v>
          </cell>
          <cell r="W3845">
            <v>0</v>
          </cell>
          <cell r="X3845">
            <v>0</v>
          </cell>
          <cell r="Y3845">
            <v>0</v>
          </cell>
        </row>
        <row r="3846">
          <cell r="D3846">
            <v>302898</v>
          </cell>
          <cell r="E3846" t="str">
            <v>Bugang National High School</v>
          </cell>
          <cell r="F3846">
            <v>1</v>
          </cell>
          <cell r="G3846">
            <v>1</v>
          </cell>
          <cell r="H3846">
            <v>1</v>
          </cell>
          <cell r="I3846">
            <v>0</v>
          </cell>
          <cell r="J3846">
            <v>0</v>
          </cell>
          <cell r="K3846">
            <v>1</v>
          </cell>
          <cell r="L3846">
            <v>0</v>
          </cell>
          <cell r="M3846">
            <v>0</v>
          </cell>
          <cell r="N3846">
            <v>1</v>
          </cell>
          <cell r="O3846" t="str">
            <v>June 21, 2019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</row>
        <row r="3847">
          <cell r="D3847">
            <v>302878</v>
          </cell>
          <cell r="E3847" t="str">
            <v>Mayuga NHS</v>
          </cell>
          <cell r="F3847">
            <v>1</v>
          </cell>
          <cell r="G3847">
            <v>0</v>
          </cell>
          <cell r="H3847">
            <v>1</v>
          </cell>
          <cell r="I3847">
            <v>0</v>
          </cell>
          <cell r="J3847">
            <v>1</v>
          </cell>
          <cell r="K3847">
            <v>0</v>
          </cell>
          <cell r="L3847">
            <v>0</v>
          </cell>
          <cell r="M3847">
            <v>0</v>
          </cell>
          <cell r="N3847">
            <v>1</v>
          </cell>
          <cell r="O3847">
            <v>0</v>
          </cell>
          <cell r="P3847">
            <v>0</v>
          </cell>
          <cell r="Q3847">
            <v>1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</row>
        <row r="3848">
          <cell r="D3848">
            <v>312426</v>
          </cell>
          <cell r="E3848" t="str">
            <v>Cañang-Marcelo Luna NHS</v>
          </cell>
          <cell r="F3848">
            <v>1</v>
          </cell>
          <cell r="G3848">
            <v>1</v>
          </cell>
          <cell r="H3848">
            <v>1</v>
          </cell>
          <cell r="I3848">
            <v>0</v>
          </cell>
          <cell r="J3848">
            <v>1</v>
          </cell>
          <cell r="K3848">
            <v>0</v>
          </cell>
          <cell r="L3848">
            <v>0</v>
          </cell>
          <cell r="M3848">
            <v>0</v>
          </cell>
          <cell r="N3848">
            <v>1</v>
          </cell>
          <cell r="O3848" t="str">
            <v>August 19, 2019</v>
          </cell>
          <cell r="P3848" t="str">
            <v>August 19, 2019</v>
          </cell>
          <cell r="Q3848">
            <v>0</v>
          </cell>
          <cell r="R3848">
            <v>1</v>
          </cell>
          <cell r="S3848">
            <v>0</v>
          </cell>
          <cell r="T3848">
            <v>0</v>
          </cell>
          <cell r="U3848">
            <v>0</v>
          </cell>
          <cell r="V3848">
            <v>1</v>
          </cell>
          <cell r="W3848">
            <v>3</v>
          </cell>
          <cell r="X3848">
            <v>2</v>
          </cell>
          <cell r="Y3848">
            <v>2</v>
          </cell>
        </row>
        <row r="3849">
          <cell r="D3849">
            <v>500661</v>
          </cell>
          <cell r="E3849" t="str">
            <v>Cansaloay Integrated School</v>
          </cell>
          <cell r="F3849">
            <v>1</v>
          </cell>
          <cell r="G3849">
            <v>0</v>
          </cell>
          <cell r="H3849">
            <v>1</v>
          </cell>
          <cell r="I3849">
            <v>1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1</v>
          </cell>
          <cell r="O3849" t="str">
            <v>OCTOBER 25, 2019</v>
          </cell>
          <cell r="P3849" t="str">
            <v>NOVEMBER 15, 2019</v>
          </cell>
          <cell r="Q3849">
            <v>1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1</v>
          </cell>
          <cell r="W3849">
            <v>4</v>
          </cell>
          <cell r="X3849">
            <v>1</v>
          </cell>
          <cell r="Y3849">
            <v>1</v>
          </cell>
        </row>
        <row r="3850">
          <cell r="D3850">
            <v>302935</v>
          </cell>
          <cell r="E3850" t="str">
            <v>La Paz NHS</v>
          </cell>
          <cell r="F3850">
            <v>1</v>
          </cell>
          <cell r="G3850">
            <v>1</v>
          </cell>
          <cell r="H3850">
            <v>1</v>
          </cell>
          <cell r="I3850">
            <v>0</v>
          </cell>
          <cell r="J3850">
            <v>1</v>
          </cell>
          <cell r="K3850">
            <v>0</v>
          </cell>
          <cell r="L3850">
            <v>0</v>
          </cell>
          <cell r="M3850">
            <v>0</v>
          </cell>
          <cell r="N3850">
            <v>1</v>
          </cell>
          <cell r="O3850">
            <v>43525</v>
          </cell>
          <cell r="P3850">
            <v>43591</v>
          </cell>
          <cell r="Q3850">
            <v>0</v>
          </cell>
          <cell r="R3850">
            <v>1</v>
          </cell>
          <cell r="S3850">
            <v>0</v>
          </cell>
          <cell r="T3850">
            <v>0</v>
          </cell>
          <cell r="U3850">
            <v>0</v>
          </cell>
          <cell r="V3850">
            <v>1</v>
          </cell>
          <cell r="W3850">
            <v>0</v>
          </cell>
          <cell r="X3850">
            <v>0</v>
          </cell>
          <cell r="Y3850">
            <v>0</v>
          </cell>
        </row>
        <row r="3851">
          <cell r="D3851">
            <v>302818</v>
          </cell>
          <cell r="E3851" t="str">
            <v>Bilar NHS</v>
          </cell>
          <cell r="F3851">
            <v>1</v>
          </cell>
          <cell r="G3851">
            <v>0</v>
          </cell>
          <cell r="H3851">
            <v>1</v>
          </cell>
          <cell r="I3851">
            <v>0</v>
          </cell>
          <cell r="J3851">
            <v>0</v>
          </cell>
          <cell r="K3851">
            <v>0</v>
          </cell>
          <cell r="L3851">
            <v>1</v>
          </cell>
          <cell r="M3851" t="str">
            <v>as the need arises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</row>
        <row r="3852">
          <cell r="D3852">
            <v>500650</v>
          </cell>
          <cell r="E3852" t="str">
            <v>Pasol-Pugalo Integrated School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</row>
        <row r="3853">
          <cell r="D3853">
            <v>500231</v>
          </cell>
          <cell r="E3853" t="str">
            <v>SIBUGAY HS</v>
          </cell>
          <cell r="F3853">
            <v>1</v>
          </cell>
          <cell r="G3853">
            <v>1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</row>
        <row r="3854">
          <cell r="D3854">
            <v>302953</v>
          </cell>
          <cell r="E3854" t="str">
            <v>Bulasa NHS</v>
          </cell>
          <cell r="F3854">
            <v>1</v>
          </cell>
          <cell r="G3854">
            <v>1</v>
          </cell>
          <cell r="H3854">
            <v>1</v>
          </cell>
          <cell r="I3854">
            <v>0</v>
          </cell>
          <cell r="J3854">
            <v>0</v>
          </cell>
          <cell r="K3854">
            <v>0</v>
          </cell>
          <cell r="L3854">
            <v>1</v>
          </cell>
          <cell r="M3854" t="str">
            <v>As the need arises</v>
          </cell>
          <cell r="N3854">
            <v>0</v>
          </cell>
          <cell r="O3854">
            <v>0</v>
          </cell>
          <cell r="P3854" t="str">
            <v>08/27/2019</v>
          </cell>
          <cell r="Q3854">
            <v>0</v>
          </cell>
          <cell r="R3854">
            <v>1</v>
          </cell>
          <cell r="S3854">
            <v>0</v>
          </cell>
          <cell r="T3854">
            <v>0</v>
          </cell>
          <cell r="U3854">
            <v>0</v>
          </cell>
          <cell r="V3854">
            <v>1</v>
          </cell>
          <cell r="W3854">
            <v>0</v>
          </cell>
          <cell r="X3854">
            <v>0</v>
          </cell>
          <cell r="Y3854">
            <v>0</v>
          </cell>
        </row>
        <row r="3855">
          <cell r="D3855">
            <v>303098</v>
          </cell>
          <cell r="E3855" t="str">
            <v>Santander NHS</v>
          </cell>
          <cell r="F3855">
            <v>1</v>
          </cell>
          <cell r="G3855">
            <v>1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</row>
        <row r="3856">
          <cell r="D3856">
            <v>303089</v>
          </cell>
          <cell r="E3856" t="str">
            <v>San Sebastian NHS</v>
          </cell>
          <cell r="F3856">
            <v>1</v>
          </cell>
          <cell r="G3856">
            <v>1</v>
          </cell>
          <cell r="H3856">
            <v>1</v>
          </cell>
          <cell r="I3856">
            <v>1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1</v>
          </cell>
          <cell r="O3856" t="str">
            <v>October 31, 2019</v>
          </cell>
          <cell r="P3856">
            <v>0</v>
          </cell>
          <cell r="Q3856">
            <v>1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1</v>
          </cell>
          <cell r="W3856">
            <v>0</v>
          </cell>
          <cell r="X3856">
            <v>0</v>
          </cell>
          <cell r="Y3856">
            <v>0</v>
          </cell>
        </row>
        <row r="3857">
          <cell r="D3857">
            <v>302942</v>
          </cell>
          <cell r="E3857" t="str">
            <v>Boljoon National High School</v>
          </cell>
          <cell r="F3857">
            <v>1</v>
          </cell>
          <cell r="G3857">
            <v>0</v>
          </cell>
          <cell r="H3857">
            <v>1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</row>
        <row r="3858">
          <cell r="D3858">
            <v>302917</v>
          </cell>
          <cell r="E3858" t="str">
            <v>Alcoy National High School</v>
          </cell>
          <cell r="F3858">
            <v>1</v>
          </cell>
          <cell r="G3858">
            <v>1</v>
          </cell>
          <cell r="H3858">
            <v>1</v>
          </cell>
          <cell r="I3858">
            <v>1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1</v>
          </cell>
          <cell r="O3858">
            <v>0</v>
          </cell>
          <cell r="P3858">
            <v>0</v>
          </cell>
          <cell r="Q3858">
            <v>1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1</v>
          </cell>
          <cell r="W3858">
            <v>1</v>
          </cell>
          <cell r="X3858">
            <v>1</v>
          </cell>
          <cell r="Y3858">
            <v>0</v>
          </cell>
        </row>
        <row r="3859">
          <cell r="D3859">
            <v>312460</v>
          </cell>
          <cell r="E3859" t="str">
            <v>Montpeller NHS</v>
          </cell>
          <cell r="F3859">
            <v>1</v>
          </cell>
          <cell r="G3859">
            <v>1</v>
          </cell>
          <cell r="H3859">
            <v>1</v>
          </cell>
          <cell r="I3859">
            <v>0</v>
          </cell>
          <cell r="J3859">
            <v>0</v>
          </cell>
          <cell r="K3859">
            <v>1</v>
          </cell>
          <cell r="L3859">
            <v>0</v>
          </cell>
          <cell r="M3859">
            <v>0</v>
          </cell>
          <cell r="N3859">
            <v>0</v>
          </cell>
          <cell r="O3859" t="str">
            <v>06/30/2019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</row>
        <row r="3860">
          <cell r="D3860">
            <v>312411</v>
          </cell>
          <cell r="E3860" t="str">
            <v>Caleriohan National High School</v>
          </cell>
          <cell r="F3860">
            <v>1</v>
          </cell>
          <cell r="G3860">
            <v>1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1</v>
          </cell>
          <cell r="M3860" t="str">
            <v>NA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1</v>
          </cell>
          <cell r="U3860" t="str">
            <v>NA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</row>
        <row r="3861">
          <cell r="D3861">
            <v>312425</v>
          </cell>
          <cell r="E3861" t="str">
            <v>Pedro B. Uy Calderon Memorial National High School</v>
          </cell>
          <cell r="F3861">
            <v>1</v>
          </cell>
          <cell r="G3861">
            <v>1</v>
          </cell>
          <cell r="H3861">
            <v>1</v>
          </cell>
          <cell r="I3861">
            <v>1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1</v>
          </cell>
          <cell r="O3861" t="str">
            <v>OCTOBER 10,2019</v>
          </cell>
          <cell r="P3861" t="str">
            <v>NOVEMBER 4, 2019</v>
          </cell>
          <cell r="Q3861">
            <v>1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1</v>
          </cell>
          <cell r="W3861">
            <v>0</v>
          </cell>
          <cell r="X3861">
            <v>0</v>
          </cell>
          <cell r="Y3861">
            <v>0</v>
          </cell>
        </row>
        <row r="3862">
          <cell r="D3862">
            <v>303078</v>
          </cell>
          <cell r="E3862" t="str">
            <v>Lut-od NHS</v>
          </cell>
          <cell r="F3862">
            <v>1</v>
          </cell>
          <cell r="G3862">
            <v>1</v>
          </cell>
          <cell r="H3862">
            <v>1</v>
          </cell>
          <cell r="I3862">
            <v>1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1</v>
          </cell>
          <cell r="O3862">
            <v>43625</v>
          </cell>
          <cell r="P3862" t="str">
            <v>10/16/2019</v>
          </cell>
          <cell r="Q3862">
            <v>0</v>
          </cell>
          <cell r="R3862">
            <v>1</v>
          </cell>
          <cell r="S3862">
            <v>0</v>
          </cell>
          <cell r="T3862">
            <v>0</v>
          </cell>
          <cell r="U3862">
            <v>0</v>
          </cell>
          <cell r="V3862">
            <v>1</v>
          </cell>
          <cell r="W3862">
            <v>1</v>
          </cell>
          <cell r="X3862">
            <v>1</v>
          </cell>
          <cell r="Y3862">
            <v>0</v>
          </cell>
        </row>
        <row r="3863">
          <cell r="D3863">
            <v>302838</v>
          </cell>
          <cell r="E3863" t="str">
            <v>Cong. Pablo Malasarte NHS</v>
          </cell>
          <cell r="F3863">
            <v>1</v>
          </cell>
          <cell r="G3863">
            <v>1</v>
          </cell>
          <cell r="H3863">
            <v>1</v>
          </cell>
          <cell r="I3863">
            <v>0</v>
          </cell>
          <cell r="J3863">
            <v>1</v>
          </cell>
          <cell r="K3863">
            <v>0</v>
          </cell>
          <cell r="L3863">
            <v>0</v>
          </cell>
          <cell r="M3863">
            <v>0</v>
          </cell>
          <cell r="N3863">
            <v>1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1</v>
          </cell>
          <cell r="T3863">
            <v>0</v>
          </cell>
          <cell r="U3863">
            <v>0</v>
          </cell>
          <cell r="V3863">
            <v>1</v>
          </cell>
          <cell r="W3863">
            <v>0</v>
          </cell>
          <cell r="X3863">
            <v>0</v>
          </cell>
          <cell r="Y3863">
            <v>0</v>
          </cell>
        </row>
        <row r="3864">
          <cell r="D3864">
            <v>500211</v>
          </cell>
          <cell r="E3864" t="str">
            <v>San Roque Integrated School</v>
          </cell>
          <cell r="F3864">
            <v>0</v>
          </cell>
          <cell r="G3864">
            <v>0</v>
          </cell>
          <cell r="H3864">
            <v>1</v>
          </cell>
          <cell r="I3864">
            <v>0</v>
          </cell>
          <cell r="J3864">
            <v>0</v>
          </cell>
          <cell r="K3864">
            <v>1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1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1</v>
          </cell>
          <cell r="W3864">
            <v>0</v>
          </cell>
          <cell r="X3864">
            <v>0</v>
          </cell>
          <cell r="Y3864">
            <v>0</v>
          </cell>
        </row>
        <row r="3865">
          <cell r="D3865">
            <v>312412</v>
          </cell>
          <cell r="E3865" t="str">
            <v>Pinamungajan NHS - Night</v>
          </cell>
          <cell r="F3865">
            <v>1</v>
          </cell>
          <cell r="G3865">
            <v>1</v>
          </cell>
          <cell r="H3865">
            <v>1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</row>
        <row r="3866">
          <cell r="D3866">
            <v>303076</v>
          </cell>
          <cell r="E3866" t="str">
            <v>Anopog NHS</v>
          </cell>
          <cell r="F3866">
            <v>1</v>
          </cell>
          <cell r="G3866">
            <v>1</v>
          </cell>
          <cell r="H3866">
            <v>0</v>
          </cell>
          <cell r="I3866">
            <v>0</v>
          </cell>
          <cell r="J3866">
            <v>0</v>
          </cell>
          <cell r="K3866">
            <v>1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1</v>
          </cell>
          <cell r="W3866">
            <v>0</v>
          </cell>
          <cell r="X3866">
            <v>0</v>
          </cell>
          <cell r="Y3866">
            <v>0</v>
          </cell>
        </row>
        <row r="3867">
          <cell r="D3867">
            <v>303033</v>
          </cell>
          <cell r="E3867" t="str">
            <v>Langin NHS</v>
          </cell>
          <cell r="F3867">
            <v>1</v>
          </cell>
          <cell r="G3867">
            <v>0</v>
          </cell>
          <cell r="H3867">
            <v>1</v>
          </cell>
          <cell r="I3867">
            <v>0</v>
          </cell>
          <cell r="J3867">
            <v>1</v>
          </cell>
          <cell r="K3867">
            <v>0</v>
          </cell>
          <cell r="L3867">
            <v>0</v>
          </cell>
          <cell r="M3867">
            <v>0</v>
          </cell>
          <cell r="N3867">
            <v>1</v>
          </cell>
          <cell r="O3867" t="str">
            <v>AUGUST 14, 2019</v>
          </cell>
          <cell r="P3867" t="str">
            <v>NOVEMBER 20, 2019</v>
          </cell>
          <cell r="Q3867">
            <v>1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1</v>
          </cell>
          <cell r="W3867">
            <v>0</v>
          </cell>
          <cell r="X3867">
            <v>0</v>
          </cell>
          <cell r="Y3867">
            <v>0</v>
          </cell>
        </row>
        <row r="3868">
          <cell r="D3868">
            <v>302944</v>
          </cell>
          <cell r="E3868" t="str">
            <v>LUNOP NATIONAL HIGH SCHOOL</v>
          </cell>
          <cell r="F3868">
            <v>1</v>
          </cell>
          <cell r="G3868">
            <v>1</v>
          </cell>
          <cell r="H3868">
            <v>1</v>
          </cell>
          <cell r="I3868">
            <v>0</v>
          </cell>
          <cell r="J3868">
            <v>1</v>
          </cell>
          <cell r="K3868">
            <v>0</v>
          </cell>
          <cell r="L3868">
            <v>0</v>
          </cell>
          <cell r="M3868">
            <v>0</v>
          </cell>
          <cell r="N3868">
            <v>1</v>
          </cell>
          <cell r="O3868">
            <v>43374</v>
          </cell>
          <cell r="P3868">
            <v>43739</v>
          </cell>
          <cell r="Q3868">
            <v>1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1</v>
          </cell>
          <cell r="W3868">
            <v>0</v>
          </cell>
          <cell r="X3868">
            <v>0</v>
          </cell>
          <cell r="Y3868">
            <v>0</v>
          </cell>
        </row>
        <row r="3869">
          <cell r="D3869">
            <v>302998</v>
          </cell>
          <cell r="E3869" t="str">
            <v>Caliongan National High School</v>
          </cell>
          <cell r="F3869">
            <v>1</v>
          </cell>
          <cell r="G3869">
            <v>1</v>
          </cell>
          <cell r="H3869">
            <v>0</v>
          </cell>
          <cell r="I3869">
            <v>0</v>
          </cell>
          <cell r="J3869">
            <v>1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43773</v>
          </cell>
          <cell r="P3869">
            <v>43773</v>
          </cell>
          <cell r="Q3869">
            <v>1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1</v>
          </cell>
          <cell r="W3869">
            <v>2</v>
          </cell>
          <cell r="X3869">
            <v>1</v>
          </cell>
          <cell r="Y3869">
            <v>1</v>
          </cell>
        </row>
        <row r="3870">
          <cell r="D3870">
            <v>303116</v>
          </cell>
          <cell r="E3870" t="str">
            <v>Tubod National High School</v>
          </cell>
          <cell r="F3870">
            <v>1</v>
          </cell>
          <cell r="G3870">
            <v>1</v>
          </cell>
          <cell r="H3870">
            <v>0</v>
          </cell>
          <cell r="I3870">
            <v>0</v>
          </cell>
          <cell r="J3870">
            <v>1</v>
          </cell>
          <cell r="K3870">
            <v>0</v>
          </cell>
          <cell r="L3870">
            <v>0</v>
          </cell>
          <cell r="M3870">
            <v>0</v>
          </cell>
          <cell r="N3870">
            <v>1</v>
          </cell>
          <cell r="O3870">
            <v>0</v>
          </cell>
          <cell r="P3870">
            <v>0</v>
          </cell>
          <cell r="Q3870">
            <v>1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1</v>
          </cell>
          <cell r="W3870">
            <v>1</v>
          </cell>
          <cell r="X3870">
            <v>0</v>
          </cell>
          <cell r="Y3870">
            <v>0</v>
          </cell>
        </row>
        <row r="3871">
          <cell r="D3871">
            <v>302997</v>
          </cell>
          <cell r="E3871" t="str">
            <v>Dalaguete National High School</v>
          </cell>
          <cell r="F3871">
            <v>1</v>
          </cell>
          <cell r="G3871">
            <v>1</v>
          </cell>
          <cell r="H3871">
            <v>1</v>
          </cell>
          <cell r="I3871">
            <v>0</v>
          </cell>
          <cell r="J3871">
            <v>1</v>
          </cell>
          <cell r="K3871">
            <v>0</v>
          </cell>
          <cell r="L3871">
            <v>1</v>
          </cell>
          <cell r="M3871" t="str">
            <v>AS THE NEED ARISES</v>
          </cell>
          <cell r="N3871">
            <v>1</v>
          </cell>
          <cell r="O3871">
            <v>0</v>
          </cell>
          <cell r="P3871" t="str">
            <v>Nov.5, 2019</v>
          </cell>
          <cell r="Q3871">
            <v>0</v>
          </cell>
          <cell r="R3871">
            <v>1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18</v>
          </cell>
          <cell r="X3871">
            <v>18</v>
          </cell>
          <cell r="Y3871">
            <v>18</v>
          </cell>
        </row>
        <row r="3872">
          <cell r="D3872">
            <v>312403</v>
          </cell>
          <cell r="E3872" t="str">
            <v>Hipolito Boquecosa Memorial NHS</v>
          </cell>
          <cell r="F3872">
            <v>0</v>
          </cell>
          <cell r="G3872">
            <v>0</v>
          </cell>
          <cell r="H3872">
            <v>1</v>
          </cell>
          <cell r="I3872">
            <v>0</v>
          </cell>
          <cell r="J3872">
            <v>0</v>
          </cell>
          <cell r="K3872">
            <v>1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</row>
        <row r="3873">
          <cell r="D3873">
            <v>303150</v>
          </cell>
          <cell r="E3873" t="str">
            <v>Don Sergio OsmeÂ¤a, Sr. Memorial HS (Day &amp; Night)</v>
          </cell>
          <cell r="F3873">
            <v>1</v>
          </cell>
          <cell r="G3873">
            <v>1</v>
          </cell>
          <cell r="H3873">
            <v>1</v>
          </cell>
          <cell r="I3873">
            <v>0</v>
          </cell>
          <cell r="J3873">
            <v>1</v>
          </cell>
          <cell r="K3873">
            <v>0</v>
          </cell>
          <cell r="L3873">
            <v>0</v>
          </cell>
          <cell r="M3873">
            <v>0</v>
          </cell>
          <cell r="N3873">
            <v>1</v>
          </cell>
          <cell r="O3873">
            <v>43667</v>
          </cell>
          <cell r="P3873">
            <v>43621</v>
          </cell>
          <cell r="Q3873">
            <v>0</v>
          </cell>
          <cell r="R3873">
            <v>1</v>
          </cell>
          <cell r="S3873">
            <v>0</v>
          </cell>
          <cell r="T3873">
            <v>0</v>
          </cell>
          <cell r="U3873">
            <v>0</v>
          </cell>
          <cell r="V3873">
            <v>1</v>
          </cell>
          <cell r="W3873">
            <v>13</v>
          </cell>
          <cell r="X3873">
            <v>13</v>
          </cell>
          <cell r="Y3873">
            <v>13</v>
          </cell>
        </row>
        <row r="3874">
          <cell r="D3874">
            <v>303075</v>
          </cell>
          <cell r="E3874" t="str">
            <v>Pinamungajan NHS</v>
          </cell>
          <cell r="F3874">
            <v>1</v>
          </cell>
          <cell r="G3874">
            <v>1</v>
          </cell>
          <cell r="H3874">
            <v>1</v>
          </cell>
          <cell r="I3874">
            <v>1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1</v>
          </cell>
          <cell r="O3874" t="str">
            <v>Aug. 31, 2019</v>
          </cell>
          <cell r="P3874">
            <v>0</v>
          </cell>
          <cell r="Q3874">
            <v>0</v>
          </cell>
          <cell r="R3874">
            <v>1</v>
          </cell>
          <cell r="S3874">
            <v>0</v>
          </cell>
          <cell r="T3874">
            <v>0</v>
          </cell>
          <cell r="U3874">
            <v>0</v>
          </cell>
          <cell r="V3874">
            <v>1</v>
          </cell>
          <cell r="W3874">
            <v>2</v>
          </cell>
          <cell r="X3874">
            <v>0</v>
          </cell>
          <cell r="Y3874">
            <v>0</v>
          </cell>
        </row>
        <row r="3875">
          <cell r="D3875">
            <v>302972</v>
          </cell>
          <cell r="E3875" t="str">
            <v>Carcar Central National High School (Pob. Night)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</row>
        <row r="3876">
          <cell r="D3876">
            <v>303231</v>
          </cell>
          <cell r="E3876" t="str">
            <v>Guihulngan NHS - Poblacion</v>
          </cell>
          <cell r="F3876">
            <v>1</v>
          </cell>
          <cell r="G3876">
            <v>1</v>
          </cell>
          <cell r="H3876">
            <v>1</v>
          </cell>
          <cell r="I3876">
            <v>0</v>
          </cell>
          <cell r="J3876">
            <v>0</v>
          </cell>
          <cell r="K3876">
            <v>1</v>
          </cell>
          <cell r="L3876">
            <v>0</v>
          </cell>
          <cell r="M3876">
            <v>0</v>
          </cell>
          <cell r="N3876">
            <v>1</v>
          </cell>
          <cell r="O3876">
            <v>43160</v>
          </cell>
          <cell r="P3876">
            <v>43160</v>
          </cell>
          <cell r="Q3876">
            <v>0</v>
          </cell>
          <cell r="R3876">
            <v>0</v>
          </cell>
          <cell r="S3876">
            <v>1</v>
          </cell>
          <cell r="T3876">
            <v>0</v>
          </cell>
          <cell r="U3876">
            <v>0</v>
          </cell>
          <cell r="V3876">
            <v>1</v>
          </cell>
          <cell r="W3876">
            <v>0</v>
          </cell>
          <cell r="X3876">
            <v>0</v>
          </cell>
          <cell r="Y3876">
            <v>0</v>
          </cell>
        </row>
        <row r="3877">
          <cell r="D3877">
            <v>500663</v>
          </cell>
          <cell r="E3877" t="str">
            <v>Lantawan IS</v>
          </cell>
          <cell r="F3877">
            <v>1</v>
          </cell>
          <cell r="G3877">
            <v>1</v>
          </cell>
          <cell r="H3877">
            <v>1</v>
          </cell>
          <cell r="I3877">
            <v>0</v>
          </cell>
          <cell r="J3877">
            <v>1</v>
          </cell>
          <cell r="K3877">
            <v>0</v>
          </cell>
          <cell r="L3877">
            <v>0</v>
          </cell>
          <cell r="M3877">
            <v>0</v>
          </cell>
          <cell r="N3877">
            <v>1</v>
          </cell>
          <cell r="O3877" t="str">
            <v>Oct. , 2019</v>
          </cell>
          <cell r="P3877" t="str">
            <v>September, 2019</v>
          </cell>
          <cell r="Q3877">
            <v>0</v>
          </cell>
          <cell r="R3877">
            <v>1</v>
          </cell>
          <cell r="S3877">
            <v>0</v>
          </cell>
          <cell r="T3877">
            <v>0</v>
          </cell>
          <cell r="U3877">
            <v>0</v>
          </cell>
          <cell r="V3877">
            <v>1</v>
          </cell>
          <cell r="W3877">
            <v>0</v>
          </cell>
          <cell r="X3877">
            <v>0</v>
          </cell>
          <cell r="Y3877">
            <v>0</v>
          </cell>
        </row>
        <row r="3878">
          <cell r="D3878">
            <v>302914</v>
          </cell>
          <cell r="E3878" t="str">
            <v>Union National High School</v>
          </cell>
          <cell r="F3878">
            <v>1</v>
          </cell>
          <cell r="G3878">
            <v>0</v>
          </cell>
          <cell r="H3878">
            <v>1</v>
          </cell>
          <cell r="I3878">
            <v>0</v>
          </cell>
          <cell r="J3878">
            <v>1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43707</v>
          </cell>
          <cell r="P3878">
            <v>43710</v>
          </cell>
          <cell r="Q3878">
            <v>0</v>
          </cell>
          <cell r="R3878">
            <v>1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</row>
        <row r="3879">
          <cell r="D3879">
            <v>303082</v>
          </cell>
          <cell r="E3879" t="str">
            <v>ROBERTO E. SATO MEMORIAL NATIONAL HIGH SCHOOL</v>
          </cell>
          <cell r="F3879">
            <v>1</v>
          </cell>
          <cell r="G3879">
            <v>0</v>
          </cell>
          <cell r="H3879">
            <v>1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1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</row>
        <row r="3880">
          <cell r="D3880">
            <v>302981</v>
          </cell>
          <cell r="E3880" t="str">
            <v>Cawayan NHS</v>
          </cell>
          <cell r="F3880">
            <v>1</v>
          </cell>
          <cell r="G3880">
            <v>1</v>
          </cell>
          <cell r="H3880">
            <v>1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</row>
        <row r="3881">
          <cell r="D3881">
            <v>303077</v>
          </cell>
          <cell r="E3881" t="str">
            <v>Anislag NHS</v>
          </cell>
          <cell r="F3881">
            <v>0</v>
          </cell>
          <cell r="G3881">
            <v>0</v>
          </cell>
          <cell r="H3881">
            <v>1</v>
          </cell>
          <cell r="I3881">
            <v>0</v>
          </cell>
          <cell r="J3881">
            <v>1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1</v>
          </cell>
          <cell r="U3881" t="str">
            <v>Never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</row>
        <row r="3882">
          <cell r="D3882">
            <v>302945</v>
          </cell>
          <cell r="E3882" t="str">
            <v>Buanoy National High School</v>
          </cell>
          <cell r="F3882">
            <v>1</v>
          </cell>
          <cell r="G3882">
            <v>1</v>
          </cell>
          <cell r="H3882">
            <v>1</v>
          </cell>
          <cell r="I3882">
            <v>0</v>
          </cell>
          <cell r="J3882">
            <v>0</v>
          </cell>
          <cell r="K3882">
            <v>1</v>
          </cell>
          <cell r="L3882">
            <v>0</v>
          </cell>
          <cell r="M3882">
            <v>0</v>
          </cell>
          <cell r="N3882">
            <v>1</v>
          </cell>
          <cell r="O3882" t="str">
            <v>JUNE , 2019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1</v>
          </cell>
          <cell r="U3882" t="str">
            <v>AS THE NEED ARISES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</row>
        <row r="3883">
          <cell r="D3883">
            <v>303157</v>
          </cell>
          <cell r="E3883" t="str">
            <v>Guba NHS</v>
          </cell>
          <cell r="F3883">
            <v>1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</row>
        <row r="3884">
          <cell r="D3884">
            <v>312336</v>
          </cell>
          <cell r="E3884" t="str">
            <v>Lungsodaan High School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</row>
        <row r="3885">
          <cell r="D3885">
            <v>303093</v>
          </cell>
          <cell r="E3885" t="str">
            <v>Sangat NHS</v>
          </cell>
          <cell r="F3885">
            <v>1</v>
          </cell>
          <cell r="G3885">
            <v>1</v>
          </cell>
          <cell r="H3885">
            <v>1</v>
          </cell>
          <cell r="I3885">
            <v>0</v>
          </cell>
          <cell r="J3885">
            <v>1</v>
          </cell>
          <cell r="K3885">
            <v>0</v>
          </cell>
          <cell r="L3885">
            <v>0</v>
          </cell>
          <cell r="M3885">
            <v>0</v>
          </cell>
          <cell r="N3885">
            <v>1</v>
          </cell>
          <cell r="O3885" t="str">
            <v>October 4, 2019</v>
          </cell>
          <cell r="P3885" t="str">
            <v>November 22, 2019</v>
          </cell>
          <cell r="Q3885">
            <v>0</v>
          </cell>
          <cell r="R3885">
            <v>1</v>
          </cell>
          <cell r="S3885">
            <v>0</v>
          </cell>
          <cell r="T3885">
            <v>0</v>
          </cell>
          <cell r="U3885">
            <v>0</v>
          </cell>
          <cell r="V3885">
            <v>1</v>
          </cell>
          <cell r="W3885">
            <v>2</v>
          </cell>
          <cell r="X3885">
            <v>0</v>
          </cell>
          <cell r="Y3885">
            <v>0</v>
          </cell>
        </row>
        <row r="3886">
          <cell r="D3886">
            <v>303017</v>
          </cell>
          <cell r="E3886" t="str">
            <v>Guindaruhan National High School</v>
          </cell>
          <cell r="F3886">
            <v>0</v>
          </cell>
          <cell r="G3886">
            <v>0</v>
          </cell>
          <cell r="H3886">
            <v>1</v>
          </cell>
          <cell r="I3886">
            <v>0</v>
          </cell>
          <cell r="J3886">
            <v>0</v>
          </cell>
          <cell r="K3886">
            <v>0</v>
          </cell>
          <cell r="L3886">
            <v>1</v>
          </cell>
          <cell r="M3886" t="str">
            <v>during the drug symposium</v>
          </cell>
          <cell r="N3886">
            <v>1</v>
          </cell>
          <cell r="O3886" t="str">
            <v>9/27/2019</v>
          </cell>
          <cell r="P3886">
            <v>43255</v>
          </cell>
          <cell r="Q3886">
            <v>0</v>
          </cell>
          <cell r="R3886">
            <v>0</v>
          </cell>
          <cell r="S3886">
            <v>0</v>
          </cell>
          <cell r="T3886">
            <v>1</v>
          </cell>
          <cell r="U3886">
            <v>0</v>
          </cell>
          <cell r="V3886">
            <v>0</v>
          </cell>
          <cell r="W3886">
            <v>1</v>
          </cell>
          <cell r="X3886">
            <v>1</v>
          </cell>
          <cell r="Y3886">
            <v>1</v>
          </cell>
        </row>
        <row r="3887">
          <cell r="D3887">
            <v>303058</v>
          </cell>
          <cell r="E3887" t="str">
            <v>Sorsogon NHS</v>
          </cell>
          <cell r="F3887">
            <v>0</v>
          </cell>
          <cell r="G3887">
            <v>0</v>
          </cell>
          <cell r="H3887">
            <v>1</v>
          </cell>
          <cell r="I3887">
            <v>0</v>
          </cell>
          <cell r="J3887">
            <v>0</v>
          </cell>
          <cell r="K3887">
            <v>0</v>
          </cell>
          <cell r="L3887">
            <v>1</v>
          </cell>
          <cell r="M3887" t="str">
            <v>as issue arise</v>
          </cell>
          <cell r="N3887">
            <v>1</v>
          </cell>
          <cell r="O3887">
            <v>43619</v>
          </cell>
          <cell r="P3887">
            <v>43749</v>
          </cell>
          <cell r="Q3887">
            <v>1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1</v>
          </cell>
          <cell r="W3887">
            <v>0</v>
          </cell>
          <cell r="X3887">
            <v>0</v>
          </cell>
          <cell r="Y3887">
            <v>0</v>
          </cell>
        </row>
        <row r="3888">
          <cell r="D3888">
            <v>312305</v>
          </cell>
          <cell r="E3888" t="str">
            <v>Kinan-oan HS</v>
          </cell>
          <cell r="F3888">
            <v>1</v>
          </cell>
          <cell r="G3888">
            <v>1</v>
          </cell>
          <cell r="H3888">
            <v>1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</row>
        <row r="3889">
          <cell r="D3889">
            <v>302927</v>
          </cell>
          <cell r="E3889" t="str">
            <v>Moalboal NHS</v>
          </cell>
          <cell r="F3889">
            <v>1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</row>
        <row r="3890">
          <cell r="D3890">
            <v>302918</v>
          </cell>
          <cell r="E3890" t="str">
            <v>Nug-as NHS</v>
          </cell>
          <cell r="F3890">
            <v>0</v>
          </cell>
          <cell r="G3890">
            <v>0</v>
          </cell>
          <cell r="H3890">
            <v>1</v>
          </cell>
          <cell r="I3890">
            <v>0</v>
          </cell>
          <cell r="J3890">
            <v>0</v>
          </cell>
          <cell r="K3890">
            <v>1</v>
          </cell>
          <cell r="L3890">
            <v>0</v>
          </cell>
          <cell r="M3890">
            <v>0</v>
          </cell>
          <cell r="N3890">
            <v>0</v>
          </cell>
          <cell r="O3890">
            <v>43617</v>
          </cell>
          <cell r="P3890">
            <v>0</v>
          </cell>
          <cell r="Q3890">
            <v>0</v>
          </cell>
          <cell r="R3890">
            <v>0</v>
          </cell>
          <cell r="S3890">
            <v>1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</row>
        <row r="3891">
          <cell r="D3891">
            <v>302949</v>
          </cell>
          <cell r="E3891" t="str">
            <v>Nangka National High School</v>
          </cell>
          <cell r="F3891">
            <v>1</v>
          </cell>
          <cell r="G3891">
            <v>1</v>
          </cell>
          <cell r="H3891">
            <v>1</v>
          </cell>
          <cell r="I3891">
            <v>0</v>
          </cell>
          <cell r="J3891">
            <v>1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1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</row>
        <row r="3892">
          <cell r="D3892">
            <v>303060</v>
          </cell>
          <cell r="E3892" t="str">
            <v>Putat NHS</v>
          </cell>
          <cell r="F3892">
            <v>1</v>
          </cell>
          <cell r="G3892">
            <v>1</v>
          </cell>
          <cell r="H3892">
            <v>1</v>
          </cell>
          <cell r="I3892">
            <v>0</v>
          </cell>
          <cell r="J3892">
            <v>1</v>
          </cell>
          <cell r="K3892">
            <v>0</v>
          </cell>
          <cell r="L3892">
            <v>0</v>
          </cell>
          <cell r="M3892">
            <v>0</v>
          </cell>
          <cell r="N3892">
            <v>1</v>
          </cell>
          <cell r="O3892" t="str">
            <v>8/26/2019</v>
          </cell>
          <cell r="P3892">
            <v>0</v>
          </cell>
          <cell r="Q3892">
            <v>1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1</v>
          </cell>
          <cell r="W3892">
            <v>4</v>
          </cell>
          <cell r="X3892">
            <v>1</v>
          </cell>
          <cell r="Y3892">
            <v>4</v>
          </cell>
        </row>
        <row r="3893">
          <cell r="D3893">
            <v>500408</v>
          </cell>
          <cell r="E3893" t="str">
            <v>Don Celestino Martinez Sr. Taytayan IS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1</v>
          </cell>
          <cell r="M3893" t="str">
            <v>none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1</v>
          </cell>
          <cell r="U3893" t="str">
            <v>none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</row>
        <row r="3894">
          <cell r="D3894">
            <v>312420</v>
          </cell>
          <cell r="E3894" t="str">
            <v>Hilantagaan NHS Ext.</v>
          </cell>
          <cell r="F3894">
            <v>1</v>
          </cell>
          <cell r="G3894">
            <v>1</v>
          </cell>
          <cell r="H3894">
            <v>1</v>
          </cell>
          <cell r="I3894">
            <v>0</v>
          </cell>
          <cell r="J3894">
            <v>1</v>
          </cell>
          <cell r="K3894">
            <v>0</v>
          </cell>
          <cell r="L3894">
            <v>0</v>
          </cell>
          <cell r="M3894">
            <v>0</v>
          </cell>
          <cell r="N3894">
            <v>1</v>
          </cell>
          <cell r="O3894">
            <v>0</v>
          </cell>
          <cell r="P3894">
            <v>0</v>
          </cell>
          <cell r="Q3894">
            <v>1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1</v>
          </cell>
          <cell r="W3894">
            <v>0</v>
          </cell>
          <cell r="X3894">
            <v>0</v>
          </cell>
          <cell r="Y3894">
            <v>0</v>
          </cell>
        </row>
        <row r="3895">
          <cell r="D3895">
            <v>303068</v>
          </cell>
          <cell r="E3895" t="str">
            <v>Patupat NHS</v>
          </cell>
          <cell r="F3895">
            <v>1</v>
          </cell>
          <cell r="G3895">
            <v>1</v>
          </cell>
          <cell r="H3895">
            <v>1</v>
          </cell>
          <cell r="I3895">
            <v>0</v>
          </cell>
          <cell r="J3895">
            <v>0</v>
          </cell>
          <cell r="K3895">
            <v>1</v>
          </cell>
          <cell r="L3895">
            <v>0</v>
          </cell>
          <cell r="M3895">
            <v>0</v>
          </cell>
          <cell r="N3895">
            <v>1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</row>
        <row r="3896">
          <cell r="D3896">
            <v>303117</v>
          </cell>
          <cell r="E3896" t="str">
            <v>Tubod NHS (San Fernando)</v>
          </cell>
          <cell r="F3896">
            <v>1</v>
          </cell>
          <cell r="G3896">
            <v>1</v>
          </cell>
          <cell r="H3896">
            <v>1</v>
          </cell>
          <cell r="I3896">
            <v>0</v>
          </cell>
          <cell r="J3896">
            <v>1</v>
          </cell>
          <cell r="K3896">
            <v>0</v>
          </cell>
          <cell r="L3896">
            <v>0</v>
          </cell>
          <cell r="M3896">
            <v>0</v>
          </cell>
          <cell r="N3896">
            <v>1</v>
          </cell>
          <cell r="O3896" t="str">
            <v>NOV.25,2019</v>
          </cell>
          <cell r="P3896" t="str">
            <v>NOV.25,2019</v>
          </cell>
          <cell r="Q3896">
            <v>1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1</v>
          </cell>
          <cell r="W3896">
            <v>2</v>
          </cell>
          <cell r="X3896">
            <v>1</v>
          </cell>
          <cell r="Y3896">
            <v>1</v>
          </cell>
        </row>
        <row r="3897">
          <cell r="D3897">
            <v>302870</v>
          </cell>
          <cell r="E3897" t="str">
            <v>Lonoy Heroes MHS</v>
          </cell>
          <cell r="F3897">
            <v>1</v>
          </cell>
          <cell r="G3897">
            <v>1</v>
          </cell>
          <cell r="H3897">
            <v>1</v>
          </cell>
          <cell r="I3897">
            <v>0</v>
          </cell>
          <cell r="J3897">
            <v>1</v>
          </cell>
          <cell r="K3897">
            <v>0</v>
          </cell>
          <cell r="L3897">
            <v>0</v>
          </cell>
          <cell r="M3897">
            <v>0</v>
          </cell>
          <cell r="N3897">
            <v>1</v>
          </cell>
          <cell r="O3897" t="str">
            <v>6/23/2019</v>
          </cell>
          <cell r="P3897" t="str">
            <v>01/16/2019</v>
          </cell>
          <cell r="Q3897">
            <v>1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1</v>
          </cell>
          <cell r="W3897">
            <v>0</v>
          </cell>
          <cell r="X3897">
            <v>0</v>
          </cell>
          <cell r="Y3897">
            <v>0</v>
          </cell>
        </row>
        <row r="3898">
          <cell r="D3898">
            <v>302822</v>
          </cell>
          <cell r="E3898" t="str">
            <v>Tubigon West NHS</v>
          </cell>
          <cell r="F3898">
            <v>1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1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1</v>
          </cell>
          <cell r="S3898">
            <v>0</v>
          </cell>
          <cell r="T3898">
            <v>0</v>
          </cell>
          <cell r="U3898">
            <v>0</v>
          </cell>
          <cell r="V3898">
            <v>1</v>
          </cell>
          <cell r="W3898">
            <v>0</v>
          </cell>
          <cell r="X3898">
            <v>0</v>
          </cell>
          <cell r="Y3898">
            <v>0</v>
          </cell>
        </row>
        <row r="3899">
          <cell r="D3899">
            <v>500670</v>
          </cell>
          <cell r="E3899" t="str">
            <v>Toong ES</v>
          </cell>
          <cell r="F3899">
            <v>1</v>
          </cell>
          <cell r="G3899">
            <v>0</v>
          </cell>
          <cell r="H3899">
            <v>1</v>
          </cell>
          <cell r="I3899">
            <v>0</v>
          </cell>
          <cell r="J3899">
            <v>0</v>
          </cell>
          <cell r="K3899">
            <v>1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1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</row>
        <row r="3900">
          <cell r="D3900">
            <v>303050</v>
          </cell>
          <cell r="E3900" t="str">
            <v>Malolos NHS</v>
          </cell>
          <cell r="F3900">
            <v>1</v>
          </cell>
          <cell r="G3900">
            <v>1</v>
          </cell>
          <cell r="H3900">
            <v>1</v>
          </cell>
          <cell r="I3900">
            <v>1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1</v>
          </cell>
          <cell r="O3900" t="str">
            <v>SEPTEMBER 02, 2019</v>
          </cell>
          <cell r="P3900" t="str">
            <v>OCTOBER 31, 2019</v>
          </cell>
          <cell r="Q3900">
            <v>1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1</v>
          </cell>
          <cell r="W3900">
            <v>0</v>
          </cell>
          <cell r="X3900">
            <v>0</v>
          </cell>
          <cell r="Y3900">
            <v>0</v>
          </cell>
        </row>
        <row r="3901">
          <cell r="D3901">
            <v>500213</v>
          </cell>
          <cell r="E3901" t="str">
            <v>Cabanugan Elementary School</v>
          </cell>
          <cell r="F3901">
            <v>1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 t="str">
            <v>N/A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</row>
        <row r="3902">
          <cell r="D3902">
            <v>312470</v>
          </cell>
          <cell r="E3902" t="str">
            <v>Lamak National High School</v>
          </cell>
          <cell r="F3902">
            <v>1</v>
          </cell>
          <cell r="G3902">
            <v>1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>
            <v>0</v>
          </cell>
          <cell r="V3902">
            <v>0</v>
          </cell>
          <cell r="W3902">
            <v>0</v>
          </cell>
          <cell r="X3902">
            <v>0</v>
          </cell>
          <cell r="Y3902">
            <v>0</v>
          </cell>
        </row>
        <row r="3903">
          <cell r="D3903">
            <v>303087</v>
          </cell>
          <cell r="E3903" t="str">
            <v>San Remegio NHS</v>
          </cell>
          <cell r="F3903">
            <v>1</v>
          </cell>
          <cell r="G3903">
            <v>1</v>
          </cell>
          <cell r="H3903">
            <v>1</v>
          </cell>
          <cell r="I3903">
            <v>0</v>
          </cell>
          <cell r="J3903">
            <v>1</v>
          </cell>
          <cell r="K3903">
            <v>0</v>
          </cell>
          <cell r="L3903">
            <v>0</v>
          </cell>
          <cell r="M3903">
            <v>0</v>
          </cell>
          <cell r="N3903">
            <v>1</v>
          </cell>
          <cell r="O3903">
            <v>0</v>
          </cell>
          <cell r="P3903">
            <v>0</v>
          </cell>
          <cell r="Q3903">
            <v>0</v>
          </cell>
          <cell r="R3903">
            <v>1</v>
          </cell>
          <cell r="S3903">
            <v>0</v>
          </cell>
          <cell r="T3903">
            <v>0</v>
          </cell>
          <cell r="U3903">
            <v>0</v>
          </cell>
          <cell r="V3903">
            <v>1</v>
          </cell>
          <cell r="W3903">
            <v>3</v>
          </cell>
          <cell r="X3903">
            <v>0</v>
          </cell>
          <cell r="Y3903">
            <v>0</v>
          </cell>
        </row>
        <row r="3904">
          <cell r="D3904">
            <v>302849</v>
          </cell>
          <cell r="E3904" t="str">
            <v>Faraon NHS</v>
          </cell>
          <cell r="F3904">
            <v>1</v>
          </cell>
          <cell r="G3904">
            <v>0</v>
          </cell>
          <cell r="H3904">
            <v>1</v>
          </cell>
          <cell r="I3904">
            <v>0</v>
          </cell>
          <cell r="J3904">
            <v>1</v>
          </cell>
          <cell r="K3904">
            <v>0</v>
          </cell>
          <cell r="L3904">
            <v>0</v>
          </cell>
          <cell r="M3904">
            <v>0</v>
          </cell>
          <cell r="N3904">
            <v>1</v>
          </cell>
          <cell r="O3904">
            <v>0</v>
          </cell>
          <cell r="P3904">
            <v>43252</v>
          </cell>
          <cell r="Q3904">
            <v>0</v>
          </cell>
          <cell r="R3904">
            <v>0</v>
          </cell>
          <cell r="S3904">
            <v>1</v>
          </cell>
          <cell r="T3904">
            <v>0</v>
          </cell>
          <cell r="U3904">
            <v>0</v>
          </cell>
          <cell r="V3904">
            <v>1</v>
          </cell>
          <cell r="W3904">
            <v>0</v>
          </cell>
          <cell r="X3904">
            <v>0</v>
          </cell>
          <cell r="Y3904">
            <v>0</v>
          </cell>
        </row>
        <row r="3905">
          <cell r="D3905">
            <v>303297</v>
          </cell>
          <cell r="E3905" t="str">
            <v>Enrique Villanueva National High School</v>
          </cell>
          <cell r="F3905">
            <v>1</v>
          </cell>
          <cell r="G3905">
            <v>1</v>
          </cell>
          <cell r="H3905">
            <v>1</v>
          </cell>
          <cell r="I3905">
            <v>0</v>
          </cell>
          <cell r="J3905">
            <v>0</v>
          </cell>
          <cell r="K3905">
            <v>0</v>
          </cell>
          <cell r="L3905">
            <v>1</v>
          </cell>
          <cell r="M3905" t="str">
            <v>as needed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1</v>
          </cell>
          <cell r="U3905" t="str">
            <v>as needed</v>
          </cell>
          <cell r="V3905">
            <v>1</v>
          </cell>
          <cell r="W3905">
            <v>0</v>
          </cell>
          <cell r="X3905">
            <v>0</v>
          </cell>
          <cell r="Y3905">
            <v>0</v>
          </cell>
        </row>
        <row r="3906">
          <cell r="D3906">
            <v>303007</v>
          </cell>
          <cell r="E3906" t="str">
            <v>Doong National High School</v>
          </cell>
          <cell r="F3906">
            <v>1</v>
          </cell>
          <cell r="G3906">
            <v>1</v>
          </cell>
          <cell r="H3906">
            <v>1</v>
          </cell>
          <cell r="I3906">
            <v>1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1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1</v>
          </cell>
          <cell r="W3906">
            <v>0</v>
          </cell>
          <cell r="X3906">
            <v>0</v>
          </cell>
          <cell r="Y3906">
            <v>0</v>
          </cell>
        </row>
        <row r="3907">
          <cell r="D3907">
            <v>500671</v>
          </cell>
          <cell r="E3907" t="str">
            <v>Liki Integrated School</v>
          </cell>
          <cell r="F3907">
            <v>1</v>
          </cell>
          <cell r="G3907">
            <v>1</v>
          </cell>
          <cell r="H3907">
            <v>1</v>
          </cell>
          <cell r="I3907">
            <v>1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1</v>
          </cell>
          <cell r="O3907" t="str">
            <v>10/282019</v>
          </cell>
          <cell r="P3907">
            <v>0</v>
          </cell>
          <cell r="Q3907">
            <v>1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5</v>
          </cell>
          <cell r="X3907">
            <v>5</v>
          </cell>
          <cell r="Y3907">
            <v>5</v>
          </cell>
        </row>
        <row r="3908">
          <cell r="D3908">
            <v>302830</v>
          </cell>
          <cell r="E3908" t="str">
            <v>Cangawa NHS</v>
          </cell>
          <cell r="F3908">
            <v>1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</row>
        <row r="3909">
          <cell r="D3909">
            <v>312404</v>
          </cell>
          <cell r="E3909" t="str">
            <v>Jose Chona Jo Memorial  National High School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1</v>
          </cell>
          <cell r="M3909" t="str">
            <v>NONE</v>
          </cell>
          <cell r="N3909">
            <v>0</v>
          </cell>
          <cell r="O3909">
            <v>0</v>
          </cell>
          <cell r="P3909" t="str">
            <v>NONE</v>
          </cell>
          <cell r="Q3909">
            <v>0</v>
          </cell>
          <cell r="R3909">
            <v>0</v>
          </cell>
          <cell r="S3909">
            <v>0</v>
          </cell>
          <cell r="T3909">
            <v>1</v>
          </cell>
          <cell r="U3909" t="str">
            <v>NONE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</row>
        <row r="3910">
          <cell r="D3910">
            <v>302946</v>
          </cell>
          <cell r="E3910" t="str">
            <v>Cabagdalan National High School</v>
          </cell>
          <cell r="F3910">
            <v>1</v>
          </cell>
          <cell r="G3910">
            <v>1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1</v>
          </cell>
          <cell r="S3910">
            <v>0</v>
          </cell>
          <cell r="T3910">
            <v>0</v>
          </cell>
          <cell r="U3910">
            <v>0</v>
          </cell>
          <cell r="V3910">
            <v>1</v>
          </cell>
          <cell r="W3910">
            <v>0</v>
          </cell>
          <cell r="X3910">
            <v>0</v>
          </cell>
          <cell r="Y3910">
            <v>0</v>
          </cell>
        </row>
        <row r="3911">
          <cell r="D3911">
            <v>303048</v>
          </cell>
          <cell r="E3911" t="str">
            <v>San Agustin NHS</v>
          </cell>
          <cell r="F3911">
            <v>1</v>
          </cell>
          <cell r="G3911">
            <v>0</v>
          </cell>
          <cell r="H3911">
            <v>1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1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</row>
        <row r="3912">
          <cell r="D3912">
            <v>500665</v>
          </cell>
          <cell r="E3912" t="str">
            <v>Tambongon IS</v>
          </cell>
          <cell r="F3912">
            <v>1</v>
          </cell>
          <cell r="G3912">
            <v>1</v>
          </cell>
          <cell r="H3912">
            <v>1</v>
          </cell>
          <cell r="I3912">
            <v>0</v>
          </cell>
          <cell r="J3912">
            <v>1</v>
          </cell>
          <cell r="K3912">
            <v>0</v>
          </cell>
          <cell r="L3912">
            <v>0</v>
          </cell>
          <cell r="M3912">
            <v>0</v>
          </cell>
          <cell r="N3912">
            <v>1</v>
          </cell>
          <cell r="O3912">
            <v>43622</v>
          </cell>
          <cell r="P3912">
            <v>43649</v>
          </cell>
          <cell r="Q3912">
            <v>1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1</v>
          </cell>
          <cell r="W3912">
            <v>2</v>
          </cell>
          <cell r="X3912">
            <v>2</v>
          </cell>
          <cell r="Y3912">
            <v>2</v>
          </cell>
        </row>
        <row r="3913">
          <cell r="D3913">
            <v>302920</v>
          </cell>
          <cell r="E3913" t="str">
            <v>Angilan NHS</v>
          </cell>
          <cell r="F3913">
            <v>1</v>
          </cell>
          <cell r="G3913">
            <v>1</v>
          </cell>
          <cell r="H3913">
            <v>1</v>
          </cell>
          <cell r="I3913">
            <v>0</v>
          </cell>
          <cell r="J3913">
            <v>1</v>
          </cell>
          <cell r="K3913">
            <v>0</v>
          </cell>
          <cell r="L3913">
            <v>0</v>
          </cell>
          <cell r="M3913">
            <v>0</v>
          </cell>
          <cell r="N3913">
            <v>1</v>
          </cell>
          <cell r="O3913">
            <v>0</v>
          </cell>
          <cell r="P3913">
            <v>0</v>
          </cell>
          <cell r="Q3913">
            <v>1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1</v>
          </cell>
          <cell r="W3913">
            <v>3</v>
          </cell>
          <cell r="X3913">
            <v>3</v>
          </cell>
          <cell r="Y3913">
            <v>3</v>
          </cell>
        </row>
        <row r="3914">
          <cell r="D3914">
            <v>303052</v>
          </cell>
          <cell r="E3914" t="str">
            <v>Mantalongon NHS</v>
          </cell>
          <cell r="F3914">
            <v>1</v>
          </cell>
          <cell r="G3914">
            <v>0</v>
          </cell>
          <cell r="H3914">
            <v>0</v>
          </cell>
          <cell r="I3914">
            <v>0</v>
          </cell>
          <cell r="J3914">
            <v>1</v>
          </cell>
          <cell r="K3914">
            <v>0</v>
          </cell>
          <cell r="L3914">
            <v>0</v>
          </cell>
          <cell r="M3914">
            <v>0</v>
          </cell>
          <cell r="N3914">
            <v>1</v>
          </cell>
          <cell r="O3914">
            <v>43678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</row>
        <row r="3915">
          <cell r="D3915">
            <v>303042</v>
          </cell>
          <cell r="E3915" t="str">
            <v>Lipata NHS</v>
          </cell>
          <cell r="F3915">
            <v>1</v>
          </cell>
          <cell r="G3915">
            <v>0</v>
          </cell>
          <cell r="H3915">
            <v>1</v>
          </cell>
          <cell r="I3915">
            <v>0</v>
          </cell>
          <cell r="J3915">
            <v>0</v>
          </cell>
          <cell r="K3915">
            <v>0</v>
          </cell>
          <cell r="L3915">
            <v>1</v>
          </cell>
          <cell r="M3915" t="str">
            <v>whenever necessary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</row>
        <row r="3916">
          <cell r="D3916">
            <v>302919</v>
          </cell>
          <cell r="E3916" t="str">
            <v>Aloguinsan NHS</v>
          </cell>
          <cell r="F3916">
            <v>1</v>
          </cell>
          <cell r="G3916">
            <v>0</v>
          </cell>
          <cell r="H3916">
            <v>1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</row>
        <row r="3917">
          <cell r="D3917">
            <v>302813</v>
          </cell>
          <cell r="E3917" t="str">
            <v>Anda HS</v>
          </cell>
          <cell r="F3917">
            <v>1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</row>
        <row r="3918">
          <cell r="D3918">
            <v>303071</v>
          </cell>
          <cell r="E3918" t="str">
            <v>Cagay NHS</v>
          </cell>
          <cell r="F3918">
            <v>1</v>
          </cell>
          <cell r="G3918">
            <v>1</v>
          </cell>
          <cell r="H3918">
            <v>1</v>
          </cell>
          <cell r="I3918">
            <v>0</v>
          </cell>
          <cell r="J3918">
            <v>1</v>
          </cell>
          <cell r="K3918">
            <v>0</v>
          </cell>
          <cell r="L3918">
            <v>0</v>
          </cell>
          <cell r="M3918">
            <v>0</v>
          </cell>
          <cell r="N3918">
            <v>1</v>
          </cell>
          <cell r="O3918" t="str">
            <v>at the office of the school head</v>
          </cell>
          <cell r="P3918" t="str">
            <v>11/22/2019</v>
          </cell>
          <cell r="Q3918">
            <v>0</v>
          </cell>
          <cell r="R3918">
            <v>1</v>
          </cell>
          <cell r="S3918">
            <v>0</v>
          </cell>
          <cell r="T3918">
            <v>0</v>
          </cell>
          <cell r="U3918">
            <v>0</v>
          </cell>
          <cell r="V3918">
            <v>1</v>
          </cell>
          <cell r="W3918">
            <v>0</v>
          </cell>
          <cell r="X3918">
            <v>0</v>
          </cell>
          <cell r="Y3918">
            <v>0</v>
          </cell>
        </row>
        <row r="3919">
          <cell r="D3919">
            <v>303044</v>
          </cell>
          <cell r="E3919" t="str">
            <v>Looc Norte NHS</v>
          </cell>
          <cell r="F3919">
            <v>1</v>
          </cell>
          <cell r="G3919">
            <v>1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</row>
        <row r="3920">
          <cell r="D3920">
            <v>303070</v>
          </cell>
          <cell r="E3920" t="str">
            <v>Guibuangan NHS</v>
          </cell>
          <cell r="F3920">
            <v>1</v>
          </cell>
          <cell r="G3920">
            <v>1</v>
          </cell>
          <cell r="H3920">
            <v>1</v>
          </cell>
          <cell r="I3920">
            <v>1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1</v>
          </cell>
          <cell r="O3920" t="str">
            <v>November 18,2019</v>
          </cell>
          <cell r="P3920" t="str">
            <v>November 22,2019</v>
          </cell>
          <cell r="Q3920">
            <v>1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1</v>
          </cell>
          <cell r="W3920">
            <v>0</v>
          </cell>
          <cell r="X3920">
            <v>0</v>
          </cell>
          <cell r="Y3920">
            <v>0</v>
          </cell>
        </row>
        <row r="3921">
          <cell r="D3921">
            <v>312353</v>
          </cell>
          <cell r="E3921" t="str">
            <v>Campamanog HS</v>
          </cell>
          <cell r="F3921">
            <v>1</v>
          </cell>
          <cell r="G3921">
            <v>0</v>
          </cell>
          <cell r="H3921">
            <v>1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1</v>
          </cell>
          <cell r="W3921">
            <v>0</v>
          </cell>
          <cell r="X3921">
            <v>0</v>
          </cell>
          <cell r="Y3921">
            <v>0</v>
          </cell>
        </row>
        <row r="3922">
          <cell r="D3922">
            <v>303012</v>
          </cell>
          <cell r="E3922" t="str">
            <v>Giloctog National High School</v>
          </cell>
          <cell r="F3922">
            <v>1</v>
          </cell>
          <cell r="G3922">
            <v>0</v>
          </cell>
          <cell r="H3922">
            <v>1</v>
          </cell>
          <cell r="I3922">
            <v>0</v>
          </cell>
          <cell r="J3922">
            <v>1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 t="str">
            <v>N/A</v>
          </cell>
          <cell r="P3922" t="str">
            <v>N/A</v>
          </cell>
          <cell r="Q3922">
            <v>0</v>
          </cell>
          <cell r="R3922">
            <v>0</v>
          </cell>
          <cell r="S3922">
            <v>0</v>
          </cell>
          <cell r="T3922">
            <v>1</v>
          </cell>
          <cell r="U3922" t="str">
            <v>N/A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</row>
        <row r="3923">
          <cell r="D3923">
            <v>303013</v>
          </cell>
          <cell r="E3923" t="str">
            <v>TEOTIMO A. ABELLANA SR. MEMORIAL NATIONAL HIGH SCHOOL</v>
          </cell>
          <cell r="F3923">
            <v>0</v>
          </cell>
          <cell r="G3923">
            <v>0</v>
          </cell>
          <cell r="H3923">
            <v>1</v>
          </cell>
          <cell r="I3923">
            <v>0</v>
          </cell>
          <cell r="J3923">
            <v>0</v>
          </cell>
          <cell r="K3923">
            <v>0</v>
          </cell>
          <cell r="L3923">
            <v>1</v>
          </cell>
          <cell r="M3923" t="str">
            <v>If needed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1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</row>
        <row r="3924">
          <cell r="D3924">
            <v>312329</v>
          </cell>
          <cell r="E3924" t="str">
            <v>Bugsoc High School</v>
          </cell>
          <cell r="F3924">
            <v>0</v>
          </cell>
          <cell r="G3924">
            <v>0</v>
          </cell>
          <cell r="H3924">
            <v>1</v>
          </cell>
          <cell r="I3924">
            <v>0</v>
          </cell>
          <cell r="J3924">
            <v>0</v>
          </cell>
          <cell r="K3924">
            <v>1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</row>
        <row r="3925">
          <cell r="D3925">
            <v>302950</v>
          </cell>
          <cell r="E3925" t="str">
            <v>BUANOY NHS-EVENING OPPORTUNITY CLASS</v>
          </cell>
          <cell r="F3925">
            <v>0</v>
          </cell>
          <cell r="G3925">
            <v>0</v>
          </cell>
          <cell r="H3925">
            <v>1</v>
          </cell>
          <cell r="I3925">
            <v>1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 t="str">
            <v>None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1</v>
          </cell>
          <cell r="U3925" t="str">
            <v>None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</row>
        <row r="3926">
          <cell r="D3926">
            <v>312409</v>
          </cell>
          <cell r="E3926" t="str">
            <v>Patao NHS</v>
          </cell>
          <cell r="F3926">
            <v>1</v>
          </cell>
          <cell r="G3926">
            <v>1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</row>
        <row r="3927">
          <cell r="D3927">
            <v>303045</v>
          </cell>
          <cell r="E3927" t="str">
            <v>Federico &amp; Soledad Villaflor  MNHS</v>
          </cell>
          <cell r="F3927">
            <v>1</v>
          </cell>
          <cell r="G3927">
            <v>1</v>
          </cell>
          <cell r="H3927">
            <v>1</v>
          </cell>
          <cell r="I3927">
            <v>0</v>
          </cell>
          <cell r="J3927">
            <v>1</v>
          </cell>
          <cell r="K3927">
            <v>0</v>
          </cell>
          <cell r="L3927">
            <v>0</v>
          </cell>
          <cell r="M3927">
            <v>0</v>
          </cell>
          <cell r="N3927">
            <v>1</v>
          </cell>
          <cell r="O3927" t="str">
            <v>JANUARY 26, 2019</v>
          </cell>
          <cell r="P3927" t="str">
            <v>MARCH 31, 2019</v>
          </cell>
          <cell r="Q3927">
            <v>0</v>
          </cell>
          <cell r="R3927">
            <v>1</v>
          </cell>
          <cell r="S3927">
            <v>0</v>
          </cell>
          <cell r="T3927">
            <v>0</v>
          </cell>
          <cell r="U3927">
            <v>0</v>
          </cell>
          <cell r="V3927">
            <v>1</v>
          </cell>
          <cell r="W3927">
            <v>0</v>
          </cell>
          <cell r="X3927">
            <v>0</v>
          </cell>
          <cell r="Y3927">
            <v>0</v>
          </cell>
        </row>
        <row r="3928">
          <cell r="D3928">
            <v>312422</v>
          </cell>
          <cell r="E3928" t="str">
            <v>Mabunao NHS-Juan Pamplona Ext.</v>
          </cell>
          <cell r="F3928">
            <v>1</v>
          </cell>
          <cell r="G3928">
            <v>1</v>
          </cell>
          <cell r="H3928">
            <v>1</v>
          </cell>
          <cell r="I3928">
            <v>0</v>
          </cell>
          <cell r="J3928">
            <v>1</v>
          </cell>
          <cell r="K3928">
            <v>0</v>
          </cell>
          <cell r="L3928">
            <v>0</v>
          </cell>
          <cell r="M3928">
            <v>0</v>
          </cell>
          <cell r="N3928">
            <v>1</v>
          </cell>
          <cell r="O3928">
            <v>0</v>
          </cell>
          <cell r="P3928">
            <v>0</v>
          </cell>
          <cell r="Q3928">
            <v>0</v>
          </cell>
          <cell r="R3928">
            <v>1</v>
          </cell>
          <cell r="S3928">
            <v>0</v>
          </cell>
          <cell r="T3928">
            <v>0</v>
          </cell>
          <cell r="U3928">
            <v>0</v>
          </cell>
          <cell r="V3928">
            <v>1</v>
          </cell>
          <cell r="W3928">
            <v>0</v>
          </cell>
          <cell r="X3928">
            <v>0</v>
          </cell>
          <cell r="Y3928">
            <v>0</v>
          </cell>
        </row>
        <row r="3929">
          <cell r="D3929">
            <v>500210</v>
          </cell>
          <cell r="E3929" t="str">
            <v>CATABAN INTEGRATED SCHOOL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</row>
        <row r="3930">
          <cell r="D3930">
            <v>312462</v>
          </cell>
          <cell r="E3930" t="str">
            <v>Mahanlud NHS</v>
          </cell>
          <cell r="F3930">
            <v>1</v>
          </cell>
          <cell r="G3930">
            <v>0</v>
          </cell>
          <cell r="H3930">
            <v>1</v>
          </cell>
          <cell r="I3930">
            <v>0</v>
          </cell>
          <cell r="J3930">
            <v>1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</row>
        <row r="3931">
          <cell r="D3931">
            <v>500657</v>
          </cell>
          <cell r="E3931" t="str">
            <v>Palanas Integrated School</v>
          </cell>
          <cell r="F3931">
            <v>1</v>
          </cell>
          <cell r="G3931">
            <v>1</v>
          </cell>
          <cell r="H3931">
            <v>1</v>
          </cell>
          <cell r="I3931">
            <v>0</v>
          </cell>
          <cell r="J3931">
            <v>0</v>
          </cell>
          <cell r="K3931">
            <v>0</v>
          </cell>
          <cell r="L3931">
            <v>1</v>
          </cell>
          <cell r="M3931" t="str">
            <v>Twice a year</v>
          </cell>
          <cell r="N3931">
            <v>1</v>
          </cell>
          <cell r="O3931" t="str">
            <v>July 26, 2019</v>
          </cell>
          <cell r="P3931" t="str">
            <v>July 26, 2019</v>
          </cell>
          <cell r="Q3931">
            <v>0</v>
          </cell>
          <cell r="R3931">
            <v>0</v>
          </cell>
          <cell r="S3931">
            <v>0</v>
          </cell>
          <cell r="T3931">
            <v>1</v>
          </cell>
          <cell r="U3931" t="str">
            <v>Twice a year</v>
          </cell>
          <cell r="V3931">
            <v>1</v>
          </cell>
          <cell r="W3931">
            <v>3</v>
          </cell>
          <cell r="X3931">
            <v>0</v>
          </cell>
          <cell r="Y3931">
            <v>0</v>
          </cell>
        </row>
        <row r="3932">
          <cell r="D3932">
            <v>303094</v>
          </cell>
          <cell r="E3932" t="str">
            <v>Santa Fe National High School</v>
          </cell>
          <cell r="F3932">
            <v>1</v>
          </cell>
          <cell r="G3932">
            <v>1</v>
          </cell>
          <cell r="H3932">
            <v>1</v>
          </cell>
          <cell r="I3932">
            <v>0</v>
          </cell>
          <cell r="J3932">
            <v>0</v>
          </cell>
          <cell r="K3932">
            <v>0</v>
          </cell>
          <cell r="L3932">
            <v>1</v>
          </cell>
          <cell r="M3932" t="str">
            <v>as neede</v>
          </cell>
          <cell r="N3932">
            <v>1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1</v>
          </cell>
          <cell r="U3932" t="str">
            <v>as needed</v>
          </cell>
          <cell r="V3932">
            <v>1</v>
          </cell>
          <cell r="W3932">
            <v>0</v>
          </cell>
          <cell r="X3932">
            <v>0</v>
          </cell>
          <cell r="Y3932">
            <v>0</v>
          </cell>
        </row>
        <row r="3933">
          <cell r="D3933">
            <v>303059</v>
          </cell>
          <cell r="E3933" t="str">
            <v>Montealegre NHS</v>
          </cell>
          <cell r="F3933">
            <v>1</v>
          </cell>
          <cell r="G3933">
            <v>1</v>
          </cell>
          <cell r="H3933">
            <v>1</v>
          </cell>
          <cell r="I3933">
            <v>0</v>
          </cell>
          <cell r="J3933">
            <v>1</v>
          </cell>
          <cell r="K3933">
            <v>0</v>
          </cell>
          <cell r="L3933">
            <v>0</v>
          </cell>
          <cell r="M3933">
            <v>0</v>
          </cell>
          <cell r="N3933">
            <v>1</v>
          </cell>
          <cell r="O3933" t="str">
            <v>09/20/2019</v>
          </cell>
          <cell r="P3933" t="str">
            <v>10/18/2019</v>
          </cell>
          <cell r="Q3933">
            <v>1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1</v>
          </cell>
          <cell r="W3933">
            <v>0</v>
          </cell>
          <cell r="X3933">
            <v>0</v>
          </cell>
          <cell r="Y3933">
            <v>0</v>
          </cell>
        </row>
        <row r="3934">
          <cell r="D3934">
            <v>303057</v>
          </cell>
          <cell r="E3934" t="str">
            <v>MontaÃ±eza NHS</v>
          </cell>
          <cell r="F3934">
            <v>1</v>
          </cell>
          <cell r="G3934">
            <v>1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</row>
        <row r="3935">
          <cell r="D3935">
            <v>312405</v>
          </cell>
          <cell r="E3935" t="str">
            <v>Bartolome C.Pianar MNHS</v>
          </cell>
          <cell r="F3935">
            <v>1</v>
          </cell>
          <cell r="G3935">
            <v>1</v>
          </cell>
          <cell r="H3935">
            <v>1</v>
          </cell>
          <cell r="I3935">
            <v>0</v>
          </cell>
          <cell r="J3935">
            <v>1</v>
          </cell>
          <cell r="K3935">
            <v>0</v>
          </cell>
          <cell r="L3935">
            <v>0</v>
          </cell>
          <cell r="M3935">
            <v>0</v>
          </cell>
          <cell r="N3935">
            <v>1</v>
          </cell>
          <cell r="O3935">
            <v>0</v>
          </cell>
          <cell r="P3935">
            <v>0</v>
          </cell>
          <cell r="Q3935">
            <v>0</v>
          </cell>
          <cell r="R3935">
            <v>1</v>
          </cell>
          <cell r="S3935">
            <v>0</v>
          </cell>
          <cell r="T3935">
            <v>0</v>
          </cell>
          <cell r="U3935">
            <v>0</v>
          </cell>
          <cell r="V3935">
            <v>1</v>
          </cell>
          <cell r="W3935">
            <v>0</v>
          </cell>
          <cell r="X3935">
            <v>0</v>
          </cell>
          <cell r="Y3935">
            <v>0</v>
          </cell>
        </row>
        <row r="3936">
          <cell r="D3936">
            <v>302933</v>
          </cell>
          <cell r="E3936" t="str">
            <v>Don Potenciano Catarata MNHS</v>
          </cell>
          <cell r="F3936">
            <v>1</v>
          </cell>
          <cell r="G3936">
            <v>1</v>
          </cell>
          <cell r="H3936">
            <v>1</v>
          </cell>
          <cell r="I3936">
            <v>0</v>
          </cell>
          <cell r="J3936">
            <v>1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 t="str">
            <v>June,2019</v>
          </cell>
          <cell r="Q3936">
            <v>1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1</v>
          </cell>
          <cell r="W3936">
            <v>0</v>
          </cell>
          <cell r="X3936">
            <v>0</v>
          </cell>
          <cell r="Y3936">
            <v>0</v>
          </cell>
        </row>
        <row r="3937">
          <cell r="D3937">
            <v>303061</v>
          </cell>
          <cell r="E3937" t="str">
            <v>Tuburan National High School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1</v>
          </cell>
          <cell r="M3937" t="str">
            <v>NOT AT ALL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1</v>
          </cell>
          <cell r="U3937" t="str">
            <v>NO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</row>
        <row r="3938">
          <cell r="D3938">
            <v>302828</v>
          </cell>
          <cell r="E3938" t="str">
            <v>Handumon NHS</v>
          </cell>
          <cell r="F3938">
            <v>1</v>
          </cell>
          <cell r="G3938">
            <v>0</v>
          </cell>
          <cell r="H3938">
            <v>1</v>
          </cell>
          <cell r="I3938">
            <v>0</v>
          </cell>
          <cell r="J3938">
            <v>0</v>
          </cell>
          <cell r="K3938">
            <v>1</v>
          </cell>
          <cell r="L3938">
            <v>0</v>
          </cell>
          <cell r="M3938">
            <v>0</v>
          </cell>
          <cell r="N3938">
            <v>0</v>
          </cell>
          <cell r="O3938" t="str">
            <v>n/a</v>
          </cell>
          <cell r="P3938" t="str">
            <v>n/a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</row>
        <row r="3939">
          <cell r="D3939">
            <v>302826</v>
          </cell>
          <cell r="E3939" t="str">
            <v>Camaya-an NHS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</row>
        <row r="3940">
          <cell r="D3940">
            <v>303096</v>
          </cell>
          <cell r="E3940" t="str">
            <v>Madridejos NHS (Alegria)</v>
          </cell>
          <cell r="F3940">
            <v>1</v>
          </cell>
          <cell r="G3940">
            <v>0</v>
          </cell>
          <cell r="H3940">
            <v>1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</row>
        <row r="3941">
          <cell r="D3941">
            <v>302809</v>
          </cell>
          <cell r="E3941" t="str">
            <v>Alicia Technical-Voc'l HS</v>
          </cell>
          <cell r="F3941">
            <v>1</v>
          </cell>
          <cell r="G3941">
            <v>1</v>
          </cell>
          <cell r="H3941">
            <v>0</v>
          </cell>
          <cell r="I3941">
            <v>0</v>
          </cell>
          <cell r="J3941">
            <v>0</v>
          </cell>
          <cell r="K3941">
            <v>1</v>
          </cell>
          <cell r="L3941">
            <v>0</v>
          </cell>
          <cell r="M3941">
            <v>0</v>
          </cell>
          <cell r="N3941">
            <v>0</v>
          </cell>
          <cell r="O3941">
            <v>43623</v>
          </cell>
          <cell r="P3941">
            <v>0</v>
          </cell>
          <cell r="Q3941">
            <v>0</v>
          </cell>
          <cell r="R3941">
            <v>0</v>
          </cell>
          <cell r="S3941">
            <v>1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</row>
        <row r="3942">
          <cell r="D3942">
            <v>302951</v>
          </cell>
          <cell r="E3942" t="str">
            <v>Bulak NHS</v>
          </cell>
          <cell r="F3942">
            <v>1</v>
          </cell>
          <cell r="G3942">
            <v>1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</row>
        <row r="3943">
          <cell r="D3943">
            <v>302930</v>
          </cell>
          <cell r="E3943" t="str">
            <v>Eduardo T. Oporto Memorial  National High School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</row>
        <row r="3944">
          <cell r="D3944">
            <v>312327</v>
          </cell>
          <cell r="E3944" t="str">
            <v>Candungao High School</v>
          </cell>
          <cell r="F3944">
            <v>1</v>
          </cell>
          <cell r="G3944">
            <v>1</v>
          </cell>
          <cell r="H3944">
            <v>1</v>
          </cell>
          <cell r="I3944">
            <v>0</v>
          </cell>
          <cell r="J3944">
            <v>0</v>
          </cell>
          <cell r="K3944">
            <v>1</v>
          </cell>
          <cell r="L3944">
            <v>0</v>
          </cell>
          <cell r="M3944">
            <v>0</v>
          </cell>
          <cell r="N3944">
            <v>1</v>
          </cell>
          <cell r="O3944">
            <v>0</v>
          </cell>
          <cell r="P3944">
            <v>0</v>
          </cell>
          <cell r="Q3944">
            <v>1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1</v>
          </cell>
          <cell r="W3944">
            <v>0</v>
          </cell>
          <cell r="X3944">
            <v>0</v>
          </cell>
          <cell r="Y3944">
            <v>0</v>
          </cell>
        </row>
        <row r="3945">
          <cell r="D3945">
            <v>302894</v>
          </cell>
          <cell r="E3945" t="str">
            <v>Calituban HS</v>
          </cell>
          <cell r="F3945">
            <v>1</v>
          </cell>
          <cell r="G3945">
            <v>1</v>
          </cell>
          <cell r="H3945">
            <v>1</v>
          </cell>
          <cell r="I3945">
            <v>0</v>
          </cell>
          <cell r="J3945">
            <v>0</v>
          </cell>
          <cell r="K3945">
            <v>1</v>
          </cell>
          <cell r="L3945">
            <v>0</v>
          </cell>
          <cell r="M3945">
            <v>0</v>
          </cell>
          <cell r="N3945">
            <v>1</v>
          </cell>
          <cell r="O3945">
            <v>43623</v>
          </cell>
          <cell r="P3945">
            <v>43623</v>
          </cell>
          <cell r="Q3945">
            <v>0</v>
          </cell>
          <cell r="R3945">
            <v>0</v>
          </cell>
          <cell r="S3945">
            <v>1</v>
          </cell>
          <cell r="T3945">
            <v>0</v>
          </cell>
          <cell r="U3945">
            <v>0</v>
          </cell>
          <cell r="V3945">
            <v>1</v>
          </cell>
          <cell r="W3945">
            <v>0</v>
          </cell>
          <cell r="X3945">
            <v>0</v>
          </cell>
          <cell r="Y3945">
            <v>0</v>
          </cell>
        </row>
        <row r="3946">
          <cell r="D3946">
            <v>500407</v>
          </cell>
          <cell r="E3946" t="str">
            <v>City of Bogo Science and Arts Academy</v>
          </cell>
          <cell r="F3946">
            <v>1</v>
          </cell>
          <cell r="G3946">
            <v>1</v>
          </cell>
          <cell r="H3946">
            <v>1</v>
          </cell>
          <cell r="I3946">
            <v>0</v>
          </cell>
          <cell r="J3946">
            <v>1</v>
          </cell>
          <cell r="K3946">
            <v>0</v>
          </cell>
          <cell r="L3946">
            <v>0</v>
          </cell>
          <cell r="M3946">
            <v>0</v>
          </cell>
          <cell r="N3946">
            <v>1</v>
          </cell>
          <cell r="O3946">
            <v>43525</v>
          </cell>
          <cell r="P3946">
            <v>43756</v>
          </cell>
          <cell r="Q3946">
            <v>0</v>
          </cell>
          <cell r="R3946">
            <v>1</v>
          </cell>
          <cell r="S3946">
            <v>0</v>
          </cell>
          <cell r="T3946">
            <v>0</v>
          </cell>
          <cell r="U3946">
            <v>0</v>
          </cell>
          <cell r="V3946">
            <v>1</v>
          </cell>
          <cell r="W3946">
            <v>4</v>
          </cell>
          <cell r="X3946">
            <v>0</v>
          </cell>
          <cell r="Y3946">
            <v>2</v>
          </cell>
        </row>
        <row r="3947">
          <cell r="D3947">
            <v>303016</v>
          </cell>
          <cell r="E3947" t="str">
            <v>Maximino Noel Memorial National High School</v>
          </cell>
          <cell r="F3947">
            <v>1</v>
          </cell>
          <cell r="G3947">
            <v>1</v>
          </cell>
          <cell r="H3947">
            <v>0</v>
          </cell>
          <cell r="I3947">
            <v>0</v>
          </cell>
          <cell r="J3947">
            <v>1</v>
          </cell>
          <cell r="K3947">
            <v>0</v>
          </cell>
          <cell r="L3947">
            <v>0</v>
          </cell>
          <cell r="M3947">
            <v>0</v>
          </cell>
          <cell r="N3947">
            <v>1</v>
          </cell>
          <cell r="O3947">
            <v>43664</v>
          </cell>
          <cell r="P3947">
            <v>43765</v>
          </cell>
          <cell r="Q3947">
            <v>1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1</v>
          </cell>
          <cell r="W3947">
            <v>0</v>
          </cell>
          <cell r="X3947">
            <v>0</v>
          </cell>
          <cell r="Y3947">
            <v>0</v>
          </cell>
        </row>
        <row r="3948">
          <cell r="D3948">
            <v>302811</v>
          </cell>
          <cell r="E3948" t="str">
            <v>Baclayon National High School</v>
          </cell>
          <cell r="F3948">
            <v>1</v>
          </cell>
          <cell r="G3948">
            <v>1</v>
          </cell>
          <cell r="H3948">
            <v>1</v>
          </cell>
          <cell r="I3948">
            <v>0</v>
          </cell>
          <cell r="J3948">
            <v>0</v>
          </cell>
          <cell r="K3948">
            <v>1</v>
          </cell>
          <cell r="L3948">
            <v>0</v>
          </cell>
          <cell r="M3948">
            <v>0</v>
          </cell>
          <cell r="N3948">
            <v>1</v>
          </cell>
          <cell r="O3948" t="str">
            <v>june 15, 2019</v>
          </cell>
          <cell r="P3948" t="str">
            <v>june 3, 2019</v>
          </cell>
          <cell r="Q3948">
            <v>0</v>
          </cell>
          <cell r="R3948">
            <v>0</v>
          </cell>
          <cell r="S3948">
            <v>1</v>
          </cell>
          <cell r="T3948">
            <v>0</v>
          </cell>
          <cell r="U3948">
            <v>0</v>
          </cell>
          <cell r="V3948">
            <v>1</v>
          </cell>
          <cell r="W3948">
            <v>1</v>
          </cell>
          <cell r="X3948">
            <v>1</v>
          </cell>
          <cell r="Y3948">
            <v>1</v>
          </cell>
        </row>
        <row r="3949">
          <cell r="D3949">
            <v>500422</v>
          </cell>
          <cell r="E3949" t="str">
            <v>Sulangan IS</v>
          </cell>
          <cell r="F3949">
            <v>1</v>
          </cell>
          <cell r="G3949">
            <v>1</v>
          </cell>
          <cell r="H3949">
            <v>1</v>
          </cell>
          <cell r="I3949">
            <v>1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1</v>
          </cell>
          <cell r="O3949" t="str">
            <v>June 3, 2019</v>
          </cell>
          <cell r="P3949" t="str">
            <v>October 4, 2019</v>
          </cell>
          <cell r="Q3949">
            <v>1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1</v>
          </cell>
          <cell r="W3949">
            <v>5</v>
          </cell>
          <cell r="X3949">
            <v>4</v>
          </cell>
          <cell r="Y3949">
            <v>4</v>
          </cell>
        </row>
        <row r="3950">
          <cell r="D3950">
            <v>302937</v>
          </cell>
          <cell r="E3950" t="str">
            <v>Odlot NHS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1</v>
          </cell>
          <cell r="M3950" t="str">
            <v>n/a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1</v>
          </cell>
          <cell r="U3950" t="str">
            <v>n/a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</row>
        <row r="3951">
          <cell r="D3951">
            <v>312356</v>
          </cell>
          <cell r="E3951" t="str">
            <v>Bangwalog HS</v>
          </cell>
          <cell r="F3951">
            <v>0</v>
          </cell>
          <cell r="G3951">
            <v>0</v>
          </cell>
          <cell r="H3951">
            <v>1</v>
          </cell>
          <cell r="I3951">
            <v>0</v>
          </cell>
          <cell r="J3951">
            <v>1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</row>
        <row r="3952">
          <cell r="D3952">
            <v>302815</v>
          </cell>
          <cell r="E3952" t="str">
            <v>Batuan NHS</v>
          </cell>
          <cell r="F3952">
            <v>0</v>
          </cell>
          <cell r="G3952">
            <v>0</v>
          </cell>
          <cell r="H3952">
            <v>1</v>
          </cell>
          <cell r="I3952">
            <v>0</v>
          </cell>
          <cell r="J3952">
            <v>1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1</v>
          </cell>
          <cell r="T3952">
            <v>0</v>
          </cell>
          <cell r="U3952">
            <v>0</v>
          </cell>
          <cell r="V3952">
            <v>0</v>
          </cell>
          <cell r="W3952">
            <v>5</v>
          </cell>
          <cell r="X3952">
            <v>5</v>
          </cell>
          <cell r="Y3952">
            <v>5</v>
          </cell>
        </row>
        <row r="3953">
          <cell r="D3953">
            <v>302840</v>
          </cell>
          <cell r="E3953" t="str">
            <v>Dagohoy NHS</v>
          </cell>
          <cell r="F3953">
            <v>0</v>
          </cell>
          <cell r="G3953">
            <v>0</v>
          </cell>
          <cell r="H3953">
            <v>1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</row>
        <row r="3954">
          <cell r="D3954">
            <v>302926</v>
          </cell>
          <cell r="E3954" t="str">
            <v>Busay  National High School</v>
          </cell>
          <cell r="F3954">
            <v>1</v>
          </cell>
          <cell r="G3954">
            <v>1</v>
          </cell>
          <cell r="H3954">
            <v>1</v>
          </cell>
          <cell r="I3954">
            <v>0</v>
          </cell>
          <cell r="J3954">
            <v>1</v>
          </cell>
          <cell r="K3954">
            <v>0</v>
          </cell>
          <cell r="L3954">
            <v>0</v>
          </cell>
          <cell r="M3954">
            <v>0</v>
          </cell>
          <cell r="N3954">
            <v>1</v>
          </cell>
          <cell r="O3954">
            <v>43753</v>
          </cell>
          <cell r="P3954">
            <v>0</v>
          </cell>
          <cell r="Q3954">
            <v>0</v>
          </cell>
          <cell r="R3954">
            <v>1</v>
          </cell>
          <cell r="S3954">
            <v>0</v>
          </cell>
          <cell r="T3954">
            <v>0</v>
          </cell>
          <cell r="U3954">
            <v>0</v>
          </cell>
          <cell r="V3954">
            <v>1</v>
          </cell>
          <cell r="W3954">
            <v>5</v>
          </cell>
          <cell r="X3954">
            <v>2</v>
          </cell>
          <cell r="Y3954">
            <v>1</v>
          </cell>
        </row>
        <row r="3955">
          <cell r="D3955">
            <v>312413</v>
          </cell>
          <cell r="E3955" t="str">
            <v>Pungtod NHS</v>
          </cell>
          <cell r="F3955">
            <v>1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</row>
        <row r="3956">
          <cell r="D3956">
            <v>303051</v>
          </cell>
          <cell r="E3956" t="str">
            <v>Mangyan NHS</v>
          </cell>
          <cell r="F3956">
            <v>1</v>
          </cell>
          <cell r="G3956">
            <v>0</v>
          </cell>
          <cell r="H3956">
            <v>1</v>
          </cell>
          <cell r="I3956">
            <v>0</v>
          </cell>
          <cell r="J3956">
            <v>0</v>
          </cell>
          <cell r="K3956">
            <v>1</v>
          </cell>
          <cell r="L3956">
            <v>0</v>
          </cell>
          <cell r="M3956">
            <v>0</v>
          </cell>
          <cell r="N3956">
            <v>1</v>
          </cell>
          <cell r="O3956">
            <v>43651</v>
          </cell>
          <cell r="P3956">
            <v>43658</v>
          </cell>
          <cell r="Q3956">
            <v>0</v>
          </cell>
          <cell r="R3956">
            <v>1</v>
          </cell>
          <cell r="S3956">
            <v>0</v>
          </cell>
          <cell r="T3956">
            <v>0</v>
          </cell>
          <cell r="U3956">
            <v>0</v>
          </cell>
          <cell r="V3956">
            <v>1</v>
          </cell>
          <cell r="W3956">
            <v>1</v>
          </cell>
          <cell r="X3956">
            <v>0</v>
          </cell>
          <cell r="Y3956">
            <v>0</v>
          </cell>
        </row>
        <row r="3957">
          <cell r="D3957">
            <v>500667</v>
          </cell>
          <cell r="E3957" t="str">
            <v>Marikaban Integrated School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</row>
        <row r="3958">
          <cell r="D3958">
            <v>303041</v>
          </cell>
          <cell r="E3958" t="str">
            <v>Libaong National High School</v>
          </cell>
          <cell r="F3958">
            <v>1</v>
          </cell>
          <cell r="G3958">
            <v>1</v>
          </cell>
          <cell r="H3958">
            <v>1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1</v>
          </cell>
          <cell r="O3958">
            <v>0</v>
          </cell>
          <cell r="P3958">
            <v>0</v>
          </cell>
          <cell r="Q3958">
            <v>0</v>
          </cell>
          <cell r="R3958">
            <v>1</v>
          </cell>
          <cell r="S3958">
            <v>0</v>
          </cell>
          <cell r="T3958">
            <v>0</v>
          </cell>
          <cell r="U3958">
            <v>0</v>
          </cell>
          <cell r="V3958">
            <v>1</v>
          </cell>
          <cell r="W3958">
            <v>0</v>
          </cell>
          <cell r="X3958">
            <v>0</v>
          </cell>
          <cell r="Y3958">
            <v>0</v>
          </cell>
        </row>
        <row r="3959">
          <cell r="D3959">
            <v>302859</v>
          </cell>
          <cell r="E3959" t="str">
            <v>Southern Inabanga HS</v>
          </cell>
          <cell r="F3959">
            <v>1</v>
          </cell>
          <cell r="G3959">
            <v>1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</row>
        <row r="3960">
          <cell r="D3960">
            <v>302882</v>
          </cell>
          <cell r="E3960" t="str">
            <v>Pangangan National High School</v>
          </cell>
          <cell r="F3960">
            <v>1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1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1</v>
          </cell>
          <cell r="T3960">
            <v>0</v>
          </cell>
          <cell r="U3960">
            <v>0</v>
          </cell>
          <cell r="V3960">
            <v>1</v>
          </cell>
          <cell r="W3960">
            <v>0</v>
          </cell>
          <cell r="X3960">
            <v>0</v>
          </cell>
          <cell r="Y3960">
            <v>0</v>
          </cell>
        </row>
        <row r="3961">
          <cell r="D3961">
            <v>302851</v>
          </cell>
          <cell r="E3961" t="str">
            <v>Fermin Tayabas NHS</v>
          </cell>
          <cell r="F3961">
            <v>1</v>
          </cell>
          <cell r="G3961">
            <v>1</v>
          </cell>
          <cell r="H3961">
            <v>1</v>
          </cell>
          <cell r="I3961">
            <v>0</v>
          </cell>
          <cell r="J3961">
            <v>1</v>
          </cell>
          <cell r="K3961">
            <v>0</v>
          </cell>
          <cell r="L3961">
            <v>0</v>
          </cell>
          <cell r="M3961">
            <v>0</v>
          </cell>
          <cell r="N3961">
            <v>1</v>
          </cell>
          <cell r="O3961">
            <v>43649</v>
          </cell>
          <cell r="P3961">
            <v>43651</v>
          </cell>
          <cell r="Q3961">
            <v>0</v>
          </cell>
          <cell r="R3961">
            <v>1</v>
          </cell>
          <cell r="S3961">
            <v>0</v>
          </cell>
          <cell r="T3961">
            <v>0</v>
          </cell>
          <cell r="U3961">
            <v>0</v>
          </cell>
          <cell r="V3961">
            <v>1</v>
          </cell>
          <cell r="W3961">
            <v>0</v>
          </cell>
          <cell r="X3961">
            <v>0</v>
          </cell>
          <cell r="Y3961">
            <v>0</v>
          </cell>
        </row>
        <row r="3962">
          <cell r="D3962">
            <v>302925</v>
          </cell>
          <cell r="E3962" t="str">
            <v>Bala NHS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</row>
        <row r="3963">
          <cell r="D3963">
            <v>303067</v>
          </cell>
          <cell r="E3963" t="str">
            <v>Teodoro dela Vega Memorial National High School</v>
          </cell>
          <cell r="F3963">
            <v>1</v>
          </cell>
          <cell r="G3963">
            <v>1</v>
          </cell>
          <cell r="H3963">
            <v>1</v>
          </cell>
          <cell r="I3963">
            <v>0</v>
          </cell>
          <cell r="J3963">
            <v>1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1</v>
          </cell>
          <cell r="S3963">
            <v>0</v>
          </cell>
          <cell r="T3963">
            <v>0</v>
          </cell>
          <cell r="U3963">
            <v>0</v>
          </cell>
          <cell r="V3963">
            <v>1</v>
          </cell>
          <cell r="W3963">
            <v>0</v>
          </cell>
          <cell r="X3963">
            <v>0</v>
          </cell>
          <cell r="Y3963">
            <v>0</v>
          </cell>
        </row>
        <row r="3964">
          <cell r="D3964">
            <v>500219</v>
          </cell>
          <cell r="E3964" t="str">
            <v>Argawanon Integrated School</v>
          </cell>
          <cell r="F3964">
            <v>1</v>
          </cell>
          <cell r="G3964">
            <v>1</v>
          </cell>
          <cell r="H3964">
            <v>0</v>
          </cell>
          <cell r="I3964">
            <v>0</v>
          </cell>
          <cell r="J3964">
            <v>0</v>
          </cell>
          <cell r="K3964">
            <v>1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1</v>
          </cell>
          <cell r="S3964">
            <v>0</v>
          </cell>
          <cell r="T3964">
            <v>0</v>
          </cell>
          <cell r="U3964">
            <v>0</v>
          </cell>
          <cell r="V3964">
            <v>1</v>
          </cell>
          <cell r="W3964">
            <v>0</v>
          </cell>
          <cell r="X3964">
            <v>0</v>
          </cell>
          <cell r="Y3964">
            <v>0</v>
          </cell>
        </row>
        <row r="3965">
          <cell r="D3965">
            <v>302969</v>
          </cell>
          <cell r="E3965" t="str">
            <v>Camp 7 NHS</v>
          </cell>
          <cell r="F3965">
            <v>1</v>
          </cell>
          <cell r="G3965">
            <v>0</v>
          </cell>
          <cell r="H3965">
            <v>1</v>
          </cell>
          <cell r="I3965">
            <v>0</v>
          </cell>
          <cell r="J3965">
            <v>1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 t="str">
            <v>NONE</v>
          </cell>
          <cell r="P3965">
            <v>43647</v>
          </cell>
          <cell r="Q3965">
            <v>0</v>
          </cell>
          <cell r="R3965">
            <v>0</v>
          </cell>
          <cell r="S3965">
            <v>1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</row>
        <row r="3966">
          <cell r="D3966">
            <v>303018</v>
          </cell>
          <cell r="E3966" t="str">
            <v>Guiwanon NHS</v>
          </cell>
          <cell r="F3966">
            <v>0</v>
          </cell>
          <cell r="G3966">
            <v>0</v>
          </cell>
          <cell r="H3966">
            <v>1</v>
          </cell>
          <cell r="I3966">
            <v>0</v>
          </cell>
          <cell r="J3966">
            <v>1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 t="str">
            <v>none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</row>
        <row r="3967">
          <cell r="D3967">
            <v>303300</v>
          </cell>
          <cell r="E3967" t="str">
            <v>Tambisan National High School</v>
          </cell>
          <cell r="F3967">
            <v>1</v>
          </cell>
          <cell r="G3967">
            <v>0</v>
          </cell>
          <cell r="H3967">
            <v>1</v>
          </cell>
          <cell r="I3967">
            <v>0</v>
          </cell>
          <cell r="J3967">
            <v>1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10</v>
          </cell>
          <cell r="X3967">
            <v>10</v>
          </cell>
          <cell r="Y3967">
            <v>0</v>
          </cell>
        </row>
        <row r="3968">
          <cell r="D3968">
            <v>500217</v>
          </cell>
          <cell r="E3968" t="str">
            <v>Danahaw IS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</row>
        <row r="3969">
          <cell r="D3969">
            <v>302886</v>
          </cell>
          <cell r="E3969" t="str">
            <v>Pres. Carlos P. Garcia Technical Vocational School of Fisheries and Arts</v>
          </cell>
          <cell r="F3969">
            <v>1</v>
          </cell>
          <cell r="G3969">
            <v>0</v>
          </cell>
          <cell r="H3969">
            <v>1</v>
          </cell>
          <cell r="I3969">
            <v>0</v>
          </cell>
          <cell r="J3969">
            <v>1</v>
          </cell>
          <cell r="K3969">
            <v>0</v>
          </cell>
          <cell r="L3969">
            <v>0</v>
          </cell>
          <cell r="M3969">
            <v>0</v>
          </cell>
          <cell r="N3969">
            <v>1</v>
          </cell>
          <cell r="O3969">
            <v>0</v>
          </cell>
          <cell r="P3969">
            <v>43678</v>
          </cell>
          <cell r="Q3969">
            <v>0</v>
          </cell>
          <cell r="R3969">
            <v>1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</row>
        <row r="3970">
          <cell r="D3970">
            <v>303097</v>
          </cell>
          <cell r="E3970" t="str">
            <v>Santa Lucia NHS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1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1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1</v>
          </cell>
          <cell r="W3970">
            <v>0</v>
          </cell>
          <cell r="X3970">
            <v>0</v>
          </cell>
          <cell r="Y3970">
            <v>0</v>
          </cell>
        </row>
        <row r="3971">
          <cell r="D3971">
            <v>303125</v>
          </cell>
          <cell r="E3971" t="str">
            <v>Cansuje National High School - Usmad Ext.</v>
          </cell>
          <cell r="F3971">
            <v>1</v>
          </cell>
          <cell r="G3971">
            <v>1</v>
          </cell>
          <cell r="H3971">
            <v>1</v>
          </cell>
          <cell r="I3971">
            <v>1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</row>
        <row r="3972">
          <cell r="D3972">
            <v>500421</v>
          </cell>
          <cell r="E3972" t="str">
            <v>Sillon Integrated School</v>
          </cell>
          <cell r="F3972">
            <v>0</v>
          </cell>
          <cell r="G3972">
            <v>0</v>
          </cell>
          <cell r="H3972">
            <v>1</v>
          </cell>
          <cell r="I3972">
            <v>1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1</v>
          </cell>
          <cell r="O3972">
            <v>43735</v>
          </cell>
          <cell r="P3972">
            <v>0</v>
          </cell>
          <cell r="Q3972">
            <v>1</v>
          </cell>
          <cell r="R3972">
            <v>0</v>
          </cell>
          <cell r="S3972">
            <v>0</v>
          </cell>
          <cell r="T3972">
            <v>1</v>
          </cell>
          <cell r="U3972">
            <v>43738</v>
          </cell>
          <cell r="V3972">
            <v>1</v>
          </cell>
          <cell r="W3972">
            <v>2</v>
          </cell>
          <cell r="X3972">
            <v>0</v>
          </cell>
          <cell r="Y3972">
            <v>0</v>
          </cell>
        </row>
        <row r="3973">
          <cell r="D3973">
            <v>312421</v>
          </cell>
          <cell r="E3973" t="str">
            <v>Bantayan Science High School</v>
          </cell>
          <cell r="F3973">
            <v>1</v>
          </cell>
          <cell r="G3973">
            <v>1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</row>
        <row r="3974">
          <cell r="D3974">
            <v>312431</v>
          </cell>
          <cell r="E3974" t="str">
            <v>Anonang Sur Tabaco Frasco National High School</v>
          </cell>
          <cell r="F3974">
            <v>1</v>
          </cell>
          <cell r="G3974">
            <v>1</v>
          </cell>
          <cell r="H3974">
            <v>1</v>
          </cell>
          <cell r="I3974">
            <v>0</v>
          </cell>
          <cell r="J3974">
            <v>1</v>
          </cell>
          <cell r="K3974">
            <v>0</v>
          </cell>
          <cell r="L3974">
            <v>0</v>
          </cell>
          <cell r="M3974">
            <v>0</v>
          </cell>
          <cell r="N3974">
            <v>1</v>
          </cell>
          <cell r="O3974" t="str">
            <v>OCTOBER 28, 2019</v>
          </cell>
          <cell r="P3974">
            <v>0</v>
          </cell>
          <cell r="Q3974">
            <v>0</v>
          </cell>
          <cell r="R3974">
            <v>1</v>
          </cell>
          <cell r="S3974">
            <v>0</v>
          </cell>
          <cell r="T3974">
            <v>0</v>
          </cell>
          <cell r="U3974">
            <v>0</v>
          </cell>
          <cell r="V3974">
            <v>1</v>
          </cell>
          <cell r="W3974">
            <v>4</v>
          </cell>
          <cell r="X3974">
            <v>0</v>
          </cell>
          <cell r="Y3974">
            <v>4</v>
          </cell>
        </row>
        <row r="3975">
          <cell r="D3975">
            <v>500652</v>
          </cell>
          <cell r="E3975" t="str">
            <v>Hilotongan Integrated School</v>
          </cell>
          <cell r="F3975">
            <v>1</v>
          </cell>
          <cell r="G3975">
            <v>1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1</v>
          </cell>
          <cell r="M3975" t="str">
            <v>NONE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1</v>
          </cell>
          <cell r="U3975" t="str">
            <v>NONE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</row>
        <row r="3976">
          <cell r="D3976">
            <v>312310</v>
          </cell>
          <cell r="E3976" t="str">
            <v>Bayawahan National High School</v>
          </cell>
          <cell r="F3976">
            <v>0</v>
          </cell>
          <cell r="G3976">
            <v>0</v>
          </cell>
          <cell r="H3976">
            <v>1</v>
          </cell>
          <cell r="I3976">
            <v>0</v>
          </cell>
          <cell r="J3976">
            <v>1</v>
          </cell>
          <cell r="K3976">
            <v>0</v>
          </cell>
          <cell r="L3976">
            <v>0</v>
          </cell>
          <cell r="M3976">
            <v>0</v>
          </cell>
          <cell r="N3976">
            <v>1</v>
          </cell>
          <cell r="O3976">
            <v>0</v>
          </cell>
          <cell r="P3976">
            <v>43617</v>
          </cell>
          <cell r="Q3976">
            <v>1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1</v>
          </cell>
          <cell r="W3976">
            <v>1</v>
          </cell>
          <cell r="X3976">
            <v>0</v>
          </cell>
          <cell r="Y3976">
            <v>0</v>
          </cell>
        </row>
        <row r="3977">
          <cell r="D3977">
            <v>500654</v>
          </cell>
          <cell r="E3977" t="str">
            <v>Oboob Integrated School</v>
          </cell>
          <cell r="F3977">
            <v>1</v>
          </cell>
          <cell r="G3977">
            <v>1</v>
          </cell>
          <cell r="H3977">
            <v>1</v>
          </cell>
          <cell r="I3977">
            <v>0</v>
          </cell>
          <cell r="J3977">
            <v>1</v>
          </cell>
          <cell r="K3977">
            <v>0</v>
          </cell>
          <cell r="L3977">
            <v>0</v>
          </cell>
          <cell r="M3977">
            <v>0</v>
          </cell>
          <cell r="N3977">
            <v>1</v>
          </cell>
          <cell r="O3977">
            <v>43810</v>
          </cell>
          <cell r="P3977">
            <v>43810</v>
          </cell>
          <cell r="Q3977">
            <v>1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1</v>
          </cell>
          <cell r="W3977">
            <v>1</v>
          </cell>
          <cell r="X3977">
            <v>1</v>
          </cell>
          <cell r="Y3977">
            <v>1</v>
          </cell>
        </row>
        <row r="3978">
          <cell r="D3978">
            <v>312452</v>
          </cell>
          <cell r="E3978" t="str">
            <v>Kansi NHS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</row>
        <row r="3979">
          <cell r="D3979">
            <v>303046</v>
          </cell>
          <cell r="E3979" t="str">
            <v>Luyang NHS</v>
          </cell>
          <cell r="F3979">
            <v>1</v>
          </cell>
          <cell r="G3979">
            <v>1</v>
          </cell>
          <cell r="H3979">
            <v>1</v>
          </cell>
          <cell r="I3979">
            <v>0</v>
          </cell>
          <cell r="J3979">
            <v>1</v>
          </cell>
          <cell r="K3979">
            <v>0</v>
          </cell>
          <cell r="L3979">
            <v>0</v>
          </cell>
          <cell r="M3979">
            <v>0</v>
          </cell>
          <cell r="N3979">
            <v>1</v>
          </cell>
          <cell r="O3979">
            <v>43518</v>
          </cell>
          <cell r="P3979">
            <v>43441</v>
          </cell>
          <cell r="Q3979">
            <v>0</v>
          </cell>
          <cell r="R3979">
            <v>0</v>
          </cell>
          <cell r="S3979">
            <v>1</v>
          </cell>
          <cell r="T3979">
            <v>0</v>
          </cell>
          <cell r="U3979">
            <v>0</v>
          </cell>
          <cell r="V3979">
            <v>1</v>
          </cell>
          <cell r="W3979">
            <v>1</v>
          </cell>
          <cell r="X3979">
            <v>0</v>
          </cell>
          <cell r="Y3979">
            <v>0</v>
          </cell>
        </row>
        <row r="3980">
          <cell r="D3980">
            <v>312401</v>
          </cell>
          <cell r="E3980" t="str">
            <v>BALUD NATIONAL HIGH SCHOOL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</row>
        <row r="3981">
          <cell r="D3981">
            <v>303030</v>
          </cell>
          <cell r="E3981" t="str">
            <v>Lambusan NHS</v>
          </cell>
          <cell r="F3981">
            <v>1</v>
          </cell>
          <cell r="G3981">
            <v>1</v>
          </cell>
          <cell r="H3981">
            <v>0</v>
          </cell>
          <cell r="I3981">
            <v>0</v>
          </cell>
          <cell r="J3981">
            <v>0</v>
          </cell>
          <cell r="K3981">
            <v>1</v>
          </cell>
          <cell r="L3981">
            <v>0</v>
          </cell>
          <cell r="M3981">
            <v>0</v>
          </cell>
          <cell r="N3981">
            <v>1</v>
          </cell>
          <cell r="O3981" t="str">
            <v>June 4, 2019</v>
          </cell>
          <cell r="P3981" t="str">
            <v>June 4, 2019</v>
          </cell>
          <cell r="Q3981">
            <v>0</v>
          </cell>
          <cell r="R3981">
            <v>0</v>
          </cell>
          <cell r="S3981">
            <v>1</v>
          </cell>
          <cell r="T3981">
            <v>0</v>
          </cell>
          <cell r="U3981">
            <v>0</v>
          </cell>
          <cell r="V3981">
            <v>1</v>
          </cell>
          <cell r="W3981">
            <v>0</v>
          </cell>
          <cell r="X3981">
            <v>0</v>
          </cell>
          <cell r="Y3981">
            <v>0</v>
          </cell>
        </row>
        <row r="3982">
          <cell r="D3982">
            <v>302909</v>
          </cell>
          <cell r="E3982" t="str">
            <v>Tabuan NHS</v>
          </cell>
          <cell r="F3982">
            <v>0</v>
          </cell>
          <cell r="G3982">
            <v>0</v>
          </cell>
          <cell r="H3982">
            <v>0</v>
          </cell>
          <cell r="I3982">
            <v>0</v>
          </cell>
          <cell r="J3982">
            <v>1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 t="str">
            <v>07/24/2019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</row>
        <row r="3983">
          <cell r="D3983">
            <v>303034</v>
          </cell>
          <cell r="E3983" t="str">
            <v>Ronda NHS- Langin NHS Ext.</v>
          </cell>
          <cell r="F3983">
            <v>0</v>
          </cell>
          <cell r="G3983">
            <v>0</v>
          </cell>
          <cell r="H3983">
            <v>1</v>
          </cell>
          <cell r="I3983">
            <v>0</v>
          </cell>
          <cell r="J3983">
            <v>0</v>
          </cell>
          <cell r="K3983">
            <v>0</v>
          </cell>
          <cell r="L3983">
            <v>1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1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</row>
        <row r="3984">
          <cell r="D3984">
            <v>302880</v>
          </cell>
          <cell r="E3984" t="str">
            <v>Oy NHS</v>
          </cell>
          <cell r="F3984">
            <v>0</v>
          </cell>
          <cell r="G3984">
            <v>0</v>
          </cell>
          <cell r="H3984">
            <v>1</v>
          </cell>
          <cell r="I3984">
            <v>0</v>
          </cell>
          <cell r="J3984">
            <v>1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</row>
        <row r="3985">
          <cell r="D3985">
            <v>302856</v>
          </cell>
          <cell r="E3985" t="str">
            <v>Hanopol NHS</v>
          </cell>
          <cell r="F3985">
            <v>1</v>
          </cell>
          <cell r="G3985">
            <v>0</v>
          </cell>
          <cell r="H3985">
            <v>1</v>
          </cell>
          <cell r="I3985">
            <v>0</v>
          </cell>
          <cell r="J3985">
            <v>0</v>
          </cell>
          <cell r="K3985">
            <v>0</v>
          </cell>
          <cell r="L3985">
            <v>1</v>
          </cell>
          <cell r="M3985" t="str">
            <v>As the need arises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</row>
        <row r="3986">
          <cell r="D3986">
            <v>302895</v>
          </cell>
          <cell r="E3986" t="str">
            <v>President Carlos P. Garcia Memorial High School</v>
          </cell>
          <cell r="F3986">
            <v>1</v>
          </cell>
          <cell r="G3986">
            <v>0</v>
          </cell>
          <cell r="H3986">
            <v>1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1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1</v>
          </cell>
          <cell r="W3986">
            <v>0</v>
          </cell>
          <cell r="X3986">
            <v>0</v>
          </cell>
          <cell r="Y3986">
            <v>0</v>
          </cell>
        </row>
        <row r="3987">
          <cell r="D3987">
            <v>312333</v>
          </cell>
          <cell r="E3987" t="str">
            <v>Tubigon West Central HS</v>
          </cell>
          <cell r="F3987">
            <v>1</v>
          </cell>
          <cell r="G3987">
            <v>1</v>
          </cell>
          <cell r="H3987">
            <v>1</v>
          </cell>
          <cell r="I3987">
            <v>0</v>
          </cell>
          <cell r="J3987">
            <v>1</v>
          </cell>
          <cell r="K3987">
            <v>0</v>
          </cell>
          <cell r="L3987">
            <v>0</v>
          </cell>
          <cell r="M3987">
            <v>0</v>
          </cell>
          <cell r="N3987">
            <v>1</v>
          </cell>
          <cell r="O3987">
            <v>43353</v>
          </cell>
          <cell r="P3987">
            <v>43353</v>
          </cell>
          <cell r="Q3987">
            <v>0</v>
          </cell>
          <cell r="R3987">
            <v>1</v>
          </cell>
          <cell r="S3987">
            <v>0</v>
          </cell>
          <cell r="T3987">
            <v>0</v>
          </cell>
          <cell r="U3987">
            <v>0</v>
          </cell>
          <cell r="V3987">
            <v>1</v>
          </cell>
          <cell r="W3987">
            <v>0</v>
          </cell>
          <cell r="X3987">
            <v>0</v>
          </cell>
          <cell r="Y3987">
            <v>0</v>
          </cell>
        </row>
        <row r="3988">
          <cell r="D3988">
            <v>312357</v>
          </cell>
          <cell r="E3988" t="str">
            <v>Vallehermoso HS</v>
          </cell>
          <cell r="F3988">
            <v>1</v>
          </cell>
          <cell r="G3988">
            <v>1</v>
          </cell>
          <cell r="H3988">
            <v>1</v>
          </cell>
          <cell r="I3988">
            <v>0</v>
          </cell>
          <cell r="J3988">
            <v>1</v>
          </cell>
          <cell r="K3988">
            <v>0</v>
          </cell>
          <cell r="L3988">
            <v>0</v>
          </cell>
          <cell r="M3988">
            <v>0</v>
          </cell>
          <cell r="N3988">
            <v>1</v>
          </cell>
          <cell r="O3988">
            <v>0</v>
          </cell>
          <cell r="P3988">
            <v>0</v>
          </cell>
          <cell r="Q3988">
            <v>0</v>
          </cell>
          <cell r="R3988">
            <v>1</v>
          </cell>
          <cell r="S3988">
            <v>0</v>
          </cell>
          <cell r="T3988">
            <v>0</v>
          </cell>
          <cell r="U3988">
            <v>0</v>
          </cell>
          <cell r="V3988">
            <v>1</v>
          </cell>
          <cell r="W3988">
            <v>1</v>
          </cell>
          <cell r="X3988">
            <v>0</v>
          </cell>
          <cell r="Y3988">
            <v>0</v>
          </cell>
        </row>
        <row r="3989">
          <cell r="D3989">
            <v>302847</v>
          </cell>
          <cell r="E3989" t="str">
            <v>Duero NHS</v>
          </cell>
          <cell r="F3989">
            <v>1</v>
          </cell>
          <cell r="G3989">
            <v>1</v>
          </cell>
          <cell r="H3989">
            <v>1</v>
          </cell>
          <cell r="I3989">
            <v>0</v>
          </cell>
          <cell r="J3989">
            <v>0</v>
          </cell>
          <cell r="K3989">
            <v>1</v>
          </cell>
          <cell r="L3989">
            <v>0</v>
          </cell>
          <cell r="M3989">
            <v>0</v>
          </cell>
          <cell r="N3989">
            <v>1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1</v>
          </cell>
          <cell r="T3989">
            <v>0</v>
          </cell>
          <cell r="U3989">
            <v>0</v>
          </cell>
          <cell r="V3989">
            <v>1</v>
          </cell>
          <cell r="W3989">
            <v>1</v>
          </cell>
          <cell r="X3989">
            <v>1</v>
          </cell>
          <cell r="Y3989">
            <v>1</v>
          </cell>
        </row>
        <row r="3990">
          <cell r="D3990">
            <v>302908</v>
          </cell>
          <cell r="E3990" t="str">
            <v>Tabalong NHS</v>
          </cell>
          <cell r="F3990">
            <v>1</v>
          </cell>
          <cell r="G3990">
            <v>1</v>
          </cell>
          <cell r="H3990">
            <v>1</v>
          </cell>
          <cell r="I3990">
            <v>0</v>
          </cell>
          <cell r="J3990">
            <v>1</v>
          </cell>
          <cell r="K3990">
            <v>0</v>
          </cell>
          <cell r="L3990">
            <v>0</v>
          </cell>
          <cell r="M3990">
            <v>0</v>
          </cell>
          <cell r="N3990">
            <v>1</v>
          </cell>
          <cell r="O3990">
            <v>43707</v>
          </cell>
          <cell r="P3990">
            <v>43710</v>
          </cell>
          <cell r="Q3990">
            <v>1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1</v>
          </cell>
          <cell r="W3990">
            <v>1</v>
          </cell>
          <cell r="X3990">
            <v>0</v>
          </cell>
          <cell r="Y3990">
            <v>0</v>
          </cell>
        </row>
        <row r="3991">
          <cell r="D3991">
            <v>312317</v>
          </cell>
          <cell r="E3991" t="str">
            <v>Pamilacan HS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</row>
        <row r="3992">
          <cell r="D3992">
            <v>302863</v>
          </cell>
          <cell r="E3992" t="str">
            <v>La Hacienda NHS</v>
          </cell>
          <cell r="F3992">
            <v>0</v>
          </cell>
          <cell r="G3992">
            <v>0</v>
          </cell>
          <cell r="H3992">
            <v>1</v>
          </cell>
          <cell r="I3992">
            <v>0</v>
          </cell>
          <cell r="J3992">
            <v>0</v>
          </cell>
          <cell r="K3992">
            <v>1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</row>
        <row r="3993">
          <cell r="D3993">
            <v>303015</v>
          </cell>
          <cell r="E3993" t="str">
            <v>Greenhills NHS</v>
          </cell>
          <cell r="F3993">
            <v>1</v>
          </cell>
          <cell r="G3993">
            <v>1</v>
          </cell>
          <cell r="H3993">
            <v>1</v>
          </cell>
          <cell r="I3993">
            <v>0</v>
          </cell>
          <cell r="J3993">
            <v>1</v>
          </cell>
          <cell r="K3993">
            <v>0</v>
          </cell>
          <cell r="L3993">
            <v>0</v>
          </cell>
          <cell r="M3993">
            <v>0</v>
          </cell>
          <cell r="N3993">
            <v>1</v>
          </cell>
          <cell r="O3993" t="str">
            <v>6/28/2019</v>
          </cell>
          <cell r="P3993" t="str">
            <v>8/30/2019</v>
          </cell>
          <cell r="Q3993">
            <v>0</v>
          </cell>
          <cell r="R3993">
            <v>1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</row>
        <row r="3994">
          <cell r="D3994">
            <v>302839</v>
          </cell>
          <cell r="E3994" t="str">
            <v>Corella National High School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</row>
        <row r="3995">
          <cell r="D3995">
            <v>303083</v>
          </cell>
          <cell r="E3995" t="str">
            <v>Rosario NHS</v>
          </cell>
          <cell r="F3995">
            <v>1</v>
          </cell>
          <cell r="G3995">
            <v>1</v>
          </cell>
          <cell r="H3995">
            <v>1</v>
          </cell>
          <cell r="I3995">
            <v>1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1</v>
          </cell>
          <cell r="O3995">
            <v>43768</v>
          </cell>
          <cell r="P3995">
            <v>43768</v>
          </cell>
          <cell r="Q3995">
            <v>1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1</v>
          </cell>
          <cell r="W3995">
            <v>1</v>
          </cell>
          <cell r="X3995">
            <v>1</v>
          </cell>
          <cell r="Y3995">
            <v>1</v>
          </cell>
        </row>
        <row r="3996">
          <cell r="D3996">
            <v>302952</v>
          </cell>
          <cell r="E3996" t="str">
            <v>Tubod Dugoan NHS</v>
          </cell>
          <cell r="F3996">
            <v>1</v>
          </cell>
          <cell r="G3996">
            <v>0</v>
          </cell>
          <cell r="H3996">
            <v>1</v>
          </cell>
          <cell r="I3996">
            <v>0</v>
          </cell>
          <cell r="J3996">
            <v>1</v>
          </cell>
          <cell r="K3996">
            <v>0</v>
          </cell>
          <cell r="L3996">
            <v>0</v>
          </cell>
          <cell r="M3996">
            <v>0</v>
          </cell>
          <cell r="N3996">
            <v>1</v>
          </cell>
          <cell r="O3996" t="str">
            <v>November 8, 2019</v>
          </cell>
          <cell r="P3996" t="str">
            <v>n/a</v>
          </cell>
          <cell r="Q3996">
            <v>0</v>
          </cell>
          <cell r="R3996">
            <v>1</v>
          </cell>
          <cell r="S3996">
            <v>0</v>
          </cell>
          <cell r="T3996">
            <v>0</v>
          </cell>
          <cell r="U3996">
            <v>0</v>
          </cell>
          <cell r="V3996">
            <v>1</v>
          </cell>
          <cell r="W3996">
            <v>0</v>
          </cell>
          <cell r="X3996">
            <v>0</v>
          </cell>
          <cell r="Y3996">
            <v>0</v>
          </cell>
        </row>
        <row r="3997">
          <cell r="D3997">
            <v>312313</v>
          </cell>
          <cell r="E3997" t="str">
            <v>Mayor Catalino Y. Casoyla MHS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</row>
        <row r="3998">
          <cell r="D3998">
            <v>302872</v>
          </cell>
          <cell r="E3998" t="str">
            <v>Lourdes NHS</v>
          </cell>
          <cell r="F3998">
            <v>1</v>
          </cell>
          <cell r="G3998">
            <v>0</v>
          </cell>
          <cell r="H3998">
            <v>1</v>
          </cell>
          <cell r="I3998">
            <v>0</v>
          </cell>
          <cell r="J3998">
            <v>0</v>
          </cell>
          <cell r="K3998">
            <v>0</v>
          </cell>
          <cell r="L3998">
            <v>1</v>
          </cell>
          <cell r="M3998" t="str">
            <v>AS NEED ARISES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54</v>
          </cell>
          <cell r="X3998">
            <v>54</v>
          </cell>
          <cell r="Y3998">
            <v>0</v>
          </cell>
        </row>
        <row r="3999">
          <cell r="D3999">
            <v>500220</v>
          </cell>
          <cell r="E3999" t="str">
            <v>Anapog Integrated School</v>
          </cell>
          <cell r="F3999">
            <v>1</v>
          </cell>
          <cell r="G3999">
            <v>1</v>
          </cell>
          <cell r="H3999">
            <v>1</v>
          </cell>
          <cell r="I3999">
            <v>0</v>
          </cell>
          <cell r="J3999">
            <v>1</v>
          </cell>
          <cell r="K3999">
            <v>0</v>
          </cell>
          <cell r="L3999">
            <v>0</v>
          </cell>
          <cell r="M3999">
            <v>0</v>
          </cell>
          <cell r="N3999">
            <v>1</v>
          </cell>
          <cell r="O3999" t="str">
            <v>11/15/2018</v>
          </cell>
          <cell r="P3999" t="str">
            <v>11/15/2018</v>
          </cell>
          <cell r="Q3999">
            <v>0</v>
          </cell>
          <cell r="R3999">
            <v>1</v>
          </cell>
          <cell r="S3999">
            <v>0</v>
          </cell>
          <cell r="T3999">
            <v>0</v>
          </cell>
          <cell r="U3999">
            <v>0</v>
          </cell>
          <cell r="V3999">
            <v>1</v>
          </cell>
          <cell r="W3999">
            <v>2</v>
          </cell>
          <cell r="X3999">
            <v>2</v>
          </cell>
          <cell r="Y3999">
            <v>2</v>
          </cell>
        </row>
        <row r="4000">
          <cell r="D4000">
            <v>312335</v>
          </cell>
          <cell r="E4000" t="str">
            <v>Basiao High School</v>
          </cell>
          <cell r="F4000">
            <v>1</v>
          </cell>
          <cell r="G4000">
            <v>0</v>
          </cell>
          <cell r="H4000">
            <v>1</v>
          </cell>
          <cell r="I4000">
            <v>0</v>
          </cell>
          <cell r="J4000">
            <v>1</v>
          </cell>
          <cell r="K4000">
            <v>0</v>
          </cell>
          <cell r="L4000">
            <v>0</v>
          </cell>
          <cell r="M4000">
            <v>0</v>
          </cell>
          <cell r="N4000">
            <v>1</v>
          </cell>
          <cell r="O4000" t="str">
            <v>NOV. 13, 2019</v>
          </cell>
          <cell r="P4000">
            <v>0</v>
          </cell>
          <cell r="Q4000">
            <v>0</v>
          </cell>
          <cell r="R4000">
            <v>1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</row>
        <row r="4001">
          <cell r="D4001">
            <v>500207</v>
          </cell>
          <cell r="E4001" t="str">
            <v>Calatrava Elementary School</v>
          </cell>
          <cell r="F4001">
            <v>1</v>
          </cell>
          <cell r="G4001">
            <v>1</v>
          </cell>
          <cell r="H4001">
            <v>1</v>
          </cell>
          <cell r="I4001">
            <v>0</v>
          </cell>
          <cell r="J4001">
            <v>1</v>
          </cell>
          <cell r="K4001">
            <v>0</v>
          </cell>
          <cell r="L4001">
            <v>0</v>
          </cell>
          <cell r="M4001">
            <v>0</v>
          </cell>
          <cell r="N4001">
            <v>1</v>
          </cell>
          <cell r="O4001">
            <v>0</v>
          </cell>
          <cell r="P4001">
            <v>43517</v>
          </cell>
          <cell r="Q4001">
            <v>1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1</v>
          </cell>
          <cell r="W4001">
            <v>0</v>
          </cell>
          <cell r="X4001">
            <v>0</v>
          </cell>
          <cell r="Y4001">
            <v>0</v>
          </cell>
        </row>
        <row r="4002">
          <cell r="D4002">
            <v>302897</v>
          </cell>
          <cell r="E4002" t="str">
            <v>San Miguel Technical Vocational School</v>
          </cell>
          <cell r="F4002">
            <v>1</v>
          </cell>
          <cell r="G4002">
            <v>1</v>
          </cell>
          <cell r="H4002">
            <v>1</v>
          </cell>
          <cell r="I4002">
            <v>0</v>
          </cell>
          <cell r="J4002">
            <v>0</v>
          </cell>
          <cell r="K4002">
            <v>1</v>
          </cell>
          <cell r="L4002">
            <v>0</v>
          </cell>
          <cell r="M4002">
            <v>0</v>
          </cell>
          <cell r="N4002">
            <v>1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1</v>
          </cell>
          <cell r="W4002">
            <v>0</v>
          </cell>
          <cell r="X4002">
            <v>0</v>
          </cell>
          <cell r="Y4002">
            <v>0</v>
          </cell>
        </row>
        <row r="4003">
          <cell r="D4003">
            <v>302823</v>
          </cell>
          <cell r="E4003" t="str">
            <v>Calabacita NHS</v>
          </cell>
          <cell r="F4003">
            <v>1</v>
          </cell>
          <cell r="G4003">
            <v>1</v>
          </cell>
          <cell r="H4003">
            <v>1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1</v>
          </cell>
          <cell r="O4003" t="str">
            <v>JUNE 10, 2019</v>
          </cell>
          <cell r="P4003">
            <v>43678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1</v>
          </cell>
          <cell r="W4003">
            <v>1</v>
          </cell>
          <cell r="X4003">
            <v>0</v>
          </cell>
          <cell r="Y4003">
            <v>0</v>
          </cell>
        </row>
        <row r="4004">
          <cell r="D4004">
            <v>312355</v>
          </cell>
          <cell r="E4004" t="str">
            <v>Lourdes High School</v>
          </cell>
          <cell r="F4004">
            <v>1</v>
          </cell>
          <cell r="G4004">
            <v>1</v>
          </cell>
          <cell r="H4004">
            <v>1</v>
          </cell>
          <cell r="I4004">
            <v>1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1</v>
          </cell>
          <cell r="O4004">
            <v>43689</v>
          </cell>
          <cell r="P4004">
            <v>43689</v>
          </cell>
          <cell r="Q4004">
            <v>1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1</v>
          </cell>
          <cell r="W4004">
            <v>0</v>
          </cell>
          <cell r="X4004">
            <v>0</v>
          </cell>
          <cell r="Y4004">
            <v>0</v>
          </cell>
        </row>
        <row r="4005">
          <cell r="D4005">
            <v>302810</v>
          </cell>
          <cell r="E4005" t="str">
            <v>Ambassador Pablo R. Suarez, Jr. NHS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</row>
        <row r="4006">
          <cell r="D4006">
            <v>302837</v>
          </cell>
          <cell r="E4006" t="str">
            <v>Concepcion NHS</v>
          </cell>
          <cell r="F4006">
            <v>0</v>
          </cell>
          <cell r="G4006">
            <v>0</v>
          </cell>
          <cell r="H4006">
            <v>1</v>
          </cell>
          <cell r="I4006">
            <v>0</v>
          </cell>
          <cell r="J4006">
            <v>1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1</v>
          </cell>
          <cell r="T4006">
            <v>0</v>
          </cell>
          <cell r="U4006">
            <v>0</v>
          </cell>
          <cell r="V4006">
            <v>1</v>
          </cell>
          <cell r="W4006">
            <v>0</v>
          </cell>
          <cell r="X4006">
            <v>0</v>
          </cell>
          <cell r="Y4006">
            <v>0</v>
          </cell>
        </row>
        <row r="4007">
          <cell r="D4007">
            <v>312455</v>
          </cell>
          <cell r="E4007" t="str">
            <v>Willy B. Wenceslao MNHS</v>
          </cell>
          <cell r="F4007">
            <v>0</v>
          </cell>
          <cell r="G4007">
            <v>0</v>
          </cell>
          <cell r="H4007">
            <v>1</v>
          </cell>
          <cell r="I4007">
            <v>0</v>
          </cell>
          <cell r="J4007">
            <v>1</v>
          </cell>
          <cell r="K4007">
            <v>0</v>
          </cell>
          <cell r="L4007">
            <v>0</v>
          </cell>
          <cell r="M4007">
            <v>0</v>
          </cell>
          <cell r="N4007">
            <v>1</v>
          </cell>
          <cell r="O4007" t="str">
            <v>October 14, 2019</v>
          </cell>
          <cell r="P4007">
            <v>0</v>
          </cell>
          <cell r="Q4007">
            <v>1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1</v>
          </cell>
          <cell r="W4007">
            <v>0</v>
          </cell>
          <cell r="X4007">
            <v>0</v>
          </cell>
          <cell r="Y4007">
            <v>0</v>
          </cell>
        </row>
        <row r="4008">
          <cell r="D4008">
            <v>303084</v>
          </cell>
          <cell r="E4008" t="str">
            <v>Salamanca NHS</v>
          </cell>
          <cell r="F4008">
            <v>0</v>
          </cell>
          <cell r="G4008">
            <v>1</v>
          </cell>
          <cell r="H4008">
            <v>1</v>
          </cell>
          <cell r="I4008">
            <v>0</v>
          </cell>
          <cell r="J4008">
            <v>0</v>
          </cell>
          <cell r="K4008">
            <v>1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1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</row>
        <row r="4009">
          <cell r="D4009">
            <v>303298</v>
          </cell>
          <cell r="E4009" t="str">
            <v>San Antonio National High School</v>
          </cell>
          <cell r="F4009">
            <v>1</v>
          </cell>
          <cell r="G4009">
            <v>1</v>
          </cell>
          <cell r="H4009">
            <v>0</v>
          </cell>
          <cell r="I4009">
            <v>0</v>
          </cell>
          <cell r="J4009">
            <v>0</v>
          </cell>
          <cell r="K4009">
            <v>1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1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1</v>
          </cell>
          <cell r="X4009">
            <v>0</v>
          </cell>
          <cell r="Y4009">
            <v>0</v>
          </cell>
        </row>
        <row r="4010">
          <cell r="D4010">
            <v>302983</v>
          </cell>
          <cell r="E4010" t="str">
            <v>Cogon NHS</v>
          </cell>
          <cell r="F4010">
            <v>1</v>
          </cell>
          <cell r="G4010">
            <v>0</v>
          </cell>
          <cell r="H4010">
            <v>1</v>
          </cell>
          <cell r="I4010">
            <v>0</v>
          </cell>
          <cell r="J4010">
            <v>1</v>
          </cell>
          <cell r="K4010">
            <v>0</v>
          </cell>
          <cell r="L4010">
            <v>0</v>
          </cell>
          <cell r="M4010">
            <v>0</v>
          </cell>
          <cell r="N4010">
            <v>1</v>
          </cell>
          <cell r="O4010" t="str">
            <v>8/16/19</v>
          </cell>
          <cell r="P4010">
            <v>0</v>
          </cell>
          <cell r="Q4010">
            <v>0</v>
          </cell>
          <cell r="R4010">
            <v>1</v>
          </cell>
          <cell r="S4010">
            <v>0</v>
          </cell>
          <cell r="T4010">
            <v>0</v>
          </cell>
          <cell r="U4010">
            <v>0</v>
          </cell>
          <cell r="V4010">
            <v>1</v>
          </cell>
          <cell r="W4010">
            <v>3</v>
          </cell>
          <cell r="X4010">
            <v>0</v>
          </cell>
          <cell r="Y4010">
            <v>0</v>
          </cell>
        </row>
        <row r="4011">
          <cell r="D4011">
            <v>312457</v>
          </cell>
          <cell r="E4011" t="str">
            <v>Manatad National High School</v>
          </cell>
          <cell r="F4011">
            <v>0</v>
          </cell>
          <cell r="G4011">
            <v>0</v>
          </cell>
          <cell r="H4011">
            <v>1</v>
          </cell>
          <cell r="I4011">
            <v>0</v>
          </cell>
          <cell r="J4011">
            <v>0</v>
          </cell>
          <cell r="K4011">
            <v>1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 t="str">
            <v>N/A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</row>
        <row r="4012">
          <cell r="D4012">
            <v>312450</v>
          </cell>
          <cell r="E4012" t="str">
            <v>Tungkil NHS</v>
          </cell>
          <cell r="F4012">
            <v>1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1</v>
          </cell>
          <cell r="M4012" t="str">
            <v>As the need arises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</row>
        <row r="4013">
          <cell r="D4013">
            <v>312331</v>
          </cell>
          <cell r="E4013" t="str">
            <v>Ponciana E. Leoligao HS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</row>
        <row r="4014">
          <cell r="D4014">
            <v>312406</v>
          </cell>
          <cell r="E4014" t="str">
            <v>Compostela Science &amp; Technology High School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1</v>
          </cell>
          <cell r="W4014">
            <v>0</v>
          </cell>
          <cell r="X4014">
            <v>0</v>
          </cell>
          <cell r="Y4014">
            <v>0</v>
          </cell>
        </row>
        <row r="4015">
          <cell r="D4015">
            <v>302845</v>
          </cell>
          <cell r="E4015" t="str">
            <v>Dimiao NHS</v>
          </cell>
          <cell r="F4015">
            <v>1</v>
          </cell>
          <cell r="G4015">
            <v>1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</row>
        <row r="4016">
          <cell r="D4016">
            <v>303112</v>
          </cell>
          <cell r="E4016" t="str">
            <v>Talaga NHS</v>
          </cell>
          <cell r="F4016">
            <v>1</v>
          </cell>
          <cell r="G4016">
            <v>1</v>
          </cell>
          <cell r="H4016">
            <v>1</v>
          </cell>
          <cell r="I4016">
            <v>0</v>
          </cell>
          <cell r="J4016">
            <v>0</v>
          </cell>
          <cell r="K4016">
            <v>0</v>
          </cell>
          <cell r="L4016">
            <v>1</v>
          </cell>
          <cell r="M4016" t="str">
            <v>as needed</v>
          </cell>
          <cell r="N4016">
            <v>0</v>
          </cell>
          <cell r="O4016">
            <v>0</v>
          </cell>
          <cell r="P4016" t="str">
            <v>n/a</v>
          </cell>
          <cell r="Q4016">
            <v>0</v>
          </cell>
          <cell r="R4016">
            <v>0</v>
          </cell>
          <cell r="S4016">
            <v>1</v>
          </cell>
          <cell r="T4016">
            <v>1</v>
          </cell>
          <cell r="U4016" t="str">
            <v>as needed arises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</row>
        <row r="4017">
          <cell r="D4017">
            <v>302871</v>
          </cell>
          <cell r="E4017" t="str">
            <v>Loon South National HS</v>
          </cell>
          <cell r="F4017">
            <v>1</v>
          </cell>
          <cell r="G4017">
            <v>1</v>
          </cell>
          <cell r="H4017">
            <v>1</v>
          </cell>
          <cell r="I4017">
            <v>0</v>
          </cell>
          <cell r="J4017">
            <v>0</v>
          </cell>
          <cell r="K4017">
            <v>1</v>
          </cell>
          <cell r="L4017">
            <v>0</v>
          </cell>
          <cell r="M4017">
            <v>0</v>
          </cell>
          <cell r="N4017">
            <v>1</v>
          </cell>
          <cell r="O4017" t="str">
            <v>11/23/2018</v>
          </cell>
          <cell r="P4017">
            <v>0</v>
          </cell>
          <cell r="Q4017">
            <v>0</v>
          </cell>
          <cell r="R4017">
            <v>1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1</v>
          </cell>
          <cell r="X4017">
            <v>0</v>
          </cell>
          <cell r="Y4017">
            <v>0</v>
          </cell>
        </row>
        <row r="4018">
          <cell r="D4018">
            <v>302850</v>
          </cell>
          <cell r="E4018" t="str">
            <v>Fatima NHS</v>
          </cell>
          <cell r="F4018">
            <v>0</v>
          </cell>
          <cell r="G4018">
            <v>0</v>
          </cell>
          <cell r="H4018">
            <v>1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 t="str">
            <v>AS NEEDED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3</v>
          </cell>
          <cell r="X4018">
            <v>1</v>
          </cell>
          <cell r="Y4018">
            <v>1</v>
          </cell>
        </row>
        <row r="4019">
          <cell r="D4019">
            <v>303197</v>
          </cell>
          <cell r="E4019" t="str">
            <v>Don Gerardo Ll. Ouano MNHS</v>
          </cell>
          <cell r="F4019">
            <v>1</v>
          </cell>
          <cell r="G4019">
            <v>0</v>
          </cell>
          <cell r="H4019">
            <v>1</v>
          </cell>
          <cell r="I4019">
            <v>0</v>
          </cell>
          <cell r="J4019">
            <v>1</v>
          </cell>
          <cell r="K4019">
            <v>0</v>
          </cell>
          <cell r="L4019">
            <v>0</v>
          </cell>
          <cell r="M4019">
            <v>0</v>
          </cell>
          <cell r="N4019">
            <v>1</v>
          </cell>
          <cell r="O4019">
            <v>43635</v>
          </cell>
          <cell r="P4019">
            <v>0</v>
          </cell>
          <cell r="Q4019">
            <v>0</v>
          </cell>
          <cell r="R4019">
            <v>1</v>
          </cell>
          <cell r="S4019">
            <v>0</v>
          </cell>
          <cell r="T4019">
            <v>0</v>
          </cell>
          <cell r="U4019">
            <v>0</v>
          </cell>
          <cell r="V4019">
            <v>1</v>
          </cell>
          <cell r="W4019">
            <v>0</v>
          </cell>
          <cell r="X4019">
            <v>0</v>
          </cell>
          <cell r="Y4019">
            <v>0</v>
          </cell>
        </row>
        <row r="4020">
          <cell r="D4020">
            <v>305725</v>
          </cell>
          <cell r="E4020" t="str">
            <v>Biasong National High School</v>
          </cell>
          <cell r="F4020">
            <v>0</v>
          </cell>
          <cell r="G4020">
            <v>0</v>
          </cell>
          <cell r="H4020">
            <v>1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1</v>
          </cell>
          <cell r="O4020">
            <v>43798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</row>
        <row r="4021">
          <cell r="D4021">
            <v>303022</v>
          </cell>
          <cell r="E4021" t="str">
            <v>Julian Enad  MNHS</v>
          </cell>
          <cell r="F4021">
            <v>0</v>
          </cell>
          <cell r="G4021">
            <v>0</v>
          </cell>
          <cell r="H4021">
            <v>1</v>
          </cell>
          <cell r="I4021">
            <v>0</v>
          </cell>
          <cell r="J4021">
            <v>0</v>
          </cell>
          <cell r="K4021">
            <v>1</v>
          </cell>
          <cell r="L4021">
            <v>0</v>
          </cell>
          <cell r="M4021">
            <v>0</v>
          </cell>
          <cell r="N4021">
            <v>0</v>
          </cell>
          <cell r="O4021" t="str">
            <v>N/A</v>
          </cell>
          <cell r="P4021" t="str">
            <v>N/A</v>
          </cell>
          <cell r="Q4021">
            <v>0</v>
          </cell>
          <cell r="R4021">
            <v>0</v>
          </cell>
          <cell r="S4021">
            <v>0</v>
          </cell>
          <cell r="T4021">
            <v>1</v>
          </cell>
          <cell r="U4021" t="str">
            <v>N/A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</row>
        <row r="4022">
          <cell r="D4022">
            <v>302907</v>
          </cell>
          <cell r="E4022" t="str">
            <v>Bantolinao National High School</v>
          </cell>
          <cell r="F4022">
            <v>0</v>
          </cell>
          <cell r="G4022">
            <v>0</v>
          </cell>
          <cell r="H4022">
            <v>1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1</v>
          </cell>
          <cell r="O4022">
            <v>43617</v>
          </cell>
          <cell r="P4022">
            <v>43617</v>
          </cell>
          <cell r="Q4022">
            <v>1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1</v>
          </cell>
          <cell r="W4022">
            <v>0</v>
          </cell>
          <cell r="X4022">
            <v>0</v>
          </cell>
          <cell r="Y4022">
            <v>0</v>
          </cell>
        </row>
        <row r="4023">
          <cell r="D4023">
            <v>500666</v>
          </cell>
          <cell r="E4023" t="str">
            <v>CALAMBUA INTEGRATED SCHOOL</v>
          </cell>
          <cell r="F4023">
            <v>1</v>
          </cell>
          <cell r="G4023">
            <v>1</v>
          </cell>
          <cell r="H4023">
            <v>0</v>
          </cell>
          <cell r="I4023">
            <v>0</v>
          </cell>
          <cell r="J4023">
            <v>0</v>
          </cell>
          <cell r="K4023">
            <v>1</v>
          </cell>
          <cell r="L4023">
            <v>0</v>
          </cell>
          <cell r="M4023">
            <v>0</v>
          </cell>
          <cell r="N4023">
            <v>1</v>
          </cell>
          <cell r="O4023" t="str">
            <v>JUNE 28, 2019</v>
          </cell>
          <cell r="P4023" t="str">
            <v>NOV. 4, 2019</v>
          </cell>
          <cell r="Q4023">
            <v>0</v>
          </cell>
          <cell r="R4023">
            <v>1</v>
          </cell>
          <cell r="S4023">
            <v>0</v>
          </cell>
          <cell r="T4023">
            <v>0</v>
          </cell>
          <cell r="U4023">
            <v>0</v>
          </cell>
          <cell r="V4023">
            <v>1</v>
          </cell>
          <cell r="W4023">
            <v>0</v>
          </cell>
          <cell r="X4023">
            <v>0</v>
          </cell>
          <cell r="Y4023">
            <v>0</v>
          </cell>
        </row>
        <row r="4024">
          <cell r="D4024">
            <v>312419</v>
          </cell>
          <cell r="E4024" t="str">
            <v>VITO NATIONAL HIGH SCHOOL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</row>
        <row r="4025">
          <cell r="D4025">
            <v>303214</v>
          </cell>
          <cell r="E4025" t="str">
            <v>Dodong EscaÃ±o Memorial High School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1</v>
          </cell>
          <cell r="U4025" t="str">
            <v>occasional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</row>
        <row r="4026">
          <cell r="D4026">
            <v>312806</v>
          </cell>
          <cell r="E4026" t="str">
            <v>Mandaue City School for the Arts</v>
          </cell>
          <cell r="F4026">
            <v>1</v>
          </cell>
          <cell r="G4026">
            <v>0</v>
          </cell>
          <cell r="H4026">
            <v>1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</row>
        <row r="4027">
          <cell r="D4027">
            <v>303195</v>
          </cell>
          <cell r="E4027" t="str">
            <v>Canduman NHS</v>
          </cell>
          <cell r="F4027">
            <v>1</v>
          </cell>
          <cell r="G4027">
            <v>1</v>
          </cell>
          <cell r="H4027">
            <v>1</v>
          </cell>
          <cell r="I4027">
            <v>0</v>
          </cell>
          <cell r="J4027">
            <v>0</v>
          </cell>
          <cell r="K4027">
            <v>0</v>
          </cell>
          <cell r="L4027">
            <v>1</v>
          </cell>
          <cell r="M4027" t="str">
            <v>as needed</v>
          </cell>
          <cell r="N4027">
            <v>1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1</v>
          </cell>
          <cell r="T4027">
            <v>0</v>
          </cell>
          <cell r="U4027">
            <v>0</v>
          </cell>
          <cell r="V4027">
            <v>1</v>
          </cell>
          <cell r="W4027">
            <v>0</v>
          </cell>
          <cell r="X4027">
            <v>0</v>
          </cell>
          <cell r="Y4027">
            <v>0</v>
          </cell>
        </row>
        <row r="4028">
          <cell r="D4028">
            <v>302922</v>
          </cell>
          <cell r="E4028" t="str">
            <v>Alcantara NHS</v>
          </cell>
          <cell r="F4028">
            <v>1</v>
          </cell>
          <cell r="G4028">
            <v>0</v>
          </cell>
          <cell r="H4028">
            <v>1</v>
          </cell>
          <cell r="I4028">
            <v>0</v>
          </cell>
          <cell r="J4028">
            <v>1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1</v>
          </cell>
          <cell r="U4028" t="str">
            <v>None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</row>
        <row r="4029">
          <cell r="D4029">
            <v>303090</v>
          </cell>
          <cell r="E4029" t="str">
            <v>Samboan National High School</v>
          </cell>
          <cell r="F4029">
            <v>1</v>
          </cell>
          <cell r="G4029">
            <v>1</v>
          </cell>
          <cell r="H4029">
            <v>1</v>
          </cell>
          <cell r="I4029">
            <v>0</v>
          </cell>
          <cell r="J4029">
            <v>1</v>
          </cell>
          <cell r="K4029">
            <v>0</v>
          </cell>
          <cell r="L4029">
            <v>0</v>
          </cell>
          <cell r="M4029">
            <v>0</v>
          </cell>
          <cell r="N4029">
            <v>1</v>
          </cell>
          <cell r="O4029" t="str">
            <v>August 30, 2019</v>
          </cell>
          <cell r="P4029">
            <v>0</v>
          </cell>
          <cell r="Q4029">
            <v>0</v>
          </cell>
          <cell r="R4029">
            <v>1</v>
          </cell>
          <cell r="S4029">
            <v>0</v>
          </cell>
          <cell r="T4029">
            <v>0</v>
          </cell>
          <cell r="U4029">
            <v>0</v>
          </cell>
          <cell r="V4029">
            <v>1</v>
          </cell>
          <cell r="W4029">
            <v>2</v>
          </cell>
          <cell r="X4029">
            <v>0</v>
          </cell>
          <cell r="Y4029">
            <v>0</v>
          </cell>
        </row>
        <row r="4030">
          <cell r="D4030">
            <v>303137</v>
          </cell>
          <cell r="E4030" t="str">
            <v>Paril NHS</v>
          </cell>
          <cell r="F4030">
            <v>1</v>
          </cell>
          <cell r="G4030">
            <v>1</v>
          </cell>
          <cell r="H4030">
            <v>1</v>
          </cell>
          <cell r="I4030">
            <v>0</v>
          </cell>
          <cell r="J4030">
            <v>1</v>
          </cell>
          <cell r="K4030">
            <v>0</v>
          </cell>
          <cell r="L4030">
            <v>0</v>
          </cell>
          <cell r="M4030">
            <v>0</v>
          </cell>
          <cell r="N4030">
            <v>1</v>
          </cell>
          <cell r="O4030" t="str">
            <v>11/15/19</v>
          </cell>
          <cell r="P4030" t="str">
            <v>N/A</v>
          </cell>
          <cell r="Q4030">
            <v>0</v>
          </cell>
          <cell r="R4030">
            <v>0</v>
          </cell>
          <cell r="S4030">
            <v>0</v>
          </cell>
          <cell r="T4030">
            <v>1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</row>
        <row r="4031">
          <cell r="D4031">
            <v>302932</v>
          </cell>
          <cell r="E4031" t="str">
            <v>Cayang NHS</v>
          </cell>
          <cell r="F4031">
            <v>1</v>
          </cell>
          <cell r="G4031">
            <v>1</v>
          </cell>
          <cell r="H4031">
            <v>1</v>
          </cell>
          <cell r="I4031">
            <v>0</v>
          </cell>
          <cell r="J4031">
            <v>1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1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1</v>
          </cell>
          <cell r="W4031">
            <v>4</v>
          </cell>
          <cell r="X4031">
            <v>4</v>
          </cell>
          <cell r="Y4031">
            <v>4</v>
          </cell>
        </row>
        <row r="4032">
          <cell r="D4032">
            <v>303143</v>
          </cell>
          <cell r="E4032" t="str">
            <v>Bulacao Community HS (Day &amp; Night)</v>
          </cell>
          <cell r="F4032">
            <v>1</v>
          </cell>
          <cell r="G4032">
            <v>1</v>
          </cell>
          <cell r="H4032">
            <v>1</v>
          </cell>
          <cell r="I4032">
            <v>0</v>
          </cell>
          <cell r="J4032">
            <v>0</v>
          </cell>
          <cell r="K4032">
            <v>1</v>
          </cell>
          <cell r="L4032">
            <v>0</v>
          </cell>
          <cell r="M4032">
            <v>0</v>
          </cell>
          <cell r="N4032">
            <v>1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1</v>
          </cell>
          <cell r="T4032">
            <v>0</v>
          </cell>
          <cell r="U4032">
            <v>0</v>
          </cell>
          <cell r="V4032">
            <v>1</v>
          </cell>
          <cell r="W4032">
            <v>0</v>
          </cell>
          <cell r="X4032">
            <v>0</v>
          </cell>
          <cell r="Y4032">
            <v>0</v>
          </cell>
        </row>
        <row r="4033">
          <cell r="D4033">
            <v>500225</v>
          </cell>
          <cell r="E4033" t="str">
            <v>Tabunan Integrated School</v>
          </cell>
          <cell r="F4033">
            <v>1</v>
          </cell>
          <cell r="G4033">
            <v>0</v>
          </cell>
          <cell r="H4033">
            <v>1</v>
          </cell>
          <cell r="I4033">
            <v>0</v>
          </cell>
          <cell r="J4033">
            <v>1</v>
          </cell>
          <cell r="K4033">
            <v>0</v>
          </cell>
          <cell r="L4033">
            <v>1</v>
          </cell>
          <cell r="M4033" t="str">
            <v>August 15, 2019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</row>
        <row r="4034">
          <cell r="D4034">
            <v>500226</v>
          </cell>
          <cell r="E4034" t="str">
            <v>Pamutan Integrated School</v>
          </cell>
          <cell r="F4034">
            <v>1</v>
          </cell>
          <cell r="G4034">
            <v>0</v>
          </cell>
          <cell r="H4034">
            <v>1</v>
          </cell>
          <cell r="I4034">
            <v>0</v>
          </cell>
          <cell r="J4034">
            <v>1</v>
          </cell>
          <cell r="K4034">
            <v>0</v>
          </cell>
          <cell r="L4034">
            <v>0</v>
          </cell>
          <cell r="M4034">
            <v>0</v>
          </cell>
          <cell r="N4034">
            <v>1</v>
          </cell>
          <cell r="O4034">
            <v>0</v>
          </cell>
          <cell r="P4034">
            <v>0</v>
          </cell>
          <cell r="Q4034">
            <v>0</v>
          </cell>
          <cell r="R4034">
            <v>1</v>
          </cell>
          <cell r="S4034">
            <v>0</v>
          </cell>
          <cell r="T4034">
            <v>0</v>
          </cell>
          <cell r="U4034">
            <v>0</v>
          </cell>
          <cell r="V4034">
            <v>1</v>
          </cell>
          <cell r="W4034">
            <v>1</v>
          </cell>
          <cell r="X4034">
            <v>1</v>
          </cell>
          <cell r="Y4034">
            <v>1</v>
          </cell>
        </row>
        <row r="4035">
          <cell r="D4035">
            <v>303161</v>
          </cell>
          <cell r="E4035" t="str">
            <v>Ramon Duterte Memorial NHS (Day &amp; Night)</v>
          </cell>
          <cell r="F4035">
            <v>1</v>
          </cell>
          <cell r="G4035">
            <v>1</v>
          </cell>
          <cell r="H4035">
            <v>1</v>
          </cell>
          <cell r="I4035">
            <v>0</v>
          </cell>
          <cell r="J4035">
            <v>1</v>
          </cell>
          <cell r="K4035">
            <v>0</v>
          </cell>
          <cell r="L4035">
            <v>0</v>
          </cell>
          <cell r="M4035">
            <v>0</v>
          </cell>
          <cell r="N4035">
            <v>1</v>
          </cell>
          <cell r="O4035">
            <v>0</v>
          </cell>
          <cell r="P4035">
            <v>0</v>
          </cell>
          <cell r="Q4035">
            <v>0</v>
          </cell>
          <cell r="R4035">
            <v>1</v>
          </cell>
          <cell r="S4035">
            <v>0</v>
          </cell>
          <cell r="T4035">
            <v>0</v>
          </cell>
          <cell r="U4035">
            <v>0</v>
          </cell>
          <cell r="V4035">
            <v>1</v>
          </cell>
          <cell r="W4035">
            <v>8</v>
          </cell>
          <cell r="X4035">
            <v>4</v>
          </cell>
          <cell r="Y4035">
            <v>8</v>
          </cell>
        </row>
        <row r="4036">
          <cell r="D4036">
            <v>303063</v>
          </cell>
          <cell r="E4036" t="str">
            <v>Compostela National High School(Day Class)</v>
          </cell>
          <cell r="F4036">
            <v>0</v>
          </cell>
          <cell r="G4036">
            <v>0</v>
          </cell>
          <cell r="H4036">
            <v>1</v>
          </cell>
          <cell r="I4036">
            <v>0</v>
          </cell>
          <cell r="J4036">
            <v>1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 t="str">
            <v>as the need arises</v>
          </cell>
          <cell r="P4036" t="str">
            <v>as the need arises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</row>
        <row r="4037">
          <cell r="D4037">
            <v>303163</v>
          </cell>
          <cell r="E4037" t="str">
            <v>Sinsin NHS</v>
          </cell>
          <cell r="F4037">
            <v>0</v>
          </cell>
          <cell r="G4037">
            <v>0</v>
          </cell>
          <cell r="H4037">
            <v>1</v>
          </cell>
          <cell r="I4037">
            <v>0</v>
          </cell>
          <cell r="J4037">
            <v>1</v>
          </cell>
          <cell r="K4037">
            <v>0</v>
          </cell>
          <cell r="L4037">
            <v>0</v>
          </cell>
          <cell r="M4037">
            <v>0</v>
          </cell>
          <cell r="N4037">
            <v>1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2</v>
          </cell>
          <cell r="X4037">
            <v>1</v>
          </cell>
          <cell r="Y4037">
            <v>0</v>
          </cell>
        </row>
        <row r="4038">
          <cell r="D4038">
            <v>303168</v>
          </cell>
          <cell r="E4038" t="str">
            <v>Dumaguete City National High School</v>
          </cell>
          <cell r="F4038">
            <v>1</v>
          </cell>
          <cell r="G4038">
            <v>1</v>
          </cell>
          <cell r="H4038">
            <v>1</v>
          </cell>
          <cell r="I4038">
            <v>0</v>
          </cell>
          <cell r="J4038">
            <v>1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</row>
        <row r="4039">
          <cell r="D4039">
            <v>303155</v>
          </cell>
          <cell r="E4039" t="str">
            <v>Tejero NHS (Day &amp; Night)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1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1</v>
          </cell>
          <cell r="U4039" t="str">
            <v>N/A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</row>
        <row r="4040">
          <cell r="D4040">
            <v>303103</v>
          </cell>
          <cell r="E4040" t="str">
            <v>Juan Pamplona NHS</v>
          </cell>
          <cell r="F4040">
            <v>1</v>
          </cell>
          <cell r="G4040">
            <v>1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3</v>
          </cell>
          <cell r="X4040">
            <v>0</v>
          </cell>
          <cell r="Y4040">
            <v>0</v>
          </cell>
        </row>
        <row r="4041">
          <cell r="D4041">
            <v>303144</v>
          </cell>
          <cell r="E4041" t="str">
            <v>First High School for the Hearing Impaired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</row>
        <row r="4042">
          <cell r="D4042">
            <v>303151</v>
          </cell>
          <cell r="E4042" t="str">
            <v>MABOLO NATIONAL HIGH SCHOOL</v>
          </cell>
          <cell r="F4042">
            <v>1</v>
          </cell>
          <cell r="G4042">
            <v>0</v>
          </cell>
          <cell r="H4042">
            <v>1</v>
          </cell>
          <cell r="I4042">
            <v>0</v>
          </cell>
          <cell r="J4042">
            <v>0</v>
          </cell>
          <cell r="K4042">
            <v>1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</row>
        <row r="4043">
          <cell r="D4043">
            <v>312427</v>
          </cell>
          <cell r="E4043" t="str">
            <v>Balungag NHS</v>
          </cell>
          <cell r="F4043">
            <v>1</v>
          </cell>
          <cell r="G4043">
            <v>1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</row>
        <row r="4044">
          <cell r="D4044">
            <v>322302</v>
          </cell>
          <cell r="E4044" t="str">
            <v>San Miguel HS</v>
          </cell>
          <cell r="F4044">
            <v>1</v>
          </cell>
          <cell r="G4044">
            <v>1</v>
          </cell>
          <cell r="H4044">
            <v>1</v>
          </cell>
          <cell r="I4044">
            <v>0</v>
          </cell>
          <cell r="J4044">
            <v>0</v>
          </cell>
          <cell r="K4044">
            <v>1</v>
          </cell>
          <cell r="L4044">
            <v>0</v>
          </cell>
          <cell r="M4044">
            <v>0</v>
          </cell>
          <cell r="N4044">
            <v>0</v>
          </cell>
          <cell r="O4044">
            <v>43718</v>
          </cell>
          <cell r="P4044">
            <v>43735</v>
          </cell>
          <cell r="Q4044">
            <v>0</v>
          </cell>
          <cell r="R4044">
            <v>0</v>
          </cell>
          <cell r="S4044">
            <v>1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</row>
        <row r="4045">
          <cell r="D4045">
            <v>303152</v>
          </cell>
          <cell r="E4045" t="str">
            <v>Barrio Luz NHS (Day &amp; Night)</v>
          </cell>
          <cell r="F4045">
            <v>1</v>
          </cell>
          <cell r="G4045">
            <v>1</v>
          </cell>
          <cell r="H4045">
            <v>1</v>
          </cell>
          <cell r="I4045">
            <v>0</v>
          </cell>
          <cell r="J4045">
            <v>1</v>
          </cell>
          <cell r="K4045">
            <v>0</v>
          </cell>
          <cell r="L4045">
            <v>0</v>
          </cell>
          <cell r="M4045">
            <v>0</v>
          </cell>
          <cell r="N4045">
            <v>1</v>
          </cell>
          <cell r="O4045" t="str">
            <v>SEPTEMBER 20,2019</v>
          </cell>
          <cell r="P4045">
            <v>0</v>
          </cell>
          <cell r="Q4045">
            <v>1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1</v>
          </cell>
          <cell r="W4045">
            <v>1</v>
          </cell>
          <cell r="X4045">
            <v>0</v>
          </cell>
          <cell r="Y4045">
            <v>0</v>
          </cell>
        </row>
        <row r="4046">
          <cell r="D4046">
            <v>312509</v>
          </cell>
          <cell r="E4046" t="str">
            <v>Bitlang National High School</v>
          </cell>
          <cell r="F4046">
            <v>1</v>
          </cell>
          <cell r="G4046">
            <v>1</v>
          </cell>
          <cell r="H4046">
            <v>1</v>
          </cell>
          <cell r="I4046">
            <v>0</v>
          </cell>
          <cell r="J4046">
            <v>1</v>
          </cell>
          <cell r="K4046">
            <v>0</v>
          </cell>
          <cell r="L4046">
            <v>0</v>
          </cell>
          <cell r="M4046">
            <v>0</v>
          </cell>
          <cell r="N4046">
            <v>1</v>
          </cell>
          <cell r="O4046">
            <v>0</v>
          </cell>
          <cell r="P4046">
            <v>43713</v>
          </cell>
          <cell r="Q4046">
            <v>0</v>
          </cell>
          <cell r="R4046">
            <v>0</v>
          </cell>
          <cell r="S4046">
            <v>1</v>
          </cell>
          <cell r="T4046">
            <v>0</v>
          </cell>
          <cell r="U4046">
            <v>0</v>
          </cell>
          <cell r="V4046">
            <v>1</v>
          </cell>
          <cell r="W4046">
            <v>0</v>
          </cell>
          <cell r="X4046">
            <v>0</v>
          </cell>
          <cell r="Y4046">
            <v>0</v>
          </cell>
        </row>
        <row r="4047">
          <cell r="D4047">
            <v>303295</v>
          </cell>
          <cell r="E4047" t="str">
            <v>Leon Parami High School</v>
          </cell>
          <cell r="F4047">
            <v>1</v>
          </cell>
          <cell r="G4047">
            <v>0</v>
          </cell>
          <cell r="H4047">
            <v>1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</row>
        <row r="4048">
          <cell r="D4048">
            <v>303153</v>
          </cell>
          <cell r="E4048" t="str">
            <v>City Central NHS (Day &amp; Night)</v>
          </cell>
          <cell r="F4048">
            <v>1</v>
          </cell>
          <cell r="G4048">
            <v>1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</row>
        <row r="4049">
          <cell r="D4049">
            <v>303296</v>
          </cell>
          <cell r="E4049" t="str">
            <v>Cang-alwang National High School</v>
          </cell>
          <cell r="F4049">
            <v>1</v>
          </cell>
          <cell r="G4049">
            <v>1</v>
          </cell>
          <cell r="H4049">
            <v>1</v>
          </cell>
          <cell r="I4049">
            <v>0</v>
          </cell>
          <cell r="J4049">
            <v>0</v>
          </cell>
          <cell r="K4049">
            <v>1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</row>
        <row r="4050">
          <cell r="D4050">
            <v>302934</v>
          </cell>
          <cell r="E4050" t="str">
            <v>Jovencio N. Masong NHS</v>
          </cell>
          <cell r="F4050">
            <v>1</v>
          </cell>
          <cell r="G4050">
            <v>1</v>
          </cell>
          <cell r="H4050">
            <v>1</v>
          </cell>
          <cell r="I4050">
            <v>0</v>
          </cell>
          <cell r="J4050">
            <v>1</v>
          </cell>
          <cell r="K4050">
            <v>0</v>
          </cell>
          <cell r="L4050">
            <v>0</v>
          </cell>
          <cell r="M4050">
            <v>0</v>
          </cell>
          <cell r="N4050">
            <v>1</v>
          </cell>
          <cell r="O4050">
            <v>0</v>
          </cell>
          <cell r="P4050" t="str">
            <v>11/25/2019</v>
          </cell>
          <cell r="Q4050">
            <v>0</v>
          </cell>
          <cell r="R4050">
            <v>0</v>
          </cell>
          <cell r="S4050">
            <v>0</v>
          </cell>
          <cell r="T4050">
            <v>1</v>
          </cell>
          <cell r="U4050" t="str">
            <v>AT RANDOM</v>
          </cell>
          <cell r="V4050">
            <v>1</v>
          </cell>
          <cell r="W4050">
            <v>0</v>
          </cell>
          <cell r="X4050">
            <v>0</v>
          </cell>
          <cell r="Y4050">
            <v>0</v>
          </cell>
        </row>
        <row r="4051">
          <cell r="D4051">
            <v>303199</v>
          </cell>
          <cell r="E4051" t="str">
            <v>Mandaue City Comprehensive NHS</v>
          </cell>
          <cell r="F4051">
            <v>1</v>
          </cell>
          <cell r="G4051">
            <v>1</v>
          </cell>
          <cell r="H4051">
            <v>1</v>
          </cell>
          <cell r="I4051">
            <v>0</v>
          </cell>
          <cell r="J4051">
            <v>0</v>
          </cell>
          <cell r="K4051">
            <v>1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</row>
        <row r="4052">
          <cell r="D4052">
            <v>302938</v>
          </cell>
          <cell r="E4052" t="str">
            <v>Bantayan Senior High School</v>
          </cell>
          <cell r="F4052">
            <v>1</v>
          </cell>
          <cell r="G4052">
            <v>1</v>
          </cell>
          <cell r="H4052">
            <v>1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1</v>
          </cell>
          <cell r="O4052">
            <v>43617</v>
          </cell>
          <cell r="P4052">
            <v>43617</v>
          </cell>
          <cell r="Q4052">
            <v>0</v>
          </cell>
          <cell r="R4052">
            <v>1</v>
          </cell>
          <cell r="S4052">
            <v>0</v>
          </cell>
          <cell r="T4052">
            <v>0</v>
          </cell>
          <cell r="U4052">
            <v>0</v>
          </cell>
          <cell r="V4052">
            <v>1</v>
          </cell>
          <cell r="W4052">
            <v>5</v>
          </cell>
          <cell r="X4052">
            <v>5</v>
          </cell>
          <cell r="Y4052">
            <v>5</v>
          </cell>
        </row>
        <row r="4053">
          <cell r="D4053">
            <v>500043</v>
          </cell>
          <cell r="E4053" t="str">
            <v>Agsungot ES</v>
          </cell>
          <cell r="F4053">
            <v>1</v>
          </cell>
          <cell r="G4053">
            <v>1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 t="str">
            <v>NONE</v>
          </cell>
          <cell r="Q4053">
            <v>0</v>
          </cell>
          <cell r="R4053">
            <v>0</v>
          </cell>
          <cell r="S4053">
            <v>0</v>
          </cell>
          <cell r="T4053">
            <v>1</v>
          </cell>
          <cell r="U4053" t="str">
            <v>NONE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</row>
        <row r="4054">
          <cell r="D4054">
            <v>302884</v>
          </cell>
          <cell r="E4054" t="str">
            <v>Pilar Technical-Vocational HS</v>
          </cell>
          <cell r="F4054">
            <v>0</v>
          </cell>
          <cell r="G4054">
            <v>0</v>
          </cell>
          <cell r="H4054">
            <v>1</v>
          </cell>
          <cell r="I4054">
            <v>0</v>
          </cell>
          <cell r="J4054">
            <v>1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43644</v>
          </cell>
          <cell r="P4054">
            <v>43738</v>
          </cell>
          <cell r="Q4054">
            <v>0</v>
          </cell>
          <cell r="R4054">
            <v>1</v>
          </cell>
          <cell r="S4054">
            <v>0</v>
          </cell>
          <cell r="T4054">
            <v>0</v>
          </cell>
          <cell r="U4054" t="str">
            <v>as the need arises</v>
          </cell>
          <cell r="V4054">
            <v>1</v>
          </cell>
          <cell r="W4054">
            <v>0</v>
          </cell>
          <cell r="X4054">
            <v>0</v>
          </cell>
          <cell r="Y4054">
            <v>0</v>
          </cell>
        </row>
        <row r="4055">
          <cell r="D4055">
            <v>500229</v>
          </cell>
          <cell r="E4055" t="str">
            <v>Cantipla IS</v>
          </cell>
          <cell r="F4055">
            <v>1</v>
          </cell>
          <cell r="G4055">
            <v>1</v>
          </cell>
          <cell r="H4055">
            <v>1</v>
          </cell>
          <cell r="I4055">
            <v>0</v>
          </cell>
          <cell r="J4055">
            <v>1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1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</row>
        <row r="4056">
          <cell r="D4056">
            <v>303301</v>
          </cell>
          <cell r="E4056" t="str">
            <v>Siquijor Provincial Science High School</v>
          </cell>
          <cell r="F4056">
            <v>1</v>
          </cell>
          <cell r="G4056">
            <v>0</v>
          </cell>
          <cell r="H4056">
            <v>1</v>
          </cell>
          <cell r="I4056">
            <v>0</v>
          </cell>
          <cell r="J4056">
            <v>1</v>
          </cell>
          <cell r="K4056">
            <v>0</v>
          </cell>
          <cell r="L4056">
            <v>0</v>
          </cell>
          <cell r="M4056">
            <v>0</v>
          </cell>
          <cell r="N4056">
            <v>1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</row>
        <row r="4057">
          <cell r="D4057">
            <v>302948</v>
          </cell>
          <cell r="E4057" t="str">
            <v>Lamesa National High School</v>
          </cell>
          <cell r="F4057">
            <v>0</v>
          </cell>
          <cell r="G4057">
            <v>0</v>
          </cell>
          <cell r="H4057">
            <v>1</v>
          </cell>
          <cell r="I4057">
            <v>0</v>
          </cell>
          <cell r="J4057">
            <v>0</v>
          </cell>
          <cell r="K4057">
            <v>1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1</v>
          </cell>
          <cell r="T4057">
            <v>0</v>
          </cell>
          <cell r="U4057">
            <v>0</v>
          </cell>
          <cell r="V4057">
            <v>1</v>
          </cell>
          <cell r="W4057">
            <v>0</v>
          </cell>
          <cell r="X4057">
            <v>0</v>
          </cell>
          <cell r="Y4057">
            <v>0</v>
          </cell>
        </row>
        <row r="4058">
          <cell r="D4058">
            <v>302936</v>
          </cell>
          <cell r="E4058" t="str">
            <v>Libertad NHS</v>
          </cell>
          <cell r="F4058">
            <v>1</v>
          </cell>
          <cell r="G4058">
            <v>1</v>
          </cell>
          <cell r="H4058">
            <v>1</v>
          </cell>
          <cell r="I4058">
            <v>0</v>
          </cell>
          <cell r="J4058">
            <v>0</v>
          </cell>
          <cell r="K4058">
            <v>1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1</v>
          </cell>
          <cell r="U4058" t="str">
            <v>sometimes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</row>
        <row r="4059">
          <cell r="D4059">
            <v>302931</v>
          </cell>
          <cell r="E4059" t="str">
            <v>Binabag NHS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</row>
        <row r="4060">
          <cell r="D4060">
            <v>312481</v>
          </cell>
          <cell r="E4060" t="str">
            <v>Liloan NHS Ext. Don Bosco</v>
          </cell>
          <cell r="F4060">
            <v>0</v>
          </cell>
          <cell r="G4060">
            <v>0</v>
          </cell>
          <cell r="H4060">
            <v>1</v>
          </cell>
          <cell r="I4060">
            <v>0</v>
          </cell>
          <cell r="J4060">
            <v>0</v>
          </cell>
          <cell r="K4060">
            <v>0</v>
          </cell>
          <cell r="L4060">
            <v>1</v>
          </cell>
          <cell r="M4060" t="str">
            <v>WHEN THE NEED ARISE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1</v>
          </cell>
          <cell r="U4060" t="str">
            <v>RARELY</v>
          </cell>
          <cell r="V4060">
            <v>0</v>
          </cell>
          <cell r="W4060">
            <v>1</v>
          </cell>
          <cell r="X4060">
            <v>1</v>
          </cell>
          <cell r="Y4060">
            <v>0</v>
          </cell>
        </row>
        <row r="4061">
          <cell r="D4061">
            <v>303283</v>
          </cell>
          <cell r="E4061" t="str">
            <v>Tanjay City Science HS</v>
          </cell>
          <cell r="F4061">
            <v>1</v>
          </cell>
          <cell r="G4061">
            <v>1</v>
          </cell>
          <cell r="H4061">
            <v>1</v>
          </cell>
          <cell r="I4061">
            <v>0</v>
          </cell>
          <cell r="J4061">
            <v>0</v>
          </cell>
          <cell r="K4061">
            <v>1</v>
          </cell>
          <cell r="L4061">
            <v>0</v>
          </cell>
          <cell r="M4061">
            <v>0</v>
          </cell>
          <cell r="N4061">
            <v>1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1</v>
          </cell>
          <cell r="T4061">
            <v>0</v>
          </cell>
          <cell r="U4061">
            <v>0</v>
          </cell>
          <cell r="V4061">
            <v>1</v>
          </cell>
          <cell r="W4061">
            <v>0</v>
          </cell>
          <cell r="X4061">
            <v>0</v>
          </cell>
          <cell r="Y4061">
            <v>0</v>
          </cell>
        </row>
        <row r="4062">
          <cell r="D4062">
            <v>500655</v>
          </cell>
          <cell r="E4062" t="str">
            <v>Bagalnga Integrated School</v>
          </cell>
          <cell r="F4062">
            <v>1</v>
          </cell>
          <cell r="G4062">
            <v>1</v>
          </cell>
          <cell r="H4062">
            <v>1</v>
          </cell>
          <cell r="I4062">
            <v>0</v>
          </cell>
          <cell r="J4062">
            <v>0</v>
          </cell>
          <cell r="K4062">
            <v>1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1</v>
          </cell>
          <cell r="T4062">
            <v>0</v>
          </cell>
          <cell r="U4062">
            <v>0</v>
          </cell>
          <cell r="V4062">
            <v>1</v>
          </cell>
          <cell r="W4062">
            <v>2</v>
          </cell>
          <cell r="X4062">
            <v>0</v>
          </cell>
          <cell r="Y4062">
            <v>0</v>
          </cell>
        </row>
        <row r="4063">
          <cell r="D4063">
            <v>302988</v>
          </cell>
          <cell r="E4063" t="str">
            <v>Consolacion NHS - Day Class</v>
          </cell>
          <cell r="F4063">
            <v>0</v>
          </cell>
          <cell r="G4063">
            <v>1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 t="str">
            <v>na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</row>
        <row r="4064">
          <cell r="D4064">
            <v>312503</v>
          </cell>
          <cell r="E4064" t="str">
            <v>Banilad Night HS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</row>
        <row r="4065">
          <cell r="D4065">
            <v>302961</v>
          </cell>
          <cell r="E4065" t="str">
            <v>Calape NHS</v>
          </cell>
          <cell r="F4065">
            <v>0</v>
          </cell>
          <cell r="G4065">
            <v>0</v>
          </cell>
          <cell r="H4065">
            <v>1</v>
          </cell>
          <cell r="I4065">
            <v>0</v>
          </cell>
          <cell r="J4065">
            <v>0</v>
          </cell>
          <cell r="K4065">
            <v>1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</row>
        <row r="4066">
          <cell r="D4066">
            <v>303092</v>
          </cell>
          <cell r="E4066" t="str">
            <v>Liloan NHS</v>
          </cell>
          <cell r="F4066">
            <v>1</v>
          </cell>
          <cell r="G4066">
            <v>0</v>
          </cell>
          <cell r="H4066">
            <v>0</v>
          </cell>
          <cell r="I4066">
            <v>0</v>
          </cell>
          <cell r="J4066">
            <v>1</v>
          </cell>
          <cell r="K4066">
            <v>0</v>
          </cell>
          <cell r="L4066">
            <v>0</v>
          </cell>
          <cell r="M4066">
            <v>0</v>
          </cell>
          <cell r="N4066">
            <v>1</v>
          </cell>
          <cell r="O4066">
            <v>43713</v>
          </cell>
          <cell r="P4066">
            <v>0</v>
          </cell>
          <cell r="Q4066">
            <v>0</v>
          </cell>
          <cell r="R4066">
            <v>1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5</v>
          </cell>
          <cell r="X4066">
            <v>5</v>
          </cell>
          <cell r="Y4066">
            <v>0</v>
          </cell>
        </row>
        <row r="4067">
          <cell r="D4067">
            <v>302985</v>
          </cell>
          <cell r="E4067" t="str">
            <v>Argao National High School</v>
          </cell>
          <cell r="F4067">
            <v>1</v>
          </cell>
          <cell r="G4067">
            <v>1</v>
          </cell>
          <cell r="H4067">
            <v>1</v>
          </cell>
          <cell r="I4067">
            <v>0</v>
          </cell>
          <cell r="J4067">
            <v>0</v>
          </cell>
          <cell r="K4067">
            <v>0</v>
          </cell>
          <cell r="L4067">
            <v>1</v>
          </cell>
          <cell r="M4067" t="str">
            <v>seldom</v>
          </cell>
          <cell r="N4067">
            <v>0</v>
          </cell>
          <cell r="O4067">
            <v>0</v>
          </cell>
          <cell r="P4067" t="str">
            <v>n/a</v>
          </cell>
          <cell r="Q4067">
            <v>0</v>
          </cell>
          <cell r="R4067">
            <v>0</v>
          </cell>
          <cell r="S4067">
            <v>0</v>
          </cell>
          <cell r="T4067">
            <v>1</v>
          </cell>
          <cell r="U4067" t="str">
            <v>seldom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</row>
        <row r="4068">
          <cell r="D4068">
            <v>303055</v>
          </cell>
          <cell r="E4068" t="str">
            <v>Minglanilla Science HS</v>
          </cell>
          <cell r="F4068">
            <v>0</v>
          </cell>
          <cell r="G4068">
            <v>0</v>
          </cell>
          <cell r="H4068">
            <v>1</v>
          </cell>
          <cell r="I4068">
            <v>0</v>
          </cell>
          <cell r="J4068">
            <v>0</v>
          </cell>
          <cell r="K4068">
            <v>1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1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1</v>
          </cell>
          <cell r="W4068">
            <v>0</v>
          </cell>
          <cell r="X4068">
            <v>0</v>
          </cell>
          <cell r="Y4068">
            <v>0</v>
          </cell>
        </row>
        <row r="4069">
          <cell r="D4069">
            <v>303102</v>
          </cell>
          <cell r="E4069" t="str">
            <v>Simala National High School</v>
          </cell>
          <cell r="F4069">
            <v>1</v>
          </cell>
          <cell r="G4069">
            <v>1</v>
          </cell>
          <cell r="H4069">
            <v>1</v>
          </cell>
          <cell r="I4069">
            <v>0</v>
          </cell>
          <cell r="J4069">
            <v>1</v>
          </cell>
          <cell r="K4069">
            <v>0</v>
          </cell>
          <cell r="L4069">
            <v>0</v>
          </cell>
          <cell r="M4069">
            <v>0</v>
          </cell>
          <cell r="N4069">
            <v>1</v>
          </cell>
          <cell r="O4069">
            <v>0</v>
          </cell>
          <cell r="P4069">
            <v>0</v>
          </cell>
          <cell r="Q4069">
            <v>0</v>
          </cell>
          <cell r="R4069">
            <v>1</v>
          </cell>
          <cell r="S4069">
            <v>0</v>
          </cell>
          <cell r="T4069">
            <v>0</v>
          </cell>
          <cell r="U4069">
            <v>0</v>
          </cell>
          <cell r="V4069">
            <v>1</v>
          </cell>
          <cell r="W4069">
            <v>0</v>
          </cell>
          <cell r="X4069">
            <v>0</v>
          </cell>
          <cell r="Y4069">
            <v>0</v>
          </cell>
        </row>
        <row r="4070">
          <cell r="D4070">
            <v>302954</v>
          </cell>
          <cell r="E4070" t="str">
            <v>Cabangahan NHS</v>
          </cell>
          <cell r="F4070">
            <v>1</v>
          </cell>
          <cell r="G4070">
            <v>0</v>
          </cell>
          <cell r="H4070">
            <v>1</v>
          </cell>
          <cell r="I4070">
            <v>0</v>
          </cell>
          <cell r="J4070">
            <v>0</v>
          </cell>
          <cell r="K4070">
            <v>1</v>
          </cell>
          <cell r="L4070">
            <v>0</v>
          </cell>
          <cell r="M4070">
            <v>0</v>
          </cell>
          <cell r="N4070">
            <v>0</v>
          </cell>
          <cell r="O4070" t="str">
            <v>JUNE 3, 2019</v>
          </cell>
          <cell r="P4070" t="str">
            <v>JUNE 3, 2019</v>
          </cell>
          <cell r="Q4070">
            <v>0</v>
          </cell>
          <cell r="R4070">
            <v>0</v>
          </cell>
          <cell r="S4070">
            <v>1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</row>
        <row r="4071">
          <cell r="D4071">
            <v>303011</v>
          </cell>
          <cell r="E4071" t="str">
            <v>Lanipga NHS</v>
          </cell>
          <cell r="F4071">
            <v>1</v>
          </cell>
          <cell r="G4071">
            <v>1</v>
          </cell>
          <cell r="H4071">
            <v>0</v>
          </cell>
          <cell r="I4071">
            <v>0</v>
          </cell>
          <cell r="J4071">
            <v>1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 t="str">
            <v>N/A</v>
          </cell>
          <cell r="Q4071">
            <v>0</v>
          </cell>
          <cell r="R4071">
            <v>0</v>
          </cell>
          <cell r="S4071">
            <v>0</v>
          </cell>
          <cell r="T4071">
            <v>1</v>
          </cell>
          <cell r="U4071" t="str">
            <v>N/A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</row>
        <row r="4072">
          <cell r="D4072">
            <v>312428</v>
          </cell>
          <cell r="E4072" t="str">
            <v>Lataban NHS</v>
          </cell>
          <cell r="F4072">
            <v>0</v>
          </cell>
          <cell r="G4072">
            <v>0</v>
          </cell>
          <cell r="H4072">
            <v>0</v>
          </cell>
          <cell r="I4072">
            <v>0</v>
          </cell>
          <cell r="J4072">
            <v>0</v>
          </cell>
          <cell r="K4072">
            <v>1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</row>
        <row r="4073">
          <cell r="D4073">
            <v>303154</v>
          </cell>
          <cell r="E4073" t="str">
            <v>Regino Mercado NHS (Night)</v>
          </cell>
          <cell r="F4073">
            <v>1</v>
          </cell>
          <cell r="G4073">
            <v>1</v>
          </cell>
          <cell r="H4073">
            <v>1</v>
          </cell>
          <cell r="I4073">
            <v>1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1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1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</row>
        <row r="4074">
          <cell r="D4074">
            <v>303288</v>
          </cell>
          <cell r="E4074" t="str">
            <v>Lourdes L. del Prado MNHS (Sto. Niño)</v>
          </cell>
          <cell r="F4074">
            <v>1</v>
          </cell>
          <cell r="G4074">
            <v>1</v>
          </cell>
          <cell r="H4074">
            <v>1</v>
          </cell>
          <cell r="I4074">
            <v>0</v>
          </cell>
          <cell r="J4074">
            <v>1</v>
          </cell>
          <cell r="K4074">
            <v>0</v>
          </cell>
          <cell r="L4074">
            <v>0</v>
          </cell>
          <cell r="M4074">
            <v>0</v>
          </cell>
          <cell r="N4074">
            <v>1</v>
          </cell>
          <cell r="O4074" t="str">
            <v>October 4, 2019</v>
          </cell>
          <cell r="P4074" t="str">
            <v>November 4, 2019</v>
          </cell>
          <cell r="Q4074">
            <v>0</v>
          </cell>
          <cell r="R4074">
            <v>1</v>
          </cell>
          <cell r="S4074">
            <v>0</v>
          </cell>
          <cell r="T4074">
            <v>0</v>
          </cell>
          <cell r="U4074">
            <v>0</v>
          </cell>
          <cell r="V4074">
            <v>1</v>
          </cell>
          <cell r="W4074">
            <v>3</v>
          </cell>
          <cell r="X4074">
            <v>0</v>
          </cell>
          <cell r="Y4074">
            <v>0</v>
          </cell>
        </row>
        <row r="4075">
          <cell r="D4075">
            <v>303119</v>
          </cell>
          <cell r="E4075" t="str">
            <v>Tungkop National High School</v>
          </cell>
          <cell r="F4075">
            <v>1</v>
          </cell>
          <cell r="G4075">
            <v>0</v>
          </cell>
          <cell r="H4075">
            <v>1</v>
          </cell>
          <cell r="I4075">
            <v>1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1</v>
          </cell>
          <cell r="O4075">
            <v>43781</v>
          </cell>
          <cell r="P4075">
            <v>43797</v>
          </cell>
          <cell r="Q4075">
            <v>0</v>
          </cell>
          <cell r="R4075">
            <v>1</v>
          </cell>
          <cell r="S4075">
            <v>0</v>
          </cell>
          <cell r="T4075">
            <v>0</v>
          </cell>
          <cell r="U4075">
            <v>0</v>
          </cell>
          <cell r="V4075">
            <v>1</v>
          </cell>
          <cell r="W4075">
            <v>0</v>
          </cell>
          <cell r="X4075">
            <v>0</v>
          </cell>
          <cell r="Y4075">
            <v>0</v>
          </cell>
        </row>
        <row r="4076">
          <cell r="D4076">
            <v>312453</v>
          </cell>
          <cell r="E4076" t="str">
            <v>Kalangahan NHS</v>
          </cell>
          <cell r="F4076">
            <v>0</v>
          </cell>
          <cell r="G4076">
            <v>0</v>
          </cell>
          <cell r="H4076">
            <v>1</v>
          </cell>
          <cell r="I4076">
            <v>0</v>
          </cell>
          <cell r="J4076">
            <v>1</v>
          </cell>
          <cell r="K4076">
            <v>0</v>
          </cell>
          <cell r="L4076">
            <v>0</v>
          </cell>
          <cell r="M4076">
            <v>0</v>
          </cell>
          <cell r="N4076">
            <v>1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1</v>
          </cell>
          <cell r="T4076">
            <v>0</v>
          </cell>
          <cell r="U4076">
            <v>0</v>
          </cell>
          <cell r="V4076">
            <v>1</v>
          </cell>
          <cell r="W4076">
            <v>0</v>
          </cell>
          <cell r="X4076">
            <v>0</v>
          </cell>
          <cell r="Y4076">
            <v>0</v>
          </cell>
        </row>
        <row r="4077">
          <cell r="D4077">
            <v>303053</v>
          </cell>
          <cell r="E4077" t="str">
            <v>Maya National High School</v>
          </cell>
          <cell r="F4077">
            <v>1</v>
          </cell>
          <cell r="G4077">
            <v>0</v>
          </cell>
          <cell r="H4077">
            <v>1</v>
          </cell>
          <cell r="I4077">
            <v>0</v>
          </cell>
          <cell r="J4077">
            <v>0</v>
          </cell>
          <cell r="K4077">
            <v>0</v>
          </cell>
          <cell r="L4077">
            <v>1</v>
          </cell>
          <cell r="M4077" t="str">
            <v>As need arises</v>
          </cell>
          <cell r="N4077">
            <v>0</v>
          </cell>
          <cell r="O4077" t="str">
            <v>11/29/2019</v>
          </cell>
          <cell r="P4077">
            <v>0</v>
          </cell>
          <cell r="Q4077">
            <v>0</v>
          </cell>
          <cell r="R4077">
            <v>1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</row>
        <row r="4078">
          <cell r="D4078">
            <v>312414</v>
          </cell>
          <cell r="E4078" t="str">
            <v>Sta. Rita NHS</v>
          </cell>
          <cell r="F4078">
            <v>0</v>
          </cell>
          <cell r="G4078">
            <v>0</v>
          </cell>
          <cell r="H4078">
            <v>1</v>
          </cell>
          <cell r="I4078">
            <v>0</v>
          </cell>
          <cell r="J4078">
            <v>0</v>
          </cell>
          <cell r="K4078">
            <v>1</v>
          </cell>
          <cell r="L4078">
            <v>0</v>
          </cell>
          <cell r="M4078">
            <v>0</v>
          </cell>
          <cell r="N4078">
            <v>0</v>
          </cell>
          <cell r="O4078">
            <v>0</v>
          </cell>
          <cell r="P4078" t="str">
            <v>6/3/`2019</v>
          </cell>
          <cell r="Q4078">
            <v>0</v>
          </cell>
          <cell r="R4078">
            <v>0</v>
          </cell>
          <cell r="S4078">
            <v>1</v>
          </cell>
          <cell r="T4078">
            <v>0</v>
          </cell>
          <cell r="U4078">
            <v>0</v>
          </cell>
          <cell r="V4078">
            <v>1</v>
          </cell>
          <cell r="W4078">
            <v>0</v>
          </cell>
          <cell r="X4078">
            <v>0</v>
          </cell>
          <cell r="Y4078">
            <v>0</v>
          </cell>
        </row>
        <row r="4079">
          <cell r="D4079">
            <v>303280</v>
          </cell>
          <cell r="E4079" t="str">
            <v>Tanjay NHS (Opao)</v>
          </cell>
          <cell r="F4079">
            <v>1</v>
          </cell>
          <cell r="G4079">
            <v>0</v>
          </cell>
          <cell r="H4079">
            <v>1</v>
          </cell>
          <cell r="I4079">
            <v>0</v>
          </cell>
          <cell r="J4079">
            <v>0</v>
          </cell>
          <cell r="K4079">
            <v>1</v>
          </cell>
          <cell r="L4079">
            <v>0</v>
          </cell>
          <cell r="M4079">
            <v>0</v>
          </cell>
          <cell r="N4079">
            <v>1</v>
          </cell>
          <cell r="O4079" t="str">
            <v>UNRECORDED</v>
          </cell>
          <cell r="P4079">
            <v>0</v>
          </cell>
          <cell r="Q4079">
            <v>0</v>
          </cell>
          <cell r="R4079">
            <v>0</v>
          </cell>
          <cell r="S4079">
            <v>1</v>
          </cell>
          <cell r="T4079">
            <v>0</v>
          </cell>
          <cell r="U4079" t="str">
            <v>UNRECORDED</v>
          </cell>
          <cell r="V4079">
            <v>0</v>
          </cell>
          <cell r="W4079">
            <v>1</v>
          </cell>
          <cell r="X4079">
            <v>1</v>
          </cell>
          <cell r="Y4079">
            <v>1</v>
          </cell>
        </row>
        <row r="4080">
          <cell r="D4080">
            <v>303004</v>
          </cell>
          <cell r="E4080" t="str">
            <v>Horacio Franco MNHS</v>
          </cell>
          <cell r="F4080">
            <v>0</v>
          </cell>
          <cell r="G4080">
            <v>0</v>
          </cell>
          <cell r="H4080">
            <v>1</v>
          </cell>
          <cell r="I4080">
            <v>0</v>
          </cell>
          <cell r="J4080">
            <v>1</v>
          </cell>
          <cell r="K4080">
            <v>0</v>
          </cell>
          <cell r="L4080">
            <v>0</v>
          </cell>
          <cell r="M4080">
            <v>0</v>
          </cell>
          <cell r="N4080">
            <v>1</v>
          </cell>
          <cell r="O4080" t="str">
            <v>10/29/2019</v>
          </cell>
          <cell r="P4080" t="str">
            <v>10/26/2019</v>
          </cell>
          <cell r="Q4080">
            <v>0</v>
          </cell>
          <cell r="R4080">
            <v>1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</row>
        <row r="4081">
          <cell r="D4081">
            <v>312461</v>
          </cell>
          <cell r="E4081" t="str">
            <v>Inghoy NHS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1</v>
          </cell>
          <cell r="M4081" t="str">
            <v>N/A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1</v>
          </cell>
          <cell r="U4081" t="str">
            <v>N/A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</row>
        <row r="4082">
          <cell r="D4082">
            <v>303108</v>
          </cell>
          <cell r="E4082" t="str">
            <v>DoÃ±a Milagros MNHS</v>
          </cell>
          <cell r="F4082">
            <v>1</v>
          </cell>
          <cell r="G4082">
            <v>1</v>
          </cell>
          <cell r="H4082">
            <v>1</v>
          </cell>
          <cell r="I4082">
            <v>0</v>
          </cell>
          <cell r="J4082">
            <v>0</v>
          </cell>
          <cell r="K4082">
            <v>1</v>
          </cell>
          <cell r="L4082">
            <v>0</v>
          </cell>
          <cell r="M4082">
            <v>0</v>
          </cell>
          <cell r="N4082">
            <v>1</v>
          </cell>
          <cell r="O4082" t="str">
            <v>June 10, 2019</v>
          </cell>
          <cell r="P4082" t="str">
            <v>November 25, 2019</v>
          </cell>
          <cell r="Q4082">
            <v>1</v>
          </cell>
          <cell r="R4082">
            <v>0</v>
          </cell>
          <cell r="S4082">
            <v>0</v>
          </cell>
          <cell r="T4082">
            <v>1</v>
          </cell>
          <cell r="U4082">
            <v>0</v>
          </cell>
          <cell r="V4082">
            <v>1</v>
          </cell>
          <cell r="W4082">
            <v>1</v>
          </cell>
          <cell r="X4082">
            <v>0</v>
          </cell>
          <cell r="Y4082">
            <v>0</v>
          </cell>
        </row>
        <row r="4083">
          <cell r="D4083">
            <v>500216</v>
          </cell>
          <cell r="E4083" t="str">
            <v>Soom IS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</row>
        <row r="4084">
          <cell r="D4084">
            <v>302941</v>
          </cell>
          <cell r="E4084" t="str">
            <v>Dumanjug NHS</v>
          </cell>
          <cell r="F4084">
            <v>1</v>
          </cell>
          <cell r="G4084">
            <v>1</v>
          </cell>
          <cell r="H4084">
            <v>1</v>
          </cell>
          <cell r="I4084">
            <v>0</v>
          </cell>
          <cell r="J4084">
            <v>0</v>
          </cell>
          <cell r="K4084">
            <v>0</v>
          </cell>
          <cell r="L4084">
            <v>1</v>
          </cell>
          <cell r="M4084">
            <v>0</v>
          </cell>
          <cell r="N4084">
            <v>1</v>
          </cell>
          <cell r="O4084">
            <v>43789</v>
          </cell>
          <cell r="P4084" t="str">
            <v>NOVEMBER 20,2019</v>
          </cell>
          <cell r="Q4084">
            <v>0</v>
          </cell>
          <cell r="R4084">
            <v>1</v>
          </cell>
          <cell r="S4084">
            <v>0</v>
          </cell>
          <cell r="T4084">
            <v>0</v>
          </cell>
          <cell r="U4084">
            <v>0</v>
          </cell>
          <cell r="V4084">
            <v>1</v>
          </cell>
          <cell r="W4084">
            <v>8</v>
          </cell>
          <cell r="X4084">
            <v>8</v>
          </cell>
          <cell r="Y4084">
            <v>8</v>
          </cell>
        </row>
        <row r="4085">
          <cell r="D4085">
            <v>303107</v>
          </cell>
          <cell r="E4085" t="str">
            <v>Campusong NHS</v>
          </cell>
          <cell r="F4085">
            <v>1</v>
          </cell>
          <cell r="G4085">
            <v>0</v>
          </cell>
          <cell r="H4085">
            <v>1</v>
          </cell>
          <cell r="I4085">
            <v>0</v>
          </cell>
          <cell r="J4085">
            <v>0</v>
          </cell>
          <cell r="K4085">
            <v>1</v>
          </cell>
          <cell r="L4085">
            <v>0</v>
          </cell>
          <cell r="M4085">
            <v>0</v>
          </cell>
          <cell r="N4085">
            <v>1</v>
          </cell>
          <cell r="O4085">
            <v>0</v>
          </cell>
          <cell r="P4085">
            <v>0</v>
          </cell>
          <cell r="Q4085">
            <v>1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1</v>
          </cell>
          <cell r="W4085">
            <v>0</v>
          </cell>
          <cell r="X4085">
            <v>0</v>
          </cell>
          <cell r="Y4085">
            <v>0</v>
          </cell>
        </row>
        <row r="4086">
          <cell r="D4086">
            <v>312418</v>
          </cell>
          <cell r="E4086" t="str">
            <v>Manguiao NHS</v>
          </cell>
          <cell r="F4086">
            <v>1</v>
          </cell>
          <cell r="G4086">
            <v>1</v>
          </cell>
          <cell r="H4086">
            <v>1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</row>
        <row r="4087">
          <cell r="D4087">
            <v>312407</v>
          </cell>
          <cell r="E4087" t="str">
            <v>Arcelo Memorial National Night High School</v>
          </cell>
          <cell r="F4087">
            <v>1</v>
          </cell>
          <cell r="G4087">
            <v>0</v>
          </cell>
          <cell r="H4087">
            <v>0</v>
          </cell>
          <cell r="I4087">
            <v>0</v>
          </cell>
          <cell r="J4087">
            <v>1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1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</row>
        <row r="4088">
          <cell r="D4088">
            <v>303198</v>
          </cell>
          <cell r="E4088" t="str">
            <v>Jagobiao NHS</v>
          </cell>
          <cell r="F4088">
            <v>1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 t="str">
            <v>NA</v>
          </cell>
          <cell r="P4088" t="str">
            <v>NA</v>
          </cell>
          <cell r="Q4088">
            <v>0</v>
          </cell>
          <cell r="R4088">
            <v>0</v>
          </cell>
          <cell r="S4088">
            <v>0</v>
          </cell>
          <cell r="T4088">
            <v>1</v>
          </cell>
          <cell r="U4088" t="str">
            <v>Not at all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</row>
        <row r="4089">
          <cell r="D4089">
            <v>303023</v>
          </cell>
          <cell r="E4089" t="str">
            <v>Kal-anan NHS</v>
          </cell>
          <cell r="F4089">
            <v>1</v>
          </cell>
          <cell r="G4089">
            <v>1</v>
          </cell>
          <cell r="H4089">
            <v>1</v>
          </cell>
          <cell r="I4089">
            <v>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1</v>
          </cell>
          <cell r="O4089">
            <v>43752</v>
          </cell>
          <cell r="P4089">
            <v>43787</v>
          </cell>
          <cell r="Q4089">
            <v>1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1</v>
          </cell>
          <cell r="W4089">
            <v>0</v>
          </cell>
          <cell r="X4089">
            <v>0</v>
          </cell>
          <cell r="Y4089">
            <v>0</v>
          </cell>
        </row>
        <row r="4090">
          <cell r="D4090">
            <v>500042</v>
          </cell>
          <cell r="E4090" t="str">
            <v>Catmon Integrated School</v>
          </cell>
          <cell r="F4090">
            <v>1</v>
          </cell>
          <cell r="G4090">
            <v>1</v>
          </cell>
          <cell r="H4090">
            <v>1</v>
          </cell>
          <cell r="I4090">
            <v>0</v>
          </cell>
          <cell r="J4090">
            <v>1</v>
          </cell>
          <cell r="K4090">
            <v>0</v>
          </cell>
          <cell r="L4090">
            <v>0</v>
          </cell>
          <cell r="M4090">
            <v>0</v>
          </cell>
          <cell r="N4090">
            <v>1</v>
          </cell>
          <cell r="O4090">
            <v>0</v>
          </cell>
          <cell r="P4090">
            <v>0</v>
          </cell>
          <cell r="Q4090">
            <v>0</v>
          </cell>
          <cell r="R4090">
            <v>1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</row>
        <row r="4091">
          <cell r="D4091">
            <v>500668</v>
          </cell>
          <cell r="E4091" t="str">
            <v>Ilihan Integrated School</v>
          </cell>
          <cell r="F4091">
            <v>1</v>
          </cell>
          <cell r="G4091">
            <v>1</v>
          </cell>
          <cell r="H4091">
            <v>1</v>
          </cell>
          <cell r="I4091">
            <v>0</v>
          </cell>
          <cell r="J4091">
            <v>1</v>
          </cell>
          <cell r="K4091">
            <v>0</v>
          </cell>
          <cell r="L4091">
            <v>0</v>
          </cell>
          <cell r="M4091">
            <v>0</v>
          </cell>
          <cell r="N4091">
            <v>1</v>
          </cell>
          <cell r="O4091">
            <v>43749</v>
          </cell>
          <cell r="P4091" t="str">
            <v>N/A</v>
          </cell>
          <cell r="Q4091">
            <v>1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1</v>
          </cell>
          <cell r="W4091">
            <v>0</v>
          </cell>
          <cell r="X4091">
            <v>0</v>
          </cell>
          <cell r="Y4091">
            <v>0</v>
          </cell>
        </row>
        <row r="4092">
          <cell r="D4092">
            <v>303005</v>
          </cell>
          <cell r="E4092" t="str">
            <v>DoÃ±a Liling Neis Negapatan NHS</v>
          </cell>
          <cell r="F4092">
            <v>0</v>
          </cell>
          <cell r="G4092">
            <v>0</v>
          </cell>
          <cell r="H4092">
            <v>1</v>
          </cell>
          <cell r="I4092">
            <v>0</v>
          </cell>
          <cell r="J4092">
            <v>1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43777</v>
          </cell>
          <cell r="P4092">
            <v>43780</v>
          </cell>
          <cell r="Q4092">
            <v>1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1</v>
          </cell>
          <cell r="W4092">
            <v>3</v>
          </cell>
          <cell r="X4092">
            <v>0</v>
          </cell>
          <cell r="Y4092">
            <v>0</v>
          </cell>
        </row>
        <row r="4093">
          <cell r="D4093">
            <v>302980</v>
          </cell>
          <cell r="E4093" t="str">
            <v>Tinabyonan NHS</v>
          </cell>
          <cell r="F4093">
            <v>1</v>
          </cell>
          <cell r="G4093">
            <v>0</v>
          </cell>
          <cell r="H4093">
            <v>1</v>
          </cell>
          <cell r="I4093">
            <v>1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1</v>
          </cell>
          <cell r="O4093">
            <v>43745</v>
          </cell>
          <cell r="P4093" t="str">
            <v>N/A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</row>
        <row r="4094">
          <cell r="D4094">
            <v>302846</v>
          </cell>
          <cell r="E4094" t="str">
            <v>Dr. Cecilio Putong NHS (Bohol NHS)</v>
          </cell>
          <cell r="F4094">
            <v>1</v>
          </cell>
          <cell r="G4094">
            <v>0</v>
          </cell>
          <cell r="H4094">
            <v>1</v>
          </cell>
          <cell r="I4094">
            <v>0</v>
          </cell>
          <cell r="J4094">
            <v>0</v>
          </cell>
          <cell r="K4094">
            <v>1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</row>
        <row r="4095">
          <cell r="D4095">
            <v>303101</v>
          </cell>
          <cell r="E4095" t="str">
            <v>Sibonga National High School</v>
          </cell>
          <cell r="F4095">
            <v>1</v>
          </cell>
          <cell r="G4095">
            <v>1</v>
          </cell>
          <cell r="H4095">
            <v>1</v>
          </cell>
          <cell r="I4095">
            <v>1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 t="str">
            <v>OCTOBER, 2019</v>
          </cell>
          <cell r="P4095" t="str">
            <v>OCTOBER, 2019</v>
          </cell>
          <cell r="Q4095">
            <v>1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1</v>
          </cell>
          <cell r="W4095">
            <v>1</v>
          </cell>
          <cell r="X4095">
            <v>1</v>
          </cell>
          <cell r="Y4095">
            <v>1</v>
          </cell>
        </row>
        <row r="4096">
          <cell r="D4096">
            <v>312514</v>
          </cell>
          <cell r="E4096" t="str">
            <v>BASAK COMMUNITY HS</v>
          </cell>
          <cell r="F4096">
            <v>1</v>
          </cell>
          <cell r="G4096">
            <v>0</v>
          </cell>
          <cell r="H4096">
            <v>1</v>
          </cell>
          <cell r="I4096">
            <v>0</v>
          </cell>
          <cell r="J4096">
            <v>0</v>
          </cell>
          <cell r="K4096">
            <v>0</v>
          </cell>
          <cell r="L4096">
            <v>1</v>
          </cell>
          <cell r="M4096" t="str">
            <v>NO MEETING YET</v>
          </cell>
          <cell r="N4096">
            <v>0</v>
          </cell>
          <cell r="O4096">
            <v>2018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1</v>
          </cell>
          <cell r="U4096" t="str">
            <v>NONE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</row>
        <row r="4097">
          <cell r="D4097">
            <v>302979</v>
          </cell>
          <cell r="E4097" t="str">
            <v>Ceferino Sususco MNHS</v>
          </cell>
          <cell r="F4097">
            <v>1</v>
          </cell>
          <cell r="G4097">
            <v>1</v>
          </cell>
          <cell r="H4097">
            <v>1</v>
          </cell>
          <cell r="I4097">
            <v>1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1</v>
          </cell>
          <cell r="O4097" t="str">
            <v>10/25/2019</v>
          </cell>
          <cell r="P4097" t="str">
            <v>11/22/2019</v>
          </cell>
          <cell r="Q4097">
            <v>1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1</v>
          </cell>
          <cell r="W4097">
            <v>1</v>
          </cell>
          <cell r="X4097">
            <v>0</v>
          </cell>
          <cell r="Y4097">
            <v>0</v>
          </cell>
        </row>
        <row r="4098">
          <cell r="D4098">
            <v>303110</v>
          </cell>
          <cell r="E4098" t="str">
            <v>Mohon NHS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1</v>
          </cell>
          <cell r="M4098" t="str">
            <v>N/A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1</v>
          </cell>
          <cell r="U4098" t="str">
            <v>N/A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</row>
        <row r="4099">
          <cell r="D4099">
            <v>302928</v>
          </cell>
          <cell r="E4099" t="str">
            <v>Balao NHS</v>
          </cell>
          <cell r="F4099">
            <v>1</v>
          </cell>
          <cell r="G4099">
            <v>1</v>
          </cell>
          <cell r="H4099">
            <v>1</v>
          </cell>
          <cell r="I4099">
            <v>0</v>
          </cell>
          <cell r="J4099">
            <v>1</v>
          </cell>
          <cell r="K4099">
            <v>0</v>
          </cell>
          <cell r="L4099">
            <v>0</v>
          </cell>
          <cell r="M4099">
            <v>0</v>
          </cell>
          <cell r="N4099">
            <v>1</v>
          </cell>
          <cell r="O4099">
            <v>43770</v>
          </cell>
          <cell r="P4099">
            <v>43709</v>
          </cell>
          <cell r="Q4099">
            <v>1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1</v>
          </cell>
          <cell r="W4099">
            <v>3</v>
          </cell>
          <cell r="X4099">
            <v>0</v>
          </cell>
          <cell r="Y4099">
            <v>0</v>
          </cell>
        </row>
        <row r="4100">
          <cell r="D4100">
            <v>303159</v>
          </cell>
          <cell r="E4100" t="str">
            <v>Pardo NHS (Day &amp; Night)</v>
          </cell>
          <cell r="F4100">
            <v>1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</row>
        <row r="4101">
          <cell r="D4101">
            <v>322102</v>
          </cell>
          <cell r="E4101" t="str">
            <v>San Isidro National High School</v>
          </cell>
          <cell r="F4101">
            <v>1</v>
          </cell>
          <cell r="G4101">
            <v>1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1</v>
          </cell>
          <cell r="M4101" t="str">
            <v>N/A</v>
          </cell>
          <cell r="N4101">
            <v>0</v>
          </cell>
          <cell r="O4101" t="str">
            <v>N/A</v>
          </cell>
          <cell r="P4101" t="str">
            <v>N/A</v>
          </cell>
          <cell r="Q4101">
            <v>0</v>
          </cell>
          <cell r="R4101">
            <v>0</v>
          </cell>
          <cell r="S4101">
            <v>0</v>
          </cell>
          <cell r="T4101">
            <v>1</v>
          </cell>
          <cell r="U4101" t="str">
            <v>N/A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</row>
        <row r="4102">
          <cell r="D4102">
            <v>312423</v>
          </cell>
          <cell r="E4102" t="str">
            <v>Mar and Dorie Darunday NHS</v>
          </cell>
          <cell r="F4102">
            <v>1</v>
          </cell>
          <cell r="G4102">
            <v>1</v>
          </cell>
          <cell r="H4102">
            <v>1</v>
          </cell>
          <cell r="I4102">
            <v>0</v>
          </cell>
          <cell r="J4102">
            <v>1</v>
          </cell>
          <cell r="K4102">
            <v>0</v>
          </cell>
          <cell r="L4102">
            <v>0</v>
          </cell>
          <cell r="M4102">
            <v>0</v>
          </cell>
          <cell r="N4102">
            <v>1</v>
          </cell>
          <cell r="O4102" t="str">
            <v>August 23, 2019</v>
          </cell>
          <cell r="P4102" t="str">
            <v>August 23, 2019</v>
          </cell>
          <cell r="Q4102">
            <v>0</v>
          </cell>
          <cell r="R4102">
            <v>1</v>
          </cell>
          <cell r="S4102">
            <v>0</v>
          </cell>
          <cell r="T4102">
            <v>0</v>
          </cell>
          <cell r="U4102">
            <v>0</v>
          </cell>
          <cell r="V4102">
            <v>1</v>
          </cell>
          <cell r="W4102">
            <v>0</v>
          </cell>
          <cell r="X4102">
            <v>0</v>
          </cell>
          <cell r="Y4102">
            <v>0</v>
          </cell>
        </row>
        <row r="4103">
          <cell r="D4103">
            <v>302962</v>
          </cell>
          <cell r="E4103" t="str">
            <v>Malingin NHS</v>
          </cell>
          <cell r="F4103">
            <v>1</v>
          </cell>
          <cell r="G4103">
            <v>1</v>
          </cell>
          <cell r="H4103">
            <v>1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</row>
        <row r="4104">
          <cell r="D4104">
            <v>303136</v>
          </cell>
          <cell r="E4104" t="str">
            <v>Busay National High School</v>
          </cell>
          <cell r="F4104">
            <v>1</v>
          </cell>
          <cell r="G4104">
            <v>1</v>
          </cell>
          <cell r="H4104">
            <v>1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1</v>
          </cell>
          <cell r="O4104">
            <v>0</v>
          </cell>
          <cell r="P4104">
            <v>0</v>
          </cell>
          <cell r="Q4104">
            <v>1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2</v>
          </cell>
          <cell r="X4104">
            <v>2</v>
          </cell>
          <cell r="Y4104">
            <v>2</v>
          </cell>
        </row>
        <row r="4105">
          <cell r="D4105">
            <v>302876</v>
          </cell>
          <cell r="E4105" t="str">
            <v>Tagbilaran City Science High School</v>
          </cell>
          <cell r="F4105">
            <v>0</v>
          </cell>
          <cell r="G4105">
            <v>0</v>
          </cell>
          <cell r="H4105">
            <v>1</v>
          </cell>
          <cell r="I4105">
            <v>0</v>
          </cell>
          <cell r="J4105">
            <v>0</v>
          </cell>
          <cell r="K4105">
            <v>1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 t="str">
            <v>n/a</v>
          </cell>
          <cell r="Q4105">
            <v>0</v>
          </cell>
          <cell r="R4105">
            <v>0</v>
          </cell>
          <cell r="S4105">
            <v>1</v>
          </cell>
          <cell r="T4105">
            <v>0</v>
          </cell>
          <cell r="U4105">
            <v>0</v>
          </cell>
          <cell r="V4105">
            <v>1</v>
          </cell>
          <cell r="W4105">
            <v>0</v>
          </cell>
          <cell r="X4105">
            <v>0</v>
          </cell>
          <cell r="Y4105">
            <v>0</v>
          </cell>
        </row>
        <row r="4106">
          <cell r="D4106">
            <v>312429</v>
          </cell>
          <cell r="E4106" t="str">
            <v>Milan-Cantuod NHS</v>
          </cell>
          <cell r="F4106">
            <v>0</v>
          </cell>
          <cell r="G4106">
            <v>0</v>
          </cell>
          <cell r="H4106">
            <v>1</v>
          </cell>
          <cell r="I4106">
            <v>1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</row>
        <row r="4107">
          <cell r="D4107">
            <v>303026</v>
          </cell>
          <cell r="E4107" t="str">
            <v>Curva National High School</v>
          </cell>
          <cell r="F4107">
            <v>1</v>
          </cell>
          <cell r="G4107">
            <v>1</v>
          </cell>
          <cell r="H4107">
            <v>1</v>
          </cell>
          <cell r="I4107">
            <v>0</v>
          </cell>
          <cell r="J4107">
            <v>1</v>
          </cell>
          <cell r="K4107">
            <v>0</v>
          </cell>
          <cell r="L4107">
            <v>0</v>
          </cell>
          <cell r="M4107">
            <v>0</v>
          </cell>
          <cell r="N4107">
            <v>1</v>
          </cell>
          <cell r="O4107" t="str">
            <v>6/28/2019</v>
          </cell>
          <cell r="P4107" t="str">
            <v>9/27/2019</v>
          </cell>
          <cell r="Q4107">
            <v>0</v>
          </cell>
          <cell r="R4107">
            <v>1</v>
          </cell>
          <cell r="S4107">
            <v>0</v>
          </cell>
          <cell r="T4107">
            <v>0</v>
          </cell>
          <cell r="U4107">
            <v>0</v>
          </cell>
          <cell r="V4107">
            <v>1</v>
          </cell>
          <cell r="W4107">
            <v>0</v>
          </cell>
          <cell r="X4107">
            <v>0</v>
          </cell>
          <cell r="Y4107">
            <v>0</v>
          </cell>
        </row>
        <row r="4108">
          <cell r="D4108">
            <v>302939</v>
          </cell>
          <cell r="E4108" t="str">
            <v>Bateria NHS</v>
          </cell>
          <cell r="F4108">
            <v>1</v>
          </cell>
          <cell r="G4108">
            <v>1</v>
          </cell>
          <cell r="H4108">
            <v>1</v>
          </cell>
          <cell r="I4108">
            <v>1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1</v>
          </cell>
          <cell r="O4108">
            <v>43791</v>
          </cell>
          <cell r="P4108">
            <v>43791</v>
          </cell>
          <cell r="Q4108">
            <v>1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1</v>
          </cell>
          <cell r="W4108">
            <v>3</v>
          </cell>
          <cell r="X4108">
            <v>1</v>
          </cell>
          <cell r="Y4108">
            <v>1</v>
          </cell>
        </row>
        <row r="4109">
          <cell r="D4109">
            <v>302989</v>
          </cell>
          <cell r="E4109" t="str">
            <v>Consolacion NHS - Evening Class</v>
          </cell>
          <cell r="F4109">
            <v>1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</row>
        <row r="4110">
          <cell r="D4110">
            <v>303215</v>
          </cell>
          <cell r="E4110" t="str">
            <v>Lonoy National High School</v>
          </cell>
          <cell r="F4110">
            <v>1</v>
          </cell>
          <cell r="G4110">
            <v>0</v>
          </cell>
          <cell r="H4110">
            <v>1</v>
          </cell>
          <cell r="I4110">
            <v>0</v>
          </cell>
          <cell r="J4110">
            <v>0</v>
          </cell>
          <cell r="K4110">
            <v>1</v>
          </cell>
          <cell r="L4110">
            <v>0</v>
          </cell>
          <cell r="M4110">
            <v>0</v>
          </cell>
          <cell r="N4110">
            <v>0</v>
          </cell>
          <cell r="O4110" t="str">
            <v>N/A</v>
          </cell>
          <cell r="P4110" t="str">
            <v>N/A</v>
          </cell>
          <cell r="Q4110">
            <v>0</v>
          </cell>
          <cell r="R4110">
            <v>0</v>
          </cell>
          <cell r="S4110">
            <v>0</v>
          </cell>
          <cell r="T4110">
            <v>1</v>
          </cell>
          <cell r="U4110" t="str">
            <v>N/A</v>
          </cell>
          <cell r="V4110">
            <v>0</v>
          </cell>
          <cell r="W4110">
            <v>2</v>
          </cell>
          <cell r="X4110">
            <v>0</v>
          </cell>
          <cell r="Y4110">
            <v>0</v>
          </cell>
        </row>
        <row r="4111">
          <cell r="D4111">
            <v>303003</v>
          </cell>
          <cell r="E4111" t="str">
            <v>Don Esteban Nolasco Memorial NHS</v>
          </cell>
          <cell r="F4111">
            <v>1</v>
          </cell>
          <cell r="G4111">
            <v>0</v>
          </cell>
          <cell r="H4111">
            <v>1</v>
          </cell>
          <cell r="I4111">
            <v>0</v>
          </cell>
          <cell r="J4111">
            <v>0</v>
          </cell>
          <cell r="K4111">
            <v>1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</row>
        <row r="4112">
          <cell r="D4112">
            <v>312302</v>
          </cell>
          <cell r="E4112" t="str">
            <v>Cogon HS Evening Class</v>
          </cell>
          <cell r="F4112">
            <v>1</v>
          </cell>
          <cell r="G4112">
            <v>1</v>
          </cell>
          <cell r="H4112">
            <v>1</v>
          </cell>
          <cell r="I4112">
            <v>0</v>
          </cell>
          <cell r="J4112">
            <v>0</v>
          </cell>
          <cell r="K4112">
            <v>1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</row>
        <row r="4113">
          <cell r="D4113">
            <v>322304</v>
          </cell>
          <cell r="E4113" t="str">
            <v>Patricio Palomar Mem. HS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</row>
        <row r="4114">
          <cell r="D4114">
            <v>312410</v>
          </cell>
          <cell r="E4114" t="str">
            <v>Carmen National High School - Night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</row>
        <row r="4115">
          <cell r="D4115">
            <v>303146</v>
          </cell>
          <cell r="E4115" t="str">
            <v>Mambaling NHS (Night)</v>
          </cell>
          <cell r="F4115">
            <v>1</v>
          </cell>
          <cell r="G4115">
            <v>1</v>
          </cell>
          <cell r="H4115">
            <v>1</v>
          </cell>
          <cell r="I4115">
            <v>0</v>
          </cell>
          <cell r="J4115">
            <v>0</v>
          </cell>
          <cell r="K4115">
            <v>1</v>
          </cell>
          <cell r="L4115">
            <v>0</v>
          </cell>
          <cell r="M4115">
            <v>0</v>
          </cell>
          <cell r="N4115">
            <v>1</v>
          </cell>
          <cell r="O4115" t="str">
            <v>June 3, 2019</v>
          </cell>
          <cell r="P4115">
            <v>0</v>
          </cell>
          <cell r="Q4115">
            <v>0</v>
          </cell>
          <cell r="R4115">
            <v>0</v>
          </cell>
          <cell r="S4115">
            <v>1</v>
          </cell>
          <cell r="T4115">
            <v>0</v>
          </cell>
          <cell r="U4115">
            <v>0</v>
          </cell>
          <cell r="V4115">
            <v>1</v>
          </cell>
          <cell r="W4115">
            <v>1</v>
          </cell>
          <cell r="X4115">
            <v>0</v>
          </cell>
          <cell r="Y4115">
            <v>0</v>
          </cell>
        </row>
        <row r="4116">
          <cell r="D4116">
            <v>302965</v>
          </cell>
          <cell r="E4116" t="str">
            <v>Tominjao National High School</v>
          </cell>
          <cell r="F4116">
            <v>1</v>
          </cell>
          <cell r="G4116">
            <v>1</v>
          </cell>
          <cell r="H4116">
            <v>1</v>
          </cell>
          <cell r="I4116">
            <v>0</v>
          </cell>
          <cell r="J4116">
            <v>1</v>
          </cell>
          <cell r="K4116">
            <v>0</v>
          </cell>
          <cell r="L4116">
            <v>0</v>
          </cell>
          <cell r="M4116">
            <v>0</v>
          </cell>
          <cell r="N4116">
            <v>1</v>
          </cell>
          <cell r="O4116">
            <v>0</v>
          </cell>
          <cell r="P4116">
            <v>0</v>
          </cell>
          <cell r="Q4116">
            <v>0</v>
          </cell>
          <cell r="R4116">
            <v>1</v>
          </cell>
          <cell r="S4116">
            <v>0</v>
          </cell>
          <cell r="T4116">
            <v>0</v>
          </cell>
          <cell r="U4116">
            <v>0</v>
          </cell>
          <cell r="V4116">
            <v>1</v>
          </cell>
          <cell r="W4116">
            <v>0</v>
          </cell>
          <cell r="X4116">
            <v>0</v>
          </cell>
          <cell r="Y4116">
            <v>0</v>
          </cell>
        </row>
        <row r="4117">
          <cell r="D4117">
            <v>303069</v>
          </cell>
          <cell r="E4117" t="str">
            <v>Bartolome &amp; Manuela PaÃ±ares MNHS</v>
          </cell>
          <cell r="F4117">
            <v>0</v>
          </cell>
          <cell r="G4117">
            <v>0</v>
          </cell>
          <cell r="H4117">
            <v>1</v>
          </cell>
          <cell r="I4117">
            <v>0</v>
          </cell>
          <cell r="J4117">
            <v>1</v>
          </cell>
          <cell r="K4117">
            <v>0</v>
          </cell>
          <cell r="L4117">
            <v>0</v>
          </cell>
          <cell r="M4117">
            <v>0</v>
          </cell>
          <cell r="N4117">
            <v>1</v>
          </cell>
          <cell r="O4117">
            <v>0</v>
          </cell>
          <cell r="P4117">
            <v>0</v>
          </cell>
          <cell r="Q4117">
            <v>0</v>
          </cell>
          <cell r="R4117">
            <v>1</v>
          </cell>
          <cell r="S4117">
            <v>0</v>
          </cell>
          <cell r="T4117">
            <v>0</v>
          </cell>
          <cell r="U4117">
            <v>0</v>
          </cell>
          <cell r="V4117">
            <v>1</v>
          </cell>
          <cell r="W4117">
            <v>0</v>
          </cell>
          <cell r="X4117">
            <v>0</v>
          </cell>
          <cell r="Y4117">
            <v>0</v>
          </cell>
        </row>
        <row r="4118">
          <cell r="D4118">
            <v>302995</v>
          </cell>
          <cell r="E4118" t="str">
            <v>Daanbantayan National High School</v>
          </cell>
          <cell r="F4118">
            <v>1</v>
          </cell>
          <cell r="G4118">
            <v>1</v>
          </cell>
          <cell r="H4118">
            <v>1</v>
          </cell>
          <cell r="I4118">
            <v>0</v>
          </cell>
          <cell r="J4118">
            <v>0</v>
          </cell>
          <cell r="K4118">
            <v>1</v>
          </cell>
          <cell r="L4118">
            <v>0</v>
          </cell>
          <cell r="M4118">
            <v>0</v>
          </cell>
          <cell r="N4118">
            <v>1</v>
          </cell>
          <cell r="O4118">
            <v>0</v>
          </cell>
          <cell r="P4118">
            <v>0</v>
          </cell>
          <cell r="Q4118">
            <v>0</v>
          </cell>
          <cell r="R4118">
            <v>1</v>
          </cell>
          <cell r="S4118">
            <v>0</v>
          </cell>
          <cell r="T4118">
            <v>0</v>
          </cell>
          <cell r="U4118">
            <v>0</v>
          </cell>
          <cell r="V4118">
            <v>1</v>
          </cell>
          <cell r="W4118">
            <v>0</v>
          </cell>
          <cell r="X4118">
            <v>0</v>
          </cell>
          <cell r="Y4118">
            <v>0</v>
          </cell>
        </row>
        <row r="4119">
          <cell r="D4119">
            <v>312480</v>
          </cell>
          <cell r="E4119" t="str">
            <v>Compostela N H S - Evening Class</v>
          </cell>
          <cell r="F4119">
            <v>0</v>
          </cell>
          <cell r="G4119">
            <v>0</v>
          </cell>
          <cell r="H4119">
            <v>1</v>
          </cell>
          <cell r="I4119">
            <v>0</v>
          </cell>
          <cell r="J4119">
            <v>1</v>
          </cell>
          <cell r="K4119">
            <v>0</v>
          </cell>
          <cell r="L4119">
            <v>0</v>
          </cell>
          <cell r="M4119">
            <v>0</v>
          </cell>
          <cell r="N4119">
            <v>1</v>
          </cell>
          <cell r="O4119" t="str">
            <v>11/22/2019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</row>
        <row r="4120">
          <cell r="D4120">
            <v>303306</v>
          </cell>
          <cell r="E4120" t="str">
            <v>DepED-Lazi National Agricultural School</v>
          </cell>
          <cell r="F4120">
            <v>1</v>
          </cell>
          <cell r="G4120">
            <v>1</v>
          </cell>
          <cell r="H4120">
            <v>0</v>
          </cell>
          <cell r="I4120">
            <v>0</v>
          </cell>
          <cell r="J4120">
            <v>1</v>
          </cell>
          <cell r="K4120">
            <v>0</v>
          </cell>
          <cell r="L4120">
            <v>0</v>
          </cell>
          <cell r="M4120">
            <v>0</v>
          </cell>
          <cell r="N4120">
            <v>1</v>
          </cell>
          <cell r="O4120">
            <v>0</v>
          </cell>
          <cell r="P4120">
            <v>0</v>
          </cell>
          <cell r="Q4120">
            <v>1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</row>
        <row r="4121">
          <cell r="D4121">
            <v>302968</v>
          </cell>
          <cell r="E4121" t="str">
            <v>Cabonga-an NHS</v>
          </cell>
          <cell r="F4121">
            <v>1</v>
          </cell>
          <cell r="G4121">
            <v>1</v>
          </cell>
          <cell r="H4121">
            <v>0</v>
          </cell>
          <cell r="I4121">
            <v>0</v>
          </cell>
          <cell r="J4121">
            <v>1</v>
          </cell>
          <cell r="K4121">
            <v>0</v>
          </cell>
          <cell r="L4121">
            <v>0</v>
          </cell>
          <cell r="M4121">
            <v>0</v>
          </cell>
          <cell r="N4121">
            <v>1</v>
          </cell>
          <cell r="O4121" t="str">
            <v>08/14/2019</v>
          </cell>
          <cell r="P4121">
            <v>0</v>
          </cell>
          <cell r="Q4121">
            <v>1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1</v>
          </cell>
          <cell r="W4121">
            <v>2</v>
          </cell>
          <cell r="X4121">
            <v>0</v>
          </cell>
          <cell r="Y4121">
            <v>0</v>
          </cell>
        </row>
        <row r="4122">
          <cell r="D4122">
            <v>303024</v>
          </cell>
          <cell r="E4122" t="str">
            <v>Kawit NHS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 t="str">
            <v>N/A</v>
          </cell>
          <cell r="P4122" t="str">
            <v>N/A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</row>
        <row r="4123">
          <cell r="D4123">
            <v>302974</v>
          </cell>
          <cell r="E4123" t="str">
            <v>Cabalawan NHS</v>
          </cell>
          <cell r="F4123">
            <v>1</v>
          </cell>
          <cell r="G4123">
            <v>0</v>
          </cell>
          <cell r="H4123">
            <v>1</v>
          </cell>
          <cell r="I4123">
            <v>0</v>
          </cell>
          <cell r="J4123">
            <v>1</v>
          </cell>
          <cell r="K4123">
            <v>0</v>
          </cell>
          <cell r="L4123">
            <v>0</v>
          </cell>
          <cell r="M4123">
            <v>0</v>
          </cell>
          <cell r="N4123">
            <v>1</v>
          </cell>
          <cell r="O4123" t="str">
            <v>10/17/2019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</row>
        <row r="4124">
          <cell r="D4124">
            <v>303304</v>
          </cell>
          <cell r="E4124" t="str">
            <v>Candaping National High School</v>
          </cell>
          <cell r="F4124">
            <v>1</v>
          </cell>
          <cell r="G4124">
            <v>1</v>
          </cell>
          <cell r="H4124">
            <v>0</v>
          </cell>
          <cell r="I4124">
            <v>1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 t="str">
            <v>Sept. 2, 2019</v>
          </cell>
          <cell r="P4124" t="str">
            <v>Sept. 5, 2019</v>
          </cell>
          <cell r="Q4124">
            <v>1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</row>
        <row r="4125">
          <cell r="D4125">
            <v>303109</v>
          </cell>
          <cell r="E4125" t="str">
            <v>Liki NHS</v>
          </cell>
          <cell r="F4125">
            <v>1</v>
          </cell>
          <cell r="G4125">
            <v>1</v>
          </cell>
          <cell r="H4125">
            <v>1</v>
          </cell>
          <cell r="I4125">
            <v>0</v>
          </cell>
          <cell r="J4125">
            <v>1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43708</v>
          </cell>
          <cell r="P4125">
            <v>43798</v>
          </cell>
          <cell r="Q4125">
            <v>1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1</v>
          </cell>
          <cell r="W4125">
            <v>1</v>
          </cell>
          <cell r="X4125">
            <v>2</v>
          </cell>
          <cell r="Y4125">
            <v>1</v>
          </cell>
        </row>
        <row r="4126">
          <cell r="D4126">
            <v>303140</v>
          </cell>
          <cell r="E4126" t="str">
            <v>Talamban NHS (Day &amp; Night)</v>
          </cell>
          <cell r="F4126">
            <v>1</v>
          </cell>
          <cell r="G4126">
            <v>0</v>
          </cell>
          <cell r="H4126">
            <v>1</v>
          </cell>
          <cell r="I4126">
            <v>0</v>
          </cell>
          <cell r="J4126">
            <v>1</v>
          </cell>
          <cell r="K4126">
            <v>0</v>
          </cell>
          <cell r="L4126">
            <v>0</v>
          </cell>
          <cell r="M4126">
            <v>0</v>
          </cell>
          <cell r="N4126">
            <v>1</v>
          </cell>
          <cell r="O4126">
            <v>0</v>
          </cell>
          <cell r="P4126">
            <v>43252</v>
          </cell>
          <cell r="Q4126">
            <v>0</v>
          </cell>
          <cell r="R4126">
            <v>1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</row>
        <row r="4127">
          <cell r="D4127">
            <v>302994</v>
          </cell>
          <cell r="E4127" t="str">
            <v>Consuelo NHS</v>
          </cell>
          <cell r="F4127">
            <v>1</v>
          </cell>
          <cell r="G4127">
            <v>1</v>
          </cell>
          <cell r="H4127">
            <v>0</v>
          </cell>
          <cell r="I4127">
            <v>1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1</v>
          </cell>
          <cell r="O4127">
            <v>43773</v>
          </cell>
          <cell r="P4127">
            <v>43798</v>
          </cell>
          <cell r="Q4127">
            <v>1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1</v>
          </cell>
          <cell r="W4127">
            <v>2</v>
          </cell>
          <cell r="X4127">
            <v>1</v>
          </cell>
          <cell r="Y4127">
            <v>1</v>
          </cell>
        </row>
        <row r="4128">
          <cell r="D4128">
            <v>303145</v>
          </cell>
          <cell r="E4128" t="str">
            <v>Inayawan National High School</v>
          </cell>
          <cell r="F4128">
            <v>1</v>
          </cell>
          <cell r="G4128">
            <v>0</v>
          </cell>
          <cell r="H4128">
            <v>1</v>
          </cell>
          <cell r="I4128">
            <v>1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1</v>
          </cell>
          <cell r="O4128" t="str">
            <v>to be announced</v>
          </cell>
          <cell r="P4128" t="str">
            <v>not yet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3</v>
          </cell>
          <cell r="X4128">
            <v>3</v>
          </cell>
          <cell r="Y4128">
            <v>3</v>
          </cell>
        </row>
        <row r="4129">
          <cell r="D4129">
            <v>303104</v>
          </cell>
          <cell r="E4129" t="str">
            <v>Tabunan NHS</v>
          </cell>
          <cell r="F4129">
            <v>1</v>
          </cell>
          <cell r="G4129">
            <v>0</v>
          </cell>
          <cell r="H4129">
            <v>1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</row>
        <row r="4130">
          <cell r="D4130">
            <v>303008</v>
          </cell>
          <cell r="E4130" t="str">
            <v>Luciano B. Rama Sr. MNHS</v>
          </cell>
          <cell r="F4130">
            <v>1</v>
          </cell>
          <cell r="G4130">
            <v>1</v>
          </cell>
          <cell r="H4130">
            <v>1</v>
          </cell>
          <cell r="I4130">
            <v>1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1</v>
          </cell>
          <cell r="O4130">
            <v>0</v>
          </cell>
          <cell r="P4130">
            <v>0</v>
          </cell>
          <cell r="Q4130">
            <v>1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1</v>
          </cell>
          <cell r="W4130">
            <v>2</v>
          </cell>
          <cell r="X4130">
            <v>2</v>
          </cell>
          <cell r="Y4130">
            <v>2</v>
          </cell>
        </row>
        <row r="4131">
          <cell r="D4131">
            <v>302924</v>
          </cell>
          <cell r="E4131" t="str">
            <v>Bakhawan National High School</v>
          </cell>
          <cell r="F4131">
            <v>1</v>
          </cell>
          <cell r="G4131">
            <v>1</v>
          </cell>
          <cell r="H4131">
            <v>1</v>
          </cell>
          <cell r="I4131">
            <v>0</v>
          </cell>
          <cell r="J4131">
            <v>0</v>
          </cell>
          <cell r="K4131">
            <v>1</v>
          </cell>
          <cell r="L4131">
            <v>0</v>
          </cell>
          <cell r="M4131">
            <v>0</v>
          </cell>
          <cell r="N4131">
            <v>1</v>
          </cell>
          <cell r="O4131">
            <v>43617</v>
          </cell>
          <cell r="P4131">
            <v>43685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1</v>
          </cell>
          <cell r="W4131">
            <v>0</v>
          </cell>
          <cell r="X4131">
            <v>0</v>
          </cell>
          <cell r="Y4131">
            <v>0</v>
          </cell>
        </row>
        <row r="4132">
          <cell r="D4132">
            <v>500423</v>
          </cell>
          <cell r="E4132" t="str">
            <v>Calero IS</v>
          </cell>
          <cell r="F4132">
            <v>1</v>
          </cell>
          <cell r="G4132">
            <v>0</v>
          </cell>
          <cell r="H4132">
            <v>1</v>
          </cell>
          <cell r="I4132">
            <v>0</v>
          </cell>
          <cell r="J4132">
            <v>0</v>
          </cell>
          <cell r="K4132">
            <v>0</v>
          </cell>
          <cell r="L4132">
            <v>1</v>
          </cell>
          <cell r="M4132" t="str">
            <v>as the need arises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3</v>
          </cell>
          <cell r="X4132">
            <v>0</v>
          </cell>
          <cell r="Y4132">
            <v>0</v>
          </cell>
        </row>
        <row r="4133">
          <cell r="D4133">
            <v>303031</v>
          </cell>
          <cell r="E4133" t="str">
            <v>Lanao NHS, Pilar</v>
          </cell>
          <cell r="F4133">
            <v>1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</row>
        <row r="4134">
          <cell r="D4134">
            <v>303085</v>
          </cell>
          <cell r="E4134" t="str">
            <v>San Jose National High School</v>
          </cell>
          <cell r="F4134">
            <v>1</v>
          </cell>
          <cell r="G4134">
            <v>1</v>
          </cell>
          <cell r="H4134">
            <v>1</v>
          </cell>
          <cell r="I4134">
            <v>1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1</v>
          </cell>
          <cell r="O4134">
            <v>0</v>
          </cell>
          <cell r="P4134">
            <v>43809</v>
          </cell>
          <cell r="Q4134">
            <v>1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1</v>
          </cell>
          <cell r="W4134">
            <v>0</v>
          </cell>
          <cell r="X4134">
            <v>0</v>
          </cell>
          <cell r="Y4134">
            <v>0</v>
          </cell>
        </row>
        <row r="4135">
          <cell r="D4135">
            <v>312430</v>
          </cell>
          <cell r="E4135" t="str">
            <v>Salag NHS</v>
          </cell>
          <cell r="F4135">
            <v>1</v>
          </cell>
          <cell r="G4135">
            <v>1</v>
          </cell>
          <cell r="H4135">
            <v>1</v>
          </cell>
          <cell r="I4135">
            <v>0</v>
          </cell>
          <cell r="J4135">
            <v>1</v>
          </cell>
          <cell r="K4135">
            <v>0</v>
          </cell>
          <cell r="L4135">
            <v>0</v>
          </cell>
          <cell r="M4135">
            <v>0</v>
          </cell>
          <cell r="N4135">
            <v>1</v>
          </cell>
          <cell r="O4135">
            <v>43777</v>
          </cell>
          <cell r="P4135">
            <v>43777</v>
          </cell>
          <cell r="Q4135">
            <v>0</v>
          </cell>
          <cell r="R4135">
            <v>1</v>
          </cell>
          <cell r="S4135">
            <v>0</v>
          </cell>
          <cell r="T4135">
            <v>0</v>
          </cell>
          <cell r="U4135">
            <v>0</v>
          </cell>
          <cell r="V4135">
            <v>1</v>
          </cell>
          <cell r="W4135">
            <v>3</v>
          </cell>
          <cell r="X4135">
            <v>0</v>
          </cell>
          <cell r="Y4135">
            <v>0</v>
          </cell>
        </row>
        <row r="4136">
          <cell r="D4136">
            <v>303081</v>
          </cell>
          <cell r="E4136" t="str">
            <v>Puertobello NHS - Pob. Ext.</v>
          </cell>
          <cell r="F4136">
            <v>1</v>
          </cell>
          <cell r="G4136">
            <v>1</v>
          </cell>
          <cell r="H4136">
            <v>1</v>
          </cell>
          <cell r="I4136">
            <v>0</v>
          </cell>
          <cell r="J4136">
            <v>1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1</v>
          </cell>
          <cell r="T4136">
            <v>0</v>
          </cell>
          <cell r="U4136">
            <v>0</v>
          </cell>
          <cell r="V4136">
            <v>0</v>
          </cell>
          <cell r="W4136">
            <v>2</v>
          </cell>
          <cell r="X4136">
            <v>0</v>
          </cell>
          <cell r="Y4136">
            <v>0</v>
          </cell>
        </row>
        <row r="4137">
          <cell r="D4137">
            <v>303054</v>
          </cell>
          <cell r="E4137" t="str">
            <v>Medellin National High School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1</v>
          </cell>
          <cell r="O4137" t="str">
            <v>DEC.4,2019</v>
          </cell>
          <cell r="P4137">
            <v>0</v>
          </cell>
          <cell r="Q4137">
            <v>0</v>
          </cell>
          <cell r="R4137">
            <v>1</v>
          </cell>
          <cell r="S4137">
            <v>0</v>
          </cell>
          <cell r="T4137">
            <v>0</v>
          </cell>
          <cell r="U4137">
            <v>0</v>
          </cell>
          <cell r="V4137">
            <v>1</v>
          </cell>
          <cell r="W4137">
            <v>0</v>
          </cell>
          <cell r="X4137">
            <v>0</v>
          </cell>
          <cell r="Y4137">
            <v>0</v>
          </cell>
        </row>
        <row r="4138">
          <cell r="D4138">
            <v>312408</v>
          </cell>
          <cell r="E4138" t="str">
            <v>Daantabogon NHS</v>
          </cell>
          <cell r="F4138">
            <v>1</v>
          </cell>
          <cell r="G4138">
            <v>1</v>
          </cell>
          <cell r="H4138">
            <v>1</v>
          </cell>
          <cell r="I4138">
            <v>0</v>
          </cell>
          <cell r="J4138">
            <v>1</v>
          </cell>
          <cell r="K4138">
            <v>0</v>
          </cell>
          <cell r="L4138">
            <v>0</v>
          </cell>
          <cell r="M4138">
            <v>0</v>
          </cell>
          <cell r="N4138">
            <v>1</v>
          </cell>
          <cell r="O4138">
            <v>0</v>
          </cell>
          <cell r="P4138">
            <v>0</v>
          </cell>
          <cell r="Q4138">
            <v>0</v>
          </cell>
          <cell r="R4138">
            <v>1</v>
          </cell>
          <cell r="S4138">
            <v>0</v>
          </cell>
          <cell r="T4138">
            <v>0</v>
          </cell>
          <cell r="U4138">
            <v>0</v>
          </cell>
          <cell r="V4138">
            <v>1</v>
          </cell>
          <cell r="W4138">
            <v>0</v>
          </cell>
          <cell r="X4138">
            <v>0</v>
          </cell>
          <cell r="Y4138">
            <v>0</v>
          </cell>
        </row>
        <row r="4139">
          <cell r="D4139">
            <v>303009</v>
          </cell>
          <cell r="E4139" t="str">
            <v>Zosimo E. Fabroa MNHS</v>
          </cell>
          <cell r="F4139">
            <v>1</v>
          </cell>
          <cell r="G4139">
            <v>1</v>
          </cell>
          <cell r="H4139">
            <v>1</v>
          </cell>
          <cell r="I4139">
            <v>1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1</v>
          </cell>
          <cell r="O4139">
            <v>0</v>
          </cell>
          <cell r="P4139">
            <v>0</v>
          </cell>
          <cell r="Q4139">
            <v>1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1</v>
          </cell>
          <cell r="W4139">
            <v>8</v>
          </cell>
          <cell r="X4139">
            <v>8</v>
          </cell>
          <cell r="Y4139">
            <v>8</v>
          </cell>
        </row>
        <row r="4140">
          <cell r="D4140">
            <v>302996</v>
          </cell>
          <cell r="E4140" t="str">
            <v>Sir Knight Luis P. Cañete Sr. NHS</v>
          </cell>
          <cell r="F4140">
            <v>1</v>
          </cell>
          <cell r="G4140">
            <v>1</v>
          </cell>
          <cell r="H4140">
            <v>1</v>
          </cell>
          <cell r="I4140">
            <v>0</v>
          </cell>
          <cell r="J4140">
            <v>1</v>
          </cell>
          <cell r="K4140">
            <v>0</v>
          </cell>
          <cell r="L4140">
            <v>0</v>
          </cell>
          <cell r="M4140">
            <v>0</v>
          </cell>
          <cell r="N4140">
            <v>1</v>
          </cell>
          <cell r="O4140">
            <v>0</v>
          </cell>
          <cell r="P4140">
            <v>0</v>
          </cell>
          <cell r="Q4140">
            <v>0</v>
          </cell>
          <cell r="R4140">
            <v>1</v>
          </cell>
          <cell r="S4140">
            <v>0</v>
          </cell>
          <cell r="T4140">
            <v>0</v>
          </cell>
          <cell r="U4140">
            <v>0</v>
          </cell>
          <cell r="V4140">
            <v>1</v>
          </cell>
          <cell r="W4140">
            <v>0</v>
          </cell>
          <cell r="X4140">
            <v>0</v>
          </cell>
          <cell r="Y4140">
            <v>0</v>
          </cell>
        </row>
        <row r="4141">
          <cell r="D4141">
            <v>303074</v>
          </cell>
          <cell r="E4141" t="str">
            <v>Don Filomeno M. Torres MNHS</v>
          </cell>
          <cell r="F4141">
            <v>1</v>
          </cell>
          <cell r="G4141">
            <v>0</v>
          </cell>
          <cell r="H4141">
            <v>1</v>
          </cell>
          <cell r="I4141">
            <v>0</v>
          </cell>
          <cell r="J4141">
            <v>0</v>
          </cell>
          <cell r="K4141">
            <v>1</v>
          </cell>
          <cell r="L4141">
            <v>0</v>
          </cell>
          <cell r="M4141">
            <v>0</v>
          </cell>
          <cell r="N4141">
            <v>0</v>
          </cell>
          <cell r="O4141">
            <v>43770</v>
          </cell>
          <cell r="P4141" t="str">
            <v>1/14/2019</v>
          </cell>
          <cell r="Q4141">
            <v>0</v>
          </cell>
          <cell r="R4141">
            <v>0</v>
          </cell>
          <cell r="S4141">
            <v>1</v>
          </cell>
          <cell r="T4141">
            <v>0</v>
          </cell>
          <cell r="U4141">
            <v>0</v>
          </cell>
          <cell r="V4141">
            <v>1</v>
          </cell>
          <cell r="W4141">
            <v>1</v>
          </cell>
          <cell r="X4141">
            <v>0</v>
          </cell>
          <cell r="Y4141">
            <v>0</v>
          </cell>
        </row>
        <row r="4142">
          <cell r="D4142">
            <v>303293</v>
          </cell>
          <cell r="E4142" t="str">
            <v>Campalanas National High School</v>
          </cell>
          <cell r="F4142">
            <v>1</v>
          </cell>
          <cell r="G4142">
            <v>1</v>
          </cell>
          <cell r="H4142">
            <v>1</v>
          </cell>
          <cell r="I4142">
            <v>0</v>
          </cell>
          <cell r="J4142">
            <v>1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1</v>
          </cell>
          <cell r="S4142">
            <v>0</v>
          </cell>
          <cell r="T4142">
            <v>0</v>
          </cell>
          <cell r="U4142">
            <v>0</v>
          </cell>
          <cell r="V4142">
            <v>1</v>
          </cell>
          <cell r="W4142">
            <v>0</v>
          </cell>
          <cell r="X4142">
            <v>0</v>
          </cell>
          <cell r="Y4142">
            <v>0</v>
          </cell>
        </row>
        <row r="4143">
          <cell r="D4143">
            <v>302973</v>
          </cell>
          <cell r="E4143" t="str">
            <v>Carmen NHS-Day</v>
          </cell>
          <cell r="F4143">
            <v>1</v>
          </cell>
          <cell r="G4143">
            <v>1</v>
          </cell>
          <cell r="H4143">
            <v>1</v>
          </cell>
          <cell r="I4143">
            <v>0</v>
          </cell>
          <cell r="J4143">
            <v>1</v>
          </cell>
          <cell r="K4143">
            <v>0</v>
          </cell>
          <cell r="L4143">
            <v>0</v>
          </cell>
          <cell r="M4143">
            <v>0</v>
          </cell>
          <cell r="N4143">
            <v>1</v>
          </cell>
          <cell r="O4143">
            <v>43623</v>
          </cell>
          <cell r="P4143">
            <v>43630</v>
          </cell>
          <cell r="Q4143">
            <v>0</v>
          </cell>
          <cell r="R4143">
            <v>1</v>
          </cell>
          <cell r="S4143">
            <v>0</v>
          </cell>
          <cell r="T4143">
            <v>0</v>
          </cell>
          <cell r="U4143">
            <v>0</v>
          </cell>
          <cell r="V4143">
            <v>1</v>
          </cell>
          <cell r="W4143">
            <v>0</v>
          </cell>
          <cell r="X4143">
            <v>0</v>
          </cell>
          <cell r="Y4143">
            <v>0</v>
          </cell>
        </row>
        <row r="4144">
          <cell r="D4144">
            <v>312416</v>
          </cell>
          <cell r="E4144" t="str">
            <v>Caurasan NHS</v>
          </cell>
          <cell r="F4144">
            <v>1</v>
          </cell>
          <cell r="G4144">
            <v>1</v>
          </cell>
          <cell r="H4144">
            <v>1</v>
          </cell>
          <cell r="I4144">
            <v>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1</v>
          </cell>
          <cell r="O4144" t="str">
            <v>July 12, 2019</v>
          </cell>
          <cell r="P4144" t="str">
            <v>November 8, 2019</v>
          </cell>
          <cell r="Q4144">
            <v>1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1</v>
          </cell>
          <cell r="W4144">
            <v>0</v>
          </cell>
          <cell r="X4144">
            <v>0</v>
          </cell>
          <cell r="Y4144">
            <v>0</v>
          </cell>
        </row>
        <row r="4145">
          <cell r="D4145">
            <v>500660</v>
          </cell>
          <cell r="E4145" t="str">
            <v>Gibitngil Integrated School</v>
          </cell>
          <cell r="F4145">
            <v>1</v>
          </cell>
          <cell r="G4145">
            <v>1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</row>
        <row r="4146">
          <cell r="D4146">
            <v>302975</v>
          </cell>
          <cell r="E4146" t="str">
            <v>Cantumog NHS</v>
          </cell>
          <cell r="F4146">
            <v>1</v>
          </cell>
          <cell r="G4146">
            <v>0</v>
          </cell>
          <cell r="H4146">
            <v>1</v>
          </cell>
          <cell r="I4146">
            <v>0</v>
          </cell>
          <cell r="J4146">
            <v>1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 t="str">
            <v>10/22/2019</v>
          </cell>
          <cell r="P4146">
            <v>43741</v>
          </cell>
          <cell r="Q4146">
            <v>0</v>
          </cell>
          <cell r="R4146">
            <v>1</v>
          </cell>
          <cell r="S4146">
            <v>0</v>
          </cell>
          <cell r="T4146">
            <v>0</v>
          </cell>
          <cell r="U4146">
            <v>0</v>
          </cell>
          <cell r="V4146">
            <v>1</v>
          </cell>
          <cell r="W4146">
            <v>1</v>
          </cell>
          <cell r="X4146">
            <v>0</v>
          </cell>
          <cell r="Y4146">
            <v>0</v>
          </cell>
        </row>
        <row r="4147">
          <cell r="D4147">
            <v>302978</v>
          </cell>
          <cell r="E4147" t="str">
            <v>Catmon NHS</v>
          </cell>
          <cell r="F4147">
            <v>1</v>
          </cell>
          <cell r="G4147">
            <v>1</v>
          </cell>
          <cell r="H4147">
            <v>1</v>
          </cell>
          <cell r="I4147">
            <v>0</v>
          </cell>
          <cell r="J4147">
            <v>0</v>
          </cell>
          <cell r="K4147">
            <v>1</v>
          </cell>
          <cell r="L4147">
            <v>0</v>
          </cell>
          <cell r="M4147">
            <v>0</v>
          </cell>
          <cell r="N4147">
            <v>1</v>
          </cell>
          <cell r="O4147">
            <v>43536</v>
          </cell>
          <cell r="P4147">
            <v>0</v>
          </cell>
          <cell r="Q4147">
            <v>0</v>
          </cell>
          <cell r="R4147">
            <v>0</v>
          </cell>
          <cell r="S4147">
            <v>1</v>
          </cell>
          <cell r="T4147">
            <v>0</v>
          </cell>
          <cell r="U4147">
            <v>0</v>
          </cell>
          <cell r="V4147">
            <v>1</v>
          </cell>
          <cell r="W4147">
            <v>0</v>
          </cell>
          <cell r="X4147">
            <v>0</v>
          </cell>
          <cell r="Y4147">
            <v>0</v>
          </cell>
        </row>
        <row r="4148">
          <cell r="D4148">
            <v>500669</v>
          </cell>
          <cell r="E4148" t="str">
            <v>Adlaon ES</v>
          </cell>
          <cell r="F4148">
            <v>1</v>
          </cell>
          <cell r="G4148">
            <v>1</v>
          </cell>
          <cell r="H4148">
            <v>1</v>
          </cell>
          <cell r="I4148">
            <v>0</v>
          </cell>
          <cell r="J4148">
            <v>0</v>
          </cell>
          <cell r="K4148">
            <v>1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</row>
        <row r="4149">
          <cell r="D4149">
            <v>303100</v>
          </cell>
          <cell r="E4149" t="str">
            <v>Santiago National High School</v>
          </cell>
          <cell r="F4149">
            <v>1</v>
          </cell>
          <cell r="G4149">
            <v>1</v>
          </cell>
          <cell r="H4149">
            <v>1</v>
          </cell>
          <cell r="I4149">
            <v>0</v>
          </cell>
          <cell r="J4149">
            <v>1</v>
          </cell>
          <cell r="K4149">
            <v>0</v>
          </cell>
          <cell r="L4149">
            <v>0</v>
          </cell>
          <cell r="M4149">
            <v>0</v>
          </cell>
          <cell r="N4149">
            <v>1</v>
          </cell>
          <cell r="O4149" t="str">
            <v>10/29/2019</v>
          </cell>
          <cell r="P4149">
            <v>0</v>
          </cell>
          <cell r="Q4149">
            <v>0</v>
          </cell>
          <cell r="R4149">
            <v>1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1</v>
          </cell>
          <cell r="X4149">
            <v>1</v>
          </cell>
          <cell r="Y4149">
            <v>1</v>
          </cell>
        </row>
        <row r="4150">
          <cell r="D4150">
            <v>303106</v>
          </cell>
          <cell r="E4150" t="str">
            <v>Borbon NHS</v>
          </cell>
          <cell r="F4150">
            <v>1</v>
          </cell>
          <cell r="G4150">
            <v>1</v>
          </cell>
          <cell r="H4150">
            <v>1</v>
          </cell>
          <cell r="I4150">
            <v>0</v>
          </cell>
          <cell r="J4150">
            <v>1</v>
          </cell>
          <cell r="K4150">
            <v>0</v>
          </cell>
          <cell r="L4150">
            <v>0</v>
          </cell>
          <cell r="M4150">
            <v>0</v>
          </cell>
          <cell r="N4150">
            <v>1</v>
          </cell>
          <cell r="O4150" t="str">
            <v>09/23/2018</v>
          </cell>
          <cell r="P4150">
            <v>0</v>
          </cell>
          <cell r="Q4150">
            <v>0</v>
          </cell>
          <cell r="R4150">
            <v>1</v>
          </cell>
          <cell r="S4150">
            <v>0</v>
          </cell>
          <cell r="T4150">
            <v>0</v>
          </cell>
          <cell r="U4150">
            <v>0</v>
          </cell>
          <cell r="V4150">
            <v>1</v>
          </cell>
          <cell r="W4150">
            <v>1</v>
          </cell>
          <cell r="X4150">
            <v>1</v>
          </cell>
          <cell r="Y4150">
            <v>1</v>
          </cell>
        </row>
        <row r="4151">
          <cell r="D4151">
            <v>302964</v>
          </cell>
          <cell r="E4151" t="str">
            <v>Tapilon National High School</v>
          </cell>
          <cell r="F4151">
            <v>1</v>
          </cell>
          <cell r="G4151">
            <v>1</v>
          </cell>
          <cell r="H4151">
            <v>1</v>
          </cell>
          <cell r="I4151">
            <v>1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1</v>
          </cell>
          <cell r="O4151">
            <v>43567</v>
          </cell>
          <cell r="P4151">
            <v>43720</v>
          </cell>
          <cell r="Q4151">
            <v>1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1</v>
          </cell>
          <cell r="W4151">
            <v>0</v>
          </cell>
          <cell r="X4151">
            <v>0</v>
          </cell>
          <cell r="Y4151">
            <v>0</v>
          </cell>
        </row>
        <row r="4152">
          <cell r="D4152">
            <v>303095</v>
          </cell>
          <cell r="E4152" t="str">
            <v>Santa Filomena NHS</v>
          </cell>
          <cell r="F4152">
            <v>1</v>
          </cell>
          <cell r="G4152">
            <v>0</v>
          </cell>
          <cell r="H4152">
            <v>1</v>
          </cell>
          <cell r="I4152">
            <v>0</v>
          </cell>
          <cell r="J4152">
            <v>0</v>
          </cell>
          <cell r="K4152">
            <v>1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1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</row>
        <row r="4153">
          <cell r="D4153">
            <v>302966</v>
          </cell>
          <cell r="E4153" t="str">
            <v>Calumboyan NHS</v>
          </cell>
          <cell r="F4153">
            <v>1</v>
          </cell>
          <cell r="G4153">
            <v>1</v>
          </cell>
          <cell r="H4153">
            <v>1</v>
          </cell>
          <cell r="I4153">
            <v>0</v>
          </cell>
          <cell r="J4153">
            <v>1</v>
          </cell>
          <cell r="K4153">
            <v>0</v>
          </cell>
          <cell r="L4153">
            <v>0</v>
          </cell>
          <cell r="M4153">
            <v>0</v>
          </cell>
          <cell r="N4153">
            <v>1</v>
          </cell>
          <cell r="O4153" t="str">
            <v>6/19/2019</v>
          </cell>
          <cell r="P4153" t="str">
            <v>6/19/2019</v>
          </cell>
          <cell r="Q4153">
            <v>0</v>
          </cell>
          <cell r="R4153">
            <v>1</v>
          </cell>
          <cell r="S4153">
            <v>0</v>
          </cell>
          <cell r="T4153">
            <v>0</v>
          </cell>
          <cell r="U4153">
            <v>0</v>
          </cell>
          <cell r="V4153">
            <v>1</v>
          </cell>
          <cell r="W4153">
            <v>0</v>
          </cell>
          <cell r="X4153">
            <v>0</v>
          </cell>
          <cell r="Y4153">
            <v>0</v>
          </cell>
        </row>
        <row r="4154">
          <cell r="D4154">
            <v>303062</v>
          </cell>
          <cell r="E4154" t="str">
            <v>Mulao NHS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</row>
        <row r="4155">
          <cell r="D4155">
            <v>303006</v>
          </cell>
          <cell r="E4155" t="str">
            <v>Loreto-Remedios Montebon NHS</v>
          </cell>
          <cell r="F4155">
            <v>1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1</v>
          </cell>
          <cell r="M4155" t="str">
            <v>OCASSIONALLY</v>
          </cell>
          <cell r="N4155">
            <v>1</v>
          </cell>
          <cell r="O4155" t="str">
            <v>DECEMBER 3,2019</v>
          </cell>
          <cell r="P4155" t="str">
            <v>NONE</v>
          </cell>
          <cell r="Q4155">
            <v>0</v>
          </cell>
          <cell r="R4155">
            <v>0</v>
          </cell>
          <cell r="S4155">
            <v>0</v>
          </cell>
          <cell r="T4155">
            <v>1</v>
          </cell>
          <cell r="U4155" t="str">
            <v>RARELY</v>
          </cell>
          <cell r="V4155">
            <v>0</v>
          </cell>
          <cell r="W4155">
            <v>1</v>
          </cell>
          <cell r="X4155">
            <v>0</v>
          </cell>
          <cell r="Y4155">
            <v>0</v>
          </cell>
        </row>
        <row r="4156">
          <cell r="D4156">
            <v>302990</v>
          </cell>
          <cell r="E4156" t="str">
            <v>Jugan NHS</v>
          </cell>
          <cell r="F4156">
            <v>1</v>
          </cell>
          <cell r="G4156">
            <v>1</v>
          </cell>
          <cell r="H4156">
            <v>1</v>
          </cell>
          <cell r="I4156">
            <v>0</v>
          </cell>
          <cell r="J4156">
            <v>0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</row>
        <row r="4157">
          <cell r="D4157">
            <v>302982</v>
          </cell>
          <cell r="E4157" t="str">
            <v>CerdeÃ±a NHS</v>
          </cell>
          <cell r="F4157">
            <v>1</v>
          </cell>
          <cell r="G4157">
            <v>0</v>
          </cell>
          <cell r="H4157">
            <v>1</v>
          </cell>
          <cell r="I4157">
            <v>0</v>
          </cell>
          <cell r="J4157">
            <v>0</v>
          </cell>
          <cell r="K4157">
            <v>1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</row>
        <row r="4158">
          <cell r="D4158">
            <v>303080</v>
          </cell>
          <cell r="E4158" t="str">
            <v>Puertobello NHS</v>
          </cell>
          <cell r="F4158">
            <v>1</v>
          </cell>
          <cell r="G4158">
            <v>1</v>
          </cell>
          <cell r="H4158">
            <v>1</v>
          </cell>
          <cell r="I4158">
            <v>0</v>
          </cell>
          <cell r="J4158">
            <v>1</v>
          </cell>
          <cell r="K4158">
            <v>0</v>
          </cell>
          <cell r="L4158">
            <v>0</v>
          </cell>
          <cell r="M4158">
            <v>0</v>
          </cell>
          <cell r="N4158">
            <v>1</v>
          </cell>
          <cell r="O4158">
            <v>43774</v>
          </cell>
          <cell r="P4158">
            <v>43774</v>
          </cell>
          <cell r="Q4158">
            <v>1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1</v>
          </cell>
          <cell r="W4158">
            <v>3</v>
          </cell>
          <cell r="X4158">
            <v>0</v>
          </cell>
          <cell r="Y4158">
            <v>0</v>
          </cell>
        </row>
        <row r="4159">
          <cell r="D4159">
            <v>303302</v>
          </cell>
          <cell r="E4159" t="str">
            <v>Banban National High School</v>
          </cell>
          <cell r="F4159">
            <v>1</v>
          </cell>
          <cell r="G4159">
            <v>1</v>
          </cell>
          <cell r="H4159">
            <v>1</v>
          </cell>
          <cell r="I4159">
            <v>0</v>
          </cell>
          <cell r="J4159">
            <v>1</v>
          </cell>
          <cell r="K4159">
            <v>0</v>
          </cell>
          <cell r="L4159">
            <v>0</v>
          </cell>
          <cell r="M4159">
            <v>0</v>
          </cell>
          <cell r="N4159">
            <v>1</v>
          </cell>
          <cell r="O4159">
            <v>43621</v>
          </cell>
          <cell r="P4159">
            <v>43684</v>
          </cell>
          <cell r="Q4159">
            <v>0</v>
          </cell>
          <cell r="R4159">
            <v>0</v>
          </cell>
          <cell r="S4159">
            <v>1</v>
          </cell>
          <cell r="T4159">
            <v>0</v>
          </cell>
          <cell r="U4159">
            <v>0</v>
          </cell>
          <cell r="V4159">
            <v>1</v>
          </cell>
          <cell r="W4159">
            <v>0</v>
          </cell>
          <cell r="X4159">
            <v>0</v>
          </cell>
          <cell r="Y4159">
            <v>0</v>
          </cell>
        </row>
        <row r="4160">
          <cell r="D4160">
            <v>302984</v>
          </cell>
          <cell r="E4160" t="str">
            <v>Colawin NHS</v>
          </cell>
          <cell r="F4160">
            <v>1</v>
          </cell>
          <cell r="G4160">
            <v>1</v>
          </cell>
          <cell r="H4160">
            <v>1</v>
          </cell>
          <cell r="I4160">
            <v>0</v>
          </cell>
          <cell r="J4160">
            <v>0</v>
          </cell>
          <cell r="K4160">
            <v>1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1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</row>
        <row r="4161">
          <cell r="D4161">
            <v>303167</v>
          </cell>
          <cell r="E4161" t="str">
            <v>Junob National High School</v>
          </cell>
          <cell r="F4161">
            <v>1</v>
          </cell>
          <cell r="G4161">
            <v>1</v>
          </cell>
          <cell r="H4161">
            <v>1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1</v>
          </cell>
          <cell r="O4161" t="str">
            <v>October 15, 2019</v>
          </cell>
          <cell r="P4161" t="str">
            <v>September 15, 2019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1</v>
          </cell>
          <cell r="W4161">
            <v>2</v>
          </cell>
          <cell r="X4161">
            <v>1</v>
          </cell>
          <cell r="Y4161">
            <v>1</v>
          </cell>
        </row>
        <row r="4162">
          <cell r="D4162">
            <v>303303</v>
          </cell>
          <cell r="E4162" t="str">
            <v>BASAC NATIONAL HIGH SCHOOL</v>
          </cell>
          <cell r="F4162">
            <v>1</v>
          </cell>
          <cell r="G4162">
            <v>0</v>
          </cell>
          <cell r="H4162">
            <v>1</v>
          </cell>
          <cell r="I4162">
            <v>1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1</v>
          </cell>
          <cell r="O4162">
            <v>0</v>
          </cell>
          <cell r="P4162">
            <v>0</v>
          </cell>
          <cell r="Q4162">
            <v>1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1</v>
          </cell>
          <cell r="W4162">
            <v>0</v>
          </cell>
          <cell r="X4162">
            <v>0</v>
          </cell>
          <cell r="Y4162">
            <v>0</v>
          </cell>
        </row>
        <row r="4163">
          <cell r="D4163">
            <v>303305</v>
          </cell>
          <cell r="E4163" t="str">
            <v>Catulayan National High School</v>
          </cell>
          <cell r="F4163">
            <v>1</v>
          </cell>
          <cell r="G4163">
            <v>1</v>
          </cell>
          <cell r="H4163">
            <v>1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1</v>
          </cell>
          <cell r="O4163">
            <v>43672</v>
          </cell>
          <cell r="P4163">
            <v>43392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1</v>
          </cell>
          <cell r="W4163">
            <v>0</v>
          </cell>
          <cell r="X4163">
            <v>0</v>
          </cell>
          <cell r="Y4163">
            <v>0</v>
          </cell>
        </row>
        <row r="4164">
          <cell r="D4164">
            <v>302967</v>
          </cell>
          <cell r="E4164" t="str">
            <v>Camotes National High School</v>
          </cell>
          <cell r="F4164">
            <v>1</v>
          </cell>
          <cell r="G4164">
            <v>1</v>
          </cell>
          <cell r="H4164">
            <v>1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1</v>
          </cell>
          <cell r="O4164">
            <v>0</v>
          </cell>
          <cell r="P4164">
            <v>0</v>
          </cell>
          <cell r="Q4164">
            <v>0</v>
          </cell>
          <cell r="R4164">
            <v>1</v>
          </cell>
          <cell r="S4164">
            <v>0</v>
          </cell>
          <cell r="T4164">
            <v>0</v>
          </cell>
          <cell r="U4164">
            <v>0</v>
          </cell>
          <cell r="V4164">
            <v>1</v>
          </cell>
          <cell r="W4164">
            <v>1</v>
          </cell>
          <cell r="X4164">
            <v>1</v>
          </cell>
          <cell r="Y4164">
            <v>1</v>
          </cell>
        </row>
        <row r="4165">
          <cell r="D4165">
            <v>303105</v>
          </cell>
          <cell r="E4165" t="str">
            <v>Bongdo NHS</v>
          </cell>
          <cell r="F4165">
            <v>0</v>
          </cell>
          <cell r="G4165">
            <v>0</v>
          </cell>
          <cell r="H4165">
            <v>1</v>
          </cell>
          <cell r="I4165">
            <v>0</v>
          </cell>
          <cell r="J4165">
            <v>1</v>
          </cell>
          <cell r="K4165">
            <v>0</v>
          </cell>
          <cell r="L4165">
            <v>0</v>
          </cell>
          <cell r="M4165">
            <v>0</v>
          </cell>
          <cell r="N4165">
            <v>1</v>
          </cell>
          <cell r="O4165" t="str">
            <v>August 16,2019</v>
          </cell>
          <cell r="P4165" t="str">
            <v>November 4,2019</v>
          </cell>
          <cell r="Q4165">
            <v>1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1</v>
          </cell>
          <cell r="W4165">
            <v>0</v>
          </cell>
          <cell r="X4165">
            <v>0</v>
          </cell>
          <cell r="Y4165">
            <v>0</v>
          </cell>
        </row>
        <row r="4166">
          <cell r="D4166">
            <v>302875</v>
          </cell>
          <cell r="E4166" t="str">
            <v>Mansasa National High School</v>
          </cell>
          <cell r="F4166">
            <v>1</v>
          </cell>
          <cell r="G4166">
            <v>1</v>
          </cell>
          <cell r="H4166">
            <v>0</v>
          </cell>
          <cell r="I4166">
            <v>0</v>
          </cell>
          <cell r="J4166">
            <v>0</v>
          </cell>
          <cell r="K4166">
            <v>1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</row>
        <row r="4167">
          <cell r="D4167">
            <v>303299</v>
          </cell>
          <cell r="E4167" t="str">
            <v>Ponong High School</v>
          </cell>
          <cell r="F4167">
            <v>1</v>
          </cell>
          <cell r="G4167">
            <v>1</v>
          </cell>
          <cell r="H4167">
            <v>1</v>
          </cell>
          <cell r="I4167">
            <v>0</v>
          </cell>
          <cell r="J4167">
            <v>1</v>
          </cell>
          <cell r="K4167">
            <v>0</v>
          </cell>
          <cell r="L4167">
            <v>0</v>
          </cell>
          <cell r="M4167">
            <v>0</v>
          </cell>
          <cell r="N4167">
            <v>1</v>
          </cell>
          <cell r="O4167">
            <v>43719</v>
          </cell>
          <cell r="P4167">
            <v>0</v>
          </cell>
          <cell r="Q4167">
            <v>0</v>
          </cell>
          <cell r="R4167">
            <v>0</v>
          </cell>
          <cell r="S4167">
            <v>1</v>
          </cell>
          <cell r="T4167">
            <v>0</v>
          </cell>
          <cell r="U4167">
            <v>0</v>
          </cell>
          <cell r="V4167">
            <v>1</v>
          </cell>
          <cell r="W4167">
            <v>0</v>
          </cell>
          <cell r="X4167">
            <v>0</v>
          </cell>
          <cell r="Y4167">
            <v>0</v>
          </cell>
        </row>
        <row r="4168">
          <cell r="D4168">
            <v>303141</v>
          </cell>
          <cell r="E4168" t="str">
            <v>Cebu City National Science HS</v>
          </cell>
          <cell r="F4168">
            <v>1</v>
          </cell>
          <cell r="G4168">
            <v>0</v>
          </cell>
          <cell r="H4168">
            <v>1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</row>
        <row r="4169">
          <cell r="D4169">
            <v>312601</v>
          </cell>
          <cell r="E4169" t="str">
            <v>PIAPI HIGH SCHOOL</v>
          </cell>
          <cell r="F4169">
            <v>1</v>
          </cell>
          <cell r="G4169">
            <v>1</v>
          </cell>
          <cell r="H4169">
            <v>1</v>
          </cell>
          <cell r="I4169">
            <v>0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1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1</v>
          </cell>
          <cell r="W4169">
            <v>0</v>
          </cell>
          <cell r="X4169">
            <v>0</v>
          </cell>
          <cell r="Y4169">
            <v>0</v>
          </cell>
        </row>
        <row r="4170">
          <cell r="D4170">
            <v>302993</v>
          </cell>
          <cell r="E4170" t="str">
            <v>Tugbongan NHS</v>
          </cell>
          <cell r="F4170">
            <v>1</v>
          </cell>
          <cell r="G4170">
            <v>0</v>
          </cell>
          <cell r="H4170">
            <v>1</v>
          </cell>
          <cell r="I4170">
            <v>0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1</v>
          </cell>
          <cell r="O4170">
            <v>0</v>
          </cell>
          <cell r="P4170">
            <v>0</v>
          </cell>
          <cell r="Q4170">
            <v>1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1</v>
          </cell>
          <cell r="W4170">
            <v>2</v>
          </cell>
          <cell r="X4170">
            <v>0</v>
          </cell>
          <cell r="Y4170">
            <v>0</v>
          </cell>
        </row>
        <row r="4171">
          <cell r="D4171">
            <v>302991</v>
          </cell>
          <cell r="E4171" t="str">
            <v>Pulpogan NHS</v>
          </cell>
          <cell r="F4171">
            <v>1</v>
          </cell>
          <cell r="G4171">
            <v>1</v>
          </cell>
          <cell r="H4171">
            <v>1</v>
          </cell>
          <cell r="I4171">
            <v>0</v>
          </cell>
          <cell r="J4171">
            <v>0</v>
          </cell>
          <cell r="K4171">
            <v>1</v>
          </cell>
          <cell r="L4171">
            <v>0</v>
          </cell>
          <cell r="M4171">
            <v>0</v>
          </cell>
          <cell r="N4171">
            <v>1</v>
          </cell>
          <cell r="O4171" t="str">
            <v>June 13, 2019</v>
          </cell>
          <cell r="P4171" t="str">
            <v>none</v>
          </cell>
          <cell r="Q4171">
            <v>0</v>
          </cell>
          <cell r="R4171">
            <v>1</v>
          </cell>
          <cell r="S4171">
            <v>0</v>
          </cell>
          <cell r="T4171">
            <v>0</v>
          </cell>
          <cell r="U4171">
            <v>0</v>
          </cell>
          <cell r="V4171">
            <v>1</v>
          </cell>
          <cell r="W4171">
            <v>0</v>
          </cell>
          <cell r="X4171">
            <v>0</v>
          </cell>
          <cell r="Y4171">
            <v>0</v>
          </cell>
        </row>
        <row r="4172">
          <cell r="D4172">
            <v>500232</v>
          </cell>
          <cell r="E4172" t="str">
            <v>Cabulihan Integrated School</v>
          </cell>
          <cell r="F4172">
            <v>1</v>
          </cell>
          <cell r="G4172">
            <v>0</v>
          </cell>
          <cell r="H4172">
            <v>1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</row>
        <row r="4173">
          <cell r="D4173">
            <v>500222</v>
          </cell>
          <cell r="E4173" t="str">
            <v>Sirao Integrated School</v>
          </cell>
          <cell r="F4173">
            <v>1</v>
          </cell>
          <cell r="G4173">
            <v>1</v>
          </cell>
          <cell r="H4173">
            <v>1</v>
          </cell>
          <cell r="I4173">
            <v>0</v>
          </cell>
          <cell r="J4173">
            <v>0</v>
          </cell>
          <cell r="K4173">
            <v>1</v>
          </cell>
          <cell r="L4173">
            <v>0</v>
          </cell>
          <cell r="M4173">
            <v>0</v>
          </cell>
          <cell r="N4173">
            <v>1</v>
          </cell>
          <cell r="O4173">
            <v>43230</v>
          </cell>
          <cell r="P4173">
            <v>43620</v>
          </cell>
          <cell r="Q4173">
            <v>0</v>
          </cell>
          <cell r="R4173">
            <v>1</v>
          </cell>
          <cell r="S4173">
            <v>0</v>
          </cell>
          <cell r="T4173">
            <v>0</v>
          </cell>
          <cell r="U4173">
            <v>0</v>
          </cell>
          <cell r="V4173">
            <v>1</v>
          </cell>
          <cell r="W4173">
            <v>0</v>
          </cell>
          <cell r="X4173">
            <v>0</v>
          </cell>
          <cell r="Y4173">
            <v>0</v>
          </cell>
        </row>
        <row r="4174">
          <cell r="D4174">
            <v>302976</v>
          </cell>
          <cell r="E4174" t="str">
            <v>Carnaza NHS</v>
          </cell>
          <cell r="F4174">
            <v>1</v>
          </cell>
          <cell r="G4174">
            <v>1</v>
          </cell>
          <cell r="H4174">
            <v>1</v>
          </cell>
          <cell r="I4174">
            <v>0</v>
          </cell>
          <cell r="J4174">
            <v>1</v>
          </cell>
          <cell r="K4174">
            <v>0</v>
          </cell>
          <cell r="L4174">
            <v>0</v>
          </cell>
          <cell r="M4174">
            <v>0</v>
          </cell>
          <cell r="N4174">
            <v>1</v>
          </cell>
          <cell r="O4174">
            <v>0</v>
          </cell>
          <cell r="P4174" t="str">
            <v>n/a</v>
          </cell>
          <cell r="Q4174">
            <v>0</v>
          </cell>
          <cell r="R4174">
            <v>1</v>
          </cell>
          <cell r="S4174">
            <v>0</v>
          </cell>
          <cell r="T4174">
            <v>0</v>
          </cell>
          <cell r="U4174">
            <v>0</v>
          </cell>
          <cell r="V4174">
            <v>1</v>
          </cell>
          <cell r="W4174">
            <v>0</v>
          </cell>
          <cell r="X4174">
            <v>0</v>
          </cell>
          <cell r="Y4174">
            <v>0</v>
          </cell>
        </row>
        <row r="4175">
          <cell r="D4175">
            <v>302874</v>
          </cell>
          <cell r="E4175" t="str">
            <v>Manga National High School</v>
          </cell>
          <cell r="F4175">
            <v>1</v>
          </cell>
          <cell r="G4175">
            <v>0</v>
          </cell>
          <cell r="H4175">
            <v>1</v>
          </cell>
          <cell r="I4175">
            <v>0</v>
          </cell>
          <cell r="J4175">
            <v>0</v>
          </cell>
          <cell r="K4175">
            <v>1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</row>
        <row r="4176">
          <cell r="D4176">
            <v>303122</v>
          </cell>
          <cell r="E4176" t="str">
            <v>Lorenzo C. Tanza Memorial National High School</v>
          </cell>
          <cell r="F4176">
            <v>1</v>
          </cell>
          <cell r="G4176">
            <v>1</v>
          </cell>
          <cell r="H4176">
            <v>1</v>
          </cell>
          <cell r="I4176">
            <v>0</v>
          </cell>
          <cell r="J4176">
            <v>1</v>
          </cell>
          <cell r="K4176">
            <v>0</v>
          </cell>
          <cell r="L4176">
            <v>0</v>
          </cell>
          <cell r="M4176">
            <v>0</v>
          </cell>
          <cell r="N4176">
            <v>1</v>
          </cell>
          <cell r="O4176" t="str">
            <v>October 30, 2019</v>
          </cell>
          <cell r="P4176" t="str">
            <v>October 30, 2019</v>
          </cell>
          <cell r="Q4176">
            <v>0</v>
          </cell>
          <cell r="R4176">
            <v>1</v>
          </cell>
          <cell r="S4176">
            <v>0</v>
          </cell>
          <cell r="T4176">
            <v>0</v>
          </cell>
          <cell r="U4176">
            <v>0</v>
          </cell>
          <cell r="V4176">
            <v>1</v>
          </cell>
          <cell r="W4176">
            <v>2</v>
          </cell>
          <cell r="X4176">
            <v>2</v>
          </cell>
          <cell r="Y4176">
            <v>2</v>
          </cell>
        </row>
        <row r="4177">
          <cell r="D4177">
            <v>303028</v>
          </cell>
          <cell r="E4177" t="str">
            <v>Kinatarcan NHS</v>
          </cell>
          <cell r="F4177">
            <v>1</v>
          </cell>
          <cell r="G4177">
            <v>1</v>
          </cell>
          <cell r="H4177">
            <v>1</v>
          </cell>
          <cell r="I4177">
            <v>0</v>
          </cell>
          <cell r="J4177">
            <v>1</v>
          </cell>
          <cell r="K4177">
            <v>0</v>
          </cell>
          <cell r="L4177">
            <v>0</v>
          </cell>
          <cell r="M4177">
            <v>0</v>
          </cell>
          <cell r="N4177">
            <v>1</v>
          </cell>
          <cell r="O4177">
            <v>43658</v>
          </cell>
          <cell r="P4177">
            <v>43678</v>
          </cell>
          <cell r="Q4177">
            <v>0</v>
          </cell>
          <cell r="R4177">
            <v>1</v>
          </cell>
          <cell r="S4177">
            <v>0</v>
          </cell>
          <cell r="T4177">
            <v>0</v>
          </cell>
          <cell r="U4177">
            <v>0</v>
          </cell>
          <cell r="V4177">
            <v>1</v>
          </cell>
          <cell r="W4177">
            <v>0</v>
          </cell>
          <cell r="X4177">
            <v>0</v>
          </cell>
          <cell r="Y4177">
            <v>0</v>
          </cell>
        </row>
        <row r="4178">
          <cell r="D4178">
            <v>302955</v>
          </cell>
          <cell r="E4178" t="str">
            <v>Cordova NHS</v>
          </cell>
          <cell r="F4178">
            <v>1</v>
          </cell>
          <cell r="G4178">
            <v>1</v>
          </cell>
          <cell r="H4178">
            <v>1</v>
          </cell>
          <cell r="I4178">
            <v>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1</v>
          </cell>
          <cell r="O4178" t="str">
            <v>6/17/2019</v>
          </cell>
          <cell r="P4178">
            <v>43748</v>
          </cell>
          <cell r="Q4178">
            <v>0</v>
          </cell>
          <cell r="R4178">
            <v>0</v>
          </cell>
          <cell r="S4178">
            <v>1</v>
          </cell>
          <cell r="T4178">
            <v>0</v>
          </cell>
          <cell r="U4178">
            <v>0</v>
          </cell>
          <cell r="V4178">
            <v>1</v>
          </cell>
          <cell r="W4178">
            <v>0</v>
          </cell>
          <cell r="X4178">
            <v>0</v>
          </cell>
          <cell r="Y4178">
            <v>0</v>
          </cell>
        </row>
        <row r="4179">
          <cell r="D4179">
            <v>302940</v>
          </cell>
          <cell r="E4179" t="str">
            <v>Bitoon NVHS</v>
          </cell>
          <cell r="F4179">
            <v>1</v>
          </cell>
          <cell r="G4179">
            <v>1</v>
          </cell>
          <cell r="H4179">
            <v>1</v>
          </cell>
          <cell r="I4179">
            <v>0</v>
          </cell>
          <cell r="J4179">
            <v>1</v>
          </cell>
          <cell r="K4179">
            <v>0</v>
          </cell>
          <cell r="L4179">
            <v>0</v>
          </cell>
          <cell r="M4179">
            <v>0</v>
          </cell>
          <cell r="N4179">
            <v>1</v>
          </cell>
          <cell r="O4179">
            <v>43739</v>
          </cell>
          <cell r="P4179">
            <v>0</v>
          </cell>
          <cell r="Q4179">
            <v>0</v>
          </cell>
          <cell r="R4179">
            <v>1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4</v>
          </cell>
          <cell r="X4179">
            <v>4</v>
          </cell>
          <cell r="Y4179">
            <v>4</v>
          </cell>
        </row>
        <row r="4180">
          <cell r="D4180">
            <v>323010</v>
          </cell>
          <cell r="E4180" t="str">
            <v>LUCILA C. YARED NATIONAL HIGH SCHOOL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</row>
        <row r="4181">
          <cell r="D4181">
            <v>303032</v>
          </cell>
          <cell r="E4181" t="str">
            <v>Dapdap NHS</v>
          </cell>
          <cell r="F4181">
            <v>1</v>
          </cell>
          <cell r="G4181">
            <v>1</v>
          </cell>
          <cell r="H4181">
            <v>1</v>
          </cell>
          <cell r="I4181">
            <v>0</v>
          </cell>
          <cell r="J4181">
            <v>0</v>
          </cell>
          <cell r="K4181">
            <v>1</v>
          </cell>
          <cell r="L4181">
            <v>0</v>
          </cell>
          <cell r="M4181">
            <v>0</v>
          </cell>
          <cell r="N4181">
            <v>1</v>
          </cell>
          <cell r="O4181">
            <v>0</v>
          </cell>
          <cell r="P4181">
            <v>0</v>
          </cell>
          <cell r="Q4181">
            <v>0</v>
          </cell>
          <cell r="R4181">
            <v>1</v>
          </cell>
          <cell r="S4181">
            <v>0</v>
          </cell>
          <cell r="T4181">
            <v>1</v>
          </cell>
          <cell r="U4181">
            <v>0</v>
          </cell>
          <cell r="V4181">
            <v>1</v>
          </cell>
          <cell r="W4181">
            <v>0</v>
          </cell>
          <cell r="X4181">
            <v>0</v>
          </cell>
          <cell r="Y4181">
            <v>0</v>
          </cell>
        </row>
        <row r="4182">
          <cell r="D4182">
            <v>303091</v>
          </cell>
          <cell r="E4182" t="str">
            <v>Arcelo MNHS</v>
          </cell>
          <cell r="F4182">
            <v>1</v>
          </cell>
          <cell r="G4182">
            <v>1</v>
          </cell>
          <cell r="H4182">
            <v>1</v>
          </cell>
          <cell r="I4182">
            <v>0</v>
          </cell>
          <cell r="J4182">
            <v>0</v>
          </cell>
          <cell r="K4182">
            <v>1</v>
          </cell>
          <cell r="L4182">
            <v>0</v>
          </cell>
          <cell r="M4182">
            <v>0</v>
          </cell>
          <cell r="N4182">
            <v>1</v>
          </cell>
          <cell r="O4182" t="str">
            <v>08/20/2019</v>
          </cell>
          <cell r="P4182" t="str">
            <v>09/20/2019</v>
          </cell>
          <cell r="Q4182">
            <v>0</v>
          </cell>
          <cell r="R4182">
            <v>0</v>
          </cell>
          <cell r="S4182">
            <v>0</v>
          </cell>
          <cell r="T4182">
            <v>1</v>
          </cell>
          <cell r="U4182" t="str">
            <v>as case arises</v>
          </cell>
          <cell r="V4182">
            <v>0</v>
          </cell>
          <cell r="W4182">
            <v>2</v>
          </cell>
          <cell r="X4182">
            <v>0</v>
          </cell>
          <cell r="Y4182">
            <v>0</v>
          </cell>
        </row>
        <row r="4183">
          <cell r="D4183">
            <v>303079</v>
          </cell>
          <cell r="E4183" t="str">
            <v>PITALO NHS</v>
          </cell>
          <cell r="F4183">
            <v>1</v>
          </cell>
          <cell r="G4183">
            <v>1</v>
          </cell>
          <cell r="H4183">
            <v>1</v>
          </cell>
          <cell r="I4183">
            <v>0</v>
          </cell>
          <cell r="J4183">
            <v>1</v>
          </cell>
          <cell r="K4183">
            <v>0</v>
          </cell>
          <cell r="L4183">
            <v>0</v>
          </cell>
          <cell r="M4183">
            <v>0</v>
          </cell>
          <cell r="N4183">
            <v>1</v>
          </cell>
          <cell r="O4183">
            <v>0</v>
          </cell>
          <cell r="P4183" t="str">
            <v>10/30/2019</v>
          </cell>
          <cell r="Q4183">
            <v>1</v>
          </cell>
          <cell r="R4183">
            <v>0</v>
          </cell>
          <cell r="S4183">
            <v>0</v>
          </cell>
          <cell r="T4183">
            <v>1</v>
          </cell>
          <cell r="U4183">
            <v>0</v>
          </cell>
          <cell r="V4183">
            <v>1</v>
          </cell>
          <cell r="W4183">
            <v>3</v>
          </cell>
          <cell r="X4183">
            <v>0</v>
          </cell>
          <cell r="Y4183">
            <v>0</v>
          </cell>
        </row>
        <row r="4184">
          <cell r="D4184">
            <v>303138</v>
          </cell>
          <cell r="E4184" t="str">
            <v>Camp Lapu-Lapu NHS (Day &amp; Night)</v>
          </cell>
          <cell r="F4184">
            <v>1</v>
          </cell>
          <cell r="G4184">
            <v>1</v>
          </cell>
          <cell r="H4184">
            <v>1</v>
          </cell>
          <cell r="I4184">
            <v>0</v>
          </cell>
          <cell r="J4184">
            <v>1</v>
          </cell>
          <cell r="K4184">
            <v>0</v>
          </cell>
          <cell r="L4184">
            <v>0</v>
          </cell>
          <cell r="M4184">
            <v>0</v>
          </cell>
          <cell r="N4184">
            <v>1</v>
          </cell>
          <cell r="O4184">
            <v>0</v>
          </cell>
          <cell r="P4184">
            <v>0</v>
          </cell>
          <cell r="Q4184">
            <v>0</v>
          </cell>
          <cell r="R4184">
            <v>1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</row>
        <row r="4185">
          <cell r="D4185">
            <v>303142</v>
          </cell>
          <cell r="E4185" t="str">
            <v>Don Carlos Gothong Memorial NHS</v>
          </cell>
          <cell r="F4185">
            <v>1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</row>
        <row r="4186">
          <cell r="D4186">
            <v>303160</v>
          </cell>
          <cell r="E4186" t="str">
            <v>Pit-os National High School</v>
          </cell>
          <cell r="F4186">
            <v>1</v>
          </cell>
          <cell r="G4186">
            <v>1</v>
          </cell>
          <cell r="H4186">
            <v>1</v>
          </cell>
          <cell r="I4186">
            <v>0</v>
          </cell>
          <cell r="J4186">
            <v>1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</row>
        <row r="4187">
          <cell r="D4187">
            <v>303147</v>
          </cell>
          <cell r="E4187" t="str">
            <v>Pasil NHS (Night)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2</v>
          </cell>
          <cell r="X4187">
            <v>1</v>
          </cell>
          <cell r="Y4187">
            <v>1</v>
          </cell>
        </row>
        <row r="4188">
          <cell r="D4188">
            <v>303133</v>
          </cell>
          <cell r="E4188" t="str">
            <v>Don Vicente Rama Mem. NHS (Basak NHS)</v>
          </cell>
          <cell r="F4188">
            <v>1</v>
          </cell>
          <cell r="G4188">
            <v>1</v>
          </cell>
          <cell r="H4188">
            <v>1</v>
          </cell>
          <cell r="I4188">
            <v>0</v>
          </cell>
          <cell r="J4188">
            <v>0</v>
          </cell>
          <cell r="K4188">
            <v>1</v>
          </cell>
          <cell r="L4188">
            <v>0</v>
          </cell>
          <cell r="M4188">
            <v>0</v>
          </cell>
          <cell r="N4188">
            <v>1</v>
          </cell>
          <cell r="O4188">
            <v>0</v>
          </cell>
          <cell r="P4188" t="str">
            <v>JUNE 17, 2019</v>
          </cell>
          <cell r="Q4188">
            <v>0</v>
          </cell>
          <cell r="R4188">
            <v>0</v>
          </cell>
          <cell r="S4188">
            <v>1</v>
          </cell>
          <cell r="T4188">
            <v>0</v>
          </cell>
          <cell r="U4188">
            <v>0</v>
          </cell>
          <cell r="V4188">
            <v>1</v>
          </cell>
          <cell r="W4188">
            <v>0</v>
          </cell>
          <cell r="X4188">
            <v>0</v>
          </cell>
          <cell r="Y4188">
            <v>0</v>
          </cell>
        </row>
        <row r="4189">
          <cell r="D4189">
            <v>303165</v>
          </cell>
          <cell r="E4189" t="str">
            <v>Vicente Cosido NHS (Cambinocot NHS)</v>
          </cell>
          <cell r="F4189">
            <v>1</v>
          </cell>
          <cell r="G4189">
            <v>1</v>
          </cell>
          <cell r="H4189">
            <v>1</v>
          </cell>
          <cell r="I4189">
            <v>1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1</v>
          </cell>
          <cell r="O4189" t="str">
            <v>August 1, 2019</v>
          </cell>
          <cell r="P4189" t="str">
            <v>August 1, 2019</v>
          </cell>
          <cell r="Q4189">
            <v>1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1</v>
          </cell>
          <cell r="W4189">
            <v>0</v>
          </cell>
          <cell r="X4189">
            <v>0</v>
          </cell>
          <cell r="Y4189">
            <v>0</v>
          </cell>
        </row>
        <row r="4190">
          <cell r="D4190">
            <v>500223</v>
          </cell>
          <cell r="E4190" t="str">
            <v>Babag Elementary</v>
          </cell>
          <cell r="F4190">
            <v>1</v>
          </cell>
          <cell r="G4190">
            <v>1</v>
          </cell>
          <cell r="H4190">
            <v>1</v>
          </cell>
          <cell r="I4190">
            <v>0</v>
          </cell>
          <cell r="J4190">
            <v>1</v>
          </cell>
          <cell r="K4190">
            <v>0</v>
          </cell>
          <cell r="L4190">
            <v>0</v>
          </cell>
          <cell r="M4190">
            <v>0</v>
          </cell>
          <cell r="N4190">
            <v>1</v>
          </cell>
          <cell r="O4190">
            <v>0</v>
          </cell>
          <cell r="P4190">
            <v>43763</v>
          </cell>
          <cell r="Q4190">
            <v>0</v>
          </cell>
          <cell r="R4190">
            <v>0</v>
          </cell>
          <cell r="S4190">
            <v>1</v>
          </cell>
          <cell r="T4190">
            <v>0</v>
          </cell>
          <cell r="U4190">
            <v>0</v>
          </cell>
          <cell r="V4190">
            <v>1</v>
          </cell>
          <cell r="W4190">
            <v>0</v>
          </cell>
          <cell r="X4190">
            <v>0</v>
          </cell>
          <cell r="Y4190">
            <v>0</v>
          </cell>
        </row>
        <row r="4191">
          <cell r="D4191">
            <v>303114</v>
          </cell>
          <cell r="E4191" t="str">
            <v>Tayud National High School</v>
          </cell>
          <cell r="F4191">
            <v>1</v>
          </cell>
          <cell r="G4191">
            <v>1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</row>
        <row r="4192">
          <cell r="D4192">
            <v>302921</v>
          </cell>
          <cell r="E4192" t="str">
            <v>Badian NHS</v>
          </cell>
          <cell r="F4192">
            <v>1</v>
          </cell>
          <cell r="G4192">
            <v>1</v>
          </cell>
          <cell r="H4192">
            <v>1</v>
          </cell>
          <cell r="I4192">
            <v>0</v>
          </cell>
          <cell r="J4192">
            <v>1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1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</row>
        <row r="4193">
          <cell r="D4193">
            <v>323013</v>
          </cell>
          <cell r="E4193" t="str">
            <v>Tangculogan High School</v>
          </cell>
          <cell r="F4193">
            <v>1</v>
          </cell>
          <cell r="G4193">
            <v>1</v>
          </cell>
          <cell r="H4193">
            <v>1</v>
          </cell>
          <cell r="I4193">
            <v>0</v>
          </cell>
          <cell r="J4193">
            <v>1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</row>
        <row r="4194">
          <cell r="D4194">
            <v>303134</v>
          </cell>
          <cell r="E4194" t="str">
            <v>Bonbon NHS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</row>
        <row r="4195">
          <cell r="D4195">
            <v>324804</v>
          </cell>
          <cell r="E4195" t="str">
            <v>GNHS-Maculos Extension</v>
          </cell>
          <cell r="F4195">
            <v>1</v>
          </cell>
          <cell r="G4195">
            <v>1</v>
          </cell>
          <cell r="H4195">
            <v>1</v>
          </cell>
          <cell r="I4195">
            <v>0</v>
          </cell>
          <cell r="J4195">
            <v>1</v>
          </cell>
          <cell r="K4195">
            <v>0</v>
          </cell>
          <cell r="L4195">
            <v>0</v>
          </cell>
          <cell r="M4195">
            <v>0</v>
          </cell>
          <cell r="N4195">
            <v>1</v>
          </cell>
          <cell r="O4195">
            <v>0</v>
          </cell>
          <cell r="P4195">
            <v>43367</v>
          </cell>
          <cell r="Q4195">
            <v>0</v>
          </cell>
          <cell r="R4195">
            <v>0</v>
          </cell>
          <cell r="S4195">
            <v>0</v>
          </cell>
          <cell r="T4195">
            <v>1</v>
          </cell>
          <cell r="U4195">
            <v>43367</v>
          </cell>
          <cell r="V4195">
            <v>1</v>
          </cell>
          <cell r="W4195">
            <v>0</v>
          </cell>
          <cell r="X4195">
            <v>0</v>
          </cell>
          <cell r="Y4195">
            <v>0</v>
          </cell>
        </row>
        <row r="4196">
          <cell r="D4196">
            <v>323007</v>
          </cell>
          <cell r="E4196" t="str">
            <v>Mansangaban National High School</v>
          </cell>
          <cell r="F4196">
            <v>1</v>
          </cell>
          <cell r="G4196">
            <v>1</v>
          </cell>
          <cell r="H4196">
            <v>1</v>
          </cell>
          <cell r="I4196">
            <v>0</v>
          </cell>
          <cell r="J4196">
            <v>1</v>
          </cell>
          <cell r="K4196">
            <v>0</v>
          </cell>
          <cell r="L4196">
            <v>0</v>
          </cell>
          <cell r="M4196">
            <v>0</v>
          </cell>
          <cell r="N4196">
            <v>1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</row>
        <row r="4197">
          <cell r="D4197">
            <v>303047</v>
          </cell>
          <cell r="E4197" t="str">
            <v>Madridejos NHS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</row>
        <row r="4198">
          <cell r="D4198">
            <v>323009</v>
          </cell>
          <cell r="E4198" t="str">
            <v>Tagpo National HS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</row>
        <row r="4199">
          <cell r="D4199">
            <v>312424</v>
          </cell>
          <cell r="E4199" t="str">
            <v>San Fernando NHS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1</v>
          </cell>
          <cell r="M4199" t="str">
            <v>none</v>
          </cell>
          <cell r="N4199">
            <v>0</v>
          </cell>
          <cell r="O4199">
            <v>0</v>
          </cell>
          <cell r="P4199" t="str">
            <v>none</v>
          </cell>
          <cell r="Q4199">
            <v>0</v>
          </cell>
          <cell r="R4199">
            <v>0</v>
          </cell>
          <cell r="S4199">
            <v>0</v>
          </cell>
          <cell r="T4199">
            <v>1</v>
          </cell>
          <cell r="U4199" t="str">
            <v>none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</row>
        <row r="4200">
          <cell r="D4200">
            <v>302963</v>
          </cell>
          <cell r="E4200" t="str">
            <v>Paypay NHS</v>
          </cell>
          <cell r="F4200">
            <v>1</v>
          </cell>
          <cell r="G4200">
            <v>1</v>
          </cell>
          <cell r="H4200">
            <v>1</v>
          </cell>
          <cell r="I4200">
            <v>0</v>
          </cell>
          <cell r="J4200">
            <v>1</v>
          </cell>
          <cell r="K4200">
            <v>0</v>
          </cell>
          <cell r="L4200">
            <v>0</v>
          </cell>
          <cell r="M4200">
            <v>0</v>
          </cell>
          <cell r="N4200">
            <v>1</v>
          </cell>
          <cell r="O4200" t="str">
            <v>October 11, 2019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</row>
        <row r="4201">
          <cell r="D4201">
            <v>323003</v>
          </cell>
          <cell r="E4201" t="str">
            <v>Governor Julian L. Teves Memorial HS</v>
          </cell>
          <cell r="F4201">
            <v>1</v>
          </cell>
          <cell r="G4201">
            <v>1</v>
          </cell>
          <cell r="H4201">
            <v>1</v>
          </cell>
          <cell r="I4201">
            <v>0</v>
          </cell>
          <cell r="J4201">
            <v>0</v>
          </cell>
          <cell r="K4201">
            <v>1</v>
          </cell>
          <cell r="L4201">
            <v>0</v>
          </cell>
          <cell r="M4201">
            <v>0</v>
          </cell>
          <cell r="N4201">
            <v>1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1</v>
          </cell>
          <cell r="T4201">
            <v>0</v>
          </cell>
          <cell r="U4201">
            <v>0</v>
          </cell>
          <cell r="V4201">
            <v>1</v>
          </cell>
          <cell r="W4201">
            <v>0</v>
          </cell>
          <cell r="X4201">
            <v>0</v>
          </cell>
          <cell r="Y4201">
            <v>0</v>
          </cell>
        </row>
        <row r="4202">
          <cell r="D4202">
            <v>303216</v>
          </cell>
          <cell r="E4202" t="str">
            <v>Bais City National Science High School</v>
          </cell>
          <cell r="F4202">
            <v>0</v>
          </cell>
          <cell r="G4202">
            <v>0</v>
          </cell>
          <cell r="H4202">
            <v>1</v>
          </cell>
          <cell r="I4202">
            <v>0</v>
          </cell>
          <cell r="J4202">
            <v>1</v>
          </cell>
          <cell r="K4202">
            <v>0</v>
          </cell>
          <cell r="L4202">
            <v>0</v>
          </cell>
          <cell r="M4202">
            <v>0</v>
          </cell>
          <cell r="N4202">
            <v>1</v>
          </cell>
          <cell r="O4202">
            <v>0</v>
          </cell>
          <cell r="P4202">
            <v>0</v>
          </cell>
          <cell r="Q4202">
            <v>0</v>
          </cell>
          <cell r="R4202">
            <v>1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</row>
        <row r="4203">
          <cell r="D4203">
            <v>323012</v>
          </cell>
          <cell r="E4203" t="str">
            <v>Mayor Praxedes P. Villanueva II Memorial High School</v>
          </cell>
          <cell r="F4203">
            <v>1</v>
          </cell>
          <cell r="G4203">
            <v>1</v>
          </cell>
          <cell r="H4203">
            <v>1</v>
          </cell>
          <cell r="I4203">
            <v>0</v>
          </cell>
          <cell r="J4203">
            <v>1</v>
          </cell>
          <cell r="K4203">
            <v>0</v>
          </cell>
          <cell r="L4203">
            <v>0</v>
          </cell>
          <cell r="M4203">
            <v>0</v>
          </cell>
          <cell r="N4203">
            <v>1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1</v>
          </cell>
          <cell r="W4203">
            <v>0</v>
          </cell>
          <cell r="X4203">
            <v>0</v>
          </cell>
          <cell r="Y4203">
            <v>0</v>
          </cell>
        </row>
        <row r="4204">
          <cell r="D4204">
            <v>323001</v>
          </cell>
          <cell r="E4204" t="str">
            <v>Cabugan National High School</v>
          </cell>
          <cell r="F4204">
            <v>1</v>
          </cell>
          <cell r="G4204">
            <v>1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</row>
        <row r="4205">
          <cell r="D4205">
            <v>312904</v>
          </cell>
          <cell r="E4205" t="str">
            <v>Guba High School</v>
          </cell>
          <cell r="F4205">
            <v>1</v>
          </cell>
          <cell r="G4205">
            <v>1</v>
          </cell>
          <cell r="H4205">
            <v>1</v>
          </cell>
          <cell r="I4205">
            <v>0</v>
          </cell>
          <cell r="J4205">
            <v>1</v>
          </cell>
          <cell r="K4205">
            <v>0</v>
          </cell>
          <cell r="L4205">
            <v>1</v>
          </cell>
          <cell r="M4205">
            <v>43631</v>
          </cell>
          <cell r="N4205">
            <v>1</v>
          </cell>
          <cell r="O4205">
            <v>0</v>
          </cell>
          <cell r="P4205">
            <v>43676</v>
          </cell>
          <cell r="Q4205">
            <v>0</v>
          </cell>
          <cell r="R4205">
            <v>1</v>
          </cell>
          <cell r="S4205">
            <v>0</v>
          </cell>
          <cell r="T4205">
            <v>0</v>
          </cell>
          <cell r="U4205">
            <v>0</v>
          </cell>
          <cell r="V4205">
            <v>1</v>
          </cell>
          <cell r="W4205">
            <v>0</v>
          </cell>
          <cell r="X4205">
            <v>0</v>
          </cell>
          <cell r="Y4205">
            <v>0</v>
          </cell>
        </row>
        <row r="4206">
          <cell r="D4206">
            <v>324803</v>
          </cell>
          <cell r="E4206" t="str">
            <v>Buenavista National High School</v>
          </cell>
          <cell r="F4206">
            <v>1</v>
          </cell>
          <cell r="G4206">
            <v>0</v>
          </cell>
          <cell r="H4206">
            <v>1</v>
          </cell>
          <cell r="I4206">
            <v>0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N4206">
            <v>1</v>
          </cell>
          <cell r="O4206">
            <v>43617</v>
          </cell>
          <cell r="P4206">
            <v>43497</v>
          </cell>
          <cell r="Q4206">
            <v>0</v>
          </cell>
          <cell r="R4206">
            <v>0</v>
          </cell>
          <cell r="S4206">
            <v>1</v>
          </cell>
          <cell r="T4206">
            <v>0</v>
          </cell>
          <cell r="U4206">
            <v>0</v>
          </cell>
          <cell r="V4206">
            <v>1</v>
          </cell>
          <cell r="W4206">
            <v>0</v>
          </cell>
          <cell r="X4206">
            <v>0</v>
          </cell>
          <cell r="Y4206">
            <v>0</v>
          </cell>
        </row>
        <row r="4207">
          <cell r="D4207">
            <v>323011</v>
          </cell>
          <cell r="E4207" t="str">
            <v>Bais City Olympia National High School</v>
          </cell>
          <cell r="F4207">
            <v>1</v>
          </cell>
          <cell r="G4207">
            <v>0</v>
          </cell>
          <cell r="H4207">
            <v>1</v>
          </cell>
          <cell r="I4207">
            <v>0</v>
          </cell>
          <cell r="J4207">
            <v>0</v>
          </cell>
          <cell r="K4207">
            <v>0</v>
          </cell>
          <cell r="L4207">
            <v>1</v>
          </cell>
          <cell r="M4207" t="str">
            <v>Twice every year BOSY (IOSY)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</row>
        <row r="4208">
          <cell r="D4208">
            <v>303232</v>
          </cell>
          <cell r="E4208" t="str">
            <v>Sandayao National High School</v>
          </cell>
          <cell r="F4208">
            <v>0</v>
          </cell>
          <cell r="G4208">
            <v>0</v>
          </cell>
          <cell r="H4208">
            <v>1</v>
          </cell>
          <cell r="I4208">
            <v>0</v>
          </cell>
          <cell r="J4208">
            <v>0</v>
          </cell>
          <cell r="K4208">
            <v>0</v>
          </cell>
          <cell r="L4208">
            <v>1</v>
          </cell>
          <cell r="M4208" t="str">
            <v>As necessary</v>
          </cell>
          <cell r="N4208">
            <v>0</v>
          </cell>
          <cell r="O4208">
            <v>44062</v>
          </cell>
          <cell r="P4208">
            <v>43678</v>
          </cell>
          <cell r="Q4208">
            <v>0</v>
          </cell>
          <cell r="R4208">
            <v>0</v>
          </cell>
          <cell r="S4208">
            <v>0</v>
          </cell>
          <cell r="T4208">
            <v>1</v>
          </cell>
          <cell r="U4208" t="str">
            <v>As necessary</v>
          </cell>
          <cell r="V4208">
            <v>1</v>
          </cell>
          <cell r="W4208">
            <v>0</v>
          </cell>
          <cell r="X4208">
            <v>0</v>
          </cell>
          <cell r="Y4208">
            <v>0</v>
          </cell>
        </row>
        <row r="4209">
          <cell r="D4209">
            <v>323008</v>
          </cell>
          <cell r="E4209" t="str">
            <v>OKIOT NATIONAL HIGH SCHOOL</v>
          </cell>
          <cell r="F4209">
            <v>1</v>
          </cell>
          <cell r="G4209">
            <v>0</v>
          </cell>
          <cell r="H4209">
            <v>1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</row>
        <row r="4210">
          <cell r="D4210">
            <v>324802</v>
          </cell>
          <cell r="E4210" t="str">
            <v>P. Zamora National High School</v>
          </cell>
          <cell r="F4210">
            <v>1</v>
          </cell>
          <cell r="G4210">
            <v>1</v>
          </cell>
          <cell r="H4210">
            <v>1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1</v>
          </cell>
          <cell r="O4210">
            <v>43635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1</v>
          </cell>
          <cell r="W4210">
            <v>0</v>
          </cell>
          <cell r="X4210">
            <v>0</v>
          </cell>
          <cell r="Y4210">
            <v>0</v>
          </cell>
        </row>
        <row r="4211">
          <cell r="D4211">
            <v>312910</v>
          </cell>
          <cell r="E4211" t="str">
            <v>Trinidad National High School</v>
          </cell>
          <cell r="F4211">
            <v>1</v>
          </cell>
          <cell r="G4211">
            <v>1</v>
          </cell>
          <cell r="H4211">
            <v>1</v>
          </cell>
          <cell r="I4211">
            <v>0</v>
          </cell>
          <cell r="J4211">
            <v>0</v>
          </cell>
          <cell r="K4211">
            <v>0</v>
          </cell>
          <cell r="L4211">
            <v>1</v>
          </cell>
          <cell r="M4211" t="str">
            <v>IF NEEDED</v>
          </cell>
          <cell r="N4211">
            <v>1</v>
          </cell>
          <cell r="O4211" t="str">
            <v>June 15, 2019</v>
          </cell>
          <cell r="P4211" t="str">
            <v>August 20, 2019</v>
          </cell>
          <cell r="Q4211">
            <v>0</v>
          </cell>
          <cell r="R4211">
            <v>0</v>
          </cell>
          <cell r="S4211">
            <v>0</v>
          </cell>
          <cell r="T4211">
            <v>1</v>
          </cell>
          <cell r="U4211">
            <v>0</v>
          </cell>
          <cell r="V4211">
            <v>0</v>
          </cell>
          <cell r="W4211">
            <v>3</v>
          </cell>
          <cell r="X4211">
            <v>3</v>
          </cell>
          <cell r="Y4211">
            <v>3</v>
          </cell>
        </row>
        <row r="4212">
          <cell r="D4212">
            <v>303230</v>
          </cell>
          <cell r="E4212" t="str">
            <v>GUIHULNGAN NATIONAL AGRICULTURAL SCHOOL</v>
          </cell>
          <cell r="F4212">
            <v>0</v>
          </cell>
          <cell r="G4212">
            <v>0</v>
          </cell>
          <cell r="H4212">
            <v>1</v>
          </cell>
          <cell r="I4212">
            <v>0</v>
          </cell>
          <cell r="J4212">
            <v>1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</row>
        <row r="4213">
          <cell r="D4213">
            <v>303275</v>
          </cell>
          <cell r="E4213" t="str">
            <v>Tagbino National High School</v>
          </cell>
          <cell r="F4213">
            <v>1</v>
          </cell>
          <cell r="G4213">
            <v>0</v>
          </cell>
          <cell r="H4213">
            <v>1</v>
          </cell>
          <cell r="I4213">
            <v>0</v>
          </cell>
          <cell r="J4213">
            <v>1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 t="str">
            <v>n/a</v>
          </cell>
          <cell r="Q4213">
            <v>0</v>
          </cell>
          <cell r="R4213">
            <v>0</v>
          </cell>
          <cell r="S4213">
            <v>0</v>
          </cell>
          <cell r="T4213">
            <v>1</v>
          </cell>
          <cell r="U4213" t="str">
            <v>n/a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</row>
        <row r="4214">
          <cell r="D4214">
            <v>303027</v>
          </cell>
          <cell r="E4214" t="str">
            <v>Medellin National Science and Technology School</v>
          </cell>
          <cell r="F4214">
            <v>1</v>
          </cell>
          <cell r="G4214">
            <v>0</v>
          </cell>
          <cell r="H4214">
            <v>1</v>
          </cell>
          <cell r="I4214">
            <v>0</v>
          </cell>
          <cell r="J4214">
            <v>0</v>
          </cell>
          <cell r="K4214">
            <v>1</v>
          </cell>
          <cell r="L4214">
            <v>0</v>
          </cell>
          <cell r="M4214">
            <v>0</v>
          </cell>
          <cell r="N4214">
            <v>1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1</v>
          </cell>
          <cell r="T4214">
            <v>0</v>
          </cell>
          <cell r="U4214">
            <v>0</v>
          </cell>
          <cell r="V4214">
            <v>1</v>
          </cell>
          <cell r="W4214">
            <v>0</v>
          </cell>
          <cell r="X4214">
            <v>0</v>
          </cell>
          <cell r="Y4214">
            <v>0</v>
          </cell>
        </row>
        <row r="4215">
          <cell r="D4215">
            <v>303213</v>
          </cell>
          <cell r="E4215" t="str">
            <v>Josefina T. Valencia National High School</v>
          </cell>
          <cell r="F4215">
            <v>1</v>
          </cell>
          <cell r="G4215">
            <v>0</v>
          </cell>
          <cell r="H4215">
            <v>1</v>
          </cell>
          <cell r="I4215">
            <v>0</v>
          </cell>
          <cell r="J4215">
            <v>0</v>
          </cell>
          <cell r="K4215">
            <v>1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1</v>
          </cell>
          <cell r="T4215">
            <v>0</v>
          </cell>
          <cell r="U4215">
            <v>0</v>
          </cell>
          <cell r="V4215">
            <v>1</v>
          </cell>
          <cell r="W4215">
            <v>3</v>
          </cell>
          <cell r="X4215">
            <v>3</v>
          </cell>
          <cell r="Y4215">
            <v>0</v>
          </cell>
        </row>
        <row r="4216">
          <cell r="D4216">
            <v>324801</v>
          </cell>
          <cell r="E4216" t="str">
            <v>Magsaysay National High School</v>
          </cell>
          <cell r="F4216">
            <v>0</v>
          </cell>
          <cell r="G4216">
            <v>0</v>
          </cell>
          <cell r="H4216">
            <v>1</v>
          </cell>
          <cell r="I4216">
            <v>0</v>
          </cell>
          <cell r="J4216">
            <v>0</v>
          </cell>
          <cell r="K4216">
            <v>1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</row>
        <row r="4217">
          <cell r="D4217">
            <v>324805</v>
          </cell>
          <cell r="E4217" t="str">
            <v>GNHS-Lip-o Extension</v>
          </cell>
          <cell r="F4217">
            <v>1</v>
          </cell>
          <cell r="G4217">
            <v>1</v>
          </cell>
          <cell r="H4217">
            <v>0</v>
          </cell>
          <cell r="I4217">
            <v>0</v>
          </cell>
          <cell r="J4217">
            <v>1</v>
          </cell>
          <cell r="K4217">
            <v>0</v>
          </cell>
          <cell r="L4217">
            <v>0</v>
          </cell>
          <cell r="M4217">
            <v>0</v>
          </cell>
          <cell r="N4217">
            <v>1</v>
          </cell>
          <cell r="O4217" t="str">
            <v>AUGUST 24,2019</v>
          </cell>
          <cell r="P4217" t="str">
            <v>AUGUST 24,2019</v>
          </cell>
          <cell r="Q4217">
            <v>0</v>
          </cell>
          <cell r="R4217">
            <v>1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</row>
        <row r="4218">
          <cell r="D4218">
            <v>312960</v>
          </cell>
          <cell r="E4218" t="str">
            <v>Pinucauan High School</v>
          </cell>
          <cell r="F4218">
            <v>1</v>
          </cell>
          <cell r="G4218">
            <v>1</v>
          </cell>
          <cell r="H4218">
            <v>1</v>
          </cell>
          <cell r="I4218">
            <v>0</v>
          </cell>
          <cell r="J4218">
            <v>0</v>
          </cell>
          <cell r="K4218">
            <v>1</v>
          </cell>
          <cell r="L4218">
            <v>0</v>
          </cell>
          <cell r="M4218">
            <v>0</v>
          </cell>
          <cell r="N4218">
            <v>0</v>
          </cell>
          <cell r="O4218">
            <v>43707</v>
          </cell>
          <cell r="P4218">
            <v>43728</v>
          </cell>
          <cell r="Q4218">
            <v>0</v>
          </cell>
          <cell r="R4218">
            <v>0</v>
          </cell>
          <cell r="S4218">
            <v>1</v>
          </cell>
          <cell r="T4218">
            <v>0</v>
          </cell>
          <cell r="U4218">
            <v>0</v>
          </cell>
          <cell r="V4218">
            <v>1</v>
          </cell>
          <cell r="W4218">
            <v>0</v>
          </cell>
          <cell r="X4218">
            <v>0</v>
          </cell>
          <cell r="Y4218">
            <v>0</v>
          </cell>
        </row>
        <row r="4219">
          <cell r="D4219">
            <v>324806</v>
          </cell>
          <cell r="E4219" t="str">
            <v>GNHS-P, Binobohan Annex</v>
          </cell>
          <cell r="F4219">
            <v>1</v>
          </cell>
          <cell r="G4219">
            <v>1</v>
          </cell>
          <cell r="H4219">
            <v>1</v>
          </cell>
          <cell r="I4219">
            <v>0</v>
          </cell>
          <cell r="J4219">
            <v>1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43403</v>
          </cell>
          <cell r="P4219">
            <v>43646</v>
          </cell>
          <cell r="Q4219">
            <v>1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1</v>
          </cell>
          <cell r="W4219">
            <v>0</v>
          </cell>
          <cell r="X4219">
            <v>0</v>
          </cell>
          <cell r="Y4219">
            <v>0</v>
          </cell>
        </row>
        <row r="4220">
          <cell r="D4220">
            <v>303233</v>
          </cell>
          <cell r="E4220" t="str">
            <v>Guihulngan NHS - Hilaitan</v>
          </cell>
          <cell r="F4220">
            <v>1</v>
          </cell>
          <cell r="G4220">
            <v>1</v>
          </cell>
          <cell r="H4220">
            <v>1</v>
          </cell>
          <cell r="I4220">
            <v>0</v>
          </cell>
          <cell r="J4220">
            <v>1</v>
          </cell>
          <cell r="K4220">
            <v>0</v>
          </cell>
          <cell r="L4220">
            <v>0</v>
          </cell>
          <cell r="M4220">
            <v>0</v>
          </cell>
          <cell r="N4220">
            <v>1</v>
          </cell>
          <cell r="O4220">
            <v>43342</v>
          </cell>
          <cell r="P4220">
            <v>43342</v>
          </cell>
          <cell r="Q4220">
            <v>1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4</v>
          </cell>
          <cell r="X4220">
            <v>4</v>
          </cell>
          <cell r="Y4220">
            <v>0</v>
          </cell>
        </row>
        <row r="4221">
          <cell r="D4221">
            <v>312952</v>
          </cell>
          <cell r="E4221" t="str">
            <v>Guihulngan National High School-Poblacion (Linantuyan Annex)</v>
          </cell>
          <cell r="F4221">
            <v>0</v>
          </cell>
          <cell r="G4221">
            <v>0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 t="str">
            <v>None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</row>
        <row r="4222">
          <cell r="D4222">
            <v>303505</v>
          </cell>
          <cell r="E4222" t="str">
            <v>Pedro E. Candido Memorial National High School</v>
          </cell>
          <cell r="F4222">
            <v>1</v>
          </cell>
          <cell r="G4222">
            <v>1</v>
          </cell>
          <cell r="H4222">
            <v>0</v>
          </cell>
          <cell r="I4222">
            <v>0</v>
          </cell>
          <cell r="J4222">
            <v>1</v>
          </cell>
          <cell r="K4222">
            <v>0</v>
          </cell>
          <cell r="L4222">
            <v>0</v>
          </cell>
          <cell r="M4222">
            <v>0</v>
          </cell>
          <cell r="N4222">
            <v>1</v>
          </cell>
          <cell r="O4222">
            <v>0</v>
          </cell>
          <cell r="P4222">
            <v>0</v>
          </cell>
          <cell r="Q4222">
            <v>0</v>
          </cell>
          <cell r="R4222">
            <v>1</v>
          </cell>
          <cell r="S4222">
            <v>0</v>
          </cell>
          <cell r="T4222">
            <v>0</v>
          </cell>
          <cell r="U4222">
            <v>0</v>
          </cell>
          <cell r="V4222">
            <v>1</v>
          </cell>
          <cell r="W4222">
            <v>1</v>
          </cell>
          <cell r="X4222">
            <v>0</v>
          </cell>
          <cell r="Y4222">
            <v>0</v>
          </cell>
        </row>
        <row r="4223">
          <cell r="D4223">
            <v>303529</v>
          </cell>
          <cell r="E4223" t="str">
            <v>Taft National High School</v>
          </cell>
          <cell r="F4223">
            <v>1</v>
          </cell>
          <cell r="G4223">
            <v>1</v>
          </cell>
          <cell r="H4223">
            <v>1</v>
          </cell>
          <cell r="I4223">
            <v>0</v>
          </cell>
          <cell r="J4223">
            <v>1</v>
          </cell>
          <cell r="K4223">
            <v>0</v>
          </cell>
          <cell r="L4223">
            <v>1</v>
          </cell>
          <cell r="M4223">
            <v>43692</v>
          </cell>
          <cell r="N4223">
            <v>1</v>
          </cell>
          <cell r="O4223">
            <v>0</v>
          </cell>
          <cell r="P4223">
            <v>0</v>
          </cell>
          <cell r="Q4223">
            <v>1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2</v>
          </cell>
          <cell r="X4223">
            <v>0</v>
          </cell>
          <cell r="Y4223">
            <v>0</v>
          </cell>
        </row>
        <row r="4224">
          <cell r="D4224">
            <v>303334</v>
          </cell>
          <cell r="E4224" t="str">
            <v>Viga National High School</v>
          </cell>
          <cell r="F4224">
            <v>1</v>
          </cell>
          <cell r="G4224">
            <v>0</v>
          </cell>
          <cell r="H4224">
            <v>1</v>
          </cell>
          <cell r="I4224">
            <v>0</v>
          </cell>
          <cell r="J4224">
            <v>0</v>
          </cell>
          <cell r="K4224">
            <v>1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</row>
        <row r="4225">
          <cell r="D4225">
            <v>303521</v>
          </cell>
          <cell r="E4225" t="str">
            <v>Quinapondan National High School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</row>
        <row r="4226">
          <cell r="D4226">
            <v>303464</v>
          </cell>
          <cell r="E4226" t="str">
            <v>Libhu National High School</v>
          </cell>
          <cell r="F4226">
            <v>0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</row>
        <row r="4227">
          <cell r="D4227">
            <v>323101</v>
          </cell>
          <cell r="E4227" t="str">
            <v>Ibarra National High School</v>
          </cell>
          <cell r="F4227">
            <v>1</v>
          </cell>
          <cell r="G4227">
            <v>0</v>
          </cell>
          <cell r="H4227">
            <v>1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</row>
        <row r="4228">
          <cell r="D4228">
            <v>303454</v>
          </cell>
          <cell r="E4228" t="str">
            <v>Dongon NHS</v>
          </cell>
          <cell r="F4228">
            <v>1</v>
          </cell>
          <cell r="G4228">
            <v>1</v>
          </cell>
          <cell r="H4228">
            <v>1</v>
          </cell>
          <cell r="I4228">
            <v>0</v>
          </cell>
          <cell r="J4228">
            <v>1</v>
          </cell>
          <cell r="K4228">
            <v>0</v>
          </cell>
          <cell r="L4228">
            <v>0</v>
          </cell>
          <cell r="M4228">
            <v>0</v>
          </cell>
          <cell r="N4228">
            <v>1</v>
          </cell>
          <cell r="O4228" t="str">
            <v>1ST QUARTER - JULY</v>
          </cell>
          <cell r="P4228" t="str">
            <v>JULY</v>
          </cell>
          <cell r="Q4228">
            <v>0</v>
          </cell>
          <cell r="R4228">
            <v>1</v>
          </cell>
          <cell r="S4228">
            <v>0</v>
          </cell>
          <cell r="T4228">
            <v>0</v>
          </cell>
          <cell r="U4228">
            <v>0</v>
          </cell>
          <cell r="V4228">
            <v>1</v>
          </cell>
          <cell r="W4228">
            <v>5</v>
          </cell>
          <cell r="X4228">
            <v>3</v>
          </cell>
          <cell r="Y4228">
            <v>0</v>
          </cell>
        </row>
        <row r="4229">
          <cell r="D4229">
            <v>303469</v>
          </cell>
          <cell r="E4229" t="str">
            <v>Manhilo National High School</v>
          </cell>
          <cell r="F4229">
            <v>1</v>
          </cell>
          <cell r="G4229">
            <v>1</v>
          </cell>
          <cell r="H4229">
            <v>1</v>
          </cell>
          <cell r="I4229">
            <v>0</v>
          </cell>
          <cell r="J4229">
            <v>1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 t="str">
            <v>last year</v>
          </cell>
          <cell r="P4229" t="str">
            <v>last year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1</v>
          </cell>
          <cell r="W4229">
            <v>0</v>
          </cell>
          <cell r="X4229">
            <v>0</v>
          </cell>
          <cell r="Y4229">
            <v>0</v>
          </cell>
        </row>
        <row r="4230">
          <cell r="D4230">
            <v>344781</v>
          </cell>
          <cell r="E4230" t="str">
            <v>Stand Alone SHS within San Rafael ES</v>
          </cell>
          <cell r="F4230">
            <v>1</v>
          </cell>
          <cell r="G4230">
            <v>0</v>
          </cell>
          <cell r="H4230">
            <v>1</v>
          </cell>
          <cell r="I4230">
            <v>0</v>
          </cell>
          <cell r="J4230">
            <v>0</v>
          </cell>
          <cell r="K4230">
            <v>1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1</v>
          </cell>
          <cell r="T4230">
            <v>0</v>
          </cell>
          <cell r="U4230">
            <v>0</v>
          </cell>
          <cell r="V4230">
            <v>0</v>
          </cell>
          <cell r="W4230">
            <v>1</v>
          </cell>
          <cell r="X4230">
            <v>0</v>
          </cell>
          <cell r="Y4230">
            <v>0</v>
          </cell>
        </row>
        <row r="4231">
          <cell r="D4231">
            <v>303474</v>
          </cell>
          <cell r="E4231" t="str">
            <v>Nonok Norte NHS</v>
          </cell>
          <cell r="F4231">
            <v>0</v>
          </cell>
          <cell r="G4231">
            <v>0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</row>
        <row r="4232">
          <cell r="D4232">
            <v>303467</v>
          </cell>
          <cell r="E4232" t="str">
            <v>Maasin Vocational High School</v>
          </cell>
          <cell r="F4232">
            <v>1</v>
          </cell>
          <cell r="G4232">
            <v>1</v>
          </cell>
          <cell r="H4232">
            <v>1</v>
          </cell>
          <cell r="I4232">
            <v>0</v>
          </cell>
          <cell r="J4232">
            <v>1</v>
          </cell>
          <cell r="K4232">
            <v>0</v>
          </cell>
          <cell r="L4232">
            <v>0</v>
          </cell>
          <cell r="M4232">
            <v>0</v>
          </cell>
          <cell r="N4232">
            <v>1</v>
          </cell>
          <cell r="O4232">
            <v>43617</v>
          </cell>
          <cell r="P4232">
            <v>0</v>
          </cell>
          <cell r="Q4232">
            <v>1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3</v>
          </cell>
          <cell r="X4232">
            <v>0</v>
          </cell>
          <cell r="Y4232">
            <v>0</v>
          </cell>
        </row>
        <row r="4233">
          <cell r="D4233">
            <v>313401</v>
          </cell>
          <cell r="E4233" t="str">
            <v>Maasin City NHS</v>
          </cell>
          <cell r="F4233">
            <v>1</v>
          </cell>
          <cell r="G4233">
            <v>0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</row>
        <row r="4234">
          <cell r="D4234">
            <v>303524</v>
          </cell>
          <cell r="E4234" t="str">
            <v>San Julian National High School</v>
          </cell>
          <cell r="F4234">
            <v>0</v>
          </cell>
          <cell r="G4234">
            <v>1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1</v>
          </cell>
          <cell r="M4234" t="str">
            <v>twice a year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1</v>
          </cell>
          <cell r="S4234">
            <v>0</v>
          </cell>
          <cell r="T4234">
            <v>0</v>
          </cell>
          <cell r="U4234">
            <v>0</v>
          </cell>
          <cell r="V4234">
            <v>1</v>
          </cell>
          <cell r="W4234">
            <v>0</v>
          </cell>
          <cell r="X4234">
            <v>0</v>
          </cell>
          <cell r="Y4234">
            <v>0</v>
          </cell>
        </row>
        <row r="4235">
          <cell r="D4235">
            <v>313509</v>
          </cell>
          <cell r="E4235" t="str">
            <v>Salcedo Vocational High School</v>
          </cell>
          <cell r="F4235">
            <v>0</v>
          </cell>
          <cell r="G4235">
            <v>0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</row>
        <row r="4236">
          <cell r="D4236">
            <v>303518</v>
          </cell>
          <cell r="E4236" t="str">
            <v>Mercedes National High School</v>
          </cell>
          <cell r="F4236">
            <v>1</v>
          </cell>
          <cell r="G4236">
            <v>0</v>
          </cell>
          <cell r="H4236">
            <v>1</v>
          </cell>
          <cell r="I4236">
            <v>0</v>
          </cell>
          <cell r="J4236">
            <v>1</v>
          </cell>
          <cell r="K4236">
            <v>0</v>
          </cell>
          <cell r="L4236">
            <v>0</v>
          </cell>
          <cell r="M4236">
            <v>0</v>
          </cell>
          <cell r="N4236">
            <v>1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</row>
        <row r="4237">
          <cell r="D4237">
            <v>303512</v>
          </cell>
          <cell r="E4237" t="str">
            <v>Lawaan National School of Craftsmanship and Home Industries</v>
          </cell>
          <cell r="F4237">
            <v>1</v>
          </cell>
          <cell r="G4237">
            <v>1</v>
          </cell>
          <cell r="H4237">
            <v>1</v>
          </cell>
          <cell r="I4237">
            <v>0</v>
          </cell>
          <cell r="J4237">
            <v>1</v>
          </cell>
          <cell r="K4237">
            <v>0</v>
          </cell>
          <cell r="L4237">
            <v>0</v>
          </cell>
          <cell r="M4237">
            <v>0</v>
          </cell>
          <cell r="N4237">
            <v>1</v>
          </cell>
          <cell r="O4237">
            <v>0</v>
          </cell>
          <cell r="P4237">
            <v>0</v>
          </cell>
          <cell r="Q4237">
            <v>0</v>
          </cell>
          <cell r="R4237">
            <v>1</v>
          </cell>
          <cell r="S4237">
            <v>0</v>
          </cell>
          <cell r="T4237">
            <v>0</v>
          </cell>
          <cell r="U4237">
            <v>0</v>
          </cell>
          <cell r="V4237">
            <v>1</v>
          </cell>
          <cell r="W4237">
            <v>0</v>
          </cell>
          <cell r="X4237">
            <v>0</v>
          </cell>
          <cell r="Y4237">
            <v>0</v>
          </cell>
        </row>
        <row r="4238">
          <cell r="D4238">
            <v>303377</v>
          </cell>
          <cell r="E4238" t="str">
            <v>Inopacan  National High School</v>
          </cell>
          <cell r="F4238">
            <v>1</v>
          </cell>
          <cell r="G4238">
            <v>1</v>
          </cell>
          <cell r="H4238">
            <v>1</v>
          </cell>
          <cell r="I4238">
            <v>0</v>
          </cell>
          <cell r="J4238">
            <v>1</v>
          </cell>
          <cell r="K4238">
            <v>0</v>
          </cell>
          <cell r="L4238">
            <v>0</v>
          </cell>
          <cell r="M4238">
            <v>0</v>
          </cell>
          <cell r="N4238">
            <v>1</v>
          </cell>
          <cell r="O4238">
            <v>43529</v>
          </cell>
          <cell r="P4238">
            <v>43529</v>
          </cell>
          <cell r="Q4238">
            <v>0</v>
          </cell>
          <cell r="R4238">
            <v>1</v>
          </cell>
          <cell r="S4238">
            <v>0</v>
          </cell>
          <cell r="T4238">
            <v>0</v>
          </cell>
          <cell r="U4238">
            <v>0</v>
          </cell>
          <cell r="V4238">
            <v>1</v>
          </cell>
          <cell r="W4238">
            <v>0</v>
          </cell>
          <cell r="X4238">
            <v>0</v>
          </cell>
          <cell r="Y4238">
            <v>0</v>
          </cell>
        </row>
        <row r="4239">
          <cell r="D4239">
            <v>303478</v>
          </cell>
          <cell r="E4239" t="str">
            <v>Pinut-an National High School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</row>
        <row r="4240">
          <cell r="D4240">
            <v>303502</v>
          </cell>
          <cell r="E4240" t="str">
            <v>Giporlos National Trade School</v>
          </cell>
          <cell r="F4240">
            <v>1</v>
          </cell>
          <cell r="G4240">
            <v>0</v>
          </cell>
          <cell r="H4240">
            <v>1</v>
          </cell>
          <cell r="I4240">
            <v>0</v>
          </cell>
          <cell r="J4240">
            <v>1</v>
          </cell>
          <cell r="K4240">
            <v>0</v>
          </cell>
          <cell r="L4240">
            <v>0</v>
          </cell>
          <cell r="M4240">
            <v>0</v>
          </cell>
          <cell r="N4240">
            <v>1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</row>
        <row r="4241">
          <cell r="D4241">
            <v>303449</v>
          </cell>
          <cell r="E4241" t="str">
            <v>Consolacion National High School</v>
          </cell>
          <cell r="F4241">
            <v>1</v>
          </cell>
          <cell r="G4241">
            <v>0</v>
          </cell>
          <cell r="H4241">
            <v>1</v>
          </cell>
          <cell r="I4241">
            <v>0</v>
          </cell>
          <cell r="J4241">
            <v>1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1</v>
          </cell>
          <cell r="S4241">
            <v>0</v>
          </cell>
          <cell r="T4241">
            <v>0</v>
          </cell>
          <cell r="U4241">
            <v>0</v>
          </cell>
          <cell r="V4241">
            <v>1</v>
          </cell>
          <cell r="W4241">
            <v>0</v>
          </cell>
          <cell r="X4241">
            <v>0</v>
          </cell>
          <cell r="Y4241">
            <v>0</v>
          </cell>
        </row>
        <row r="4242">
          <cell r="D4242">
            <v>303513</v>
          </cell>
          <cell r="E4242" t="str">
            <v>Llorente National High School</v>
          </cell>
          <cell r="F4242">
            <v>1</v>
          </cell>
          <cell r="G4242">
            <v>1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 t="str">
            <v>N/A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</row>
        <row r="4243">
          <cell r="D4243">
            <v>313307</v>
          </cell>
          <cell r="E4243" t="str">
            <v>Jugaban National High School</v>
          </cell>
          <cell r="F4243">
            <v>1</v>
          </cell>
          <cell r="G4243">
            <v>0</v>
          </cell>
          <cell r="H4243">
            <v>1</v>
          </cell>
          <cell r="I4243">
            <v>0</v>
          </cell>
          <cell r="J4243">
            <v>1</v>
          </cell>
          <cell r="K4243">
            <v>0</v>
          </cell>
          <cell r="L4243">
            <v>0</v>
          </cell>
          <cell r="M4243">
            <v>0</v>
          </cell>
          <cell r="N4243">
            <v>1</v>
          </cell>
          <cell r="O4243" t="str">
            <v>Aug. 17, 2019</v>
          </cell>
          <cell r="P4243" t="str">
            <v>Jul. 18, 2019</v>
          </cell>
          <cell r="Q4243">
            <v>0</v>
          </cell>
          <cell r="R4243">
            <v>1</v>
          </cell>
          <cell r="S4243">
            <v>0</v>
          </cell>
          <cell r="T4243">
            <v>0</v>
          </cell>
          <cell r="U4243">
            <v>0</v>
          </cell>
          <cell r="V4243">
            <v>1</v>
          </cell>
          <cell r="W4243">
            <v>2</v>
          </cell>
          <cell r="X4243">
            <v>0</v>
          </cell>
          <cell r="Y4243">
            <v>0</v>
          </cell>
        </row>
        <row r="4244">
          <cell r="D4244">
            <v>313403</v>
          </cell>
          <cell r="E4244" t="str">
            <v>Bontoc National High School</v>
          </cell>
          <cell r="F4244">
            <v>1</v>
          </cell>
          <cell r="G4244">
            <v>1</v>
          </cell>
          <cell r="H4244">
            <v>1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1</v>
          </cell>
          <cell r="O4244">
            <v>43676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1</v>
          </cell>
          <cell r="U4244" t="str">
            <v>none</v>
          </cell>
          <cell r="V4244">
            <v>0</v>
          </cell>
          <cell r="W4244">
            <v>1</v>
          </cell>
          <cell r="X4244">
            <v>0</v>
          </cell>
          <cell r="Y4244">
            <v>0</v>
          </cell>
        </row>
        <row r="4245">
          <cell r="D4245">
            <v>303490</v>
          </cell>
          <cell r="E4245" t="str">
            <v>Tambis NHS</v>
          </cell>
          <cell r="F4245">
            <v>1</v>
          </cell>
          <cell r="G4245">
            <v>1</v>
          </cell>
          <cell r="H4245">
            <v>1</v>
          </cell>
          <cell r="I4245">
            <v>0</v>
          </cell>
          <cell r="J4245">
            <v>1</v>
          </cell>
          <cell r="K4245">
            <v>0</v>
          </cell>
          <cell r="L4245">
            <v>0</v>
          </cell>
          <cell r="M4245">
            <v>0</v>
          </cell>
          <cell r="N4245">
            <v>1</v>
          </cell>
          <cell r="O4245">
            <v>0</v>
          </cell>
          <cell r="P4245">
            <v>0</v>
          </cell>
          <cell r="Q4245">
            <v>1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1</v>
          </cell>
          <cell r="W4245">
            <v>0</v>
          </cell>
          <cell r="X4245">
            <v>0</v>
          </cell>
          <cell r="Y4245">
            <v>0</v>
          </cell>
        </row>
        <row r="4246">
          <cell r="D4246">
            <v>303402</v>
          </cell>
          <cell r="E4246" t="str">
            <v>Marao National High School</v>
          </cell>
          <cell r="F4246">
            <v>1</v>
          </cell>
          <cell r="G4246">
            <v>0</v>
          </cell>
          <cell r="H4246">
            <v>1</v>
          </cell>
          <cell r="I4246">
            <v>0</v>
          </cell>
          <cell r="J4246">
            <v>1</v>
          </cell>
          <cell r="K4246">
            <v>0</v>
          </cell>
          <cell r="L4246">
            <v>0</v>
          </cell>
          <cell r="M4246">
            <v>0</v>
          </cell>
          <cell r="N4246">
            <v>1</v>
          </cell>
          <cell r="O4246" t="str">
            <v>06/21/2019</v>
          </cell>
          <cell r="P4246" t="str">
            <v>07/19/2019</v>
          </cell>
          <cell r="Q4246">
            <v>1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1</v>
          </cell>
          <cell r="W4246">
            <v>0</v>
          </cell>
          <cell r="X4246">
            <v>0</v>
          </cell>
          <cell r="Y4246">
            <v>0</v>
          </cell>
        </row>
        <row r="4247">
          <cell r="D4247">
            <v>313502</v>
          </cell>
          <cell r="E4247" t="str">
            <v>Southern Samar National Comprehensive High School</v>
          </cell>
          <cell r="F4247">
            <v>0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</row>
        <row r="4248">
          <cell r="D4248">
            <v>313811</v>
          </cell>
          <cell r="E4248" t="str">
            <v>Malaga NHS - Pena I Annex School</v>
          </cell>
          <cell r="F4248">
            <v>1</v>
          </cell>
          <cell r="G4248">
            <v>0</v>
          </cell>
          <cell r="H4248">
            <v>1</v>
          </cell>
          <cell r="I4248">
            <v>0</v>
          </cell>
          <cell r="J4248">
            <v>1</v>
          </cell>
          <cell r="K4248">
            <v>0</v>
          </cell>
          <cell r="L4248">
            <v>0</v>
          </cell>
          <cell r="M4248">
            <v>0</v>
          </cell>
          <cell r="N4248">
            <v>1</v>
          </cell>
          <cell r="O4248" t="str">
            <v>August, 2019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</row>
        <row r="4249">
          <cell r="D4249">
            <v>303455</v>
          </cell>
          <cell r="E4249" t="str">
            <v>Esperanza National High School</v>
          </cell>
          <cell r="F4249">
            <v>1</v>
          </cell>
          <cell r="G4249">
            <v>1</v>
          </cell>
          <cell r="H4249">
            <v>1</v>
          </cell>
          <cell r="I4249">
            <v>0</v>
          </cell>
          <cell r="J4249">
            <v>1</v>
          </cell>
          <cell r="K4249">
            <v>0</v>
          </cell>
          <cell r="L4249">
            <v>0</v>
          </cell>
          <cell r="M4249">
            <v>0</v>
          </cell>
          <cell r="N4249">
            <v>1</v>
          </cell>
          <cell r="O4249">
            <v>43732</v>
          </cell>
          <cell r="P4249">
            <v>0</v>
          </cell>
          <cell r="Q4249">
            <v>0</v>
          </cell>
          <cell r="R4249">
            <v>1</v>
          </cell>
          <cell r="S4249">
            <v>0</v>
          </cell>
          <cell r="T4249">
            <v>0</v>
          </cell>
          <cell r="U4249">
            <v>0</v>
          </cell>
          <cell r="V4249">
            <v>1</v>
          </cell>
          <cell r="W4249">
            <v>0</v>
          </cell>
          <cell r="X4249">
            <v>0</v>
          </cell>
          <cell r="Y4249">
            <v>0</v>
          </cell>
        </row>
        <row r="4250">
          <cell r="D4250">
            <v>302079</v>
          </cell>
          <cell r="E4250" t="str">
            <v>Padre Burgos National Technical Vocational High School</v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1</v>
          </cell>
          <cell r="M4250" t="str">
            <v>not chosen yet</v>
          </cell>
          <cell r="N4250">
            <v>0</v>
          </cell>
          <cell r="O4250" t="str">
            <v>none</v>
          </cell>
          <cell r="P4250" t="str">
            <v>none</v>
          </cell>
          <cell r="Q4250">
            <v>0</v>
          </cell>
          <cell r="R4250">
            <v>0</v>
          </cell>
          <cell r="S4250">
            <v>0</v>
          </cell>
          <cell r="T4250">
            <v>1</v>
          </cell>
          <cell r="U4250" t="str">
            <v>none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</row>
        <row r="4251">
          <cell r="D4251">
            <v>303374</v>
          </cell>
          <cell r="E4251" t="str">
            <v>Hilongos National Vocational School</v>
          </cell>
          <cell r="F4251">
            <v>1</v>
          </cell>
          <cell r="G4251">
            <v>1</v>
          </cell>
          <cell r="H4251">
            <v>1</v>
          </cell>
          <cell r="I4251">
            <v>0</v>
          </cell>
          <cell r="J4251">
            <v>0</v>
          </cell>
          <cell r="K4251">
            <v>0</v>
          </cell>
          <cell r="L4251">
            <v>1</v>
          </cell>
          <cell r="M4251">
            <v>0</v>
          </cell>
          <cell r="N4251">
            <v>1</v>
          </cell>
          <cell r="O4251">
            <v>0</v>
          </cell>
          <cell r="P4251">
            <v>0</v>
          </cell>
          <cell r="Q4251">
            <v>0</v>
          </cell>
          <cell r="R4251">
            <v>1</v>
          </cell>
          <cell r="S4251">
            <v>0</v>
          </cell>
          <cell r="T4251">
            <v>0</v>
          </cell>
          <cell r="U4251">
            <v>0</v>
          </cell>
          <cell r="V4251">
            <v>1</v>
          </cell>
          <cell r="W4251">
            <v>0</v>
          </cell>
          <cell r="X4251">
            <v>0</v>
          </cell>
          <cell r="Y4251">
            <v>0</v>
          </cell>
        </row>
        <row r="4252">
          <cell r="D4252">
            <v>303523</v>
          </cell>
          <cell r="E4252" t="str">
            <v>Samar National Pilot Opportunity School of Agriculture</v>
          </cell>
          <cell r="F4252">
            <v>1</v>
          </cell>
          <cell r="G4252">
            <v>0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</row>
        <row r="4253">
          <cell r="D4253">
            <v>303460</v>
          </cell>
          <cell r="E4253" t="str">
            <v>Himbangan National High School</v>
          </cell>
          <cell r="F4253">
            <v>0</v>
          </cell>
          <cell r="G4253">
            <v>0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</row>
        <row r="4254">
          <cell r="D4254">
            <v>303466</v>
          </cell>
          <cell r="E4254" t="str">
            <v>Lungsodaan National High School</v>
          </cell>
          <cell r="F4254">
            <v>1</v>
          </cell>
          <cell r="G4254">
            <v>1</v>
          </cell>
          <cell r="H4254">
            <v>1</v>
          </cell>
          <cell r="I4254">
            <v>0</v>
          </cell>
          <cell r="J4254">
            <v>1</v>
          </cell>
          <cell r="K4254">
            <v>0</v>
          </cell>
          <cell r="L4254">
            <v>0</v>
          </cell>
          <cell r="M4254">
            <v>0</v>
          </cell>
          <cell r="N4254">
            <v>1</v>
          </cell>
          <cell r="O4254">
            <v>0</v>
          </cell>
          <cell r="P4254" t="str">
            <v>09/26/2019</v>
          </cell>
          <cell r="Q4254">
            <v>0</v>
          </cell>
          <cell r="R4254">
            <v>1</v>
          </cell>
          <cell r="S4254">
            <v>0</v>
          </cell>
          <cell r="T4254">
            <v>0</v>
          </cell>
          <cell r="U4254">
            <v>0</v>
          </cell>
          <cell r="V4254">
            <v>1</v>
          </cell>
          <cell r="W4254">
            <v>1</v>
          </cell>
          <cell r="X4254">
            <v>0</v>
          </cell>
          <cell r="Y4254">
            <v>0</v>
          </cell>
        </row>
        <row r="4255">
          <cell r="D4255">
            <v>303483</v>
          </cell>
          <cell r="E4255" t="str">
            <v>San Ricardo National High School</v>
          </cell>
          <cell r="F4255">
            <v>0</v>
          </cell>
          <cell r="G4255">
            <v>0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1</v>
          </cell>
          <cell r="M4255" t="str">
            <v>NA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1</v>
          </cell>
          <cell r="U4255" t="str">
            <v>NA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</row>
        <row r="4256">
          <cell r="D4256">
            <v>313407</v>
          </cell>
          <cell r="E4256" t="str">
            <v>New Guinsaugon National High School</v>
          </cell>
          <cell r="F4256">
            <v>1</v>
          </cell>
          <cell r="G4256">
            <v>1</v>
          </cell>
          <cell r="H4256">
            <v>1</v>
          </cell>
          <cell r="I4256">
            <v>1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1</v>
          </cell>
          <cell r="X4256">
            <v>0</v>
          </cell>
          <cell r="Y4256">
            <v>0</v>
          </cell>
        </row>
        <row r="4257">
          <cell r="D4257">
            <v>303481</v>
          </cell>
          <cell r="E4257" t="str">
            <v>San Juan NHS</v>
          </cell>
          <cell r="F4257">
            <v>0</v>
          </cell>
          <cell r="G4257">
            <v>0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</row>
        <row r="4258">
          <cell r="D4258">
            <v>303456</v>
          </cell>
          <cell r="E4258" t="str">
            <v>Estela National High School</v>
          </cell>
          <cell r="F4258">
            <v>1</v>
          </cell>
          <cell r="G4258">
            <v>1</v>
          </cell>
          <cell r="H4258">
            <v>0</v>
          </cell>
          <cell r="I4258">
            <v>0</v>
          </cell>
          <cell r="J4258">
            <v>1</v>
          </cell>
          <cell r="K4258">
            <v>0</v>
          </cell>
          <cell r="L4258">
            <v>0</v>
          </cell>
          <cell r="M4258">
            <v>0</v>
          </cell>
          <cell r="N4258">
            <v>1</v>
          </cell>
          <cell r="O4258" t="str">
            <v>6/17/2019</v>
          </cell>
          <cell r="P4258" t="str">
            <v>6/18/2019</v>
          </cell>
          <cell r="Q4258">
            <v>0</v>
          </cell>
          <cell r="R4258">
            <v>0</v>
          </cell>
          <cell r="S4258">
            <v>1</v>
          </cell>
          <cell r="T4258">
            <v>0</v>
          </cell>
          <cell r="U4258">
            <v>0</v>
          </cell>
          <cell r="V4258">
            <v>1</v>
          </cell>
          <cell r="W4258">
            <v>0</v>
          </cell>
          <cell r="X4258">
            <v>0</v>
          </cell>
          <cell r="Y4258">
            <v>0</v>
          </cell>
        </row>
        <row r="4259">
          <cell r="D4259">
            <v>303364</v>
          </cell>
          <cell r="E4259" t="str">
            <v>Conalum National High School</v>
          </cell>
          <cell r="F4259">
            <v>1</v>
          </cell>
          <cell r="G4259">
            <v>1</v>
          </cell>
          <cell r="H4259">
            <v>1</v>
          </cell>
          <cell r="I4259">
            <v>0</v>
          </cell>
          <cell r="J4259">
            <v>0</v>
          </cell>
          <cell r="K4259">
            <v>1</v>
          </cell>
          <cell r="L4259">
            <v>0</v>
          </cell>
          <cell r="M4259">
            <v>0</v>
          </cell>
          <cell r="N4259">
            <v>1</v>
          </cell>
          <cell r="O4259">
            <v>0</v>
          </cell>
          <cell r="P4259">
            <v>43624</v>
          </cell>
          <cell r="Q4259">
            <v>1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</row>
        <row r="4260">
          <cell r="D4260">
            <v>303447</v>
          </cell>
          <cell r="E4260" t="str">
            <v>Hinunangan National High School</v>
          </cell>
          <cell r="F4260">
            <v>1</v>
          </cell>
          <cell r="G4260">
            <v>1</v>
          </cell>
          <cell r="H4260">
            <v>1</v>
          </cell>
          <cell r="I4260">
            <v>0</v>
          </cell>
          <cell r="J4260">
            <v>1</v>
          </cell>
          <cell r="K4260">
            <v>0</v>
          </cell>
          <cell r="L4260">
            <v>0</v>
          </cell>
          <cell r="M4260">
            <v>0</v>
          </cell>
          <cell r="N4260">
            <v>1</v>
          </cell>
          <cell r="O4260">
            <v>0</v>
          </cell>
          <cell r="P4260">
            <v>43717</v>
          </cell>
          <cell r="Q4260">
            <v>0</v>
          </cell>
          <cell r="R4260">
            <v>1</v>
          </cell>
          <cell r="S4260">
            <v>0</v>
          </cell>
          <cell r="T4260">
            <v>0</v>
          </cell>
          <cell r="U4260">
            <v>0</v>
          </cell>
          <cell r="V4260">
            <v>1</v>
          </cell>
          <cell r="W4260">
            <v>0</v>
          </cell>
          <cell r="X4260">
            <v>0</v>
          </cell>
          <cell r="Y4260">
            <v>0</v>
          </cell>
        </row>
        <row r="4261">
          <cell r="D4261">
            <v>303418</v>
          </cell>
          <cell r="E4261" t="str">
            <v>Pinamopoan National High School</v>
          </cell>
          <cell r="F4261">
            <v>0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1</v>
          </cell>
          <cell r="X4261">
            <v>0</v>
          </cell>
          <cell r="Y4261">
            <v>0</v>
          </cell>
        </row>
        <row r="4262">
          <cell r="D4262">
            <v>303462</v>
          </cell>
          <cell r="E4262" t="str">
            <v>Ichon National High School</v>
          </cell>
          <cell r="F4262">
            <v>1</v>
          </cell>
          <cell r="G4262">
            <v>1</v>
          </cell>
          <cell r="H4262">
            <v>0</v>
          </cell>
          <cell r="I4262">
            <v>0</v>
          </cell>
          <cell r="J4262">
            <v>1</v>
          </cell>
          <cell r="K4262">
            <v>1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</row>
        <row r="4263">
          <cell r="D4263">
            <v>313204</v>
          </cell>
          <cell r="E4263" t="str">
            <v>Naval Night High School</v>
          </cell>
          <cell r="F4263">
            <v>0</v>
          </cell>
          <cell r="G4263">
            <v>0</v>
          </cell>
          <cell r="H4263">
            <v>1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</row>
        <row r="4264">
          <cell r="D4264">
            <v>303434</v>
          </cell>
          <cell r="E4264" t="str">
            <v>Tabango National High School</v>
          </cell>
          <cell r="F4264">
            <v>1</v>
          </cell>
          <cell r="G4264">
            <v>1</v>
          </cell>
          <cell r="H4264">
            <v>0</v>
          </cell>
          <cell r="I4264">
            <v>0</v>
          </cell>
          <cell r="J4264">
            <v>0</v>
          </cell>
          <cell r="K4264">
            <v>1</v>
          </cell>
          <cell r="L4264">
            <v>0</v>
          </cell>
          <cell r="M4264">
            <v>0</v>
          </cell>
          <cell r="N4264">
            <v>1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1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</row>
        <row r="4265">
          <cell r="D4265">
            <v>303335</v>
          </cell>
          <cell r="E4265" t="str">
            <v>Abuyog National High School</v>
          </cell>
          <cell r="F4265">
            <v>1</v>
          </cell>
          <cell r="G4265">
            <v>0</v>
          </cell>
          <cell r="H4265">
            <v>1</v>
          </cell>
          <cell r="I4265">
            <v>0</v>
          </cell>
          <cell r="J4265">
            <v>1</v>
          </cell>
          <cell r="K4265">
            <v>0</v>
          </cell>
          <cell r="L4265">
            <v>0</v>
          </cell>
          <cell r="M4265">
            <v>0</v>
          </cell>
          <cell r="N4265">
            <v>1</v>
          </cell>
          <cell r="O4265" t="str">
            <v xml:space="preserve">August 9, 2019 </v>
          </cell>
          <cell r="P4265" t="str">
            <v>July 31, 2019</v>
          </cell>
          <cell r="Q4265">
            <v>1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1</v>
          </cell>
          <cell r="W4265">
            <v>0</v>
          </cell>
          <cell r="X4265">
            <v>0</v>
          </cell>
          <cell r="Y4265">
            <v>0</v>
          </cell>
        </row>
        <row r="4266">
          <cell r="D4266">
            <v>303444</v>
          </cell>
          <cell r="E4266" t="str">
            <v>Anahawan National Vocational High Schoolchool</v>
          </cell>
          <cell r="F4266">
            <v>1</v>
          </cell>
          <cell r="G4266">
            <v>1</v>
          </cell>
          <cell r="H4266">
            <v>1</v>
          </cell>
          <cell r="I4266">
            <v>0</v>
          </cell>
          <cell r="J4266">
            <v>0</v>
          </cell>
          <cell r="K4266">
            <v>1</v>
          </cell>
          <cell r="L4266">
            <v>0</v>
          </cell>
          <cell r="M4266">
            <v>0</v>
          </cell>
          <cell r="N4266">
            <v>1</v>
          </cell>
          <cell r="O4266">
            <v>43720</v>
          </cell>
          <cell r="P4266">
            <v>43720</v>
          </cell>
          <cell r="Q4266">
            <v>1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1</v>
          </cell>
          <cell r="W4266">
            <v>0</v>
          </cell>
          <cell r="X4266">
            <v>0</v>
          </cell>
          <cell r="Y4266">
            <v>0</v>
          </cell>
        </row>
        <row r="4267">
          <cell r="D4267">
            <v>303508</v>
          </cell>
          <cell r="E4267" t="str">
            <v>Homonhon National High School</v>
          </cell>
          <cell r="F4267">
            <v>0</v>
          </cell>
          <cell r="G4267">
            <v>0</v>
          </cell>
          <cell r="H4267">
            <v>1</v>
          </cell>
          <cell r="I4267">
            <v>0</v>
          </cell>
          <cell r="J4267">
            <v>0</v>
          </cell>
          <cell r="K4267">
            <v>1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43731</v>
          </cell>
          <cell r="Q4267">
            <v>0</v>
          </cell>
          <cell r="R4267">
            <v>1</v>
          </cell>
          <cell r="S4267">
            <v>0</v>
          </cell>
          <cell r="T4267">
            <v>0</v>
          </cell>
          <cell r="U4267">
            <v>0</v>
          </cell>
          <cell r="V4267">
            <v>1</v>
          </cell>
          <cell r="W4267">
            <v>0</v>
          </cell>
          <cell r="X4267">
            <v>0</v>
          </cell>
          <cell r="Y4267">
            <v>0</v>
          </cell>
        </row>
        <row r="4268">
          <cell r="D4268">
            <v>303472</v>
          </cell>
          <cell r="E4268" t="str">
            <v>Rito Monte de Ramos Sr. MHS (Nahaong NHS)</v>
          </cell>
          <cell r="F4268">
            <v>1</v>
          </cell>
          <cell r="G4268">
            <v>1</v>
          </cell>
          <cell r="H4268">
            <v>1</v>
          </cell>
          <cell r="I4268">
            <v>0</v>
          </cell>
          <cell r="J4268">
            <v>1</v>
          </cell>
          <cell r="K4268">
            <v>0</v>
          </cell>
          <cell r="L4268">
            <v>0</v>
          </cell>
          <cell r="M4268">
            <v>0</v>
          </cell>
          <cell r="N4268">
            <v>1</v>
          </cell>
          <cell r="O4268">
            <v>0</v>
          </cell>
          <cell r="P4268">
            <v>43656</v>
          </cell>
          <cell r="Q4268">
            <v>0</v>
          </cell>
          <cell r="R4268">
            <v>1</v>
          </cell>
          <cell r="S4268">
            <v>0</v>
          </cell>
          <cell r="T4268">
            <v>0</v>
          </cell>
          <cell r="U4268">
            <v>0</v>
          </cell>
          <cell r="V4268">
            <v>1</v>
          </cell>
          <cell r="W4268">
            <v>0</v>
          </cell>
          <cell r="X4268">
            <v>0</v>
          </cell>
          <cell r="Y4268">
            <v>0</v>
          </cell>
        </row>
        <row r="4269">
          <cell r="D4269">
            <v>303493</v>
          </cell>
          <cell r="E4269" t="str">
            <v>Alugan National School of Craftsmanship and Home Industries</v>
          </cell>
          <cell r="F4269">
            <v>0</v>
          </cell>
          <cell r="G4269">
            <v>0</v>
          </cell>
          <cell r="H4269">
            <v>0</v>
          </cell>
          <cell r="I4269">
            <v>0</v>
          </cell>
          <cell r="J4269">
            <v>0</v>
          </cell>
          <cell r="K4269">
            <v>1</v>
          </cell>
          <cell r="L4269">
            <v>0</v>
          </cell>
          <cell r="M4269">
            <v>0</v>
          </cell>
          <cell r="N4269">
            <v>1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1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</row>
        <row r="4270">
          <cell r="D4270">
            <v>303387</v>
          </cell>
          <cell r="E4270" t="str">
            <v>Leyte Agro-Industrial School</v>
          </cell>
          <cell r="F4270">
            <v>1</v>
          </cell>
          <cell r="G4270">
            <v>1</v>
          </cell>
          <cell r="H4270">
            <v>1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1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</row>
        <row r="4271">
          <cell r="D4271">
            <v>303459</v>
          </cell>
          <cell r="E4271" t="str">
            <v>Himay-angan NHS</v>
          </cell>
          <cell r="F4271">
            <v>1</v>
          </cell>
          <cell r="G4271">
            <v>0</v>
          </cell>
          <cell r="H4271">
            <v>0</v>
          </cell>
          <cell r="I4271">
            <v>0</v>
          </cell>
          <cell r="J4271">
            <v>1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1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1</v>
          </cell>
          <cell r="W4271">
            <v>1</v>
          </cell>
          <cell r="X4271">
            <v>1</v>
          </cell>
          <cell r="Y4271">
            <v>0</v>
          </cell>
        </row>
        <row r="4272">
          <cell r="D4272">
            <v>313801</v>
          </cell>
          <cell r="E4272" t="str">
            <v>Calbayog City National High School</v>
          </cell>
          <cell r="F4272">
            <v>1</v>
          </cell>
          <cell r="G4272">
            <v>1</v>
          </cell>
          <cell r="H4272">
            <v>1</v>
          </cell>
          <cell r="I4272">
            <v>0</v>
          </cell>
          <cell r="J4272">
            <v>1</v>
          </cell>
          <cell r="K4272">
            <v>0</v>
          </cell>
          <cell r="L4272">
            <v>0</v>
          </cell>
          <cell r="M4272">
            <v>0</v>
          </cell>
          <cell r="N4272">
            <v>1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1</v>
          </cell>
          <cell r="T4272">
            <v>0</v>
          </cell>
          <cell r="U4272">
            <v>0</v>
          </cell>
          <cell r="V4272">
            <v>1</v>
          </cell>
          <cell r="W4272">
            <v>0</v>
          </cell>
          <cell r="X4272">
            <v>0</v>
          </cell>
          <cell r="Y4272">
            <v>0</v>
          </cell>
        </row>
        <row r="4273">
          <cell r="D4273">
            <v>303576</v>
          </cell>
          <cell r="E4273" t="str">
            <v>San Antonio NHS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</row>
        <row r="4274">
          <cell r="D4274">
            <v>303389</v>
          </cell>
          <cell r="E4274" t="str">
            <v>Villaba National High School (LNCAST)</v>
          </cell>
          <cell r="F4274">
            <v>1</v>
          </cell>
          <cell r="G4274">
            <v>1</v>
          </cell>
          <cell r="H4274">
            <v>1</v>
          </cell>
          <cell r="I4274">
            <v>0</v>
          </cell>
          <cell r="J4274">
            <v>1</v>
          </cell>
          <cell r="K4274">
            <v>0</v>
          </cell>
          <cell r="L4274">
            <v>0</v>
          </cell>
          <cell r="M4274">
            <v>0</v>
          </cell>
          <cell r="N4274">
            <v>1</v>
          </cell>
          <cell r="O4274" t="str">
            <v>June 14, 2019</v>
          </cell>
          <cell r="P4274" t="str">
            <v>June 14, 2019</v>
          </cell>
          <cell r="Q4274">
            <v>0</v>
          </cell>
          <cell r="R4274">
            <v>0</v>
          </cell>
          <cell r="S4274">
            <v>1</v>
          </cell>
          <cell r="T4274">
            <v>0</v>
          </cell>
          <cell r="U4274">
            <v>0</v>
          </cell>
          <cell r="V4274">
            <v>1</v>
          </cell>
          <cell r="W4274">
            <v>0</v>
          </cell>
          <cell r="X4274">
            <v>0</v>
          </cell>
          <cell r="Y4274">
            <v>0</v>
          </cell>
        </row>
        <row r="4275">
          <cell r="D4275">
            <v>303476</v>
          </cell>
          <cell r="E4275" t="str">
            <v>Pintuyan National High School</v>
          </cell>
          <cell r="F4275">
            <v>1</v>
          </cell>
          <cell r="G4275">
            <v>0</v>
          </cell>
          <cell r="H4275">
            <v>1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1</v>
          </cell>
          <cell r="O4275">
            <v>0</v>
          </cell>
          <cell r="P4275">
            <v>0</v>
          </cell>
          <cell r="Q4275">
            <v>0</v>
          </cell>
          <cell r="R4275">
            <v>1</v>
          </cell>
          <cell r="S4275">
            <v>0</v>
          </cell>
          <cell r="T4275">
            <v>0</v>
          </cell>
          <cell r="U4275">
            <v>0</v>
          </cell>
          <cell r="V4275">
            <v>1</v>
          </cell>
          <cell r="W4275">
            <v>0</v>
          </cell>
          <cell r="X4275">
            <v>0</v>
          </cell>
          <cell r="Y4275">
            <v>0</v>
          </cell>
        </row>
        <row r="4276">
          <cell r="D4276">
            <v>313514</v>
          </cell>
          <cell r="E4276" t="str">
            <v>Maydolong National High School</v>
          </cell>
          <cell r="F4276">
            <v>0</v>
          </cell>
          <cell r="G4276">
            <v>0</v>
          </cell>
          <cell r="H4276">
            <v>1</v>
          </cell>
          <cell r="I4276">
            <v>0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N4276">
            <v>1</v>
          </cell>
          <cell r="O4276">
            <v>0</v>
          </cell>
          <cell r="P4276" t="str">
            <v>N/A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</row>
        <row r="4277">
          <cell r="D4277">
            <v>303477</v>
          </cell>
          <cell r="E4277" t="str">
            <v>Pintuyan National Vocational High School</v>
          </cell>
          <cell r="F4277">
            <v>1</v>
          </cell>
          <cell r="G4277">
            <v>1</v>
          </cell>
          <cell r="H4277">
            <v>1</v>
          </cell>
          <cell r="I4277">
            <v>1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1</v>
          </cell>
          <cell r="O4277">
            <v>43620</v>
          </cell>
          <cell r="P4277">
            <v>43761</v>
          </cell>
          <cell r="Q4277">
            <v>1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1</v>
          </cell>
          <cell r="W4277">
            <v>3</v>
          </cell>
          <cell r="X4277">
            <v>0</v>
          </cell>
          <cell r="Y4277">
            <v>0</v>
          </cell>
        </row>
        <row r="4278">
          <cell r="D4278">
            <v>303346</v>
          </cell>
          <cell r="E4278" t="str">
            <v>Bato National High School</v>
          </cell>
          <cell r="F4278">
            <v>1</v>
          </cell>
          <cell r="G4278">
            <v>0</v>
          </cell>
          <cell r="H4278">
            <v>1</v>
          </cell>
          <cell r="I4278">
            <v>0</v>
          </cell>
          <cell r="J4278">
            <v>0</v>
          </cell>
          <cell r="K4278">
            <v>1</v>
          </cell>
          <cell r="L4278">
            <v>0</v>
          </cell>
          <cell r="M4278">
            <v>0</v>
          </cell>
          <cell r="N4278">
            <v>1</v>
          </cell>
          <cell r="O4278">
            <v>43617</v>
          </cell>
          <cell r="P4278" t="str">
            <v>n/a</v>
          </cell>
          <cell r="Q4278">
            <v>0</v>
          </cell>
          <cell r="R4278">
            <v>1</v>
          </cell>
          <cell r="S4278">
            <v>0</v>
          </cell>
          <cell r="T4278">
            <v>0</v>
          </cell>
          <cell r="U4278">
            <v>0</v>
          </cell>
          <cell r="V4278">
            <v>1</v>
          </cell>
          <cell r="W4278">
            <v>0</v>
          </cell>
          <cell r="X4278">
            <v>0</v>
          </cell>
          <cell r="Y4278">
            <v>0</v>
          </cell>
        </row>
        <row r="4279">
          <cell r="D4279">
            <v>303501</v>
          </cell>
          <cell r="E4279" t="str">
            <v>Gen. MacArthur National Agricultural School</v>
          </cell>
          <cell r="F4279">
            <v>1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</row>
        <row r="4280">
          <cell r="D4280">
            <v>303470</v>
          </cell>
          <cell r="E4280" t="str">
            <v>Marayag National High School</v>
          </cell>
          <cell r="F4280">
            <v>1</v>
          </cell>
          <cell r="G4280">
            <v>1</v>
          </cell>
          <cell r="H4280">
            <v>1</v>
          </cell>
          <cell r="I4280">
            <v>0</v>
          </cell>
          <cell r="J4280">
            <v>1</v>
          </cell>
          <cell r="K4280">
            <v>0</v>
          </cell>
          <cell r="L4280">
            <v>0</v>
          </cell>
          <cell r="M4280">
            <v>0</v>
          </cell>
          <cell r="N4280">
            <v>1</v>
          </cell>
          <cell r="O4280" t="str">
            <v>JUNE 28, 2019</v>
          </cell>
          <cell r="P4280" t="str">
            <v>NONE</v>
          </cell>
          <cell r="Q4280">
            <v>0</v>
          </cell>
          <cell r="R4280">
            <v>1</v>
          </cell>
          <cell r="S4280">
            <v>0</v>
          </cell>
          <cell r="T4280">
            <v>0</v>
          </cell>
          <cell r="U4280">
            <v>0</v>
          </cell>
          <cell r="V4280">
            <v>1</v>
          </cell>
          <cell r="W4280">
            <v>3</v>
          </cell>
          <cell r="X4280">
            <v>3</v>
          </cell>
          <cell r="Y4280">
            <v>3</v>
          </cell>
        </row>
        <row r="4281">
          <cell r="D4281">
            <v>303499</v>
          </cell>
          <cell r="E4281" t="str">
            <v>Dolores National High School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1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 t="str">
            <v>N/A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1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</row>
        <row r="4282">
          <cell r="D4282">
            <v>313411</v>
          </cell>
          <cell r="E4282" t="str">
            <v>Libagon National High School</v>
          </cell>
          <cell r="F4282">
            <v>1</v>
          </cell>
          <cell r="G4282">
            <v>1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</row>
        <row r="4283">
          <cell r="D4283">
            <v>313323</v>
          </cell>
          <cell r="E4283" t="str">
            <v>Ciabu National High School</v>
          </cell>
          <cell r="F4283">
            <v>1</v>
          </cell>
          <cell r="G4283">
            <v>1</v>
          </cell>
          <cell r="H4283">
            <v>1</v>
          </cell>
          <cell r="I4283">
            <v>0</v>
          </cell>
          <cell r="J4283">
            <v>1</v>
          </cell>
          <cell r="K4283">
            <v>0</v>
          </cell>
          <cell r="L4283">
            <v>0</v>
          </cell>
          <cell r="M4283">
            <v>0</v>
          </cell>
          <cell r="N4283">
            <v>1</v>
          </cell>
          <cell r="O4283">
            <v>43619</v>
          </cell>
          <cell r="P4283">
            <v>43619</v>
          </cell>
          <cell r="Q4283">
            <v>0</v>
          </cell>
          <cell r="R4283">
            <v>0</v>
          </cell>
          <cell r="S4283">
            <v>1</v>
          </cell>
          <cell r="T4283">
            <v>0</v>
          </cell>
          <cell r="U4283">
            <v>0</v>
          </cell>
          <cell r="V4283">
            <v>1</v>
          </cell>
          <cell r="W4283">
            <v>3</v>
          </cell>
          <cell r="X4283">
            <v>0</v>
          </cell>
          <cell r="Y4283">
            <v>0</v>
          </cell>
        </row>
        <row r="4284">
          <cell r="D4284">
            <v>303473</v>
          </cell>
          <cell r="E4284" t="str">
            <v>Nava NHS</v>
          </cell>
          <cell r="F4284">
            <v>0</v>
          </cell>
          <cell r="G4284">
            <v>0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</row>
        <row r="4285">
          <cell r="D4285">
            <v>303471</v>
          </cell>
          <cell r="E4285" t="str">
            <v>Mercedes NHS</v>
          </cell>
          <cell r="F4285">
            <v>1</v>
          </cell>
          <cell r="G4285">
            <v>1</v>
          </cell>
          <cell r="H4285">
            <v>1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 t="str">
            <v>AS NEEDED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</row>
        <row r="4286">
          <cell r="D4286">
            <v>303495</v>
          </cell>
          <cell r="E4286" t="str">
            <v>Balangkayan National High School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</row>
        <row r="4287">
          <cell r="D4287">
            <v>313409</v>
          </cell>
          <cell r="E4287" t="str">
            <v>Liloan National Technical Vocational High School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1</v>
          </cell>
          <cell r="M4287" t="str">
            <v>n/a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1</v>
          </cell>
          <cell r="U4287" t="str">
            <v>n/a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</row>
        <row r="4288">
          <cell r="D4288">
            <v>303520</v>
          </cell>
          <cell r="E4288" t="str">
            <v>Oras National High School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  <cell r="J4288">
            <v>1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1</v>
          </cell>
          <cell r="U4288" t="str">
            <v>NONE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</row>
        <row r="4289">
          <cell r="D4289">
            <v>303325</v>
          </cell>
          <cell r="E4289" t="str">
            <v>Fidel M. Limpiado Sr. NHS</v>
          </cell>
          <cell r="F4289">
            <v>1</v>
          </cell>
          <cell r="G4289">
            <v>1</v>
          </cell>
          <cell r="H4289">
            <v>1</v>
          </cell>
          <cell r="I4289">
            <v>0</v>
          </cell>
          <cell r="J4289">
            <v>1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1</v>
          </cell>
          <cell r="S4289">
            <v>0</v>
          </cell>
          <cell r="T4289">
            <v>0</v>
          </cell>
          <cell r="U4289">
            <v>0</v>
          </cell>
          <cell r="V4289">
            <v>1</v>
          </cell>
          <cell r="W4289">
            <v>0</v>
          </cell>
          <cell r="X4289">
            <v>0</v>
          </cell>
          <cell r="Y4289">
            <v>0</v>
          </cell>
        </row>
        <row r="4290">
          <cell r="D4290">
            <v>303401</v>
          </cell>
          <cell r="E4290" t="str">
            <v>Malibago National High School</v>
          </cell>
          <cell r="F4290">
            <v>1</v>
          </cell>
          <cell r="G4290">
            <v>1</v>
          </cell>
          <cell r="H4290">
            <v>1</v>
          </cell>
          <cell r="I4290">
            <v>0</v>
          </cell>
          <cell r="J4290">
            <v>1</v>
          </cell>
          <cell r="K4290">
            <v>0</v>
          </cell>
          <cell r="L4290">
            <v>0</v>
          </cell>
          <cell r="M4290">
            <v>0</v>
          </cell>
          <cell r="N4290">
            <v>1</v>
          </cell>
          <cell r="O4290">
            <v>43617</v>
          </cell>
          <cell r="P4290">
            <v>43647</v>
          </cell>
          <cell r="Q4290">
            <v>1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1</v>
          </cell>
          <cell r="W4290">
            <v>2</v>
          </cell>
          <cell r="X4290">
            <v>0</v>
          </cell>
          <cell r="Y4290">
            <v>0</v>
          </cell>
        </row>
        <row r="4291">
          <cell r="D4291">
            <v>303420</v>
          </cell>
          <cell r="E4291" t="str">
            <v>Pomponan National High School</v>
          </cell>
          <cell r="F4291">
            <v>1</v>
          </cell>
          <cell r="G4291">
            <v>0</v>
          </cell>
          <cell r="H4291">
            <v>1</v>
          </cell>
          <cell r="I4291">
            <v>0</v>
          </cell>
          <cell r="J4291">
            <v>1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</row>
        <row r="4292">
          <cell r="D4292">
            <v>303489</v>
          </cell>
          <cell r="E4292" t="str">
            <v>Sta. Paz National High School</v>
          </cell>
          <cell r="F4292">
            <v>1</v>
          </cell>
          <cell r="G4292">
            <v>1</v>
          </cell>
          <cell r="H4292">
            <v>1</v>
          </cell>
          <cell r="I4292">
            <v>0</v>
          </cell>
          <cell r="J4292">
            <v>1</v>
          </cell>
          <cell r="K4292">
            <v>0</v>
          </cell>
          <cell r="L4292">
            <v>0</v>
          </cell>
          <cell r="M4292">
            <v>0</v>
          </cell>
          <cell r="N4292">
            <v>1</v>
          </cell>
          <cell r="O4292" t="str">
            <v>07/19/2019</v>
          </cell>
          <cell r="P4292" t="str">
            <v>07/19/2019</v>
          </cell>
          <cell r="Q4292">
            <v>0</v>
          </cell>
          <cell r="R4292">
            <v>1</v>
          </cell>
          <cell r="S4292">
            <v>0</v>
          </cell>
          <cell r="T4292">
            <v>0</v>
          </cell>
          <cell r="U4292">
            <v>0</v>
          </cell>
          <cell r="V4292">
            <v>1</v>
          </cell>
          <cell r="W4292">
            <v>0</v>
          </cell>
          <cell r="X4292">
            <v>0</v>
          </cell>
          <cell r="Y4292">
            <v>0</v>
          </cell>
        </row>
        <row r="4293">
          <cell r="D4293">
            <v>303663</v>
          </cell>
          <cell r="E4293" t="str">
            <v>Leyte National High School</v>
          </cell>
          <cell r="F4293">
            <v>1</v>
          </cell>
          <cell r="G4293">
            <v>1</v>
          </cell>
          <cell r="H4293">
            <v>1</v>
          </cell>
          <cell r="I4293">
            <v>0</v>
          </cell>
          <cell r="J4293">
            <v>0</v>
          </cell>
          <cell r="K4293">
            <v>0</v>
          </cell>
          <cell r="L4293">
            <v>1</v>
          </cell>
          <cell r="M4293" t="str">
            <v>AS NEEDED</v>
          </cell>
          <cell r="N4293">
            <v>1</v>
          </cell>
          <cell r="O4293" t="str">
            <v>JUNE 5, 2019</v>
          </cell>
          <cell r="P4293" t="str">
            <v>JUNE 12, 2019</v>
          </cell>
          <cell r="Q4293">
            <v>1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1</v>
          </cell>
          <cell r="W4293">
            <v>0</v>
          </cell>
          <cell r="X4293">
            <v>0</v>
          </cell>
          <cell r="Y4293">
            <v>0</v>
          </cell>
        </row>
        <row r="4294">
          <cell r="D4294">
            <v>314005</v>
          </cell>
          <cell r="E4294" t="str">
            <v>Scandinavian National High School</v>
          </cell>
          <cell r="F4294">
            <v>1</v>
          </cell>
          <cell r="G4294">
            <v>0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1</v>
          </cell>
          <cell r="M4294" t="str">
            <v>AS THE NEED ARISES</v>
          </cell>
          <cell r="N4294">
            <v>1</v>
          </cell>
          <cell r="O4294">
            <v>43617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</row>
        <row r="4295">
          <cell r="D4295">
            <v>344881</v>
          </cell>
          <cell r="E4295" t="str">
            <v>Sto. Nino Senior High School</v>
          </cell>
          <cell r="F4295">
            <v>1</v>
          </cell>
          <cell r="G4295">
            <v>1</v>
          </cell>
          <cell r="H4295">
            <v>1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1</v>
          </cell>
          <cell r="O4295">
            <v>43623</v>
          </cell>
          <cell r="P4295">
            <v>43626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1</v>
          </cell>
          <cell r="W4295">
            <v>0</v>
          </cell>
          <cell r="X4295">
            <v>0</v>
          </cell>
          <cell r="Y4295">
            <v>0</v>
          </cell>
        </row>
        <row r="4296">
          <cell r="D4296">
            <v>303509</v>
          </cell>
          <cell r="E4296" t="str">
            <v>Homonhon National High School - Sulangan Annex</v>
          </cell>
          <cell r="F4296">
            <v>1</v>
          </cell>
          <cell r="G4296">
            <v>0</v>
          </cell>
          <cell r="H4296">
            <v>1</v>
          </cell>
          <cell r="I4296">
            <v>0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</row>
        <row r="4297">
          <cell r="D4297">
            <v>313308</v>
          </cell>
          <cell r="E4297" t="str">
            <v>Juan V. Delantar National High School</v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</row>
        <row r="4298">
          <cell r="D4298">
            <v>344593</v>
          </cell>
          <cell r="E4298" t="str">
            <v>Baybay City Senior High School</v>
          </cell>
          <cell r="F4298">
            <v>1</v>
          </cell>
          <cell r="G4298">
            <v>1</v>
          </cell>
          <cell r="H4298">
            <v>1</v>
          </cell>
          <cell r="I4298">
            <v>0</v>
          </cell>
          <cell r="J4298">
            <v>1</v>
          </cell>
          <cell r="K4298">
            <v>0</v>
          </cell>
          <cell r="L4298">
            <v>0</v>
          </cell>
          <cell r="M4298">
            <v>0</v>
          </cell>
          <cell r="N4298">
            <v>1</v>
          </cell>
          <cell r="O4298">
            <v>0</v>
          </cell>
          <cell r="P4298">
            <v>0</v>
          </cell>
          <cell r="Q4298">
            <v>1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</row>
        <row r="4299">
          <cell r="D4299">
            <v>303320</v>
          </cell>
          <cell r="E4299" t="str">
            <v>Biliran National Agricultural High School</v>
          </cell>
          <cell r="F4299">
            <v>1</v>
          </cell>
          <cell r="G4299">
            <v>0</v>
          </cell>
          <cell r="H4299">
            <v>1</v>
          </cell>
          <cell r="I4299">
            <v>0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</row>
        <row r="4300">
          <cell r="D4300">
            <v>303488</v>
          </cell>
          <cell r="E4300" t="str">
            <v>Sta. Cruz NHS</v>
          </cell>
          <cell r="F4300">
            <v>1</v>
          </cell>
          <cell r="G4300">
            <v>1</v>
          </cell>
          <cell r="H4300">
            <v>1</v>
          </cell>
          <cell r="I4300">
            <v>0</v>
          </cell>
          <cell r="J4300">
            <v>1</v>
          </cell>
          <cell r="K4300">
            <v>0</v>
          </cell>
          <cell r="L4300">
            <v>0</v>
          </cell>
          <cell r="M4300">
            <v>0</v>
          </cell>
          <cell r="N4300">
            <v>1</v>
          </cell>
          <cell r="O4300" t="str">
            <v>09/29/2019</v>
          </cell>
          <cell r="P4300">
            <v>43744</v>
          </cell>
          <cell r="Q4300">
            <v>0</v>
          </cell>
          <cell r="R4300">
            <v>1</v>
          </cell>
          <cell r="S4300">
            <v>0</v>
          </cell>
          <cell r="T4300">
            <v>0</v>
          </cell>
          <cell r="U4300">
            <v>0</v>
          </cell>
          <cell r="V4300">
            <v>1</v>
          </cell>
          <cell r="W4300">
            <v>2</v>
          </cell>
          <cell r="X4300">
            <v>0</v>
          </cell>
          <cell r="Y4300">
            <v>0</v>
          </cell>
        </row>
        <row r="4301">
          <cell r="D4301">
            <v>303649</v>
          </cell>
          <cell r="E4301" t="str">
            <v>R. Lentejas Mem. School Of Fisheries</v>
          </cell>
          <cell r="F4301">
            <v>1</v>
          </cell>
          <cell r="G4301">
            <v>0</v>
          </cell>
          <cell r="H4301">
            <v>0</v>
          </cell>
          <cell r="I4301">
            <v>0</v>
          </cell>
          <cell r="J4301">
            <v>1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1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</row>
        <row r="4302">
          <cell r="D4302">
            <v>303652</v>
          </cell>
          <cell r="E4302" t="str">
            <v>Tarabucan National High School</v>
          </cell>
          <cell r="F4302">
            <v>1</v>
          </cell>
          <cell r="G4302">
            <v>1</v>
          </cell>
          <cell r="H4302">
            <v>1</v>
          </cell>
          <cell r="I4302">
            <v>0</v>
          </cell>
          <cell r="J4302">
            <v>1</v>
          </cell>
          <cell r="K4302">
            <v>0</v>
          </cell>
          <cell r="L4302">
            <v>0</v>
          </cell>
          <cell r="M4302">
            <v>0</v>
          </cell>
          <cell r="N4302">
            <v>1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</row>
        <row r="4303">
          <cell r="D4303">
            <v>303516</v>
          </cell>
          <cell r="E4303" t="str">
            <v>Matarinao School of Fisheries</v>
          </cell>
          <cell r="F4303">
            <v>1</v>
          </cell>
          <cell r="G4303">
            <v>0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</row>
        <row r="4304">
          <cell r="D4304">
            <v>303527</v>
          </cell>
          <cell r="E4304" t="str">
            <v>Sulat National High School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</row>
        <row r="4305">
          <cell r="D4305">
            <v>303378</v>
          </cell>
          <cell r="E4305" t="str">
            <v>Isabel National High School</v>
          </cell>
          <cell r="F4305">
            <v>1</v>
          </cell>
          <cell r="G4305">
            <v>1</v>
          </cell>
          <cell r="H4305">
            <v>0</v>
          </cell>
          <cell r="I4305">
            <v>0</v>
          </cell>
          <cell r="J4305">
            <v>1</v>
          </cell>
          <cell r="K4305">
            <v>0</v>
          </cell>
          <cell r="L4305">
            <v>0</v>
          </cell>
          <cell r="M4305">
            <v>0</v>
          </cell>
          <cell r="N4305">
            <v>1</v>
          </cell>
          <cell r="O4305">
            <v>43624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1</v>
          </cell>
          <cell r="U4305" t="str">
            <v>AS NEEDED</v>
          </cell>
          <cell r="V4305">
            <v>0</v>
          </cell>
          <cell r="W4305">
            <v>1</v>
          </cell>
          <cell r="X4305">
            <v>1</v>
          </cell>
          <cell r="Y4305">
            <v>0</v>
          </cell>
        </row>
        <row r="4306">
          <cell r="D4306">
            <v>303515</v>
          </cell>
          <cell r="E4306" t="str">
            <v>Maslog National High School</v>
          </cell>
          <cell r="F4306">
            <v>1</v>
          </cell>
          <cell r="G4306">
            <v>0</v>
          </cell>
          <cell r="H4306">
            <v>1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</row>
        <row r="4307">
          <cell r="D4307">
            <v>303503</v>
          </cell>
          <cell r="E4307" t="str">
            <v>Guiuan National High School</v>
          </cell>
          <cell r="F4307">
            <v>1</v>
          </cell>
          <cell r="G4307">
            <v>0</v>
          </cell>
          <cell r="H4307">
            <v>1</v>
          </cell>
          <cell r="I4307">
            <v>0</v>
          </cell>
          <cell r="J4307">
            <v>1</v>
          </cell>
          <cell r="K4307">
            <v>0</v>
          </cell>
          <cell r="L4307">
            <v>0</v>
          </cell>
          <cell r="M4307">
            <v>0</v>
          </cell>
          <cell r="N4307">
            <v>1</v>
          </cell>
          <cell r="O4307">
            <v>43655</v>
          </cell>
          <cell r="P4307">
            <v>43685</v>
          </cell>
          <cell r="Q4307">
            <v>0</v>
          </cell>
          <cell r="R4307">
            <v>1</v>
          </cell>
          <cell r="S4307">
            <v>0</v>
          </cell>
          <cell r="T4307">
            <v>0</v>
          </cell>
          <cell r="U4307">
            <v>0</v>
          </cell>
          <cell r="V4307">
            <v>1</v>
          </cell>
          <cell r="W4307">
            <v>0</v>
          </cell>
          <cell r="X4307">
            <v>0</v>
          </cell>
          <cell r="Y4307">
            <v>0</v>
          </cell>
        </row>
        <row r="4308">
          <cell r="D4308">
            <v>303648</v>
          </cell>
          <cell r="E4308" t="str">
            <v>Pilar National Agricultural High School</v>
          </cell>
          <cell r="F4308">
            <v>1</v>
          </cell>
          <cell r="G4308">
            <v>0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N4308">
            <v>1</v>
          </cell>
          <cell r="O4308">
            <v>43678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</row>
        <row r="4309">
          <cell r="D4309">
            <v>303436</v>
          </cell>
          <cell r="E4309" t="str">
            <v>Tahud National High School</v>
          </cell>
          <cell r="F4309">
            <v>1</v>
          </cell>
          <cell r="G4309">
            <v>1</v>
          </cell>
          <cell r="H4309">
            <v>1</v>
          </cell>
          <cell r="I4309">
            <v>0</v>
          </cell>
          <cell r="J4309">
            <v>0</v>
          </cell>
          <cell r="K4309">
            <v>1</v>
          </cell>
          <cell r="L4309">
            <v>0</v>
          </cell>
          <cell r="M4309">
            <v>0</v>
          </cell>
          <cell r="N4309">
            <v>1</v>
          </cell>
          <cell r="O4309">
            <v>43694</v>
          </cell>
          <cell r="P4309">
            <v>43693</v>
          </cell>
          <cell r="Q4309">
            <v>0</v>
          </cell>
          <cell r="R4309">
            <v>1</v>
          </cell>
          <cell r="S4309">
            <v>0</v>
          </cell>
          <cell r="T4309">
            <v>0</v>
          </cell>
          <cell r="U4309">
            <v>0</v>
          </cell>
          <cell r="V4309">
            <v>1</v>
          </cell>
          <cell r="W4309">
            <v>0</v>
          </cell>
          <cell r="X4309">
            <v>0</v>
          </cell>
          <cell r="Y4309">
            <v>0</v>
          </cell>
        </row>
        <row r="4310">
          <cell r="D4310">
            <v>303319</v>
          </cell>
          <cell r="E4310" t="str">
            <v>Almeria NHS</v>
          </cell>
          <cell r="F4310">
            <v>1</v>
          </cell>
          <cell r="G4310">
            <v>1</v>
          </cell>
          <cell r="H4310">
            <v>1</v>
          </cell>
          <cell r="I4310">
            <v>0</v>
          </cell>
          <cell r="J4310">
            <v>1</v>
          </cell>
          <cell r="K4310">
            <v>0</v>
          </cell>
          <cell r="L4310">
            <v>0</v>
          </cell>
          <cell r="M4310">
            <v>0</v>
          </cell>
          <cell r="N4310">
            <v>1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3</v>
          </cell>
          <cell r="X4310">
            <v>0</v>
          </cell>
          <cell r="Y4310">
            <v>0</v>
          </cell>
        </row>
        <row r="4311">
          <cell r="D4311">
            <v>303510</v>
          </cell>
          <cell r="E4311" t="str">
            <v>Jipapad National High School</v>
          </cell>
          <cell r="F4311">
            <v>1</v>
          </cell>
          <cell r="G4311">
            <v>1</v>
          </cell>
          <cell r="H4311">
            <v>1</v>
          </cell>
          <cell r="I4311">
            <v>0</v>
          </cell>
          <cell r="J4311">
            <v>0</v>
          </cell>
          <cell r="K4311">
            <v>1</v>
          </cell>
          <cell r="L4311">
            <v>0</v>
          </cell>
          <cell r="M4311">
            <v>0</v>
          </cell>
          <cell r="N4311">
            <v>1</v>
          </cell>
          <cell r="O4311" t="str">
            <v>JAN. 14, 2019</v>
          </cell>
          <cell r="P4311" t="str">
            <v>JAN. 14, 2019</v>
          </cell>
          <cell r="Q4311">
            <v>0</v>
          </cell>
          <cell r="R4311">
            <v>0</v>
          </cell>
          <cell r="S4311">
            <v>1</v>
          </cell>
          <cell r="T4311">
            <v>0</v>
          </cell>
          <cell r="U4311">
            <v>0</v>
          </cell>
          <cell r="V4311">
            <v>1</v>
          </cell>
          <cell r="W4311">
            <v>1</v>
          </cell>
          <cell r="X4311">
            <v>1</v>
          </cell>
          <cell r="Y4311">
            <v>1</v>
          </cell>
        </row>
        <row r="4312">
          <cell r="D4312">
            <v>303650</v>
          </cell>
          <cell r="E4312" t="str">
            <v>San Joaquin National HIgh School</v>
          </cell>
          <cell r="F4312">
            <v>1</v>
          </cell>
          <cell r="G4312">
            <v>1</v>
          </cell>
          <cell r="H4312">
            <v>1</v>
          </cell>
          <cell r="I4312">
            <v>0</v>
          </cell>
          <cell r="J4312">
            <v>0</v>
          </cell>
          <cell r="K4312">
            <v>1</v>
          </cell>
          <cell r="L4312">
            <v>0</v>
          </cell>
          <cell r="M4312">
            <v>0</v>
          </cell>
          <cell r="N4312">
            <v>1</v>
          </cell>
          <cell r="O4312" t="str">
            <v>July 5, 2019</v>
          </cell>
          <cell r="P4312" t="str">
            <v>July 9, 2019</v>
          </cell>
          <cell r="Q4312">
            <v>0</v>
          </cell>
          <cell r="R4312">
            <v>0</v>
          </cell>
          <cell r="S4312">
            <v>1</v>
          </cell>
          <cell r="T4312">
            <v>0</v>
          </cell>
          <cell r="U4312">
            <v>0</v>
          </cell>
          <cell r="V4312">
            <v>1</v>
          </cell>
          <cell r="W4312">
            <v>0</v>
          </cell>
          <cell r="X4312">
            <v>0</v>
          </cell>
          <cell r="Y4312">
            <v>0</v>
          </cell>
        </row>
        <row r="4313">
          <cell r="D4313">
            <v>303465</v>
          </cell>
          <cell r="E4313" t="str">
            <v>LIMASAWA NATIONAL HIGH SCHOOL</v>
          </cell>
          <cell r="F4313">
            <v>1</v>
          </cell>
          <cell r="G4313">
            <v>1</v>
          </cell>
          <cell r="H4313">
            <v>1</v>
          </cell>
          <cell r="I4313">
            <v>0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4</v>
          </cell>
          <cell r="X4313">
            <v>4</v>
          </cell>
          <cell r="Y4313">
            <v>4</v>
          </cell>
        </row>
        <row r="4314">
          <cell r="D4314">
            <v>303526</v>
          </cell>
          <cell r="E4314" t="str">
            <v>Maypangdan NHS</v>
          </cell>
          <cell r="F4314">
            <v>1</v>
          </cell>
          <cell r="G4314">
            <v>1</v>
          </cell>
          <cell r="H4314">
            <v>1</v>
          </cell>
          <cell r="I4314">
            <v>0</v>
          </cell>
          <cell r="J4314">
            <v>1</v>
          </cell>
          <cell r="K4314">
            <v>0</v>
          </cell>
          <cell r="L4314">
            <v>0</v>
          </cell>
          <cell r="M4314">
            <v>0</v>
          </cell>
          <cell r="N4314">
            <v>1</v>
          </cell>
          <cell r="O4314">
            <v>43683</v>
          </cell>
          <cell r="P4314">
            <v>43721</v>
          </cell>
          <cell r="Q4314">
            <v>0</v>
          </cell>
          <cell r="R4314">
            <v>1</v>
          </cell>
          <cell r="S4314">
            <v>0</v>
          </cell>
          <cell r="T4314">
            <v>0</v>
          </cell>
          <cell r="U4314">
            <v>0</v>
          </cell>
          <cell r="V4314">
            <v>1</v>
          </cell>
          <cell r="W4314">
            <v>0</v>
          </cell>
          <cell r="X4314">
            <v>0</v>
          </cell>
          <cell r="Y4314">
            <v>0</v>
          </cell>
        </row>
        <row r="4315">
          <cell r="D4315">
            <v>313202</v>
          </cell>
          <cell r="E4315" t="str">
            <v>Biliran Science High School</v>
          </cell>
          <cell r="F4315">
            <v>1</v>
          </cell>
          <cell r="G4315">
            <v>1</v>
          </cell>
          <cell r="H4315">
            <v>1</v>
          </cell>
          <cell r="I4315">
            <v>0</v>
          </cell>
          <cell r="J4315">
            <v>1</v>
          </cell>
          <cell r="K4315">
            <v>0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0</v>
          </cell>
          <cell r="U4315">
            <v>0</v>
          </cell>
          <cell r="V4315">
            <v>0</v>
          </cell>
          <cell r="W4315">
            <v>0</v>
          </cell>
          <cell r="X4315">
            <v>0</v>
          </cell>
          <cell r="Y4315">
            <v>0</v>
          </cell>
        </row>
        <row r="4316">
          <cell r="D4316">
            <v>303494</v>
          </cell>
          <cell r="E4316" t="str">
            <v>Arteche National High School</v>
          </cell>
          <cell r="F4316">
            <v>1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N4316">
            <v>1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</row>
        <row r="4317">
          <cell r="D4317">
            <v>303525</v>
          </cell>
          <cell r="E4317" t="str">
            <v>Sta. Fe NHS</v>
          </cell>
          <cell r="F4317">
            <v>1</v>
          </cell>
          <cell r="G4317">
            <v>1</v>
          </cell>
          <cell r="H4317">
            <v>1</v>
          </cell>
          <cell r="I4317">
            <v>0</v>
          </cell>
          <cell r="J4317">
            <v>1</v>
          </cell>
          <cell r="K4317">
            <v>0</v>
          </cell>
          <cell r="L4317">
            <v>0</v>
          </cell>
          <cell r="M4317">
            <v>0</v>
          </cell>
          <cell r="N4317">
            <v>1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1</v>
          </cell>
          <cell r="W4317">
            <v>0</v>
          </cell>
          <cell r="X4317">
            <v>0</v>
          </cell>
          <cell r="Y4317">
            <v>0</v>
          </cell>
        </row>
        <row r="4318">
          <cell r="D4318">
            <v>313510</v>
          </cell>
          <cell r="E4318" t="str">
            <v>Calingatngan NHS</v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</row>
        <row r="4319">
          <cell r="D4319">
            <v>303330</v>
          </cell>
          <cell r="E4319" t="str">
            <v>Naval National High School</v>
          </cell>
          <cell r="F4319">
            <v>1</v>
          </cell>
          <cell r="G4319">
            <v>0</v>
          </cell>
          <cell r="H4319">
            <v>1</v>
          </cell>
          <cell r="I4319">
            <v>0</v>
          </cell>
          <cell r="J4319">
            <v>1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10</v>
          </cell>
          <cell r="X4319">
            <v>10</v>
          </cell>
          <cell r="Y4319">
            <v>0</v>
          </cell>
        </row>
        <row r="4320">
          <cell r="D4320">
            <v>500807</v>
          </cell>
          <cell r="E4320" t="str">
            <v>Bagacay Integrated School</v>
          </cell>
          <cell r="F4320">
            <v>1</v>
          </cell>
          <cell r="G4320">
            <v>0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1</v>
          </cell>
          <cell r="U4320" t="str">
            <v>seldom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</row>
        <row r="4321">
          <cell r="D4321">
            <v>303332</v>
          </cell>
          <cell r="E4321" t="str">
            <v>Tabunan National High School</v>
          </cell>
          <cell r="F4321">
            <v>1</v>
          </cell>
          <cell r="G4321">
            <v>1</v>
          </cell>
          <cell r="H4321">
            <v>1</v>
          </cell>
          <cell r="I4321">
            <v>0</v>
          </cell>
          <cell r="J4321">
            <v>0</v>
          </cell>
          <cell r="K4321">
            <v>1</v>
          </cell>
          <cell r="L4321">
            <v>0</v>
          </cell>
          <cell r="M4321">
            <v>0</v>
          </cell>
          <cell r="N4321">
            <v>1</v>
          </cell>
          <cell r="O4321" t="str">
            <v>08/17/2019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2</v>
          </cell>
          <cell r="Y4321">
            <v>0</v>
          </cell>
        </row>
        <row r="4322">
          <cell r="D4322">
            <v>303328</v>
          </cell>
          <cell r="E4322" t="str">
            <v>Caibiran National High School</v>
          </cell>
          <cell r="F4322">
            <v>1</v>
          </cell>
          <cell r="G4322">
            <v>1</v>
          </cell>
          <cell r="H4322">
            <v>1</v>
          </cell>
          <cell r="I4322">
            <v>1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1</v>
          </cell>
          <cell r="O4322">
            <v>0</v>
          </cell>
          <cell r="P4322">
            <v>0</v>
          </cell>
          <cell r="Q4322">
            <v>1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</row>
        <row r="4323">
          <cell r="D4323">
            <v>313504</v>
          </cell>
          <cell r="E4323" t="str">
            <v>Benowangan NHS</v>
          </cell>
          <cell r="F4323">
            <v>1</v>
          </cell>
          <cell r="G4323">
            <v>1</v>
          </cell>
          <cell r="H4323">
            <v>1</v>
          </cell>
          <cell r="I4323">
            <v>0</v>
          </cell>
          <cell r="J4323">
            <v>0</v>
          </cell>
          <cell r="K4323">
            <v>1</v>
          </cell>
          <cell r="L4323">
            <v>0</v>
          </cell>
          <cell r="M4323">
            <v>0</v>
          </cell>
          <cell r="N4323">
            <v>1</v>
          </cell>
          <cell r="O4323">
            <v>43776</v>
          </cell>
          <cell r="P4323">
            <v>43633</v>
          </cell>
          <cell r="Q4323">
            <v>0</v>
          </cell>
          <cell r="R4323">
            <v>0</v>
          </cell>
          <cell r="S4323">
            <v>1</v>
          </cell>
          <cell r="T4323">
            <v>0</v>
          </cell>
          <cell r="U4323">
            <v>0</v>
          </cell>
          <cell r="V4323">
            <v>1</v>
          </cell>
          <cell r="W4323">
            <v>0</v>
          </cell>
          <cell r="X4323">
            <v>0</v>
          </cell>
          <cell r="Y4323">
            <v>0</v>
          </cell>
        </row>
        <row r="4324">
          <cell r="D4324">
            <v>303419</v>
          </cell>
          <cell r="E4324" t="str">
            <v>Plaridel National High School</v>
          </cell>
          <cell r="F4324">
            <v>1</v>
          </cell>
          <cell r="G4324">
            <v>1</v>
          </cell>
          <cell r="H4324">
            <v>1</v>
          </cell>
          <cell r="I4324">
            <v>0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</row>
        <row r="4325">
          <cell r="D4325">
            <v>303458</v>
          </cell>
          <cell r="E4325" t="str">
            <v>Hilaan NHS</v>
          </cell>
          <cell r="F4325">
            <v>1</v>
          </cell>
          <cell r="G4325">
            <v>1</v>
          </cell>
          <cell r="H4325">
            <v>1</v>
          </cell>
          <cell r="I4325">
            <v>0</v>
          </cell>
          <cell r="J4325">
            <v>1</v>
          </cell>
          <cell r="K4325">
            <v>0</v>
          </cell>
          <cell r="L4325">
            <v>0</v>
          </cell>
          <cell r="M4325">
            <v>0</v>
          </cell>
          <cell r="N4325">
            <v>1</v>
          </cell>
          <cell r="O4325">
            <v>0</v>
          </cell>
          <cell r="P4325">
            <v>0</v>
          </cell>
          <cell r="Q4325">
            <v>0</v>
          </cell>
          <cell r="R4325">
            <v>1</v>
          </cell>
          <cell r="S4325">
            <v>0</v>
          </cell>
          <cell r="T4325">
            <v>0</v>
          </cell>
          <cell r="U4325">
            <v>0</v>
          </cell>
          <cell r="V4325">
            <v>1</v>
          </cell>
          <cell r="W4325">
            <v>0</v>
          </cell>
          <cell r="X4325">
            <v>0</v>
          </cell>
          <cell r="Y4325">
            <v>0</v>
          </cell>
        </row>
        <row r="4326">
          <cell r="D4326">
            <v>303321</v>
          </cell>
          <cell r="E4326" t="str">
            <v>Bool NHS</v>
          </cell>
          <cell r="F4326">
            <v>1</v>
          </cell>
          <cell r="G4326">
            <v>1</v>
          </cell>
          <cell r="H4326">
            <v>1</v>
          </cell>
          <cell r="I4326">
            <v>0</v>
          </cell>
          <cell r="J4326">
            <v>1</v>
          </cell>
          <cell r="K4326">
            <v>0</v>
          </cell>
          <cell r="L4326">
            <v>0</v>
          </cell>
          <cell r="M4326">
            <v>0</v>
          </cell>
          <cell r="N4326">
            <v>1</v>
          </cell>
          <cell r="O4326" t="str">
            <v>09/23/2018</v>
          </cell>
          <cell r="P4326" t="str">
            <v>08/23/2018</v>
          </cell>
          <cell r="Q4326">
            <v>0</v>
          </cell>
          <cell r="R4326">
            <v>1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</row>
        <row r="4327">
          <cell r="D4327">
            <v>303411</v>
          </cell>
          <cell r="E4327" t="str">
            <v>Muertegui National High School</v>
          </cell>
          <cell r="F4327">
            <v>1</v>
          </cell>
          <cell r="G4327">
            <v>1</v>
          </cell>
          <cell r="H4327">
            <v>1</v>
          </cell>
          <cell r="I4327">
            <v>0</v>
          </cell>
          <cell r="J4327">
            <v>0</v>
          </cell>
          <cell r="K4327">
            <v>1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2</v>
          </cell>
          <cell r="X4327">
            <v>0</v>
          </cell>
          <cell r="Y4327">
            <v>0</v>
          </cell>
        </row>
        <row r="4328">
          <cell r="D4328">
            <v>313336</v>
          </cell>
          <cell r="E4328" t="str">
            <v>Bienvenido Guillera Celebre National High School</v>
          </cell>
          <cell r="F4328">
            <v>1</v>
          </cell>
          <cell r="G4328">
            <v>0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</row>
        <row r="4329">
          <cell r="D4329">
            <v>313312</v>
          </cell>
          <cell r="E4329" t="str">
            <v>Mailhi National High School</v>
          </cell>
          <cell r="F4329">
            <v>1</v>
          </cell>
          <cell r="G4329">
            <v>0</v>
          </cell>
          <cell r="H4329">
            <v>1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43778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</row>
        <row r="4330">
          <cell r="D4330">
            <v>313408</v>
          </cell>
          <cell r="E4330" t="str">
            <v>Katipunan NHS</v>
          </cell>
          <cell r="F4330">
            <v>1</v>
          </cell>
          <cell r="G4330">
            <v>1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</row>
        <row r="4331">
          <cell r="D4331">
            <v>303644</v>
          </cell>
          <cell r="E4331" t="str">
            <v>Mag-ubay National High School</v>
          </cell>
          <cell r="F4331">
            <v>1</v>
          </cell>
          <cell r="G4331">
            <v>0</v>
          </cell>
          <cell r="H4331">
            <v>1</v>
          </cell>
          <cell r="I4331">
            <v>0</v>
          </cell>
          <cell r="J4331">
            <v>0</v>
          </cell>
          <cell r="K4331">
            <v>1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5</v>
          </cell>
          <cell r="X4331">
            <v>5</v>
          </cell>
          <cell r="Y4331">
            <v>0</v>
          </cell>
        </row>
        <row r="4332">
          <cell r="D4332">
            <v>303338</v>
          </cell>
          <cell r="E4332" t="str">
            <v>Anahawan National High School</v>
          </cell>
          <cell r="F4332">
            <v>1</v>
          </cell>
          <cell r="G4332">
            <v>0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</row>
        <row r="4333">
          <cell r="D4333">
            <v>313501</v>
          </cell>
          <cell r="E4333" t="str">
            <v>Can-avid National High School</v>
          </cell>
          <cell r="F4333">
            <v>1</v>
          </cell>
          <cell r="G4333">
            <v>1</v>
          </cell>
          <cell r="H4333">
            <v>1</v>
          </cell>
          <cell r="I4333">
            <v>1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</row>
        <row r="4334">
          <cell r="D4334">
            <v>303461</v>
          </cell>
          <cell r="E4334" t="str">
            <v>Hingatungan NHS</v>
          </cell>
          <cell r="F4334">
            <v>1</v>
          </cell>
          <cell r="G4334">
            <v>1</v>
          </cell>
          <cell r="H4334">
            <v>1</v>
          </cell>
          <cell r="I4334">
            <v>0</v>
          </cell>
          <cell r="J4334">
            <v>1</v>
          </cell>
          <cell r="K4334">
            <v>0</v>
          </cell>
          <cell r="L4334">
            <v>0</v>
          </cell>
          <cell r="M4334">
            <v>0</v>
          </cell>
          <cell r="N4334">
            <v>1</v>
          </cell>
          <cell r="O4334">
            <v>0</v>
          </cell>
          <cell r="P4334">
            <v>43701</v>
          </cell>
          <cell r="Q4334">
            <v>0</v>
          </cell>
          <cell r="R4334">
            <v>1</v>
          </cell>
          <cell r="S4334">
            <v>0</v>
          </cell>
          <cell r="T4334">
            <v>0</v>
          </cell>
          <cell r="U4334">
            <v>0</v>
          </cell>
          <cell r="V4334">
            <v>1</v>
          </cell>
          <cell r="W4334">
            <v>0</v>
          </cell>
          <cell r="X4334">
            <v>0</v>
          </cell>
          <cell r="Y4334">
            <v>0</v>
          </cell>
        </row>
        <row r="4335">
          <cell r="D4335">
            <v>303349</v>
          </cell>
          <cell r="E4335" t="str">
            <v>Bitanhuan National High School</v>
          </cell>
          <cell r="F4335">
            <v>0</v>
          </cell>
          <cell r="G4335">
            <v>0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</row>
        <row r="4336">
          <cell r="D4336">
            <v>303353</v>
          </cell>
          <cell r="E4336" t="str">
            <v>Burauen Comprehensive National High School</v>
          </cell>
          <cell r="F4336">
            <v>1</v>
          </cell>
          <cell r="G4336">
            <v>1</v>
          </cell>
          <cell r="H4336">
            <v>1</v>
          </cell>
          <cell r="I4336">
            <v>0</v>
          </cell>
          <cell r="J4336">
            <v>0</v>
          </cell>
          <cell r="K4336">
            <v>1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</row>
        <row r="4337">
          <cell r="D4337">
            <v>303451</v>
          </cell>
          <cell r="E4337" t="str">
            <v>Divisoria NHS</v>
          </cell>
          <cell r="F4337">
            <v>0</v>
          </cell>
          <cell r="G4337">
            <v>0</v>
          </cell>
          <cell r="H4337">
            <v>1</v>
          </cell>
          <cell r="I4337">
            <v>1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1</v>
          </cell>
          <cell r="X4337">
            <v>0</v>
          </cell>
          <cell r="Y4337">
            <v>0</v>
          </cell>
        </row>
        <row r="4338">
          <cell r="D4338">
            <v>303352</v>
          </cell>
          <cell r="E4338" t="str">
            <v>Bung-aw National High School</v>
          </cell>
          <cell r="F4338">
            <v>1</v>
          </cell>
          <cell r="G4338">
            <v>0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</row>
        <row r="4339">
          <cell r="D4339">
            <v>303653</v>
          </cell>
          <cell r="E4339" t="str">
            <v>Trinidad National High School-Main Campus</v>
          </cell>
          <cell r="F4339">
            <v>1</v>
          </cell>
          <cell r="G4339">
            <v>0</v>
          </cell>
          <cell r="H4339">
            <v>1</v>
          </cell>
          <cell r="I4339">
            <v>0</v>
          </cell>
          <cell r="J4339">
            <v>0</v>
          </cell>
          <cell r="K4339">
            <v>1</v>
          </cell>
          <cell r="L4339">
            <v>0</v>
          </cell>
          <cell r="M4339">
            <v>0</v>
          </cell>
          <cell r="N4339">
            <v>1</v>
          </cell>
          <cell r="O4339" t="str">
            <v>ecery third quarter</v>
          </cell>
          <cell r="P4339">
            <v>0</v>
          </cell>
          <cell r="Q4339">
            <v>0</v>
          </cell>
          <cell r="R4339">
            <v>0</v>
          </cell>
          <cell r="S4339">
            <v>1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</row>
        <row r="4340">
          <cell r="D4340">
            <v>303486</v>
          </cell>
          <cell r="E4340" t="str">
            <v>Silago NVHS</v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</row>
        <row r="4341">
          <cell r="D4341">
            <v>303500</v>
          </cell>
          <cell r="E4341" t="str">
            <v>E. Samar NCHS</v>
          </cell>
          <cell r="F4341">
            <v>1</v>
          </cell>
          <cell r="G4341">
            <v>1</v>
          </cell>
          <cell r="H4341">
            <v>1</v>
          </cell>
          <cell r="I4341">
            <v>1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1</v>
          </cell>
          <cell r="S4341">
            <v>0</v>
          </cell>
          <cell r="T4341">
            <v>0</v>
          </cell>
          <cell r="U4341">
            <v>0</v>
          </cell>
          <cell r="V4341">
            <v>1</v>
          </cell>
          <cell r="W4341">
            <v>0</v>
          </cell>
          <cell r="X4341">
            <v>0</v>
          </cell>
          <cell r="Y4341">
            <v>0</v>
          </cell>
        </row>
        <row r="4342">
          <cell r="D4342">
            <v>500233</v>
          </cell>
          <cell r="E4342" t="str">
            <v>Calubian Integrated School</v>
          </cell>
          <cell r="F4342">
            <v>1</v>
          </cell>
          <cell r="G4342">
            <v>0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</row>
        <row r="4343">
          <cell r="D4343">
            <v>500238</v>
          </cell>
          <cell r="E4343" t="str">
            <v>Tabawan Integrated School</v>
          </cell>
          <cell r="F4343">
            <v>1</v>
          </cell>
          <cell r="G4343">
            <v>1</v>
          </cell>
          <cell r="H4343">
            <v>0</v>
          </cell>
          <cell r="I4343">
            <v>0</v>
          </cell>
          <cell r="J4343">
            <v>1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1</v>
          </cell>
          <cell r="W4343">
            <v>0</v>
          </cell>
          <cell r="X4343">
            <v>0</v>
          </cell>
          <cell r="Y4343">
            <v>0</v>
          </cell>
        </row>
        <row r="4344">
          <cell r="D4344">
            <v>303439</v>
          </cell>
          <cell r="E4344" t="str">
            <v>Tinago National High School</v>
          </cell>
          <cell r="F4344">
            <v>1</v>
          </cell>
          <cell r="G4344">
            <v>1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</row>
        <row r="4345">
          <cell r="D4345">
            <v>327501</v>
          </cell>
          <cell r="E4345" t="str">
            <v>Banahao National High School</v>
          </cell>
          <cell r="F4345">
            <v>1</v>
          </cell>
          <cell r="G4345">
            <v>1</v>
          </cell>
          <cell r="H4345">
            <v>1</v>
          </cell>
          <cell r="I4345">
            <v>0</v>
          </cell>
          <cell r="J4345">
            <v>1</v>
          </cell>
          <cell r="K4345">
            <v>0</v>
          </cell>
          <cell r="L4345">
            <v>0</v>
          </cell>
          <cell r="M4345">
            <v>0</v>
          </cell>
          <cell r="N4345">
            <v>1</v>
          </cell>
          <cell r="O4345">
            <v>43745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1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</row>
        <row r="4346">
          <cell r="D4346">
            <v>303322</v>
          </cell>
          <cell r="E4346" t="str">
            <v>Cabucgayan National School of Arts and Trade</v>
          </cell>
          <cell r="F4346">
            <v>1</v>
          </cell>
          <cell r="G4346">
            <v>1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 t="str">
            <v>n/a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</row>
        <row r="4347">
          <cell r="D4347">
            <v>303622</v>
          </cell>
          <cell r="E4347" t="str">
            <v>Antonio G. Tuason National High School</v>
          </cell>
          <cell r="F4347">
            <v>1</v>
          </cell>
          <cell r="G4347">
            <v>1</v>
          </cell>
          <cell r="H4347">
            <v>1</v>
          </cell>
          <cell r="I4347">
            <v>0</v>
          </cell>
          <cell r="J4347">
            <v>1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</row>
        <row r="4348">
          <cell r="D4348">
            <v>303342</v>
          </cell>
          <cell r="E4348" t="str">
            <v>Atty. Roque A. Marcos Memorial School (La Paz NHS)</v>
          </cell>
          <cell r="F4348">
            <v>1</v>
          </cell>
          <cell r="G4348">
            <v>1</v>
          </cell>
          <cell r="H4348">
            <v>1</v>
          </cell>
          <cell r="I4348">
            <v>0</v>
          </cell>
          <cell r="J4348">
            <v>0</v>
          </cell>
          <cell r="K4348">
            <v>1</v>
          </cell>
          <cell r="L4348">
            <v>0</v>
          </cell>
          <cell r="M4348">
            <v>0</v>
          </cell>
          <cell r="N4348">
            <v>1</v>
          </cell>
          <cell r="O4348">
            <v>43623</v>
          </cell>
          <cell r="P4348" t="str">
            <v>n/a</v>
          </cell>
          <cell r="Q4348">
            <v>0</v>
          </cell>
          <cell r="R4348">
            <v>0</v>
          </cell>
          <cell r="S4348">
            <v>0</v>
          </cell>
          <cell r="T4348">
            <v>1</v>
          </cell>
          <cell r="U4348" t="str">
            <v>Occationally</v>
          </cell>
          <cell r="V4348">
            <v>1</v>
          </cell>
          <cell r="W4348">
            <v>0</v>
          </cell>
          <cell r="X4348">
            <v>0</v>
          </cell>
          <cell r="Y4348">
            <v>0</v>
          </cell>
        </row>
        <row r="4349">
          <cell r="D4349">
            <v>313802</v>
          </cell>
          <cell r="E4349" t="str">
            <v>Migara National High School</v>
          </cell>
          <cell r="F4349">
            <v>1</v>
          </cell>
          <cell r="G4349">
            <v>1</v>
          </cell>
          <cell r="H4349">
            <v>0</v>
          </cell>
          <cell r="I4349">
            <v>0</v>
          </cell>
          <cell r="J4349">
            <v>1</v>
          </cell>
          <cell r="K4349">
            <v>0</v>
          </cell>
          <cell r="L4349">
            <v>0</v>
          </cell>
          <cell r="M4349">
            <v>0</v>
          </cell>
          <cell r="N4349">
            <v>1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</row>
        <row r="4350">
          <cell r="D4350">
            <v>303390</v>
          </cell>
          <cell r="E4350" t="str">
            <v>Leyte National High School</v>
          </cell>
          <cell r="F4350">
            <v>1</v>
          </cell>
          <cell r="G4350">
            <v>0</v>
          </cell>
          <cell r="H4350">
            <v>1</v>
          </cell>
          <cell r="I4350">
            <v>0</v>
          </cell>
          <cell r="J4350">
            <v>0</v>
          </cell>
          <cell r="K4350">
            <v>1</v>
          </cell>
          <cell r="L4350">
            <v>0</v>
          </cell>
          <cell r="M4350">
            <v>0</v>
          </cell>
          <cell r="N4350">
            <v>1</v>
          </cell>
          <cell r="O4350">
            <v>43497</v>
          </cell>
          <cell r="P4350">
            <v>43511</v>
          </cell>
          <cell r="Q4350">
            <v>0</v>
          </cell>
          <cell r="R4350">
            <v>1</v>
          </cell>
          <cell r="S4350">
            <v>0</v>
          </cell>
          <cell r="T4350">
            <v>0</v>
          </cell>
          <cell r="U4350">
            <v>0</v>
          </cell>
          <cell r="V4350">
            <v>1</v>
          </cell>
          <cell r="W4350">
            <v>4</v>
          </cell>
          <cell r="X4350">
            <v>0</v>
          </cell>
          <cell r="Y4350">
            <v>0</v>
          </cell>
        </row>
        <row r="4351">
          <cell r="D4351">
            <v>303446</v>
          </cell>
          <cell r="E4351" t="str">
            <v>Canipaan NHS</v>
          </cell>
          <cell r="F4351">
            <v>1</v>
          </cell>
          <cell r="G4351">
            <v>1</v>
          </cell>
          <cell r="H4351">
            <v>1</v>
          </cell>
          <cell r="I4351">
            <v>0</v>
          </cell>
          <cell r="J4351">
            <v>1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</row>
        <row r="4352">
          <cell r="D4352">
            <v>500672</v>
          </cell>
          <cell r="E4352" t="str">
            <v>Gabas Integrated School</v>
          </cell>
          <cell r="F4352">
            <v>1</v>
          </cell>
          <cell r="G4352">
            <v>1</v>
          </cell>
          <cell r="H4352">
            <v>1</v>
          </cell>
          <cell r="I4352">
            <v>0</v>
          </cell>
          <cell r="J4352">
            <v>0</v>
          </cell>
          <cell r="K4352">
            <v>1</v>
          </cell>
          <cell r="L4352">
            <v>0</v>
          </cell>
          <cell r="M4352">
            <v>0</v>
          </cell>
          <cell r="N4352">
            <v>0</v>
          </cell>
          <cell r="O4352" t="str">
            <v>NA</v>
          </cell>
          <cell r="P4352" t="str">
            <v>NA</v>
          </cell>
          <cell r="Q4352">
            <v>0</v>
          </cell>
          <cell r="R4352">
            <v>0</v>
          </cell>
          <cell r="S4352">
            <v>0</v>
          </cell>
          <cell r="T4352">
            <v>1</v>
          </cell>
          <cell r="U4352" t="str">
            <v>NA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</row>
        <row r="4353">
          <cell r="D4353">
            <v>303400</v>
          </cell>
          <cell r="E4353" t="str">
            <v>Makinhas National High School</v>
          </cell>
          <cell r="F4353">
            <v>1</v>
          </cell>
          <cell r="G4353">
            <v>1</v>
          </cell>
          <cell r="H4353">
            <v>1</v>
          </cell>
          <cell r="I4353">
            <v>0</v>
          </cell>
          <cell r="J4353">
            <v>1</v>
          </cell>
          <cell r="K4353">
            <v>0</v>
          </cell>
          <cell r="L4353">
            <v>0</v>
          </cell>
          <cell r="M4353">
            <v>0</v>
          </cell>
          <cell r="N4353">
            <v>1</v>
          </cell>
          <cell r="O4353">
            <v>43686</v>
          </cell>
          <cell r="P4353">
            <v>43759</v>
          </cell>
          <cell r="Q4353">
            <v>0</v>
          </cell>
          <cell r="R4353">
            <v>1</v>
          </cell>
          <cell r="S4353">
            <v>0</v>
          </cell>
          <cell r="T4353">
            <v>0</v>
          </cell>
          <cell r="U4353">
            <v>0</v>
          </cell>
          <cell r="V4353">
            <v>1</v>
          </cell>
          <cell r="W4353">
            <v>0</v>
          </cell>
          <cell r="X4353">
            <v>0</v>
          </cell>
          <cell r="Y4353">
            <v>0</v>
          </cell>
        </row>
        <row r="4354">
          <cell r="D4354">
            <v>313346</v>
          </cell>
          <cell r="E4354" t="str">
            <v>Euperfia Puda National High School</v>
          </cell>
          <cell r="F4354">
            <v>1</v>
          </cell>
          <cell r="G4354">
            <v>1</v>
          </cell>
          <cell r="H4354">
            <v>1</v>
          </cell>
          <cell r="I4354">
            <v>0</v>
          </cell>
          <cell r="J4354">
            <v>0</v>
          </cell>
          <cell r="K4354">
            <v>1</v>
          </cell>
          <cell r="L4354">
            <v>0</v>
          </cell>
          <cell r="M4354">
            <v>0</v>
          </cell>
          <cell r="N4354">
            <v>1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1</v>
          </cell>
          <cell r="T4354">
            <v>0</v>
          </cell>
          <cell r="U4354">
            <v>0</v>
          </cell>
          <cell r="V4354">
            <v>1</v>
          </cell>
          <cell r="W4354">
            <v>0</v>
          </cell>
          <cell r="X4354">
            <v>0</v>
          </cell>
          <cell r="Y4354">
            <v>0</v>
          </cell>
        </row>
        <row r="4355">
          <cell r="D4355">
            <v>303511</v>
          </cell>
          <cell r="E4355" t="str">
            <v>Lalawigan NHS</v>
          </cell>
          <cell r="F4355">
            <v>1</v>
          </cell>
          <cell r="G4355">
            <v>1</v>
          </cell>
          <cell r="H4355">
            <v>1</v>
          </cell>
          <cell r="I4355">
            <v>0</v>
          </cell>
          <cell r="J4355">
            <v>1</v>
          </cell>
          <cell r="K4355">
            <v>0</v>
          </cell>
          <cell r="L4355">
            <v>0</v>
          </cell>
          <cell r="M4355">
            <v>0</v>
          </cell>
          <cell r="N4355">
            <v>1</v>
          </cell>
          <cell r="O4355">
            <v>43640</v>
          </cell>
          <cell r="P4355">
            <v>43696</v>
          </cell>
          <cell r="Q4355">
            <v>0</v>
          </cell>
          <cell r="R4355">
            <v>1</v>
          </cell>
          <cell r="S4355">
            <v>0</v>
          </cell>
          <cell r="T4355">
            <v>0</v>
          </cell>
          <cell r="U4355">
            <v>0</v>
          </cell>
          <cell r="V4355">
            <v>1</v>
          </cell>
          <cell r="W4355">
            <v>0</v>
          </cell>
          <cell r="X4355">
            <v>0</v>
          </cell>
          <cell r="Y4355">
            <v>0</v>
          </cell>
        </row>
        <row r="4356">
          <cell r="D4356">
            <v>303432</v>
          </cell>
          <cell r="E4356" t="str">
            <v>Sta. Mesa National High School</v>
          </cell>
          <cell r="F4356">
            <v>1</v>
          </cell>
          <cell r="G4356">
            <v>1</v>
          </cell>
          <cell r="H4356">
            <v>1</v>
          </cell>
          <cell r="I4356">
            <v>0</v>
          </cell>
          <cell r="J4356">
            <v>1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1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</row>
        <row r="4357">
          <cell r="D4357">
            <v>303327</v>
          </cell>
          <cell r="E4357" t="str">
            <v>Lucsoon NHS</v>
          </cell>
          <cell r="F4357">
            <v>0</v>
          </cell>
          <cell r="G4357">
            <v>0</v>
          </cell>
          <cell r="H4357">
            <v>1</v>
          </cell>
          <cell r="I4357">
            <v>0</v>
          </cell>
          <cell r="J4357">
            <v>1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1</v>
          </cell>
          <cell r="U4357" t="str">
            <v>none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</row>
        <row r="4358">
          <cell r="D4358">
            <v>303645</v>
          </cell>
          <cell r="E4358" t="str">
            <v>Malaga National High School</v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</row>
        <row r="4359">
          <cell r="D4359">
            <v>313701</v>
          </cell>
          <cell r="E4359" t="str">
            <v>Catbalogan National Comprehensive High School</v>
          </cell>
          <cell r="F4359">
            <v>1</v>
          </cell>
          <cell r="G4359">
            <v>0</v>
          </cell>
          <cell r="H4359">
            <v>1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</row>
        <row r="4360">
          <cell r="D4360">
            <v>313303</v>
          </cell>
          <cell r="E4360" t="str">
            <v>Teofilo R. Macaso Memorial NHS</v>
          </cell>
          <cell r="F4360">
            <v>1</v>
          </cell>
          <cell r="G4360">
            <v>0</v>
          </cell>
          <cell r="H4360">
            <v>1</v>
          </cell>
          <cell r="I4360">
            <v>0</v>
          </cell>
          <cell r="J4360">
            <v>0</v>
          </cell>
          <cell r="K4360">
            <v>1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</row>
        <row r="4361">
          <cell r="D4361">
            <v>313316</v>
          </cell>
          <cell r="E4361" t="str">
            <v>Baybay City National Night High School</v>
          </cell>
          <cell r="F4361">
            <v>1</v>
          </cell>
          <cell r="G4361">
            <v>1</v>
          </cell>
          <cell r="H4361">
            <v>1</v>
          </cell>
          <cell r="I4361">
            <v>0</v>
          </cell>
          <cell r="J4361">
            <v>1</v>
          </cell>
          <cell r="K4361">
            <v>0</v>
          </cell>
          <cell r="L4361">
            <v>0</v>
          </cell>
          <cell r="M4361">
            <v>0</v>
          </cell>
          <cell r="N4361">
            <v>1</v>
          </cell>
          <cell r="O4361">
            <v>43619</v>
          </cell>
          <cell r="P4361">
            <v>43619</v>
          </cell>
          <cell r="Q4361">
            <v>0</v>
          </cell>
          <cell r="R4361">
            <v>1</v>
          </cell>
          <cell r="S4361">
            <v>0</v>
          </cell>
          <cell r="T4361">
            <v>0</v>
          </cell>
          <cell r="U4361">
            <v>0</v>
          </cell>
          <cell r="V4361">
            <v>1</v>
          </cell>
          <cell r="W4361">
            <v>0</v>
          </cell>
          <cell r="X4361">
            <v>0</v>
          </cell>
          <cell r="Y4361">
            <v>0</v>
          </cell>
        </row>
        <row r="4362">
          <cell r="D4362">
            <v>303625</v>
          </cell>
          <cell r="E4362" t="str">
            <v>SAN ANDRES NHS</v>
          </cell>
          <cell r="F4362">
            <v>1</v>
          </cell>
          <cell r="G4362">
            <v>1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</row>
        <row r="4363">
          <cell r="D4363">
            <v>500746</v>
          </cell>
          <cell r="E4363" t="str">
            <v>Mapgap Integrated School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  <cell r="J4363">
            <v>1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</row>
        <row r="4364">
          <cell r="D4364">
            <v>303362</v>
          </cell>
          <cell r="E4364" t="str">
            <v>Carigara National Vocational School</v>
          </cell>
          <cell r="F4364">
            <v>1</v>
          </cell>
          <cell r="G4364">
            <v>1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</row>
        <row r="4365">
          <cell r="D4365">
            <v>303412</v>
          </cell>
          <cell r="E4365" t="str">
            <v>Naval National High School</v>
          </cell>
          <cell r="F4365">
            <v>1</v>
          </cell>
          <cell r="G4365">
            <v>1</v>
          </cell>
          <cell r="H4365">
            <v>1</v>
          </cell>
          <cell r="I4365">
            <v>0</v>
          </cell>
          <cell r="J4365">
            <v>1</v>
          </cell>
          <cell r="K4365">
            <v>0</v>
          </cell>
          <cell r="L4365">
            <v>0</v>
          </cell>
          <cell r="M4365">
            <v>0</v>
          </cell>
          <cell r="N4365">
            <v>1</v>
          </cell>
          <cell r="O4365" t="str">
            <v>Nov. 12, 2019</v>
          </cell>
          <cell r="P4365" t="str">
            <v>Nov. 12, 2019</v>
          </cell>
          <cell r="Q4365">
            <v>0</v>
          </cell>
          <cell r="R4365">
            <v>1</v>
          </cell>
          <cell r="S4365">
            <v>0</v>
          </cell>
          <cell r="T4365">
            <v>0</v>
          </cell>
          <cell r="U4365">
            <v>0</v>
          </cell>
          <cell r="V4365">
            <v>1</v>
          </cell>
          <cell r="W4365">
            <v>0</v>
          </cell>
          <cell r="X4365">
            <v>0</v>
          </cell>
          <cell r="Y4365">
            <v>0</v>
          </cell>
        </row>
        <row r="4366">
          <cell r="D4366">
            <v>303421</v>
          </cell>
          <cell r="E4366" t="str">
            <v>Emeterio-Federica Gerez National High School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</row>
        <row r="4367">
          <cell r="D4367">
            <v>303646</v>
          </cell>
          <cell r="E4367" t="str">
            <v>Oquendo National High School</v>
          </cell>
          <cell r="F4367">
            <v>0</v>
          </cell>
          <cell r="G4367">
            <v>0</v>
          </cell>
          <cell r="H4367">
            <v>1</v>
          </cell>
          <cell r="I4367">
            <v>0</v>
          </cell>
          <cell r="J4367">
            <v>1</v>
          </cell>
          <cell r="K4367">
            <v>0</v>
          </cell>
          <cell r="L4367">
            <v>0</v>
          </cell>
          <cell r="M4367">
            <v>0</v>
          </cell>
          <cell r="N4367">
            <v>1</v>
          </cell>
          <cell r="O4367">
            <v>0</v>
          </cell>
          <cell r="P4367">
            <v>0</v>
          </cell>
          <cell r="Q4367">
            <v>0</v>
          </cell>
          <cell r="R4367">
            <v>1</v>
          </cell>
          <cell r="S4367">
            <v>0</v>
          </cell>
          <cell r="T4367">
            <v>0</v>
          </cell>
          <cell r="U4367">
            <v>0</v>
          </cell>
          <cell r="V4367">
            <v>1</v>
          </cell>
          <cell r="W4367">
            <v>0</v>
          </cell>
          <cell r="X4367">
            <v>0</v>
          </cell>
          <cell r="Y4367">
            <v>0</v>
          </cell>
        </row>
        <row r="4368">
          <cell r="D4368">
            <v>314004</v>
          </cell>
          <cell r="E4368" t="str">
            <v>Northern Tacloban City National High School</v>
          </cell>
          <cell r="F4368">
            <v>0</v>
          </cell>
          <cell r="G4368">
            <v>0</v>
          </cell>
          <cell r="H4368">
            <v>1</v>
          </cell>
          <cell r="I4368">
            <v>0</v>
          </cell>
          <cell r="J4368">
            <v>0</v>
          </cell>
          <cell r="K4368">
            <v>0</v>
          </cell>
          <cell r="L4368">
            <v>1</v>
          </cell>
          <cell r="M4368" t="str">
            <v>WHEN THE NEED ARISES</v>
          </cell>
          <cell r="N4368">
            <v>0</v>
          </cell>
          <cell r="O4368">
            <v>0</v>
          </cell>
          <cell r="P4368">
            <v>43617</v>
          </cell>
          <cell r="Q4368">
            <v>1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1</v>
          </cell>
          <cell r="W4368">
            <v>2</v>
          </cell>
          <cell r="X4368">
            <v>1</v>
          </cell>
          <cell r="Y4368">
            <v>0</v>
          </cell>
        </row>
        <row r="4369">
          <cell r="D4369">
            <v>313304</v>
          </cell>
          <cell r="E4369" t="str">
            <v>Agapito Amado Memorial National High School</v>
          </cell>
          <cell r="F4369">
            <v>1</v>
          </cell>
          <cell r="G4369">
            <v>1</v>
          </cell>
          <cell r="H4369">
            <v>1</v>
          </cell>
          <cell r="I4369">
            <v>0</v>
          </cell>
          <cell r="J4369">
            <v>1</v>
          </cell>
          <cell r="K4369">
            <v>0</v>
          </cell>
          <cell r="L4369">
            <v>0</v>
          </cell>
          <cell r="M4369">
            <v>0</v>
          </cell>
          <cell r="N4369">
            <v>1</v>
          </cell>
          <cell r="O4369">
            <v>0</v>
          </cell>
          <cell r="P4369">
            <v>0</v>
          </cell>
          <cell r="Q4369">
            <v>0</v>
          </cell>
          <cell r="R4369">
            <v>1</v>
          </cell>
          <cell r="S4369">
            <v>0</v>
          </cell>
          <cell r="T4369">
            <v>0</v>
          </cell>
          <cell r="U4369">
            <v>0</v>
          </cell>
          <cell r="V4369">
            <v>1</v>
          </cell>
          <cell r="W4369">
            <v>0</v>
          </cell>
          <cell r="X4369">
            <v>0</v>
          </cell>
          <cell r="Y4369">
            <v>0</v>
          </cell>
        </row>
        <row r="4370">
          <cell r="D4370">
            <v>313332</v>
          </cell>
          <cell r="E4370" t="str">
            <v>Buracan National High School</v>
          </cell>
          <cell r="F4370">
            <v>1</v>
          </cell>
          <cell r="G4370">
            <v>0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</row>
        <row r="4371">
          <cell r="D4371">
            <v>344634</v>
          </cell>
          <cell r="E4371" t="str">
            <v>Calbayog Arts and Design School of Eastern Visayas</v>
          </cell>
          <cell r="F4371">
            <v>1</v>
          </cell>
          <cell r="G4371">
            <v>1</v>
          </cell>
          <cell r="H4371">
            <v>1</v>
          </cell>
          <cell r="I4371">
            <v>0</v>
          </cell>
          <cell r="J4371">
            <v>0</v>
          </cell>
          <cell r="K4371">
            <v>1</v>
          </cell>
          <cell r="L4371">
            <v>0</v>
          </cell>
          <cell r="M4371">
            <v>0</v>
          </cell>
          <cell r="N4371">
            <v>1</v>
          </cell>
          <cell r="O4371">
            <v>43638</v>
          </cell>
          <cell r="P4371">
            <v>43754</v>
          </cell>
          <cell r="Q4371">
            <v>0</v>
          </cell>
          <cell r="R4371">
            <v>1</v>
          </cell>
          <cell r="S4371">
            <v>0</v>
          </cell>
          <cell r="T4371">
            <v>0</v>
          </cell>
          <cell r="U4371">
            <v>0</v>
          </cell>
          <cell r="V4371">
            <v>1</v>
          </cell>
          <cell r="W4371">
            <v>11</v>
          </cell>
          <cell r="X4371">
            <v>7</v>
          </cell>
          <cell r="Y4371">
            <v>0</v>
          </cell>
        </row>
        <row r="4372">
          <cell r="D4372">
            <v>313203</v>
          </cell>
          <cell r="E4372" t="str">
            <v>ICT High School of Eastern Biliran</v>
          </cell>
          <cell r="F4372">
            <v>0</v>
          </cell>
          <cell r="G4372">
            <v>0</v>
          </cell>
          <cell r="H4372">
            <v>1</v>
          </cell>
          <cell r="I4372">
            <v>0</v>
          </cell>
          <cell r="J4372">
            <v>1</v>
          </cell>
          <cell r="K4372">
            <v>0</v>
          </cell>
          <cell r="L4372">
            <v>0</v>
          </cell>
          <cell r="M4372">
            <v>0</v>
          </cell>
          <cell r="N4372">
            <v>1</v>
          </cell>
          <cell r="O4372">
            <v>43471</v>
          </cell>
          <cell r="P4372" t="str">
            <v>n/a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1</v>
          </cell>
          <cell r="W4372">
            <v>0</v>
          </cell>
          <cell r="X4372">
            <v>0</v>
          </cell>
          <cell r="Y4372">
            <v>0</v>
          </cell>
        </row>
        <row r="4373">
          <cell r="D4373">
            <v>303323</v>
          </cell>
          <cell r="E4373" t="str">
            <v>Cabucgayan NHS</v>
          </cell>
          <cell r="F4373">
            <v>1</v>
          </cell>
          <cell r="G4373">
            <v>1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 t="str">
            <v>October 31, 2019</v>
          </cell>
          <cell r="Q4373">
            <v>1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1</v>
          </cell>
          <cell r="W4373">
            <v>0</v>
          </cell>
          <cell r="X4373">
            <v>0</v>
          </cell>
          <cell r="Y4373">
            <v>0</v>
          </cell>
        </row>
        <row r="4374">
          <cell r="D4374">
            <v>303373</v>
          </cell>
          <cell r="E4374" t="str">
            <v>Hampipila National High School</v>
          </cell>
          <cell r="F4374">
            <v>1</v>
          </cell>
          <cell r="G4374">
            <v>1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</row>
        <row r="4375">
          <cell r="D4375">
            <v>303448</v>
          </cell>
          <cell r="E4375" t="str">
            <v>Concepcion National High School</v>
          </cell>
          <cell r="F4375">
            <v>1</v>
          </cell>
          <cell r="G4375">
            <v>0</v>
          </cell>
          <cell r="H4375">
            <v>1</v>
          </cell>
          <cell r="I4375">
            <v>0</v>
          </cell>
          <cell r="J4375">
            <v>1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43647</v>
          </cell>
          <cell r="Q4375">
            <v>0</v>
          </cell>
          <cell r="R4375">
            <v>1</v>
          </cell>
          <cell r="S4375">
            <v>0</v>
          </cell>
          <cell r="T4375">
            <v>0</v>
          </cell>
          <cell r="U4375">
            <v>0</v>
          </cell>
          <cell r="V4375">
            <v>1</v>
          </cell>
          <cell r="W4375">
            <v>0</v>
          </cell>
          <cell r="X4375">
            <v>0</v>
          </cell>
          <cell r="Y4375">
            <v>0</v>
          </cell>
        </row>
        <row r="4376">
          <cell r="D4376">
            <v>303388</v>
          </cell>
          <cell r="E4376" t="str">
            <v>Tanauan Sch. Of Craftsmanship &amp; Home Industries (LIT-Tanauan Campus)Campus</v>
          </cell>
          <cell r="F4376">
            <v>1</v>
          </cell>
          <cell r="G4376">
            <v>1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</row>
        <row r="4377">
          <cell r="D4377">
            <v>303425</v>
          </cell>
          <cell r="E4377" t="str">
            <v>San Jose National High School</v>
          </cell>
          <cell r="F4377">
            <v>1</v>
          </cell>
          <cell r="G4377">
            <v>1</v>
          </cell>
          <cell r="H4377">
            <v>0</v>
          </cell>
          <cell r="I4377">
            <v>0</v>
          </cell>
          <cell r="J4377">
            <v>1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1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</row>
        <row r="4378">
          <cell r="D4378">
            <v>303651</v>
          </cell>
          <cell r="E4378" t="str">
            <v>San Policarpo National High School</v>
          </cell>
          <cell r="F4378">
            <v>1</v>
          </cell>
          <cell r="G4378">
            <v>1</v>
          </cell>
          <cell r="H4378">
            <v>1</v>
          </cell>
          <cell r="I4378">
            <v>0</v>
          </cell>
          <cell r="J4378">
            <v>0</v>
          </cell>
          <cell r="K4378">
            <v>1</v>
          </cell>
          <cell r="L4378">
            <v>0</v>
          </cell>
          <cell r="M4378">
            <v>0</v>
          </cell>
          <cell r="N4378">
            <v>1</v>
          </cell>
          <cell r="O4378">
            <v>43468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</row>
        <row r="4379">
          <cell r="D4379">
            <v>303666</v>
          </cell>
          <cell r="E4379" t="str">
            <v>Sagkahan National High School</v>
          </cell>
          <cell r="F4379">
            <v>1</v>
          </cell>
          <cell r="G4379">
            <v>1</v>
          </cell>
          <cell r="H4379">
            <v>1</v>
          </cell>
          <cell r="I4379">
            <v>0</v>
          </cell>
          <cell r="J4379">
            <v>1</v>
          </cell>
          <cell r="K4379">
            <v>0</v>
          </cell>
          <cell r="L4379">
            <v>0</v>
          </cell>
          <cell r="M4379">
            <v>0</v>
          </cell>
          <cell r="N4379">
            <v>1</v>
          </cell>
          <cell r="O4379">
            <v>43678</v>
          </cell>
          <cell r="P4379">
            <v>43678</v>
          </cell>
          <cell r="Q4379">
            <v>0</v>
          </cell>
          <cell r="R4379">
            <v>1</v>
          </cell>
          <cell r="S4379">
            <v>0</v>
          </cell>
          <cell r="T4379">
            <v>0</v>
          </cell>
          <cell r="U4379">
            <v>0</v>
          </cell>
          <cell r="V4379">
            <v>1</v>
          </cell>
          <cell r="W4379">
            <v>1</v>
          </cell>
          <cell r="X4379">
            <v>1</v>
          </cell>
          <cell r="Y4379">
            <v>1</v>
          </cell>
        </row>
        <row r="4380">
          <cell r="D4380">
            <v>303669</v>
          </cell>
          <cell r="E4380" t="str">
            <v>Tacloban National Agricultural School</v>
          </cell>
          <cell r="F4380">
            <v>1</v>
          </cell>
          <cell r="G4380">
            <v>1</v>
          </cell>
          <cell r="H4380">
            <v>1</v>
          </cell>
          <cell r="I4380">
            <v>0</v>
          </cell>
          <cell r="J4380">
            <v>1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</row>
        <row r="4381">
          <cell r="D4381">
            <v>303561</v>
          </cell>
          <cell r="E4381" t="str">
            <v>Basilio B. Chan Mem. Agricultural and Industrial Sch.</v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</row>
        <row r="4382">
          <cell r="D4382">
            <v>303365</v>
          </cell>
          <cell r="E4382" t="str">
            <v>Concepcion National High School</v>
          </cell>
          <cell r="F4382">
            <v>1</v>
          </cell>
          <cell r="G4382">
            <v>1</v>
          </cell>
          <cell r="H4382">
            <v>1</v>
          </cell>
          <cell r="I4382">
            <v>0</v>
          </cell>
          <cell r="J4382">
            <v>1</v>
          </cell>
          <cell r="K4382">
            <v>0</v>
          </cell>
          <cell r="L4382">
            <v>0</v>
          </cell>
          <cell r="M4382">
            <v>0</v>
          </cell>
          <cell r="N4382">
            <v>1</v>
          </cell>
          <cell r="O4382">
            <v>43711</v>
          </cell>
          <cell r="P4382">
            <v>43533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1</v>
          </cell>
          <cell r="W4382">
            <v>0</v>
          </cell>
          <cell r="X4382">
            <v>0</v>
          </cell>
          <cell r="Y4382">
            <v>0</v>
          </cell>
        </row>
        <row r="4383">
          <cell r="D4383">
            <v>313901</v>
          </cell>
          <cell r="E4383" t="str">
            <v>Lilo-an National High School</v>
          </cell>
          <cell r="F4383">
            <v>1</v>
          </cell>
          <cell r="G4383">
            <v>1</v>
          </cell>
          <cell r="H4383">
            <v>1</v>
          </cell>
          <cell r="I4383">
            <v>0</v>
          </cell>
          <cell r="J4383">
            <v>1</v>
          </cell>
          <cell r="K4383">
            <v>0</v>
          </cell>
          <cell r="L4383">
            <v>0</v>
          </cell>
          <cell r="M4383">
            <v>0</v>
          </cell>
          <cell r="N4383">
            <v>1</v>
          </cell>
          <cell r="O4383" t="str">
            <v>not yet</v>
          </cell>
          <cell r="P4383" t="str">
            <v>not yet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 t="str">
            <v>not yet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</row>
        <row r="4384">
          <cell r="D4384">
            <v>303408</v>
          </cell>
          <cell r="E4384" t="str">
            <v>Merida Vocational School</v>
          </cell>
          <cell r="F4384">
            <v>1</v>
          </cell>
          <cell r="G4384">
            <v>1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</row>
        <row r="4385">
          <cell r="D4385">
            <v>303657</v>
          </cell>
          <cell r="E4385" t="str">
            <v>Margen National High School</v>
          </cell>
          <cell r="F4385">
            <v>1</v>
          </cell>
          <cell r="G4385">
            <v>1</v>
          </cell>
          <cell r="H4385">
            <v>1</v>
          </cell>
          <cell r="I4385">
            <v>0</v>
          </cell>
          <cell r="J4385">
            <v>0</v>
          </cell>
          <cell r="K4385">
            <v>0</v>
          </cell>
          <cell r="L4385">
            <v>1</v>
          </cell>
          <cell r="M4385" t="str">
            <v>As needed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</row>
        <row r="4386">
          <cell r="D4386">
            <v>313515</v>
          </cell>
          <cell r="E4386" t="str">
            <v>Supt. Fidel E. Anacta, Sr. MHS</v>
          </cell>
          <cell r="F4386">
            <v>1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</row>
        <row r="4387">
          <cell r="D4387">
            <v>303368</v>
          </cell>
          <cell r="E4387" t="str">
            <v>Dr. Geronimo B. Zaldivar Memorial School of Fisheries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1</v>
          </cell>
          <cell r="M4387" t="str">
            <v>AS NEEDED</v>
          </cell>
          <cell r="N4387">
            <v>0</v>
          </cell>
          <cell r="O4387" t="str">
            <v>N/A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1</v>
          </cell>
          <cell r="U4387" t="str">
            <v>AS NEEDED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</row>
        <row r="4388">
          <cell r="D4388">
            <v>303619</v>
          </cell>
          <cell r="E4388" t="str">
            <v>Buenavista National High School</v>
          </cell>
          <cell r="F4388">
            <v>1</v>
          </cell>
          <cell r="G4388">
            <v>0</v>
          </cell>
          <cell r="H4388">
            <v>1</v>
          </cell>
          <cell r="I4388">
            <v>0</v>
          </cell>
          <cell r="J4388">
            <v>1</v>
          </cell>
          <cell r="K4388">
            <v>0</v>
          </cell>
          <cell r="L4388">
            <v>0</v>
          </cell>
          <cell r="M4388">
            <v>0</v>
          </cell>
          <cell r="N4388">
            <v>1</v>
          </cell>
          <cell r="O4388">
            <v>43608</v>
          </cell>
          <cell r="P4388">
            <v>0</v>
          </cell>
          <cell r="Q4388">
            <v>0</v>
          </cell>
          <cell r="R4388">
            <v>1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</row>
        <row r="4389">
          <cell r="D4389">
            <v>313309</v>
          </cell>
          <cell r="E4389" t="str">
            <v>Gibacungan National High School</v>
          </cell>
          <cell r="F4389">
            <v>1</v>
          </cell>
          <cell r="G4389">
            <v>1</v>
          </cell>
          <cell r="H4389">
            <v>1</v>
          </cell>
          <cell r="I4389">
            <v>0</v>
          </cell>
          <cell r="J4389">
            <v>0</v>
          </cell>
          <cell r="K4389">
            <v>0</v>
          </cell>
          <cell r="L4389">
            <v>1</v>
          </cell>
          <cell r="M4389" t="str">
            <v>as need arises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1</v>
          </cell>
          <cell r="U4389" t="str">
            <v>as need arises</v>
          </cell>
          <cell r="V4389">
            <v>1</v>
          </cell>
          <cell r="W4389">
            <v>0</v>
          </cell>
          <cell r="X4389">
            <v>0</v>
          </cell>
          <cell r="Y4389">
            <v>0</v>
          </cell>
        </row>
        <row r="4390">
          <cell r="D4390">
            <v>303340</v>
          </cell>
          <cell r="E4390" t="str">
            <v>Astorga National High School</v>
          </cell>
          <cell r="F4390">
            <v>0</v>
          </cell>
          <cell r="G4390">
            <v>0</v>
          </cell>
          <cell r="H4390">
            <v>1</v>
          </cell>
          <cell r="I4390">
            <v>1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</row>
        <row r="4391">
          <cell r="D4391">
            <v>303604</v>
          </cell>
          <cell r="E4391" t="str">
            <v>Eastern Visayas Regional Science High School</v>
          </cell>
          <cell r="F4391">
            <v>1</v>
          </cell>
          <cell r="G4391">
            <v>1</v>
          </cell>
          <cell r="H4391">
            <v>1</v>
          </cell>
          <cell r="I4391">
            <v>0</v>
          </cell>
          <cell r="J4391">
            <v>0</v>
          </cell>
          <cell r="K4391">
            <v>1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1</v>
          </cell>
          <cell r="U4391" t="str">
            <v>None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</row>
        <row r="4392">
          <cell r="D4392">
            <v>303396</v>
          </cell>
          <cell r="E4392" t="str">
            <v>Lomonon National High School</v>
          </cell>
          <cell r="F4392">
            <v>1</v>
          </cell>
          <cell r="G4392">
            <v>0</v>
          </cell>
          <cell r="H4392">
            <v>1</v>
          </cell>
          <cell r="I4392">
            <v>0</v>
          </cell>
          <cell r="J4392">
            <v>1</v>
          </cell>
          <cell r="K4392">
            <v>0</v>
          </cell>
          <cell r="L4392">
            <v>0</v>
          </cell>
          <cell r="M4392">
            <v>0</v>
          </cell>
          <cell r="N4392">
            <v>1</v>
          </cell>
          <cell r="O4392">
            <v>0</v>
          </cell>
          <cell r="P4392">
            <v>0</v>
          </cell>
          <cell r="Q4392">
            <v>0</v>
          </cell>
          <cell r="R4392">
            <v>1</v>
          </cell>
          <cell r="S4392">
            <v>0</v>
          </cell>
          <cell r="T4392">
            <v>0</v>
          </cell>
          <cell r="U4392">
            <v>0</v>
          </cell>
          <cell r="V4392">
            <v>1</v>
          </cell>
          <cell r="W4392">
            <v>0</v>
          </cell>
          <cell r="X4392">
            <v>0</v>
          </cell>
          <cell r="Y4392">
            <v>0</v>
          </cell>
        </row>
        <row r="4393">
          <cell r="D4393">
            <v>313604</v>
          </cell>
          <cell r="E4393" t="str">
            <v>Bantayan NHS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</row>
        <row r="4394">
          <cell r="D4394">
            <v>303534</v>
          </cell>
          <cell r="E4394" t="str">
            <v>BIRI NATIONAL HIGH SCHOOL</v>
          </cell>
          <cell r="F4394">
            <v>1</v>
          </cell>
          <cell r="G4394">
            <v>0</v>
          </cell>
          <cell r="H4394">
            <v>1</v>
          </cell>
          <cell r="I4394">
            <v>0</v>
          </cell>
          <cell r="J4394">
            <v>1</v>
          </cell>
          <cell r="K4394">
            <v>0</v>
          </cell>
          <cell r="L4394">
            <v>0</v>
          </cell>
          <cell r="M4394">
            <v>0</v>
          </cell>
          <cell r="N4394">
            <v>1</v>
          </cell>
          <cell r="O4394">
            <v>43684</v>
          </cell>
          <cell r="P4394">
            <v>0</v>
          </cell>
          <cell r="Q4394">
            <v>1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3</v>
          </cell>
          <cell r="X4394">
            <v>0</v>
          </cell>
          <cell r="Y4394">
            <v>0</v>
          </cell>
        </row>
        <row r="4395">
          <cell r="D4395">
            <v>303392</v>
          </cell>
          <cell r="E4395" t="str">
            <v>Alangalang Agro-Industrial School (LSU - Alangalang Campus)</v>
          </cell>
          <cell r="F4395">
            <v>0</v>
          </cell>
          <cell r="G4395">
            <v>1</v>
          </cell>
          <cell r="H4395">
            <v>1</v>
          </cell>
          <cell r="I4395">
            <v>0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1</v>
          </cell>
          <cell r="O4395" t="str">
            <v>06/28/2018</v>
          </cell>
          <cell r="P4395" t="str">
            <v>June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1</v>
          </cell>
          <cell r="W4395">
            <v>1</v>
          </cell>
          <cell r="X4395">
            <v>1</v>
          </cell>
          <cell r="Y4395">
            <v>0</v>
          </cell>
        </row>
        <row r="4396">
          <cell r="D4396">
            <v>303568</v>
          </cell>
          <cell r="E4396" t="str">
            <v>Nenita National High School</v>
          </cell>
          <cell r="F4396">
            <v>0</v>
          </cell>
          <cell r="G4396">
            <v>0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 t="str">
            <v>n/a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</row>
        <row r="4397">
          <cell r="D4397">
            <v>303535</v>
          </cell>
          <cell r="E4397" t="str">
            <v>Bobon School for Philippine Craftsmen</v>
          </cell>
          <cell r="F4397">
            <v>1</v>
          </cell>
          <cell r="G4397">
            <v>1</v>
          </cell>
          <cell r="H4397">
            <v>1</v>
          </cell>
          <cell r="I4397">
            <v>0</v>
          </cell>
          <cell r="J4397">
            <v>1</v>
          </cell>
          <cell r="K4397">
            <v>0</v>
          </cell>
          <cell r="L4397">
            <v>0</v>
          </cell>
          <cell r="M4397">
            <v>0</v>
          </cell>
          <cell r="N4397">
            <v>1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1</v>
          </cell>
          <cell r="W4397">
            <v>0</v>
          </cell>
          <cell r="X4397">
            <v>0</v>
          </cell>
          <cell r="Y4397">
            <v>0</v>
          </cell>
        </row>
        <row r="4398">
          <cell r="D4398">
            <v>303540</v>
          </cell>
          <cell r="E4398" t="str">
            <v>Capul Agro-Industrial School</v>
          </cell>
          <cell r="F4398">
            <v>1</v>
          </cell>
          <cell r="G4398">
            <v>0</v>
          </cell>
          <cell r="H4398">
            <v>1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</row>
        <row r="4399">
          <cell r="D4399">
            <v>303531</v>
          </cell>
          <cell r="E4399" t="str">
            <v>Allen National High School</v>
          </cell>
          <cell r="F4399">
            <v>1</v>
          </cell>
          <cell r="G4399">
            <v>1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1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1</v>
          </cell>
          <cell r="W4399">
            <v>1</v>
          </cell>
          <cell r="X4399">
            <v>0</v>
          </cell>
          <cell r="Y4399">
            <v>0</v>
          </cell>
        </row>
        <row r="4400">
          <cell r="D4400">
            <v>303453</v>
          </cell>
          <cell r="E4400" t="str">
            <v>Don Agustin F. Escaño NHS</v>
          </cell>
          <cell r="F4400">
            <v>1</v>
          </cell>
          <cell r="G4400">
            <v>1</v>
          </cell>
          <cell r="H4400">
            <v>1</v>
          </cell>
          <cell r="I4400">
            <v>1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1</v>
          </cell>
          <cell r="O4400" t="str">
            <v>JULY 20, 2016</v>
          </cell>
          <cell r="P4400" t="str">
            <v>JULY 30, 2016</v>
          </cell>
          <cell r="Q4400">
            <v>0</v>
          </cell>
          <cell r="R4400">
            <v>0</v>
          </cell>
          <cell r="S4400">
            <v>1</v>
          </cell>
          <cell r="T4400">
            <v>0</v>
          </cell>
          <cell r="U4400">
            <v>0</v>
          </cell>
          <cell r="V4400">
            <v>1</v>
          </cell>
          <cell r="W4400">
            <v>3</v>
          </cell>
          <cell r="X4400">
            <v>3</v>
          </cell>
          <cell r="Y4400">
            <v>1</v>
          </cell>
        </row>
        <row r="4401">
          <cell r="D4401">
            <v>303351</v>
          </cell>
          <cell r="E4401" t="str">
            <v>Bunga National High School</v>
          </cell>
          <cell r="F4401">
            <v>0</v>
          </cell>
          <cell r="G4401">
            <v>0</v>
          </cell>
          <cell r="H4401">
            <v>1</v>
          </cell>
          <cell r="I4401">
            <v>0</v>
          </cell>
          <cell r="J4401">
            <v>0</v>
          </cell>
          <cell r="K4401">
            <v>0</v>
          </cell>
          <cell r="L4401">
            <v>1</v>
          </cell>
          <cell r="M4401" t="str">
            <v>as the need arises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1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</row>
        <row r="4402">
          <cell r="D4402">
            <v>303424</v>
          </cell>
          <cell r="E4402" t="str">
            <v>San Joaquin National High School</v>
          </cell>
          <cell r="F4402">
            <v>1</v>
          </cell>
          <cell r="G4402">
            <v>1</v>
          </cell>
          <cell r="H4402">
            <v>1</v>
          </cell>
          <cell r="I4402">
            <v>0</v>
          </cell>
          <cell r="J4402">
            <v>0</v>
          </cell>
          <cell r="K4402">
            <v>1</v>
          </cell>
          <cell r="L4402">
            <v>0</v>
          </cell>
          <cell r="M4402">
            <v>0</v>
          </cell>
          <cell r="N4402">
            <v>0</v>
          </cell>
          <cell r="O4402">
            <v>43132</v>
          </cell>
          <cell r="P4402">
            <v>0</v>
          </cell>
          <cell r="Q4402">
            <v>0</v>
          </cell>
          <cell r="R4402">
            <v>0</v>
          </cell>
          <cell r="S4402">
            <v>1</v>
          </cell>
          <cell r="T4402">
            <v>0</v>
          </cell>
          <cell r="U4402">
            <v>0</v>
          </cell>
          <cell r="V4402">
            <v>1</v>
          </cell>
          <cell r="W4402">
            <v>4</v>
          </cell>
          <cell r="X4402">
            <v>0</v>
          </cell>
          <cell r="Y4402">
            <v>0</v>
          </cell>
        </row>
        <row r="4403">
          <cell r="D4403">
            <v>303413</v>
          </cell>
          <cell r="E4403" t="str">
            <v>Pagsulhugon National High School</v>
          </cell>
          <cell r="F4403">
            <v>1</v>
          </cell>
          <cell r="G4403">
            <v>0</v>
          </cell>
          <cell r="H4403">
            <v>1</v>
          </cell>
          <cell r="I4403">
            <v>0</v>
          </cell>
          <cell r="J4403">
            <v>1</v>
          </cell>
          <cell r="K4403">
            <v>0</v>
          </cell>
          <cell r="L4403">
            <v>0</v>
          </cell>
          <cell r="M4403">
            <v>0</v>
          </cell>
          <cell r="N4403">
            <v>1</v>
          </cell>
          <cell r="O4403" t="str">
            <v>09/30/2019</v>
          </cell>
          <cell r="P4403">
            <v>43475</v>
          </cell>
          <cell r="Q4403">
            <v>0</v>
          </cell>
          <cell r="R4403">
            <v>0</v>
          </cell>
          <cell r="S4403">
            <v>0</v>
          </cell>
          <cell r="T4403">
            <v>1</v>
          </cell>
          <cell r="U4403" t="str">
            <v>weekly</v>
          </cell>
          <cell r="V4403">
            <v>1</v>
          </cell>
          <cell r="W4403">
            <v>2</v>
          </cell>
          <cell r="X4403">
            <v>2</v>
          </cell>
          <cell r="Y4403">
            <v>2</v>
          </cell>
        </row>
        <row r="4404">
          <cell r="D4404">
            <v>313398</v>
          </cell>
          <cell r="E4404" t="str">
            <v>Borseth National High School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</row>
        <row r="4405">
          <cell r="D4405">
            <v>303440</v>
          </cell>
          <cell r="E4405" t="str">
            <v>Tolosa National High School</v>
          </cell>
          <cell r="F4405">
            <v>1</v>
          </cell>
          <cell r="G4405">
            <v>0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</row>
        <row r="4406">
          <cell r="D4406">
            <v>303376</v>
          </cell>
          <cell r="E4406" t="str">
            <v>Hitudpan National High School</v>
          </cell>
          <cell r="F4406">
            <v>1</v>
          </cell>
          <cell r="G4406">
            <v>1</v>
          </cell>
          <cell r="H4406">
            <v>1</v>
          </cell>
          <cell r="I4406">
            <v>0</v>
          </cell>
          <cell r="J4406">
            <v>0</v>
          </cell>
          <cell r="K4406">
            <v>0</v>
          </cell>
          <cell r="L4406">
            <v>1</v>
          </cell>
          <cell r="M4406" t="str">
            <v>As the need arises</v>
          </cell>
          <cell r="N4406">
            <v>1</v>
          </cell>
          <cell r="O4406">
            <v>43630</v>
          </cell>
          <cell r="P4406">
            <v>43630</v>
          </cell>
          <cell r="Q4406">
            <v>0</v>
          </cell>
          <cell r="R4406">
            <v>0</v>
          </cell>
          <cell r="S4406">
            <v>0</v>
          </cell>
          <cell r="T4406">
            <v>1</v>
          </cell>
          <cell r="U4406" t="str">
            <v>As the need arises</v>
          </cell>
          <cell r="V4406">
            <v>1</v>
          </cell>
          <cell r="W4406">
            <v>0</v>
          </cell>
          <cell r="X4406">
            <v>0</v>
          </cell>
          <cell r="Y4406">
            <v>0</v>
          </cell>
        </row>
        <row r="4407">
          <cell r="D4407">
            <v>303339</v>
          </cell>
          <cell r="E4407" t="str">
            <v>Anahaway National High School</v>
          </cell>
          <cell r="F4407">
            <v>1</v>
          </cell>
          <cell r="G4407">
            <v>1</v>
          </cell>
          <cell r="H4407">
            <v>1</v>
          </cell>
          <cell r="I4407">
            <v>0</v>
          </cell>
          <cell r="J4407">
            <v>1</v>
          </cell>
          <cell r="K4407">
            <v>0</v>
          </cell>
          <cell r="L4407">
            <v>0</v>
          </cell>
          <cell r="M4407">
            <v>0</v>
          </cell>
          <cell r="N4407">
            <v>1</v>
          </cell>
          <cell r="O4407">
            <v>0</v>
          </cell>
          <cell r="P4407">
            <v>0</v>
          </cell>
          <cell r="Q4407">
            <v>0</v>
          </cell>
          <cell r="R4407">
            <v>1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1</v>
          </cell>
          <cell r="X4407">
            <v>0</v>
          </cell>
          <cell r="Y4407">
            <v>0</v>
          </cell>
        </row>
        <row r="4408">
          <cell r="D4408">
            <v>303662</v>
          </cell>
          <cell r="E4408" t="str">
            <v>Valencia National High School</v>
          </cell>
          <cell r="F4408">
            <v>1</v>
          </cell>
          <cell r="G4408">
            <v>1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1</v>
          </cell>
          <cell r="W4408">
            <v>0</v>
          </cell>
          <cell r="X4408">
            <v>0</v>
          </cell>
          <cell r="Y4408">
            <v>0</v>
          </cell>
        </row>
        <row r="4409">
          <cell r="D4409">
            <v>303406</v>
          </cell>
          <cell r="E4409" t="str">
            <v>Matlang National High School</v>
          </cell>
          <cell r="F4409">
            <v>1</v>
          </cell>
          <cell r="G4409">
            <v>0</v>
          </cell>
          <cell r="H4409">
            <v>1</v>
          </cell>
          <cell r="I4409">
            <v>0</v>
          </cell>
          <cell r="J4409">
            <v>0</v>
          </cell>
          <cell r="K4409">
            <v>1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1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</row>
        <row r="4410">
          <cell r="D4410">
            <v>313333</v>
          </cell>
          <cell r="E4410" t="str">
            <v>Rizal National High School</v>
          </cell>
          <cell r="F4410">
            <v>1</v>
          </cell>
          <cell r="G4410">
            <v>1</v>
          </cell>
          <cell r="H4410">
            <v>1</v>
          </cell>
          <cell r="I4410">
            <v>0</v>
          </cell>
          <cell r="J4410">
            <v>1</v>
          </cell>
          <cell r="K4410">
            <v>0</v>
          </cell>
          <cell r="L4410">
            <v>0</v>
          </cell>
          <cell r="M4410">
            <v>0</v>
          </cell>
          <cell r="N4410">
            <v>1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</row>
        <row r="4411">
          <cell r="D4411">
            <v>303437</v>
          </cell>
          <cell r="E4411" t="str">
            <v>Tanauan National High School (San Roque NHS)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 t="str">
            <v>AUGUST 30, 2019</v>
          </cell>
          <cell r="Q4411">
            <v>1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1</v>
          </cell>
          <cell r="W4411">
            <v>1</v>
          </cell>
          <cell r="X4411">
            <v>0</v>
          </cell>
          <cell r="Y4411">
            <v>0</v>
          </cell>
        </row>
        <row r="4412">
          <cell r="D4412">
            <v>303382</v>
          </cell>
          <cell r="E4412" t="str">
            <v>Justimbaste-Remandaban National High School</v>
          </cell>
          <cell r="F4412">
            <v>1</v>
          </cell>
          <cell r="G4412">
            <v>1</v>
          </cell>
          <cell r="H4412">
            <v>1</v>
          </cell>
          <cell r="I4412">
            <v>0</v>
          </cell>
          <cell r="J4412">
            <v>0</v>
          </cell>
          <cell r="K4412">
            <v>0</v>
          </cell>
          <cell r="L4412">
            <v>0</v>
          </cell>
          <cell r="M4412">
            <v>0</v>
          </cell>
          <cell r="N4412">
            <v>1</v>
          </cell>
          <cell r="O4412">
            <v>43282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</row>
        <row r="4413">
          <cell r="D4413">
            <v>303426</v>
          </cell>
          <cell r="E4413" t="str">
            <v>San Miguel National High School</v>
          </cell>
          <cell r="F4413">
            <v>1</v>
          </cell>
          <cell r="G4413">
            <v>1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</row>
        <row r="4414">
          <cell r="D4414">
            <v>303409</v>
          </cell>
          <cell r="E4414" t="str">
            <v>Calunangan National High School</v>
          </cell>
          <cell r="F4414">
            <v>1</v>
          </cell>
          <cell r="G4414">
            <v>1</v>
          </cell>
          <cell r="H4414">
            <v>1</v>
          </cell>
          <cell r="I4414">
            <v>0</v>
          </cell>
          <cell r="J4414">
            <v>1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</row>
        <row r="4415">
          <cell r="D4415">
            <v>313321</v>
          </cell>
          <cell r="E4415" t="str">
            <v>Cabatoan National High School</v>
          </cell>
          <cell r="F4415">
            <v>1</v>
          </cell>
          <cell r="G4415">
            <v>1</v>
          </cell>
          <cell r="H4415">
            <v>1</v>
          </cell>
          <cell r="I4415">
            <v>0</v>
          </cell>
          <cell r="J4415">
            <v>1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43615</v>
          </cell>
          <cell r="P4415" t="str">
            <v>AUGUST, 2019</v>
          </cell>
          <cell r="Q4415">
            <v>0</v>
          </cell>
          <cell r="R4415">
            <v>1</v>
          </cell>
          <cell r="S4415">
            <v>0</v>
          </cell>
          <cell r="T4415">
            <v>0</v>
          </cell>
          <cell r="U4415">
            <v>0</v>
          </cell>
          <cell r="V4415">
            <v>1</v>
          </cell>
          <cell r="W4415">
            <v>0</v>
          </cell>
          <cell r="X4415">
            <v>0</v>
          </cell>
          <cell r="Y4415">
            <v>0</v>
          </cell>
        </row>
        <row r="4416">
          <cell r="D4416">
            <v>313325</v>
          </cell>
          <cell r="E4416" t="str">
            <v>Hibunauan National High School</v>
          </cell>
          <cell r="F4416">
            <v>1</v>
          </cell>
          <cell r="G4416">
            <v>1</v>
          </cell>
          <cell r="H4416">
            <v>1</v>
          </cell>
          <cell r="I4416">
            <v>0</v>
          </cell>
          <cell r="J4416">
            <v>0</v>
          </cell>
          <cell r="K4416">
            <v>1</v>
          </cell>
          <cell r="L4416">
            <v>0</v>
          </cell>
          <cell r="M4416">
            <v>0</v>
          </cell>
          <cell r="N4416">
            <v>1</v>
          </cell>
          <cell r="O4416">
            <v>0</v>
          </cell>
          <cell r="P4416" t="str">
            <v>Augsut 2019</v>
          </cell>
          <cell r="Q4416">
            <v>0</v>
          </cell>
          <cell r="R4416">
            <v>1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</row>
        <row r="4417">
          <cell r="D4417">
            <v>303361</v>
          </cell>
          <cell r="E4417" t="str">
            <v>Carigara National High School</v>
          </cell>
          <cell r="F4417">
            <v>1</v>
          </cell>
          <cell r="G4417">
            <v>0</v>
          </cell>
          <cell r="H4417">
            <v>1</v>
          </cell>
          <cell r="I4417">
            <v>0</v>
          </cell>
          <cell r="J4417">
            <v>0</v>
          </cell>
          <cell r="K4417">
            <v>0</v>
          </cell>
          <cell r="L4417">
            <v>1</v>
          </cell>
          <cell r="M4417" t="str">
            <v>as the need arises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</row>
        <row r="4418">
          <cell r="D4418">
            <v>305523</v>
          </cell>
          <cell r="E4418" t="str">
            <v>Sta. Fe Stand Alone Senior High School</v>
          </cell>
          <cell r="F4418">
            <v>0</v>
          </cell>
          <cell r="G4418">
            <v>0</v>
          </cell>
          <cell r="H4418">
            <v>1</v>
          </cell>
          <cell r="I4418">
            <v>0</v>
          </cell>
          <cell r="J4418">
            <v>0</v>
          </cell>
          <cell r="K4418">
            <v>1</v>
          </cell>
          <cell r="L4418">
            <v>1</v>
          </cell>
          <cell r="M4418" t="str">
            <v>as case arise</v>
          </cell>
          <cell r="N4418">
            <v>0</v>
          </cell>
          <cell r="O4418">
            <v>0</v>
          </cell>
          <cell r="P4418">
            <v>0</v>
          </cell>
          <cell r="Q4418">
            <v>1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1</v>
          </cell>
          <cell r="W4418">
            <v>2</v>
          </cell>
          <cell r="X4418">
            <v>0</v>
          </cell>
          <cell r="Y4418">
            <v>0</v>
          </cell>
        </row>
        <row r="4419">
          <cell r="D4419">
            <v>303429</v>
          </cell>
          <cell r="E4419" t="str">
            <v>Sta. Cruz National High School</v>
          </cell>
          <cell r="F4419">
            <v>1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</row>
        <row r="4420">
          <cell r="D4420">
            <v>303397</v>
          </cell>
          <cell r="E4420" t="str">
            <v>Macarthur National High School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</row>
        <row r="4421">
          <cell r="D4421">
            <v>303358</v>
          </cell>
          <cell r="E4421" t="str">
            <v>Calubian National High School (Calubian Nat'l. Voc'l. School)</v>
          </cell>
          <cell r="F4421">
            <v>0</v>
          </cell>
          <cell r="G4421">
            <v>0</v>
          </cell>
          <cell r="H4421">
            <v>1</v>
          </cell>
          <cell r="I4421">
            <v>0</v>
          </cell>
          <cell r="J4421">
            <v>1</v>
          </cell>
          <cell r="K4421">
            <v>0</v>
          </cell>
          <cell r="L4421">
            <v>0</v>
          </cell>
          <cell r="M4421">
            <v>0</v>
          </cell>
          <cell r="N4421">
            <v>1</v>
          </cell>
          <cell r="O4421">
            <v>0</v>
          </cell>
          <cell r="P4421">
            <v>0</v>
          </cell>
          <cell r="Q4421">
            <v>1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1</v>
          </cell>
          <cell r="W4421">
            <v>0</v>
          </cell>
          <cell r="X4421">
            <v>0</v>
          </cell>
          <cell r="Y4421">
            <v>0</v>
          </cell>
        </row>
        <row r="4422">
          <cell r="D4422">
            <v>313341</v>
          </cell>
          <cell r="E4422" t="str">
            <v>Mariano Salazar National High School</v>
          </cell>
          <cell r="F4422">
            <v>1</v>
          </cell>
          <cell r="G4422">
            <v>1</v>
          </cell>
          <cell r="H4422">
            <v>1</v>
          </cell>
          <cell r="I4422">
            <v>0</v>
          </cell>
          <cell r="J4422">
            <v>1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</row>
        <row r="4423">
          <cell r="D4423">
            <v>303654</v>
          </cell>
          <cell r="E4423" t="str">
            <v>Dolores National High School</v>
          </cell>
          <cell r="F4423">
            <v>1</v>
          </cell>
          <cell r="G4423">
            <v>1</v>
          </cell>
          <cell r="H4423">
            <v>1</v>
          </cell>
          <cell r="I4423">
            <v>0</v>
          </cell>
          <cell r="J4423">
            <v>1</v>
          </cell>
          <cell r="K4423">
            <v>0</v>
          </cell>
          <cell r="L4423">
            <v>0</v>
          </cell>
          <cell r="M4423">
            <v>0</v>
          </cell>
          <cell r="N4423">
            <v>1</v>
          </cell>
          <cell r="O4423">
            <v>43745</v>
          </cell>
          <cell r="P4423">
            <v>0</v>
          </cell>
          <cell r="Q4423">
            <v>0</v>
          </cell>
          <cell r="R4423">
            <v>1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</row>
        <row r="4424">
          <cell r="D4424">
            <v>303433</v>
          </cell>
          <cell r="E4424" t="str">
            <v>Sta. Rosa National High School</v>
          </cell>
          <cell r="F4424">
            <v>1</v>
          </cell>
          <cell r="G4424">
            <v>1</v>
          </cell>
          <cell r="H4424">
            <v>1</v>
          </cell>
          <cell r="I4424">
            <v>0</v>
          </cell>
          <cell r="J4424">
            <v>1</v>
          </cell>
          <cell r="K4424">
            <v>0</v>
          </cell>
          <cell r="L4424">
            <v>0</v>
          </cell>
          <cell r="M4424">
            <v>0</v>
          </cell>
          <cell r="N4424">
            <v>1</v>
          </cell>
          <cell r="O4424">
            <v>43617</v>
          </cell>
          <cell r="P4424" t="str">
            <v>NONE</v>
          </cell>
          <cell r="Q4424">
            <v>0</v>
          </cell>
          <cell r="R4424">
            <v>1</v>
          </cell>
          <cell r="S4424">
            <v>0</v>
          </cell>
          <cell r="T4424">
            <v>0</v>
          </cell>
          <cell r="U4424">
            <v>0</v>
          </cell>
          <cell r="V4424">
            <v>1</v>
          </cell>
          <cell r="W4424">
            <v>2</v>
          </cell>
          <cell r="X4424">
            <v>2</v>
          </cell>
          <cell r="Y4424">
            <v>2</v>
          </cell>
        </row>
        <row r="4425">
          <cell r="D4425">
            <v>303536</v>
          </cell>
          <cell r="E4425" t="str">
            <v>Buenavista NHS</v>
          </cell>
          <cell r="F4425">
            <v>1</v>
          </cell>
          <cell r="G4425">
            <v>1</v>
          </cell>
          <cell r="H4425">
            <v>1</v>
          </cell>
          <cell r="I4425">
            <v>1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1</v>
          </cell>
          <cell r="O4425" t="str">
            <v>10-27-2019</v>
          </cell>
          <cell r="P4425" t="str">
            <v>11-27-2019</v>
          </cell>
          <cell r="Q4425">
            <v>1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1</v>
          </cell>
          <cell r="W4425">
            <v>1</v>
          </cell>
          <cell r="X4425">
            <v>1</v>
          </cell>
          <cell r="Y4425">
            <v>1</v>
          </cell>
        </row>
        <row r="4426">
          <cell r="D4426">
            <v>303343</v>
          </cell>
          <cell r="E4426" t="str">
            <v>Juan S. Tismo National High School (Babatngon National High School)</v>
          </cell>
          <cell r="F4426">
            <v>1</v>
          </cell>
          <cell r="G4426">
            <v>1</v>
          </cell>
          <cell r="H4426">
            <v>1</v>
          </cell>
          <cell r="I4426">
            <v>0</v>
          </cell>
          <cell r="J4426">
            <v>1</v>
          </cell>
          <cell r="K4426">
            <v>0</v>
          </cell>
          <cell r="L4426">
            <v>0</v>
          </cell>
          <cell r="M4426">
            <v>0</v>
          </cell>
          <cell r="N4426">
            <v>1</v>
          </cell>
          <cell r="O4426" t="str">
            <v>JULY</v>
          </cell>
          <cell r="P4426">
            <v>0</v>
          </cell>
          <cell r="Q4426">
            <v>0</v>
          </cell>
          <cell r="R4426">
            <v>1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</row>
        <row r="4427">
          <cell r="D4427">
            <v>303341</v>
          </cell>
          <cell r="E4427" t="str">
            <v>Asuncion S. Melgar National High School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</row>
        <row r="4428">
          <cell r="D4428">
            <v>303355</v>
          </cell>
          <cell r="E4428" t="str">
            <v>Cabacungan National High School</v>
          </cell>
          <cell r="F4428">
            <v>1</v>
          </cell>
          <cell r="G4428">
            <v>1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</row>
        <row r="4429">
          <cell r="D4429">
            <v>303441</v>
          </cell>
          <cell r="E4429" t="str">
            <v>Gregorio C. Catenza NHS (Tunga NHS)</v>
          </cell>
          <cell r="F4429">
            <v>1</v>
          </cell>
          <cell r="G4429">
            <v>1</v>
          </cell>
          <cell r="H4429">
            <v>1</v>
          </cell>
          <cell r="I4429">
            <v>0</v>
          </cell>
          <cell r="J4429">
            <v>1</v>
          </cell>
          <cell r="K4429">
            <v>0</v>
          </cell>
          <cell r="L4429">
            <v>0</v>
          </cell>
          <cell r="M4429">
            <v>0</v>
          </cell>
          <cell r="N4429">
            <v>1</v>
          </cell>
          <cell r="O4429" t="str">
            <v>9/24/2019</v>
          </cell>
          <cell r="P4429" t="str">
            <v>9/25/2019</v>
          </cell>
          <cell r="Q4429">
            <v>0</v>
          </cell>
          <cell r="R4429">
            <v>1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</row>
        <row r="4430">
          <cell r="D4430">
            <v>344947</v>
          </cell>
          <cell r="E4430" t="str">
            <v>Victoria SHS (Stand Alone)</v>
          </cell>
          <cell r="F4430">
            <v>1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 t="str">
            <v>n/a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</row>
        <row r="4431">
          <cell r="D4431">
            <v>303656</v>
          </cell>
          <cell r="E4431" t="str">
            <v>Linao National High School</v>
          </cell>
          <cell r="F4431">
            <v>1</v>
          </cell>
          <cell r="G4431">
            <v>1</v>
          </cell>
          <cell r="H4431">
            <v>1</v>
          </cell>
          <cell r="I4431">
            <v>0</v>
          </cell>
          <cell r="J4431">
            <v>1</v>
          </cell>
          <cell r="K4431">
            <v>0</v>
          </cell>
          <cell r="L4431">
            <v>0</v>
          </cell>
          <cell r="M4431">
            <v>0</v>
          </cell>
          <cell r="N4431">
            <v>1</v>
          </cell>
          <cell r="O4431" t="str">
            <v>not applicable</v>
          </cell>
          <cell r="P4431">
            <v>43743</v>
          </cell>
          <cell r="Q4431">
            <v>0</v>
          </cell>
          <cell r="R4431">
            <v>1</v>
          </cell>
          <cell r="S4431">
            <v>0</v>
          </cell>
          <cell r="T4431">
            <v>0</v>
          </cell>
          <cell r="U4431">
            <v>0</v>
          </cell>
          <cell r="V4431">
            <v>1</v>
          </cell>
          <cell r="W4431">
            <v>1</v>
          </cell>
          <cell r="X4431">
            <v>1</v>
          </cell>
          <cell r="Y4431">
            <v>1</v>
          </cell>
        </row>
        <row r="4432">
          <cell r="D4432">
            <v>313345</v>
          </cell>
          <cell r="E4432" t="str">
            <v>Sulpa National High School</v>
          </cell>
          <cell r="F4432">
            <v>1</v>
          </cell>
          <cell r="G4432">
            <v>0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</row>
        <row r="4433">
          <cell r="D4433">
            <v>303627</v>
          </cell>
          <cell r="E4433" t="str">
            <v>San Sebastian NHS</v>
          </cell>
          <cell r="F4433">
            <v>1</v>
          </cell>
          <cell r="G4433">
            <v>1</v>
          </cell>
          <cell r="H4433">
            <v>1</v>
          </cell>
          <cell r="I4433">
            <v>0</v>
          </cell>
          <cell r="J4433">
            <v>0</v>
          </cell>
          <cell r="K4433">
            <v>1</v>
          </cell>
          <cell r="L4433">
            <v>0</v>
          </cell>
          <cell r="M4433">
            <v>0</v>
          </cell>
          <cell r="N4433">
            <v>1</v>
          </cell>
          <cell r="O4433" t="str">
            <v>May 21, 2019</v>
          </cell>
          <cell r="P4433" t="str">
            <v>May 21, 2019</v>
          </cell>
          <cell r="Q4433">
            <v>0</v>
          </cell>
          <cell r="R4433">
            <v>0</v>
          </cell>
          <cell r="S4433">
            <v>1</v>
          </cell>
          <cell r="T4433">
            <v>0</v>
          </cell>
          <cell r="U4433">
            <v>0</v>
          </cell>
          <cell r="V4433">
            <v>1</v>
          </cell>
          <cell r="W4433">
            <v>0</v>
          </cell>
          <cell r="X4433">
            <v>0</v>
          </cell>
          <cell r="Y4433">
            <v>0</v>
          </cell>
        </row>
        <row r="4434">
          <cell r="D4434">
            <v>303410</v>
          </cell>
          <cell r="E4434" t="str">
            <v>Puerto Bello National High School</v>
          </cell>
          <cell r="F4434">
            <v>0</v>
          </cell>
          <cell r="G4434">
            <v>0</v>
          </cell>
          <cell r="H4434">
            <v>1</v>
          </cell>
          <cell r="I4434">
            <v>0</v>
          </cell>
          <cell r="J4434">
            <v>0</v>
          </cell>
          <cell r="K4434">
            <v>1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43561</v>
          </cell>
          <cell r="Q4434">
            <v>0</v>
          </cell>
          <cell r="R4434">
            <v>0</v>
          </cell>
          <cell r="S4434">
            <v>1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</row>
        <row r="4435">
          <cell r="D4435">
            <v>303380</v>
          </cell>
          <cell r="E4435" t="str">
            <v>Juan Villablanca Memorial High School</v>
          </cell>
          <cell r="F4435">
            <v>1</v>
          </cell>
          <cell r="G4435">
            <v>0</v>
          </cell>
          <cell r="H4435">
            <v>1</v>
          </cell>
          <cell r="I4435">
            <v>0</v>
          </cell>
          <cell r="J4435">
            <v>1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</row>
        <row r="4436">
          <cell r="D4436">
            <v>313330</v>
          </cell>
          <cell r="E4436" t="str">
            <v>Manaybanay National High School</v>
          </cell>
          <cell r="F4436">
            <v>1</v>
          </cell>
          <cell r="G4436">
            <v>0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</row>
        <row r="4437">
          <cell r="D4437">
            <v>303369</v>
          </cell>
          <cell r="E4437" t="str">
            <v>Dulag National High School</v>
          </cell>
          <cell r="F4437">
            <v>1</v>
          </cell>
          <cell r="G4437">
            <v>1</v>
          </cell>
          <cell r="H4437">
            <v>1</v>
          </cell>
          <cell r="I4437">
            <v>0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1</v>
          </cell>
          <cell r="W4437">
            <v>0</v>
          </cell>
          <cell r="X4437">
            <v>0</v>
          </cell>
          <cell r="Y4437">
            <v>0</v>
          </cell>
        </row>
        <row r="4438">
          <cell r="D4438">
            <v>303428</v>
          </cell>
          <cell r="E4438" t="str">
            <v>Sta. Ana National High School</v>
          </cell>
          <cell r="F4438">
            <v>1</v>
          </cell>
          <cell r="G4438">
            <v>0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</row>
        <row r="4439">
          <cell r="D4439">
            <v>303443</v>
          </cell>
          <cell r="E4439" t="str">
            <v>Waterloo National High school</v>
          </cell>
          <cell r="F4439">
            <v>1</v>
          </cell>
          <cell r="G4439">
            <v>1</v>
          </cell>
          <cell r="H4439">
            <v>1</v>
          </cell>
          <cell r="I4439">
            <v>0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43696</v>
          </cell>
          <cell r="P4439">
            <v>43690</v>
          </cell>
          <cell r="Q4439">
            <v>0</v>
          </cell>
          <cell r="R4439">
            <v>1</v>
          </cell>
          <cell r="S4439">
            <v>0</v>
          </cell>
          <cell r="T4439">
            <v>0</v>
          </cell>
          <cell r="U4439">
            <v>0</v>
          </cell>
          <cell r="V4439">
            <v>1</v>
          </cell>
          <cell r="W4439">
            <v>0</v>
          </cell>
          <cell r="X4439">
            <v>0</v>
          </cell>
          <cell r="Y4439">
            <v>0</v>
          </cell>
        </row>
        <row r="4440">
          <cell r="D4440">
            <v>303367</v>
          </cell>
          <cell r="E4440" t="str">
            <v>Don Mariano Salvacion Memorial National High School</v>
          </cell>
          <cell r="F4440">
            <v>1</v>
          </cell>
          <cell r="G4440">
            <v>0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</row>
        <row r="4441">
          <cell r="D4441">
            <v>303422</v>
          </cell>
          <cell r="E4441" t="str">
            <v>San Francisco National High School</v>
          </cell>
          <cell r="F4441">
            <v>1</v>
          </cell>
          <cell r="G4441">
            <v>1</v>
          </cell>
          <cell r="H4441">
            <v>1</v>
          </cell>
          <cell r="I4441">
            <v>0</v>
          </cell>
          <cell r="J4441">
            <v>1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2</v>
          </cell>
          <cell r="X4441">
            <v>2</v>
          </cell>
          <cell r="Y4441">
            <v>2</v>
          </cell>
        </row>
        <row r="4442">
          <cell r="D4442">
            <v>313902</v>
          </cell>
          <cell r="E4442" t="str">
            <v>Pedro G. Bañez National High School</v>
          </cell>
          <cell r="F4442">
            <v>1</v>
          </cell>
          <cell r="G4442">
            <v>0</v>
          </cell>
          <cell r="H4442">
            <v>1</v>
          </cell>
          <cell r="I4442">
            <v>0</v>
          </cell>
          <cell r="J4442">
            <v>1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1</v>
          </cell>
          <cell r="X4442">
            <v>1</v>
          </cell>
          <cell r="Y4442">
            <v>1</v>
          </cell>
        </row>
        <row r="4443">
          <cell r="D4443">
            <v>313717</v>
          </cell>
          <cell r="E4443" t="str">
            <v>Hinangutdan National High School</v>
          </cell>
          <cell r="F4443">
            <v>1</v>
          </cell>
          <cell r="G4443">
            <v>0</v>
          </cell>
          <cell r="H4443">
            <v>1</v>
          </cell>
          <cell r="I4443">
            <v>1</v>
          </cell>
          <cell r="J4443">
            <v>0</v>
          </cell>
          <cell r="K4443">
            <v>0</v>
          </cell>
          <cell r="L4443">
            <v>0</v>
          </cell>
          <cell r="M4443">
            <v>0</v>
          </cell>
          <cell r="N4443">
            <v>1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1</v>
          </cell>
          <cell r="U4443" t="str">
            <v>Frequent</v>
          </cell>
          <cell r="V4443">
            <v>1</v>
          </cell>
          <cell r="W4443">
            <v>2</v>
          </cell>
          <cell r="X4443">
            <v>2</v>
          </cell>
          <cell r="Y4443">
            <v>0</v>
          </cell>
        </row>
        <row r="4444">
          <cell r="D4444">
            <v>303363</v>
          </cell>
          <cell r="E4444" t="str">
            <v>Celestino De Guzman Memorial National High School</v>
          </cell>
          <cell r="F4444">
            <v>0</v>
          </cell>
          <cell r="G4444">
            <v>0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</row>
        <row r="4445">
          <cell r="D4445">
            <v>303357</v>
          </cell>
          <cell r="E4445" t="str">
            <v>Calingcaguing National High School</v>
          </cell>
          <cell r="F4445">
            <v>1</v>
          </cell>
          <cell r="G4445">
            <v>1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</row>
        <row r="4446">
          <cell r="D4446">
            <v>303354</v>
          </cell>
          <cell r="E4446" t="str">
            <v>Burauen National High School</v>
          </cell>
          <cell r="F4446">
            <v>1</v>
          </cell>
          <cell r="G4446">
            <v>0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 t="str">
            <v>N/A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</row>
        <row r="4447">
          <cell r="D4447">
            <v>330523</v>
          </cell>
          <cell r="E4447" t="str">
            <v>Ormoc City Senior High School</v>
          </cell>
          <cell r="F4447">
            <v>1</v>
          </cell>
          <cell r="G4447">
            <v>0</v>
          </cell>
          <cell r="H4447">
            <v>1</v>
          </cell>
          <cell r="I4447">
            <v>0</v>
          </cell>
          <cell r="J4447">
            <v>0</v>
          </cell>
          <cell r="K4447">
            <v>0</v>
          </cell>
          <cell r="L4447">
            <v>1</v>
          </cell>
          <cell r="M4447" t="str">
            <v>GUIDANCE COUNSELOR DESIGNATE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</row>
        <row r="4448">
          <cell r="D4448">
            <v>303371</v>
          </cell>
          <cell r="E4448" t="str">
            <v>Granja-Kalinawan National High School</v>
          </cell>
          <cell r="F4448">
            <v>1</v>
          </cell>
          <cell r="G4448">
            <v>0</v>
          </cell>
          <cell r="H4448">
            <v>1</v>
          </cell>
          <cell r="I4448">
            <v>0</v>
          </cell>
          <cell r="J4448">
            <v>0</v>
          </cell>
          <cell r="K4448">
            <v>1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 t="str">
            <v>10-15-2019'</v>
          </cell>
          <cell r="Q4448">
            <v>0</v>
          </cell>
          <cell r="R4448">
            <v>1</v>
          </cell>
          <cell r="S4448">
            <v>0</v>
          </cell>
          <cell r="T4448">
            <v>0</v>
          </cell>
          <cell r="U4448">
            <v>0</v>
          </cell>
          <cell r="V4448">
            <v>1</v>
          </cell>
          <cell r="W4448">
            <v>0</v>
          </cell>
          <cell r="X4448">
            <v>0</v>
          </cell>
          <cell r="Y4448">
            <v>0</v>
          </cell>
        </row>
        <row r="4449">
          <cell r="D4449">
            <v>303640</v>
          </cell>
          <cell r="E4449" t="str">
            <v>Quintin Quijano SAS</v>
          </cell>
          <cell r="F4449">
            <v>0</v>
          </cell>
          <cell r="G4449">
            <v>0</v>
          </cell>
          <cell r="H4449">
            <v>1</v>
          </cell>
          <cell r="I4449">
            <v>0</v>
          </cell>
          <cell r="J4449">
            <v>0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</row>
        <row r="4450">
          <cell r="D4450">
            <v>303391</v>
          </cell>
          <cell r="E4450" t="str">
            <v>Daniel Z. Romualdez State Comprehensive School of Fisheries</v>
          </cell>
          <cell r="F4450">
            <v>1</v>
          </cell>
          <cell r="G4450">
            <v>0</v>
          </cell>
          <cell r="H4450">
            <v>1</v>
          </cell>
          <cell r="I4450">
            <v>1</v>
          </cell>
          <cell r="J4450">
            <v>0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</row>
        <row r="4451">
          <cell r="D4451">
            <v>303405</v>
          </cell>
          <cell r="E4451" t="str">
            <v>Matalom National High School</v>
          </cell>
          <cell r="F4451">
            <v>1</v>
          </cell>
          <cell r="G4451">
            <v>1</v>
          </cell>
          <cell r="H4451">
            <v>1</v>
          </cell>
          <cell r="I4451">
            <v>0</v>
          </cell>
          <cell r="J4451">
            <v>0</v>
          </cell>
          <cell r="K4451">
            <v>1</v>
          </cell>
          <cell r="L4451">
            <v>0</v>
          </cell>
          <cell r="M4451">
            <v>0</v>
          </cell>
          <cell r="N4451">
            <v>0</v>
          </cell>
          <cell r="O4451">
            <v>43508</v>
          </cell>
          <cell r="P4451">
            <v>43510</v>
          </cell>
          <cell r="Q4451">
            <v>0</v>
          </cell>
          <cell r="R4451">
            <v>1</v>
          </cell>
          <cell r="S4451">
            <v>0</v>
          </cell>
          <cell r="T4451">
            <v>0</v>
          </cell>
          <cell r="U4451">
            <v>0</v>
          </cell>
          <cell r="V4451">
            <v>1</v>
          </cell>
          <cell r="W4451">
            <v>0</v>
          </cell>
          <cell r="X4451">
            <v>0</v>
          </cell>
          <cell r="Y4451">
            <v>0</v>
          </cell>
        </row>
        <row r="4452">
          <cell r="D4452">
            <v>313324</v>
          </cell>
          <cell r="E4452" t="str">
            <v>Barugo National High School</v>
          </cell>
          <cell r="F4452">
            <v>1</v>
          </cell>
          <cell r="G4452">
            <v>0</v>
          </cell>
          <cell r="H4452">
            <v>1</v>
          </cell>
          <cell r="I4452">
            <v>0</v>
          </cell>
          <cell r="J4452">
            <v>1</v>
          </cell>
          <cell r="K4452">
            <v>0</v>
          </cell>
          <cell r="L4452">
            <v>0</v>
          </cell>
          <cell r="M4452">
            <v>0</v>
          </cell>
          <cell r="N4452">
            <v>1</v>
          </cell>
          <cell r="O4452" t="str">
            <v>5/20/2019</v>
          </cell>
          <cell r="P4452" t="str">
            <v>5/20/2019</v>
          </cell>
          <cell r="Q4452">
            <v>0</v>
          </cell>
          <cell r="R4452">
            <v>0</v>
          </cell>
          <cell r="S4452">
            <v>1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</row>
        <row r="4453">
          <cell r="D4453">
            <v>313343</v>
          </cell>
          <cell r="E4453" t="str">
            <v>Macalpi-ay National High School</v>
          </cell>
          <cell r="F4453">
            <v>1</v>
          </cell>
          <cell r="G4453">
            <v>0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</row>
        <row r="4454">
          <cell r="D4454">
            <v>303639</v>
          </cell>
          <cell r="E4454" t="str">
            <v>Villareal NHS</v>
          </cell>
          <cell r="F4454">
            <v>1</v>
          </cell>
          <cell r="G4454">
            <v>1</v>
          </cell>
          <cell r="H4454">
            <v>1</v>
          </cell>
          <cell r="I4454">
            <v>0</v>
          </cell>
          <cell r="J4454">
            <v>1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 t="str">
            <v>October30, 2019</v>
          </cell>
          <cell r="P4454" t="str">
            <v>October 30, 2019</v>
          </cell>
          <cell r="Q4454">
            <v>0</v>
          </cell>
          <cell r="R4454">
            <v>1</v>
          </cell>
          <cell r="S4454">
            <v>0</v>
          </cell>
          <cell r="T4454">
            <v>0</v>
          </cell>
          <cell r="U4454">
            <v>0</v>
          </cell>
          <cell r="V4454">
            <v>1</v>
          </cell>
          <cell r="W4454">
            <v>2</v>
          </cell>
          <cell r="X4454">
            <v>2</v>
          </cell>
          <cell r="Y4454">
            <v>2</v>
          </cell>
        </row>
        <row r="4455">
          <cell r="D4455">
            <v>313904</v>
          </cell>
          <cell r="E4455" t="str">
            <v>Matica-a National High School</v>
          </cell>
          <cell r="F4455">
            <v>1</v>
          </cell>
          <cell r="G4455">
            <v>1</v>
          </cell>
          <cell r="H4455">
            <v>1</v>
          </cell>
          <cell r="I4455">
            <v>0</v>
          </cell>
          <cell r="J4455">
            <v>0</v>
          </cell>
          <cell r="K4455">
            <v>1</v>
          </cell>
          <cell r="L4455">
            <v>0</v>
          </cell>
          <cell r="M4455">
            <v>0</v>
          </cell>
          <cell r="N4455">
            <v>1</v>
          </cell>
          <cell r="O4455">
            <v>43652</v>
          </cell>
          <cell r="P4455" t="str">
            <v>9/14/2019</v>
          </cell>
          <cell r="Q4455">
            <v>0</v>
          </cell>
          <cell r="R4455">
            <v>1</v>
          </cell>
          <cell r="S4455">
            <v>0</v>
          </cell>
          <cell r="T4455">
            <v>0</v>
          </cell>
          <cell r="U4455">
            <v>0</v>
          </cell>
          <cell r="V4455">
            <v>1</v>
          </cell>
          <cell r="W4455">
            <v>1</v>
          </cell>
          <cell r="X4455">
            <v>0</v>
          </cell>
          <cell r="Y4455">
            <v>0</v>
          </cell>
        </row>
        <row r="4456">
          <cell r="D4456">
            <v>303607</v>
          </cell>
          <cell r="E4456" t="str">
            <v>Igot National High School</v>
          </cell>
          <cell r="F4456">
            <v>1</v>
          </cell>
          <cell r="G4456">
            <v>1</v>
          </cell>
          <cell r="H4456">
            <v>1</v>
          </cell>
          <cell r="I4456">
            <v>0</v>
          </cell>
          <cell r="J4456">
            <v>1</v>
          </cell>
          <cell r="K4456">
            <v>0</v>
          </cell>
          <cell r="L4456">
            <v>0</v>
          </cell>
          <cell r="M4456">
            <v>0</v>
          </cell>
          <cell r="N4456">
            <v>1</v>
          </cell>
          <cell r="O4456">
            <v>43388</v>
          </cell>
          <cell r="P4456">
            <v>43388</v>
          </cell>
          <cell r="Q4456">
            <v>0</v>
          </cell>
          <cell r="R4456">
            <v>1</v>
          </cell>
          <cell r="S4456">
            <v>0</v>
          </cell>
          <cell r="T4456">
            <v>0</v>
          </cell>
          <cell r="U4456">
            <v>0</v>
          </cell>
          <cell r="V4456">
            <v>1</v>
          </cell>
          <cell r="W4456">
            <v>3</v>
          </cell>
          <cell r="X4456">
            <v>3</v>
          </cell>
          <cell r="Y4456">
            <v>3</v>
          </cell>
        </row>
        <row r="4457">
          <cell r="D4457">
            <v>303661</v>
          </cell>
          <cell r="E4457" t="str">
            <v>Genaro B. Lureñana National High School</v>
          </cell>
          <cell r="F4457">
            <v>1</v>
          </cell>
          <cell r="G4457">
            <v>0</v>
          </cell>
          <cell r="H4457">
            <v>1</v>
          </cell>
          <cell r="I4457">
            <v>0</v>
          </cell>
          <cell r="J4457">
            <v>0</v>
          </cell>
          <cell r="K4457">
            <v>0</v>
          </cell>
          <cell r="L4457">
            <v>1</v>
          </cell>
          <cell r="M4457" t="str">
            <v>As needed arises</v>
          </cell>
          <cell r="N4457">
            <v>0</v>
          </cell>
          <cell r="O4457" t="str">
            <v>n/a</v>
          </cell>
          <cell r="P4457" t="str">
            <v>n/a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</row>
        <row r="4458">
          <cell r="D4458">
            <v>313905</v>
          </cell>
          <cell r="E4458" t="str">
            <v>Ormoc City Night High School</v>
          </cell>
          <cell r="F4458">
            <v>0</v>
          </cell>
          <cell r="G4458">
            <v>0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</row>
        <row r="4459">
          <cell r="D4459">
            <v>313903</v>
          </cell>
          <cell r="E4459" t="str">
            <v>Cabintan National High School</v>
          </cell>
          <cell r="F4459">
            <v>1</v>
          </cell>
          <cell r="G4459">
            <v>1</v>
          </cell>
          <cell r="H4459">
            <v>1</v>
          </cell>
          <cell r="I4459">
            <v>0</v>
          </cell>
          <cell r="J4459">
            <v>1</v>
          </cell>
          <cell r="K4459">
            <v>0</v>
          </cell>
          <cell r="L4459">
            <v>0</v>
          </cell>
          <cell r="M4459">
            <v>0</v>
          </cell>
          <cell r="N4459">
            <v>1</v>
          </cell>
          <cell r="O4459" t="str">
            <v>AUGUST 15,2019</v>
          </cell>
          <cell r="P4459">
            <v>0</v>
          </cell>
          <cell r="Q4459">
            <v>0</v>
          </cell>
          <cell r="R4459">
            <v>1</v>
          </cell>
          <cell r="S4459">
            <v>0</v>
          </cell>
          <cell r="T4459">
            <v>0</v>
          </cell>
          <cell r="U4459">
            <v>0</v>
          </cell>
          <cell r="V4459">
            <v>1</v>
          </cell>
          <cell r="W4459">
            <v>0</v>
          </cell>
          <cell r="X4459">
            <v>0</v>
          </cell>
          <cell r="Y4459">
            <v>0</v>
          </cell>
        </row>
        <row r="4460">
          <cell r="D4460">
            <v>344795</v>
          </cell>
          <cell r="E4460" t="str">
            <v>Ormoc City Regional Sports Academy</v>
          </cell>
          <cell r="F4460">
            <v>1</v>
          </cell>
          <cell r="G4460">
            <v>0</v>
          </cell>
          <cell r="H4460">
            <v>1</v>
          </cell>
          <cell r="I4460">
            <v>0</v>
          </cell>
          <cell r="J4460">
            <v>1</v>
          </cell>
          <cell r="K4460">
            <v>0</v>
          </cell>
          <cell r="L4460">
            <v>0</v>
          </cell>
          <cell r="M4460">
            <v>0</v>
          </cell>
          <cell r="N4460">
            <v>1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1</v>
          </cell>
          <cell r="W4460">
            <v>2</v>
          </cell>
          <cell r="X4460">
            <v>2</v>
          </cell>
          <cell r="Y4460">
            <v>2</v>
          </cell>
        </row>
        <row r="4461">
          <cell r="D4461">
            <v>303333</v>
          </cell>
          <cell r="E4461" t="str">
            <v>Tucdao National High School</v>
          </cell>
          <cell r="F4461">
            <v>1</v>
          </cell>
          <cell r="G4461">
            <v>1</v>
          </cell>
          <cell r="H4461">
            <v>1</v>
          </cell>
          <cell r="I4461">
            <v>0</v>
          </cell>
          <cell r="J4461">
            <v>0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</row>
        <row r="4462">
          <cell r="D4462">
            <v>303552</v>
          </cell>
          <cell r="E4462" t="str">
            <v>Gamay National High School</v>
          </cell>
          <cell r="F4462">
            <v>1</v>
          </cell>
          <cell r="G4462">
            <v>1</v>
          </cell>
          <cell r="H4462">
            <v>1</v>
          </cell>
          <cell r="I4462">
            <v>0</v>
          </cell>
          <cell r="J4462">
            <v>0</v>
          </cell>
          <cell r="K4462">
            <v>1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</row>
        <row r="4463">
          <cell r="D4463">
            <v>303660</v>
          </cell>
          <cell r="E4463" t="str">
            <v>Rustico Capahi Sr. Memorial National High School</v>
          </cell>
          <cell r="F4463">
            <v>1</v>
          </cell>
          <cell r="G4463">
            <v>0</v>
          </cell>
          <cell r="H4463">
            <v>1</v>
          </cell>
          <cell r="I4463">
            <v>0</v>
          </cell>
          <cell r="J4463">
            <v>0</v>
          </cell>
          <cell r="K4463">
            <v>1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</row>
        <row r="4464">
          <cell r="D4464">
            <v>313906</v>
          </cell>
          <cell r="E4464" t="str">
            <v>Julian C. Gantuangco NHS</v>
          </cell>
          <cell r="F4464">
            <v>1</v>
          </cell>
          <cell r="G4464">
            <v>1</v>
          </cell>
          <cell r="H4464">
            <v>1</v>
          </cell>
          <cell r="I4464">
            <v>0</v>
          </cell>
          <cell r="J4464">
            <v>1</v>
          </cell>
          <cell r="K4464">
            <v>0</v>
          </cell>
          <cell r="L4464">
            <v>0</v>
          </cell>
          <cell r="M4464">
            <v>0</v>
          </cell>
          <cell r="N4464">
            <v>1</v>
          </cell>
          <cell r="O4464" t="str">
            <v>October 9, 2019</v>
          </cell>
          <cell r="P4464">
            <v>0</v>
          </cell>
          <cell r="Q4464">
            <v>0</v>
          </cell>
          <cell r="R4464">
            <v>1</v>
          </cell>
          <cell r="S4464">
            <v>0</v>
          </cell>
          <cell r="T4464">
            <v>0</v>
          </cell>
          <cell r="U4464">
            <v>0</v>
          </cell>
          <cell r="V4464">
            <v>1</v>
          </cell>
          <cell r="W4464">
            <v>3</v>
          </cell>
          <cell r="X4464">
            <v>2</v>
          </cell>
          <cell r="Y4464">
            <v>1</v>
          </cell>
        </row>
        <row r="4465">
          <cell r="D4465">
            <v>313728</v>
          </cell>
          <cell r="E4465" t="str">
            <v>Lamingao NHS</v>
          </cell>
          <cell r="F4465">
            <v>0</v>
          </cell>
          <cell r="G4465">
            <v>0</v>
          </cell>
          <cell r="H4465">
            <v>1</v>
          </cell>
          <cell r="I4465">
            <v>0</v>
          </cell>
          <cell r="J4465">
            <v>1</v>
          </cell>
          <cell r="K4465">
            <v>0</v>
          </cell>
          <cell r="L4465">
            <v>0</v>
          </cell>
          <cell r="M4465">
            <v>0</v>
          </cell>
          <cell r="N4465">
            <v>1</v>
          </cell>
          <cell r="O4465">
            <v>0</v>
          </cell>
          <cell r="P4465" t="str">
            <v>05/20/2019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1</v>
          </cell>
          <cell r="X4465">
            <v>0</v>
          </cell>
          <cell r="Y4465">
            <v>0</v>
          </cell>
        </row>
        <row r="4466">
          <cell r="D4466">
            <v>303600</v>
          </cell>
          <cell r="E4466" t="str">
            <v>Costa Rica National High School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</row>
        <row r="4467">
          <cell r="D4467">
            <v>303479</v>
          </cell>
          <cell r="E4467" t="str">
            <v>RIZAL NATIONAL HIGH SCHOOL</v>
          </cell>
          <cell r="F4467">
            <v>1</v>
          </cell>
          <cell r="G4467">
            <v>1</v>
          </cell>
          <cell r="H4467">
            <v>1</v>
          </cell>
          <cell r="I4467">
            <v>0</v>
          </cell>
          <cell r="J4467">
            <v>1</v>
          </cell>
          <cell r="K4467">
            <v>0</v>
          </cell>
          <cell r="L4467">
            <v>0</v>
          </cell>
          <cell r="M4467">
            <v>0</v>
          </cell>
          <cell r="N4467">
            <v>1</v>
          </cell>
          <cell r="O4467">
            <v>0</v>
          </cell>
          <cell r="P4467">
            <v>0</v>
          </cell>
          <cell r="Q4467">
            <v>1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1</v>
          </cell>
          <cell r="W4467">
            <v>0</v>
          </cell>
          <cell r="X4467">
            <v>0</v>
          </cell>
          <cell r="Y4467">
            <v>0</v>
          </cell>
        </row>
        <row r="4468">
          <cell r="D4468">
            <v>303602</v>
          </cell>
          <cell r="E4468" t="str">
            <v>Mualbual  National High School</v>
          </cell>
          <cell r="F4468">
            <v>1</v>
          </cell>
          <cell r="G4468">
            <v>1</v>
          </cell>
          <cell r="H4468">
            <v>1</v>
          </cell>
          <cell r="I4468">
            <v>0</v>
          </cell>
          <cell r="J4468">
            <v>1</v>
          </cell>
          <cell r="K4468">
            <v>0</v>
          </cell>
          <cell r="L4468">
            <v>0</v>
          </cell>
          <cell r="M4468">
            <v>0</v>
          </cell>
          <cell r="N4468">
            <v>1</v>
          </cell>
          <cell r="O4468" t="str">
            <v>10/18/2019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</row>
        <row r="4469">
          <cell r="D4469">
            <v>313723</v>
          </cell>
          <cell r="E4469" t="str">
            <v>Parasanon NHS</v>
          </cell>
          <cell r="F4469">
            <v>1</v>
          </cell>
          <cell r="G4469">
            <v>1</v>
          </cell>
          <cell r="H4469">
            <v>1</v>
          </cell>
          <cell r="I4469">
            <v>0</v>
          </cell>
          <cell r="J4469">
            <v>1</v>
          </cell>
          <cell r="K4469">
            <v>0</v>
          </cell>
          <cell r="L4469">
            <v>0</v>
          </cell>
          <cell r="M4469">
            <v>0</v>
          </cell>
          <cell r="N4469">
            <v>1</v>
          </cell>
          <cell r="O4469">
            <v>0</v>
          </cell>
          <cell r="P4469">
            <v>0</v>
          </cell>
          <cell r="Q4469">
            <v>0</v>
          </cell>
          <cell r="R4469">
            <v>1</v>
          </cell>
          <cell r="S4469">
            <v>0</v>
          </cell>
          <cell r="T4469">
            <v>0</v>
          </cell>
          <cell r="U4469">
            <v>0</v>
          </cell>
          <cell r="V4469">
            <v>1</v>
          </cell>
          <cell r="W4469">
            <v>0</v>
          </cell>
          <cell r="X4469">
            <v>0</v>
          </cell>
          <cell r="Y4469">
            <v>0</v>
          </cell>
        </row>
        <row r="4470">
          <cell r="D4470">
            <v>303583</v>
          </cell>
          <cell r="E4470" t="str">
            <v>Silvino Lubos Vocational High School</v>
          </cell>
          <cell r="F4470">
            <v>0</v>
          </cell>
          <cell r="G4470">
            <v>0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</row>
        <row r="4471">
          <cell r="D4471">
            <v>303435</v>
          </cell>
          <cell r="E4471" t="str">
            <v>Taberna National High School</v>
          </cell>
          <cell r="F4471">
            <v>0</v>
          </cell>
          <cell r="G4471">
            <v>0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</row>
        <row r="4472">
          <cell r="D4472">
            <v>303612</v>
          </cell>
          <cell r="E4472" t="str">
            <v>Matuguinao National High School</v>
          </cell>
          <cell r="F4472">
            <v>1</v>
          </cell>
          <cell r="G4472">
            <v>0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</row>
        <row r="4473">
          <cell r="D4473">
            <v>313711</v>
          </cell>
          <cell r="E4473" t="str">
            <v>Casapa National High School</v>
          </cell>
          <cell r="F4473">
            <v>0</v>
          </cell>
          <cell r="G4473">
            <v>0</v>
          </cell>
          <cell r="H4473">
            <v>1</v>
          </cell>
          <cell r="I4473">
            <v>0</v>
          </cell>
          <cell r="J4473">
            <v>0</v>
          </cell>
          <cell r="K4473">
            <v>1</v>
          </cell>
          <cell r="L4473">
            <v>0</v>
          </cell>
          <cell r="M4473">
            <v>0</v>
          </cell>
          <cell r="N4473">
            <v>1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1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</row>
        <row r="4474">
          <cell r="D4474">
            <v>303605</v>
          </cell>
          <cell r="E4474" t="str">
            <v>Guintarcan NHS</v>
          </cell>
          <cell r="F4474">
            <v>1</v>
          </cell>
          <cell r="G4474">
            <v>1</v>
          </cell>
          <cell r="H4474">
            <v>1</v>
          </cell>
          <cell r="I4474">
            <v>0</v>
          </cell>
          <cell r="J4474">
            <v>1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</row>
        <row r="4475">
          <cell r="D4475">
            <v>303631</v>
          </cell>
          <cell r="E4475" t="str">
            <v>Sta. Rita NHS</v>
          </cell>
          <cell r="F4475">
            <v>1</v>
          </cell>
          <cell r="G4475">
            <v>1</v>
          </cell>
          <cell r="H4475">
            <v>1</v>
          </cell>
          <cell r="I4475">
            <v>0</v>
          </cell>
          <cell r="J4475">
            <v>0</v>
          </cell>
          <cell r="K4475">
            <v>1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</row>
        <row r="4476">
          <cell r="D4476">
            <v>303442</v>
          </cell>
          <cell r="E4476" t="str">
            <v>Villaba National Comprehensive High School</v>
          </cell>
          <cell r="F4476">
            <v>1</v>
          </cell>
          <cell r="G4476">
            <v>1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</row>
        <row r="4477">
          <cell r="D4477">
            <v>303599</v>
          </cell>
          <cell r="E4477" t="str">
            <v>Clarencio Calagos Mem SOF</v>
          </cell>
          <cell r="F4477">
            <v>1</v>
          </cell>
          <cell r="G4477">
            <v>1</v>
          </cell>
          <cell r="H4477">
            <v>1</v>
          </cell>
          <cell r="I4477">
            <v>0</v>
          </cell>
          <cell r="J4477">
            <v>1</v>
          </cell>
          <cell r="K4477">
            <v>0</v>
          </cell>
          <cell r="L4477">
            <v>0</v>
          </cell>
          <cell r="M4477">
            <v>0</v>
          </cell>
          <cell r="N4477">
            <v>1</v>
          </cell>
          <cell r="O4477">
            <v>43728</v>
          </cell>
          <cell r="P4477">
            <v>43733</v>
          </cell>
          <cell r="Q4477">
            <v>0</v>
          </cell>
          <cell r="R4477">
            <v>1</v>
          </cell>
          <cell r="S4477">
            <v>0</v>
          </cell>
          <cell r="T4477">
            <v>0</v>
          </cell>
          <cell r="U4477">
            <v>0</v>
          </cell>
          <cell r="V4477">
            <v>1</v>
          </cell>
          <cell r="W4477">
            <v>2</v>
          </cell>
          <cell r="X4477">
            <v>2</v>
          </cell>
          <cell r="Y4477">
            <v>2</v>
          </cell>
        </row>
        <row r="4478">
          <cell r="D4478">
            <v>303608</v>
          </cell>
          <cell r="E4478" t="str">
            <v>Independencia NHS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</row>
        <row r="4479">
          <cell r="D4479">
            <v>303615</v>
          </cell>
          <cell r="E4479" t="str">
            <v>Pagsanghan NHS</v>
          </cell>
          <cell r="F4479">
            <v>1</v>
          </cell>
          <cell r="G4479">
            <v>1</v>
          </cell>
          <cell r="H4479">
            <v>1</v>
          </cell>
          <cell r="I4479">
            <v>0</v>
          </cell>
          <cell r="J4479">
            <v>1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1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10</v>
          </cell>
          <cell r="X4479">
            <v>10</v>
          </cell>
          <cell r="Y4479">
            <v>10</v>
          </cell>
        </row>
        <row r="4480">
          <cell r="D4480">
            <v>303609</v>
          </cell>
          <cell r="E4480" t="str">
            <v>Jiabong National High School</v>
          </cell>
          <cell r="F4480">
            <v>1</v>
          </cell>
          <cell r="G4480">
            <v>1</v>
          </cell>
          <cell r="H4480">
            <v>1</v>
          </cell>
          <cell r="I4480">
            <v>1</v>
          </cell>
          <cell r="J4480">
            <v>0</v>
          </cell>
          <cell r="K4480">
            <v>0</v>
          </cell>
          <cell r="L4480">
            <v>0</v>
          </cell>
          <cell r="M4480">
            <v>0</v>
          </cell>
          <cell r="N4480">
            <v>1</v>
          </cell>
          <cell r="O4480">
            <v>0</v>
          </cell>
          <cell r="P4480">
            <v>0</v>
          </cell>
          <cell r="Q4480">
            <v>1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1</v>
          </cell>
          <cell r="W4480">
            <v>2</v>
          </cell>
          <cell r="X4480">
            <v>1</v>
          </cell>
          <cell r="Y4480">
            <v>0</v>
          </cell>
        </row>
        <row r="4481">
          <cell r="D4481">
            <v>303606</v>
          </cell>
          <cell r="E4481" t="str">
            <v>Hinabangan NHS</v>
          </cell>
          <cell r="F4481">
            <v>1</v>
          </cell>
          <cell r="G4481">
            <v>0</v>
          </cell>
          <cell r="H4481">
            <v>1</v>
          </cell>
          <cell r="I4481">
            <v>0</v>
          </cell>
          <cell r="J4481">
            <v>1</v>
          </cell>
          <cell r="K4481">
            <v>0</v>
          </cell>
          <cell r="L4481">
            <v>0</v>
          </cell>
          <cell r="M4481">
            <v>0</v>
          </cell>
          <cell r="N4481">
            <v>1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1</v>
          </cell>
          <cell r="W4481">
            <v>0</v>
          </cell>
          <cell r="X4481">
            <v>0</v>
          </cell>
          <cell r="Y4481">
            <v>0</v>
          </cell>
        </row>
        <row r="4482">
          <cell r="D4482">
            <v>313710</v>
          </cell>
          <cell r="E4482" t="str">
            <v>Cuyting Uy National High School</v>
          </cell>
          <cell r="F4482">
            <v>0</v>
          </cell>
          <cell r="G4482">
            <v>0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</row>
        <row r="4483">
          <cell r="D4483">
            <v>303614</v>
          </cell>
          <cell r="E4483" t="str">
            <v>Osmeña NHS</v>
          </cell>
          <cell r="F4483">
            <v>0</v>
          </cell>
          <cell r="G4483">
            <v>0</v>
          </cell>
          <cell r="H4483">
            <v>1</v>
          </cell>
          <cell r="I4483">
            <v>0</v>
          </cell>
          <cell r="J4483">
            <v>1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</row>
        <row r="4484">
          <cell r="D4484">
            <v>303566</v>
          </cell>
          <cell r="E4484" t="str">
            <v>Mondragon Agro-Ind'L HS</v>
          </cell>
          <cell r="F4484">
            <v>1</v>
          </cell>
          <cell r="G4484">
            <v>1</v>
          </cell>
          <cell r="H4484">
            <v>1</v>
          </cell>
          <cell r="I4484">
            <v>0</v>
          </cell>
          <cell r="J4484">
            <v>1</v>
          </cell>
          <cell r="K4484">
            <v>0</v>
          </cell>
          <cell r="L4484">
            <v>0</v>
          </cell>
          <cell r="M4484">
            <v>0</v>
          </cell>
          <cell r="N4484">
            <v>1</v>
          </cell>
          <cell r="O4484" t="str">
            <v>10/26/2019</v>
          </cell>
          <cell r="P4484" t="str">
            <v>10/26/2019</v>
          </cell>
          <cell r="Q4484">
            <v>1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1</v>
          </cell>
          <cell r="W4484">
            <v>5</v>
          </cell>
          <cell r="X4484">
            <v>4</v>
          </cell>
          <cell r="Y4484">
            <v>4</v>
          </cell>
        </row>
        <row r="4485">
          <cell r="D4485">
            <v>313315</v>
          </cell>
          <cell r="E4485" t="str">
            <v>San Guillermo National High School</v>
          </cell>
          <cell r="F4485">
            <v>1</v>
          </cell>
          <cell r="G4485">
            <v>1</v>
          </cell>
          <cell r="H4485">
            <v>1</v>
          </cell>
          <cell r="I4485">
            <v>1</v>
          </cell>
          <cell r="J4485">
            <v>0</v>
          </cell>
          <cell r="K4485">
            <v>0</v>
          </cell>
          <cell r="L4485">
            <v>0</v>
          </cell>
          <cell r="M4485">
            <v>0</v>
          </cell>
          <cell r="N4485">
            <v>1</v>
          </cell>
          <cell r="O4485" t="str">
            <v>August 14, 2019</v>
          </cell>
          <cell r="P4485" t="str">
            <v>August 27, 2019</v>
          </cell>
          <cell r="Q4485">
            <v>1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</row>
        <row r="4486">
          <cell r="D4486">
            <v>303618</v>
          </cell>
          <cell r="E4486" t="str">
            <v>Ramon T. Diaz NHS</v>
          </cell>
          <cell r="F4486">
            <v>0</v>
          </cell>
          <cell r="G4486">
            <v>0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</row>
        <row r="4487">
          <cell r="D4487">
            <v>303643</v>
          </cell>
          <cell r="E4487" t="str">
            <v>Zumarraga NHS</v>
          </cell>
          <cell r="F4487">
            <v>0</v>
          </cell>
          <cell r="G4487">
            <v>0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</row>
        <row r="4488">
          <cell r="D4488">
            <v>303617</v>
          </cell>
          <cell r="E4488" t="str">
            <v>Pinabacdao NHS</v>
          </cell>
          <cell r="F4488">
            <v>0</v>
          </cell>
          <cell r="G4488">
            <v>0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</row>
        <row r="4489">
          <cell r="D4489">
            <v>303588</v>
          </cell>
          <cell r="E4489" t="str">
            <v>Almagro NHS</v>
          </cell>
          <cell r="F4489">
            <v>1</v>
          </cell>
          <cell r="G4489">
            <v>0</v>
          </cell>
          <cell r="H4489">
            <v>1</v>
          </cell>
          <cell r="I4489">
            <v>1</v>
          </cell>
          <cell r="J4489">
            <v>0</v>
          </cell>
          <cell r="K4489">
            <v>0</v>
          </cell>
          <cell r="L4489">
            <v>0</v>
          </cell>
          <cell r="M4489">
            <v>0</v>
          </cell>
          <cell r="N4489">
            <v>1</v>
          </cell>
          <cell r="O4489">
            <v>43810</v>
          </cell>
          <cell r="P4489" t="str">
            <v>None</v>
          </cell>
          <cell r="Q4489">
            <v>0</v>
          </cell>
          <cell r="R4489">
            <v>0</v>
          </cell>
          <cell r="S4489">
            <v>0</v>
          </cell>
          <cell r="T4489">
            <v>1</v>
          </cell>
          <cell r="U4489" t="str">
            <v>None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</row>
        <row r="4490">
          <cell r="D4490">
            <v>313337</v>
          </cell>
          <cell r="E4490" t="str">
            <v>Sta. Paz  Integrated  School</v>
          </cell>
          <cell r="F4490">
            <v>0</v>
          </cell>
          <cell r="G4490">
            <v>0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</row>
        <row r="4491">
          <cell r="D4491">
            <v>303590</v>
          </cell>
          <cell r="E4491" t="str">
            <v>Baquiw NHS</v>
          </cell>
          <cell r="F4491">
            <v>1</v>
          </cell>
          <cell r="G4491">
            <v>1</v>
          </cell>
          <cell r="H4491">
            <v>1</v>
          </cell>
          <cell r="I4491">
            <v>0</v>
          </cell>
          <cell r="J4491">
            <v>1</v>
          </cell>
          <cell r="K4491">
            <v>0</v>
          </cell>
          <cell r="L4491">
            <v>0</v>
          </cell>
          <cell r="M4491">
            <v>0</v>
          </cell>
          <cell r="N4491">
            <v>1</v>
          </cell>
          <cell r="O4491" t="str">
            <v>June,2018</v>
          </cell>
          <cell r="P4491">
            <v>0</v>
          </cell>
          <cell r="Q4491">
            <v>0</v>
          </cell>
          <cell r="R4491">
            <v>0</v>
          </cell>
          <cell r="S4491">
            <v>1</v>
          </cell>
          <cell r="T4491">
            <v>0</v>
          </cell>
          <cell r="U4491">
            <v>0</v>
          </cell>
          <cell r="V4491">
            <v>1</v>
          </cell>
          <cell r="W4491">
            <v>0</v>
          </cell>
          <cell r="X4491">
            <v>0</v>
          </cell>
          <cell r="Y4491">
            <v>0</v>
          </cell>
        </row>
        <row r="4492">
          <cell r="D4492">
            <v>303337</v>
          </cell>
          <cell r="E4492" t="str">
            <v>Alfredo Parilla National High School</v>
          </cell>
          <cell r="F4492">
            <v>1</v>
          </cell>
          <cell r="G4492">
            <v>0</v>
          </cell>
          <cell r="H4492">
            <v>1</v>
          </cell>
          <cell r="I4492">
            <v>0</v>
          </cell>
          <cell r="J4492">
            <v>1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</row>
        <row r="4493">
          <cell r="D4493">
            <v>303630</v>
          </cell>
          <cell r="E4493" t="str">
            <v>Napuro NHS</v>
          </cell>
          <cell r="F4493">
            <v>0</v>
          </cell>
          <cell r="G4493">
            <v>0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</row>
        <row r="4494">
          <cell r="D4494">
            <v>303356</v>
          </cell>
          <cell r="E4494" t="str">
            <v>Cahagnaan National High School</v>
          </cell>
          <cell r="F4494">
            <v>0</v>
          </cell>
          <cell r="G4494">
            <v>0</v>
          </cell>
          <cell r="H4494">
            <v>1</v>
          </cell>
          <cell r="I4494">
            <v>0</v>
          </cell>
          <cell r="J4494">
            <v>1</v>
          </cell>
          <cell r="K4494">
            <v>0</v>
          </cell>
          <cell r="L4494">
            <v>0</v>
          </cell>
          <cell r="M4494">
            <v>0</v>
          </cell>
          <cell r="N4494">
            <v>1</v>
          </cell>
          <cell r="O4494" t="str">
            <v>JULY 5, 2019</v>
          </cell>
          <cell r="P4494" t="str">
            <v>JULY 5, 2019</v>
          </cell>
          <cell r="Q4494">
            <v>0</v>
          </cell>
          <cell r="R4494">
            <v>1</v>
          </cell>
          <cell r="S4494">
            <v>0</v>
          </cell>
          <cell r="T4494">
            <v>0</v>
          </cell>
          <cell r="U4494">
            <v>0</v>
          </cell>
          <cell r="V4494">
            <v>1</v>
          </cell>
          <cell r="W4494">
            <v>6</v>
          </cell>
          <cell r="X4494">
            <v>4</v>
          </cell>
          <cell r="Y4494">
            <v>4</v>
          </cell>
        </row>
        <row r="4495">
          <cell r="D4495">
            <v>313335</v>
          </cell>
          <cell r="E4495" t="str">
            <v>Palo National High School-Pawing Annex</v>
          </cell>
          <cell r="F4495">
            <v>1</v>
          </cell>
          <cell r="G4495">
            <v>0</v>
          </cell>
          <cell r="H4495">
            <v>1</v>
          </cell>
          <cell r="I4495">
            <v>0</v>
          </cell>
          <cell r="J4495">
            <v>1</v>
          </cell>
          <cell r="K4495">
            <v>0</v>
          </cell>
          <cell r="L4495">
            <v>0</v>
          </cell>
          <cell r="M4495">
            <v>0</v>
          </cell>
          <cell r="N4495">
            <v>1</v>
          </cell>
          <cell r="O4495">
            <v>43252</v>
          </cell>
          <cell r="P4495">
            <v>43252</v>
          </cell>
          <cell r="Q4495">
            <v>0</v>
          </cell>
          <cell r="R4495">
            <v>1</v>
          </cell>
          <cell r="S4495">
            <v>0</v>
          </cell>
          <cell r="T4495">
            <v>0</v>
          </cell>
          <cell r="U4495">
            <v>0</v>
          </cell>
          <cell r="V4495">
            <v>1</v>
          </cell>
          <cell r="W4495">
            <v>1</v>
          </cell>
          <cell r="X4495">
            <v>1</v>
          </cell>
          <cell r="Y4495">
            <v>1</v>
          </cell>
        </row>
        <row r="4496">
          <cell r="D4496">
            <v>303398</v>
          </cell>
          <cell r="E4496" t="str">
            <v>Mahaplag National High School</v>
          </cell>
          <cell r="F4496">
            <v>1</v>
          </cell>
          <cell r="G4496">
            <v>1</v>
          </cell>
          <cell r="H4496">
            <v>1</v>
          </cell>
          <cell r="I4496">
            <v>0</v>
          </cell>
          <cell r="J4496">
            <v>1</v>
          </cell>
          <cell r="K4496">
            <v>0</v>
          </cell>
          <cell r="L4496">
            <v>0</v>
          </cell>
          <cell r="M4496">
            <v>0</v>
          </cell>
          <cell r="N4496">
            <v>1</v>
          </cell>
          <cell r="O4496">
            <v>0</v>
          </cell>
          <cell r="P4496">
            <v>0</v>
          </cell>
          <cell r="Q4496">
            <v>1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1</v>
          </cell>
          <cell r="W4496">
            <v>37</v>
          </cell>
          <cell r="X4496">
            <v>37</v>
          </cell>
          <cell r="Y4496">
            <v>37</v>
          </cell>
        </row>
        <row r="4497">
          <cell r="D4497">
            <v>313313</v>
          </cell>
          <cell r="E4497" t="str">
            <v>Libertad National High School</v>
          </cell>
          <cell r="F4497">
            <v>1</v>
          </cell>
          <cell r="G4497">
            <v>0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</row>
        <row r="4498">
          <cell r="D4498">
            <v>303655</v>
          </cell>
          <cell r="E4498" t="str">
            <v>Ipil National High School</v>
          </cell>
          <cell r="F4498">
            <v>1</v>
          </cell>
          <cell r="G4498">
            <v>1</v>
          </cell>
          <cell r="H4498">
            <v>1</v>
          </cell>
          <cell r="I4498">
            <v>0</v>
          </cell>
          <cell r="J4498">
            <v>0</v>
          </cell>
          <cell r="K4498">
            <v>1</v>
          </cell>
          <cell r="L4498">
            <v>0</v>
          </cell>
          <cell r="M4498">
            <v>0</v>
          </cell>
          <cell r="N4498">
            <v>1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1</v>
          </cell>
          <cell r="T4498">
            <v>0</v>
          </cell>
          <cell r="U4498">
            <v>0</v>
          </cell>
          <cell r="V4498">
            <v>1</v>
          </cell>
          <cell r="W4498">
            <v>0</v>
          </cell>
          <cell r="X4498">
            <v>0</v>
          </cell>
          <cell r="Y4498">
            <v>0</v>
          </cell>
        </row>
        <row r="4499">
          <cell r="D4499">
            <v>303344</v>
          </cell>
          <cell r="E4499" t="str">
            <v>Balocawehay National High School</v>
          </cell>
          <cell r="F4499">
            <v>1</v>
          </cell>
          <cell r="G4499">
            <v>1</v>
          </cell>
          <cell r="H4499">
            <v>1</v>
          </cell>
          <cell r="I4499">
            <v>0</v>
          </cell>
          <cell r="J4499">
            <v>1</v>
          </cell>
          <cell r="K4499">
            <v>0</v>
          </cell>
          <cell r="L4499">
            <v>0</v>
          </cell>
          <cell r="M4499">
            <v>0</v>
          </cell>
          <cell r="N4499">
            <v>1</v>
          </cell>
          <cell r="O4499">
            <v>0</v>
          </cell>
          <cell r="P4499">
            <v>43716</v>
          </cell>
          <cell r="Q4499">
            <v>0</v>
          </cell>
          <cell r="R4499">
            <v>1</v>
          </cell>
          <cell r="S4499">
            <v>0</v>
          </cell>
          <cell r="T4499">
            <v>0</v>
          </cell>
          <cell r="U4499">
            <v>0</v>
          </cell>
          <cell r="V4499">
            <v>1</v>
          </cell>
          <cell r="W4499">
            <v>2</v>
          </cell>
          <cell r="X4499">
            <v>1</v>
          </cell>
          <cell r="Y4499">
            <v>1</v>
          </cell>
        </row>
        <row r="4500">
          <cell r="D4500">
            <v>313724</v>
          </cell>
          <cell r="E4500" t="str">
            <v>Balocawe Integrated School</v>
          </cell>
          <cell r="F4500">
            <v>1</v>
          </cell>
          <cell r="G4500">
            <v>0</v>
          </cell>
          <cell r="H4500">
            <v>1</v>
          </cell>
          <cell r="I4500">
            <v>0</v>
          </cell>
          <cell r="J4500">
            <v>1</v>
          </cell>
          <cell r="K4500">
            <v>0</v>
          </cell>
          <cell r="L4500">
            <v>0</v>
          </cell>
          <cell r="M4500">
            <v>0</v>
          </cell>
          <cell r="N4500">
            <v>1</v>
          </cell>
          <cell r="O4500">
            <v>43778</v>
          </cell>
          <cell r="P4500">
            <v>43778</v>
          </cell>
          <cell r="Q4500">
            <v>0</v>
          </cell>
          <cell r="R4500">
            <v>1</v>
          </cell>
          <cell r="S4500">
            <v>0</v>
          </cell>
          <cell r="T4500">
            <v>0</v>
          </cell>
          <cell r="U4500">
            <v>0</v>
          </cell>
          <cell r="V4500">
            <v>1</v>
          </cell>
          <cell r="W4500">
            <v>0</v>
          </cell>
          <cell r="X4500">
            <v>0</v>
          </cell>
          <cell r="Y4500">
            <v>0</v>
          </cell>
        </row>
        <row r="4501">
          <cell r="D4501">
            <v>303611</v>
          </cell>
          <cell r="E4501" t="str">
            <v>Marabut NHS</v>
          </cell>
          <cell r="F4501">
            <v>0</v>
          </cell>
          <cell r="G4501">
            <v>0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</row>
        <row r="4502">
          <cell r="D4502">
            <v>303403</v>
          </cell>
          <cell r="E4502" t="str">
            <v>Marcelino R. Veloso National High School (Marcelino R. Veloso NHS)</v>
          </cell>
          <cell r="F4502">
            <v>1</v>
          </cell>
          <cell r="G4502">
            <v>1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</row>
        <row r="4503">
          <cell r="D4503">
            <v>303372</v>
          </cell>
          <cell r="E4503" t="str">
            <v>Guinarona National High School</v>
          </cell>
          <cell r="F4503">
            <v>0</v>
          </cell>
          <cell r="G4503">
            <v>0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</row>
        <row r="4504">
          <cell r="D4504">
            <v>303347</v>
          </cell>
          <cell r="E4504" t="str">
            <v>Bato School of Fisheries</v>
          </cell>
          <cell r="F4504">
            <v>1</v>
          </cell>
          <cell r="G4504">
            <v>1</v>
          </cell>
          <cell r="H4504">
            <v>1</v>
          </cell>
          <cell r="I4504">
            <v>0</v>
          </cell>
          <cell r="J4504">
            <v>0</v>
          </cell>
          <cell r="K4504">
            <v>1</v>
          </cell>
          <cell r="L4504">
            <v>0</v>
          </cell>
          <cell r="M4504">
            <v>0</v>
          </cell>
          <cell r="N4504">
            <v>1</v>
          </cell>
          <cell r="O4504" t="str">
            <v>August 2, 2019</v>
          </cell>
          <cell r="P4504" t="str">
            <v>N/A</v>
          </cell>
          <cell r="Q4504">
            <v>0</v>
          </cell>
          <cell r="R4504">
            <v>0</v>
          </cell>
          <cell r="S4504">
            <v>1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</row>
        <row r="4505">
          <cell r="D4505">
            <v>313715</v>
          </cell>
          <cell r="E4505" t="str">
            <v>San Fernando NHS</v>
          </cell>
          <cell r="F4505">
            <v>0</v>
          </cell>
          <cell r="G4505">
            <v>0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</row>
        <row r="4506">
          <cell r="D4506">
            <v>303438</v>
          </cell>
          <cell r="E4506" t="str">
            <v>Tinabilan National High School</v>
          </cell>
          <cell r="F4506">
            <v>1</v>
          </cell>
          <cell r="G4506">
            <v>1</v>
          </cell>
          <cell r="H4506">
            <v>1</v>
          </cell>
          <cell r="I4506">
            <v>0</v>
          </cell>
          <cell r="J4506">
            <v>1</v>
          </cell>
          <cell r="K4506">
            <v>0</v>
          </cell>
          <cell r="L4506">
            <v>0</v>
          </cell>
          <cell r="M4506">
            <v>0</v>
          </cell>
          <cell r="N4506">
            <v>1</v>
          </cell>
          <cell r="O4506" t="str">
            <v>June 28, 2019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</row>
        <row r="4507">
          <cell r="D4507">
            <v>303573</v>
          </cell>
          <cell r="E4507" t="str">
            <v>Rosario National High School</v>
          </cell>
          <cell r="F4507">
            <v>0</v>
          </cell>
          <cell r="G4507">
            <v>0</v>
          </cell>
          <cell r="H4507">
            <v>1</v>
          </cell>
          <cell r="I4507">
            <v>0</v>
          </cell>
          <cell r="J4507">
            <v>1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1</v>
          </cell>
          <cell r="S4507">
            <v>0</v>
          </cell>
          <cell r="T4507">
            <v>0</v>
          </cell>
          <cell r="U4507">
            <v>0</v>
          </cell>
          <cell r="V4507">
            <v>1</v>
          </cell>
          <cell r="W4507">
            <v>0</v>
          </cell>
          <cell r="X4507">
            <v>0</v>
          </cell>
          <cell r="Y4507">
            <v>0</v>
          </cell>
        </row>
        <row r="4508">
          <cell r="D4508">
            <v>303336</v>
          </cell>
          <cell r="E4508" t="str">
            <v>Alangalang National High School</v>
          </cell>
          <cell r="F4508">
            <v>1</v>
          </cell>
          <cell r="G4508">
            <v>0</v>
          </cell>
          <cell r="H4508">
            <v>1</v>
          </cell>
          <cell r="I4508">
            <v>0</v>
          </cell>
          <cell r="J4508">
            <v>0</v>
          </cell>
          <cell r="K4508">
            <v>0</v>
          </cell>
          <cell r="L4508">
            <v>1</v>
          </cell>
          <cell r="M4508" t="str">
            <v>n/a</v>
          </cell>
          <cell r="N4508">
            <v>0</v>
          </cell>
          <cell r="O4508">
            <v>0</v>
          </cell>
          <cell r="P4508" t="str">
            <v>n/a</v>
          </cell>
          <cell r="Q4508">
            <v>0</v>
          </cell>
          <cell r="R4508">
            <v>0</v>
          </cell>
          <cell r="S4508">
            <v>0</v>
          </cell>
          <cell r="T4508">
            <v>1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</row>
        <row r="4509">
          <cell r="D4509">
            <v>303370</v>
          </cell>
          <cell r="E4509" t="str">
            <v>Esperanza National High School</v>
          </cell>
          <cell r="F4509">
            <v>1</v>
          </cell>
          <cell r="G4509">
            <v>0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</row>
        <row r="4510">
          <cell r="D4510">
            <v>313721</v>
          </cell>
          <cell r="E4510" t="str">
            <v>San Isidro NHS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</row>
        <row r="4511">
          <cell r="D4511">
            <v>303407</v>
          </cell>
          <cell r="E4511" t="str">
            <v>Mayorga National High School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</row>
        <row r="4512">
          <cell r="D4512">
            <v>303359</v>
          </cell>
          <cell r="E4512" t="str">
            <v>Cantuhaon National High School</v>
          </cell>
          <cell r="F4512">
            <v>1</v>
          </cell>
          <cell r="G4512">
            <v>0</v>
          </cell>
          <cell r="H4512">
            <v>1</v>
          </cell>
          <cell r="I4512">
            <v>0</v>
          </cell>
          <cell r="J4512">
            <v>1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43658</v>
          </cell>
          <cell r="Q4512">
            <v>0</v>
          </cell>
          <cell r="R4512">
            <v>1</v>
          </cell>
          <cell r="S4512">
            <v>0</v>
          </cell>
          <cell r="T4512">
            <v>0</v>
          </cell>
          <cell r="U4512">
            <v>0</v>
          </cell>
          <cell r="V4512">
            <v>1</v>
          </cell>
          <cell r="W4512">
            <v>0</v>
          </cell>
          <cell r="X4512">
            <v>0</v>
          </cell>
          <cell r="Y4512">
            <v>0</v>
          </cell>
        </row>
        <row r="4513">
          <cell r="D4513">
            <v>303415</v>
          </cell>
          <cell r="E4513" t="str">
            <v>Palo National High School</v>
          </cell>
          <cell r="F4513">
            <v>1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</row>
        <row r="4514">
          <cell r="D4514">
            <v>303423</v>
          </cell>
          <cell r="E4514" t="str">
            <v>San Isidro National High School</v>
          </cell>
          <cell r="F4514">
            <v>1</v>
          </cell>
          <cell r="G4514">
            <v>1</v>
          </cell>
          <cell r="H4514">
            <v>1</v>
          </cell>
          <cell r="I4514">
            <v>0</v>
          </cell>
          <cell r="J4514">
            <v>1</v>
          </cell>
          <cell r="K4514">
            <v>0</v>
          </cell>
          <cell r="L4514">
            <v>0</v>
          </cell>
          <cell r="M4514">
            <v>0</v>
          </cell>
          <cell r="N4514">
            <v>1</v>
          </cell>
          <cell r="O4514">
            <v>0</v>
          </cell>
          <cell r="P4514">
            <v>0</v>
          </cell>
          <cell r="Q4514">
            <v>0</v>
          </cell>
          <cell r="R4514">
            <v>1</v>
          </cell>
          <cell r="S4514">
            <v>0</v>
          </cell>
          <cell r="T4514">
            <v>0</v>
          </cell>
          <cell r="U4514">
            <v>0</v>
          </cell>
          <cell r="V4514">
            <v>1</v>
          </cell>
          <cell r="W4514">
            <v>0</v>
          </cell>
          <cell r="X4514">
            <v>0</v>
          </cell>
          <cell r="Y4514">
            <v>0</v>
          </cell>
        </row>
        <row r="4515">
          <cell r="D4515">
            <v>303416</v>
          </cell>
          <cell r="E4515" t="str">
            <v>Pastor Salazar National High School</v>
          </cell>
          <cell r="F4515">
            <v>1</v>
          </cell>
          <cell r="G4515">
            <v>0</v>
          </cell>
          <cell r="H4515">
            <v>1</v>
          </cell>
          <cell r="I4515">
            <v>0</v>
          </cell>
          <cell r="J4515">
            <v>0</v>
          </cell>
          <cell r="K4515">
            <v>0</v>
          </cell>
          <cell r="L4515">
            <v>1</v>
          </cell>
          <cell r="M4515" t="str">
            <v>IF NEEDED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</row>
        <row r="4516">
          <cell r="D4516">
            <v>303621</v>
          </cell>
          <cell r="E4516" t="str">
            <v>Guinsorongan NHS</v>
          </cell>
          <cell r="F4516">
            <v>1</v>
          </cell>
          <cell r="G4516">
            <v>1</v>
          </cell>
          <cell r="H4516">
            <v>1</v>
          </cell>
          <cell r="I4516">
            <v>0</v>
          </cell>
          <cell r="J4516">
            <v>1</v>
          </cell>
          <cell r="K4516">
            <v>0</v>
          </cell>
          <cell r="L4516">
            <v>0</v>
          </cell>
          <cell r="M4516">
            <v>0</v>
          </cell>
          <cell r="N4516">
            <v>1</v>
          </cell>
          <cell r="O4516">
            <v>0</v>
          </cell>
          <cell r="P4516">
            <v>0</v>
          </cell>
          <cell r="Q4516">
            <v>1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</row>
        <row r="4517">
          <cell r="D4517">
            <v>303379</v>
          </cell>
          <cell r="E4517" t="str">
            <v>Javier National High School</v>
          </cell>
          <cell r="F4517">
            <v>1</v>
          </cell>
          <cell r="G4517">
            <v>0</v>
          </cell>
          <cell r="H4517">
            <v>1</v>
          </cell>
          <cell r="I4517">
            <v>0</v>
          </cell>
          <cell r="J4517">
            <v>0</v>
          </cell>
          <cell r="K4517">
            <v>1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 t="str">
            <v>NA</v>
          </cell>
          <cell r="Q4517">
            <v>0</v>
          </cell>
          <cell r="R4517">
            <v>0</v>
          </cell>
          <cell r="S4517">
            <v>0</v>
          </cell>
          <cell r="T4517">
            <v>1</v>
          </cell>
          <cell r="U4517" t="str">
            <v>NA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</row>
        <row r="4518">
          <cell r="D4518">
            <v>303463</v>
          </cell>
          <cell r="E4518" t="str">
            <v>Libas NHS</v>
          </cell>
          <cell r="F4518">
            <v>1</v>
          </cell>
          <cell r="G4518">
            <v>1</v>
          </cell>
          <cell r="H4518">
            <v>1</v>
          </cell>
          <cell r="I4518">
            <v>0</v>
          </cell>
          <cell r="J4518">
            <v>1</v>
          </cell>
          <cell r="K4518">
            <v>0</v>
          </cell>
          <cell r="L4518">
            <v>0</v>
          </cell>
          <cell r="M4518">
            <v>0</v>
          </cell>
          <cell r="N4518">
            <v>1</v>
          </cell>
          <cell r="O4518">
            <v>0</v>
          </cell>
          <cell r="P4518">
            <v>0</v>
          </cell>
          <cell r="Q4518">
            <v>0</v>
          </cell>
          <cell r="R4518">
            <v>1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</row>
        <row r="4519">
          <cell r="D4519">
            <v>303394</v>
          </cell>
          <cell r="E4519" t="str">
            <v>Libertad National High School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</row>
        <row r="4520">
          <cell r="D4520">
            <v>303395</v>
          </cell>
          <cell r="E4520" t="str">
            <v>Lim-ao National High School</v>
          </cell>
          <cell r="F4520">
            <v>1</v>
          </cell>
          <cell r="G4520">
            <v>1</v>
          </cell>
          <cell r="H4520">
            <v>1</v>
          </cell>
          <cell r="I4520">
            <v>0</v>
          </cell>
          <cell r="J4520">
            <v>0</v>
          </cell>
          <cell r="K4520">
            <v>1</v>
          </cell>
          <cell r="L4520">
            <v>0</v>
          </cell>
          <cell r="M4520">
            <v>0</v>
          </cell>
          <cell r="N4520">
            <v>1</v>
          </cell>
          <cell r="O4520">
            <v>43656</v>
          </cell>
          <cell r="P4520">
            <v>43789</v>
          </cell>
          <cell r="Q4520">
            <v>1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1</v>
          </cell>
          <cell r="W4520">
            <v>0</v>
          </cell>
          <cell r="X4520">
            <v>0</v>
          </cell>
          <cell r="Y4520">
            <v>0</v>
          </cell>
        </row>
        <row r="4521">
          <cell r="D4521">
            <v>303635</v>
          </cell>
          <cell r="E4521" t="str">
            <v>OESTE NHS</v>
          </cell>
          <cell r="F4521">
            <v>1</v>
          </cell>
          <cell r="G4521">
            <v>0</v>
          </cell>
          <cell r="H4521">
            <v>0</v>
          </cell>
          <cell r="I4521">
            <v>0</v>
          </cell>
          <cell r="J4521">
            <v>0</v>
          </cell>
          <cell r="K4521">
            <v>1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1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</row>
        <row r="4522">
          <cell r="D4522">
            <v>313702</v>
          </cell>
          <cell r="E4522" t="str">
            <v>Plaridel NHS</v>
          </cell>
          <cell r="F4522">
            <v>1</v>
          </cell>
          <cell r="G4522">
            <v>1</v>
          </cell>
          <cell r="H4522">
            <v>1</v>
          </cell>
          <cell r="I4522">
            <v>0</v>
          </cell>
          <cell r="J4522">
            <v>0</v>
          </cell>
          <cell r="K4522">
            <v>1</v>
          </cell>
          <cell r="L4522">
            <v>0</v>
          </cell>
          <cell r="M4522">
            <v>0</v>
          </cell>
          <cell r="N4522">
            <v>1</v>
          </cell>
          <cell r="O4522" t="str">
            <v>May 21, 2019</v>
          </cell>
          <cell r="P4522" t="str">
            <v>May 21, 2019</v>
          </cell>
          <cell r="Q4522">
            <v>0</v>
          </cell>
          <cell r="R4522">
            <v>0</v>
          </cell>
          <cell r="S4522">
            <v>1</v>
          </cell>
          <cell r="T4522">
            <v>0</v>
          </cell>
          <cell r="U4522">
            <v>0</v>
          </cell>
          <cell r="V4522">
            <v>1</v>
          </cell>
          <cell r="W4522">
            <v>0</v>
          </cell>
          <cell r="X4522">
            <v>0</v>
          </cell>
          <cell r="Y4522">
            <v>0</v>
          </cell>
        </row>
        <row r="4523">
          <cell r="D4523">
            <v>303386</v>
          </cell>
          <cell r="E4523" t="str">
            <v>Kiling National High School</v>
          </cell>
          <cell r="F4523">
            <v>0</v>
          </cell>
          <cell r="G4523">
            <v>0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</row>
        <row r="4524">
          <cell r="D4524">
            <v>313329</v>
          </cell>
          <cell r="E4524" t="str">
            <v>Capudlosan National High School</v>
          </cell>
          <cell r="F4524">
            <v>1</v>
          </cell>
          <cell r="G4524">
            <v>0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</row>
        <row r="4525">
          <cell r="D4525">
            <v>313719</v>
          </cell>
          <cell r="E4525" t="str">
            <v>Bagacay NHS</v>
          </cell>
          <cell r="F4525">
            <v>1</v>
          </cell>
          <cell r="G4525">
            <v>1</v>
          </cell>
          <cell r="H4525">
            <v>1</v>
          </cell>
          <cell r="I4525">
            <v>0</v>
          </cell>
          <cell r="J4525">
            <v>0</v>
          </cell>
          <cell r="K4525">
            <v>1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1</v>
          </cell>
          <cell r="W4525">
            <v>0</v>
          </cell>
          <cell r="X4525">
            <v>0</v>
          </cell>
          <cell r="Y4525">
            <v>0</v>
          </cell>
        </row>
        <row r="4526">
          <cell r="D4526">
            <v>313707</v>
          </cell>
          <cell r="E4526" t="str">
            <v>Bioso IS</v>
          </cell>
          <cell r="F4526">
            <v>0</v>
          </cell>
          <cell r="G4526">
            <v>0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</row>
        <row r="4527">
          <cell r="D4527">
            <v>303399</v>
          </cell>
          <cell r="E4527" t="str">
            <v>Mahaplag National High School - Upper RA 7047</v>
          </cell>
          <cell r="F4527">
            <v>1</v>
          </cell>
          <cell r="G4527">
            <v>1</v>
          </cell>
          <cell r="H4527">
            <v>1</v>
          </cell>
          <cell r="I4527">
            <v>0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</row>
        <row r="4528">
          <cell r="D4528">
            <v>303326</v>
          </cell>
          <cell r="E4528" t="str">
            <v>Kawayan National High School</v>
          </cell>
          <cell r="F4528">
            <v>1</v>
          </cell>
          <cell r="G4528">
            <v>0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</row>
        <row r="4529">
          <cell r="D4529">
            <v>313718</v>
          </cell>
          <cell r="E4529" t="str">
            <v>Primitivo T. Torrechiva NHS</v>
          </cell>
          <cell r="F4529">
            <v>1</v>
          </cell>
          <cell r="G4529">
            <v>1</v>
          </cell>
          <cell r="H4529">
            <v>1</v>
          </cell>
          <cell r="I4529">
            <v>0</v>
          </cell>
          <cell r="J4529">
            <v>1</v>
          </cell>
          <cell r="K4529">
            <v>0</v>
          </cell>
          <cell r="L4529">
            <v>0</v>
          </cell>
          <cell r="M4529">
            <v>0</v>
          </cell>
          <cell r="N4529">
            <v>1</v>
          </cell>
          <cell r="O4529">
            <v>0</v>
          </cell>
          <cell r="P4529">
            <v>0</v>
          </cell>
          <cell r="Q4529">
            <v>0</v>
          </cell>
          <cell r="R4529">
            <v>1</v>
          </cell>
          <cell r="S4529">
            <v>0</v>
          </cell>
          <cell r="T4529">
            <v>0</v>
          </cell>
          <cell r="U4529">
            <v>0</v>
          </cell>
          <cell r="V4529">
            <v>1</v>
          </cell>
          <cell r="W4529">
            <v>0</v>
          </cell>
          <cell r="X4529">
            <v>0</v>
          </cell>
          <cell r="Y4529">
            <v>0</v>
          </cell>
        </row>
        <row r="4530">
          <cell r="D4530">
            <v>303375</v>
          </cell>
          <cell r="E4530" t="str">
            <v>Hindang National High School</v>
          </cell>
          <cell r="F4530">
            <v>1</v>
          </cell>
          <cell r="G4530">
            <v>0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</row>
        <row r="4531">
          <cell r="D4531">
            <v>313709</v>
          </cell>
          <cell r="E4531" t="str">
            <v>Bakhaw NHS</v>
          </cell>
          <cell r="F4531">
            <v>1</v>
          </cell>
          <cell r="G4531">
            <v>1</v>
          </cell>
          <cell r="H4531">
            <v>1</v>
          </cell>
          <cell r="I4531">
            <v>0</v>
          </cell>
          <cell r="J4531">
            <v>1</v>
          </cell>
          <cell r="K4531">
            <v>0</v>
          </cell>
          <cell r="L4531">
            <v>0</v>
          </cell>
          <cell r="M4531">
            <v>0</v>
          </cell>
          <cell r="N4531">
            <v>1</v>
          </cell>
          <cell r="O4531">
            <v>0</v>
          </cell>
          <cell r="P4531">
            <v>0</v>
          </cell>
          <cell r="Q4531">
            <v>0</v>
          </cell>
          <cell r="R4531">
            <v>1</v>
          </cell>
          <cell r="S4531">
            <v>0</v>
          </cell>
          <cell r="T4531">
            <v>0</v>
          </cell>
          <cell r="U4531">
            <v>0</v>
          </cell>
          <cell r="V4531">
            <v>1</v>
          </cell>
          <cell r="W4531">
            <v>0</v>
          </cell>
          <cell r="X4531">
            <v>0</v>
          </cell>
          <cell r="Y4531">
            <v>0</v>
          </cell>
        </row>
        <row r="4532">
          <cell r="D4532">
            <v>303594</v>
          </cell>
          <cell r="E4532" t="str">
            <v>Old San Agustin NHS</v>
          </cell>
          <cell r="F4532">
            <v>1</v>
          </cell>
          <cell r="G4532">
            <v>1</v>
          </cell>
          <cell r="H4532">
            <v>1</v>
          </cell>
          <cell r="I4532">
            <v>0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1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</row>
        <row r="4533">
          <cell r="D4533">
            <v>313708</v>
          </cell>
          <cell r="E4533" t="str">
            <v>San Jorge NHS</v>
          </cell>
          <cell r="F4533">
            <v>1</v>
          </cell>
          <cell r="G4533">
            <v>1</v>
          </cell>
          <cell r="H4533">
            <v>1</v>
          </cell>
          <cell r="I4533">
            <v>0</v>
          </cell>
          <cell r="J4533">
            <v>1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</row>
        <row r="4534">
          <cell r="D4534">
            <v>303492</v>
          </cell>
          <cell r="E4534" t="str">
            <v>VILLA JACINTA NATIONAL VOCATIONAL HIGH SCHOOL</v>
          </cell>
          <cell r="F4534">
            <v>1</v>
          </cell>
          <cell r="G4534">
            <v>1</v>
          </cell>
          <cell r="H4534">
            <v>1</v>
          </cell>
          <cell r="I4534">
            <v>0</v>
          </cell>
          <cell r="J4534">
            <v>0</v>
          </cell>
          <cell r="K4534">
            <v>0</v>
          </cell>
          <cell r="L4534">
            <v>1</v>
          </cell>
          <cell r="M4534" t="str">
            <v>as the need arises</v>
          </cell>
          <cell r="N4534">
            <v>1</v>
          </cell>
          <cell r="O4534">
            <v>0</v>
          </cell>
          <cell r="P4534">
            <v>43731</v>
          </cell>
          <cell r="Q4534">
            <v>0</v>
          </cell>
          <cell r="R4534">
            <v>0</v>
          </cell>
          <cell r="S4534">
            <v>0</v>
          </cell>
          <cell r="T4534">
            <v>1</v>
          </cell>
          <cell r="U4534" t="str">
            <v>weekly</v>
          </cell>
          <cell r="V4534">
            <v>1</v>
          </cell>
          <cell r="W4534">
            <v>0</v>
          </cell>
          <cell r="X4534">
            <v>0</v>
          </cell>
          <cell r="Y4534">
            <v>0</v>
          </cell>
        </row>
        <row r="4535">
          <cell r="D4535">
            <v>303641</v>
          </cell>
          <cell r="E4535" t="str">
            <v>Wright NHS</v>
          </cell>
          <cell r="F4535">
            <v>1</v>
          </cell>
          <cell r="G4535">
            <v>0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</row>
        <row r="4536">
          <cell r="D4536">
            <v>303597</v>
          </cell>
          <cell r="E4536" t="str">
            <v>CALBIGA NHS</v>
          </cell>
          <cell r="F4536">
            <v>1</v>
          </cell>
          <cell r="G4536">
            <v>1</v>
          </cell>
          <cell r="H4536">
            <v>1</v>
          </cell>
          <cell r="I4536">
            <v>0</v>
          </cell>
          <cell r="J4536">
            <v>1</v>
          </cell>
          <cell r="K4536">
            <v>0</v>
          </cell>
          <cell r="L4536">
            <v>1</v>
          </cell>
          <cell r="M4536" t="str">
            <v>as needed</v>
          </cell>
          <cell r="N4536">
            <v>1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1</v>
          </cell>
          <cell r="T4536">
            <v>1</v>
          </cell>
          <cell r="U4536" t="str">
            <v>as needed</v>
          </cell>
          <cell r="V4536">
            <v>0</v>
          </cell>
          <cell r="W4536">
            <v>25</v>
          </cell>
          <cell r="X4536">
            <v>25</v>
          </cell>
          <cell r="Y4536">
            <v>0</v>
          </cell>
        </row>
        <row r="4537">
          <cell r="D4537">
            <v>303601</v>
          </cell>
          <cell r="E4537" t="str">
            <v>Daram NHS</v>
          </cell>
          <cell r="F4537">
            <v>1</v>
          </cell>
          <cell r="G4537">
            <v>1</v>
          </cell>
          <cell r="H4537">
            <v>0</v>
          </cell>
          <cell r="I4537">
            <v>0</v>
          </cell>
          <cell r="J4537">
            <v>0</v>
          </cell>
          <cell r="K4537">
            <v>1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</row>
        <row r="4538">
          <cell r="D4538">
            <v>303329</v>
          </cell>
          <cell r="E4538" t="str">
            <v>Maripipi NVS</v>
          </cell>
          <cell r="F4538">
            <v>1</v>
          </cell>
          <cell r="G4538">
            <v>1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</row>
        <row r="4539">
          <cell r="D4539">
            <v>303638</v>
          </cell>
          <cell r="E4539" t="str">
            <v>Villahermosa NHS</v>
          </cell>
          <cell r="F4539">
            <v>1</v>
          </cell>
          <cell r="G4539">
            <v>1</v>
          </cell>
          <cell r="H4539">
            <v>1</v>
          </cell>
          <cell r="I4539">
            <v>0</v>
          </cell>
          <cell r="J4539">
            <v>0</v>
          </cell>
          <cell r="K4539">
            <v>1</v>
          </cell>
          <cell r="L4539">
            <v>0</v>
          </cell>
          <cell r="M4539">
            <v>0</v>
          </cell>
          <cell r="N4539">
            <v>1</v>
          </cell>
          <cell r="O4539">
            <v>43525</v>
          </cell>
          <cell r="P4539">
            <v>43617</v>
          </cell>
          <cell r="Q4539">
            <v>0</v>
          </cell>
          <cell r="R4539">
            <v>1</v>
          </cell>
          <cell r="S4539">
            <v>0</v>
          </cell>
          <cell r="T4539">
            <v>0</v>
          </cell>
          <cell r="U4539">
            <v>0</v>
          </cell>
          <cell r="V4539">
            <v>1</v>
          </cell>
          <cell r="W4539">
            <v>0</v>
          </cell>
          <cell r="X4539">
            <v>0</v>
          </cell>
          <cell r="Y4539">
            <v>0</v>
          </cell>
        </row>
        <row r="4540">
          <cell r="D4540">
            <v>303636</v>
          </cell>
          <cell r="E4540" t="str">
            <v>Tominamos IS</v>
          </cell>
          <cell r="F4540">
            <v>1</v>
          </cell>
          <cell r="G4540">
            <v>1</v>
          </cell>
          <cell r="H4540">
            <v>0</v>
          </cell>
          <cell r="I4540">
            <v>0</v>
          </cell>
          <cell r="J4540">
            <v>1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1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</row>
        <row r="4541">
          <cell r="D4541">
            <v>303628</v>
          </cell>
          <cell r="E4541" t="str">
            <v>Simeon Ocdol NHS</v>
          </cell>
          <cell r="F4541">
            <v>1</v>
          </cell>
          <cell r="G4541">
            <v>1</v>
          </cell>
          <cell r="H4541">
            <v>1</v>
          </cell>
          <cell r="I4541">
            <v>1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1</v>
          </cell>
          <cell r="O4541">
            <v>0</v>
          </cell>
          <cell r="P4541">
            <v>0</v>
          </cell>
          <cell r="Q4541">
            <v>1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1</v>
          </cell>
          <cell r="W4541">
            <v>0</v>
          </cell>
          <cell r="X4541">
            <v>0</v>
          </cell>
          <cell r="Y4541">
            <v>0</v>
          </cell>
        </row>
        <row r="4542">
          <cell r="D4542">
            <v>303331</v>
          </cell>
          <cell r="E4542" t="str">
            <v>Naval School of Fisheries</v>
          </cell>
          <cell r="F4542">
            <v>1</v>
          </cell>
          <cell r="G4542">
            <v>1</v>
          </cell>
          <cell r="H4542">
            <v>1</v>
          </cell>
          <cell r="I4542">
            <v>1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43804</v>
          </cell>
          <cell r="Q4542">
            <v>1</v>
          </cell>
          <cell r="R4542">
            <v>0</v>
          </cell>
          <cell r="S4542">
            <v>0</v>
          </cell>
          <cell r="T4542">
            <v>1</v>
          </cell>
          <cell r="U4542">
            <v>0</v>
          </cell>
          <cell r="V4542">
            <v>1</v>
          </cell>
          <cell r="W4542">
            <v>0</v>
          </cell>
          <cell r="X4542">
            <v>0</v>
          </cell>
          <cell r="Y4542">
            <v>0</v>
          </cell>
        </row>
        <row r="4543">
          <cell r="D4543">
            <v>313320</v>
          </cell>
          <cell r="E4543" t="str">
            <v>Buli National High School</v>
          </cell>
          <cell r="F4543">
            <v>1</v>
          </cell>
          <cell r="G4543">
            <v>1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</row>
        <row r="4544">
          <cell r="D4544">
            <v>313334</v>
          </cell>
          <cell r="E4544" t="str">
            <v>Putingbato, Cangag, Canandan, Consolacion St. Filomena National High School</v>
          </cell>
          <cell r="F4544">
            <v>1</v>
          </cell>
          <cell r="G4544">
            <v>1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</row>
        <row r="4545">
          <cell r="D4545">
            <v>303485</v>
          </cell>
          <cell r="E4545" t="str">
            <v>San Roque National High School</v>
          </cell>
          <cell r="F4545">
            <v>1</v>
          </cell>
          <cell r="G4545">
            <v>0</v>
          </cell>
          <cell r="H4545">
            <v>1</v>
          </cell>
          <cell r="I4545">
            <v>0</v>
          </cell>
          <cell r="J4545">
            <v>1</v>
          </cell>
          <cell r="K4545">
            <v>0</v>
          </cell>
          <cell r="L4545">
            <v>0</v>
          </cell>
          <cell r="M4545">
            <v>0</v>
          </cell>
          <cell r="N4545">
            <v>1</v>
          </cell>
          <cell r="O4545">
            <v>0</v>
          </cell>
          <cell r="P4545">
            <v>0</v>
          </cell>
          <cell r="Q4545">
            <v>0</v>
          </cell>
          <cell r="R4545">
            <v>1</v>
          </cell>
          <cell r="S4545">
            <v>0</v>
          </cell>
          <cell r="T4545">
            <v>0</v>
          </cell>
          <cell r="U4545">
            <v>0</v>
          </cell>
          <cell r="V4545">
            <v>1</v>
          </cell>
          <cell r="W4545">
            <v>2</v>
          </cell>
          <cell r="X4545">
            <v>0</v>
          </cell>
          <cell r="Y4545">
            <v>0</v>
          </cell>
        </row>
        <row r="4546">
          <cell r="D4546">
            <v>303593</v>
          </cell>
          <cell r="E4546" t="str">
            <v>Burgos IS</v>
          </cell>
          <cell r="F4546">
            <v>1</v>
          </cell>
          <cell r="G4546">
            <v>1</v>
          </cell>
          <cell r="H4546">
            <v>1</v>
          </cell>
          <cell r="I4546">
            <v>0</v>
          </cell>
          <cell r="J4546">
            <v>1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</row>
        <row r="4547">
          <cell r="D4547">
            <v>313616</v>
          </cell>
          <cell r="E4547" t="str">
            <v>San Miguel National High School</v>
          </cell>
          <cell r="F4547">
            <v>0</v>
          </cell>
          <cell r="G4547">
            <v>0</v>
          </cell>
          <cell r="H4547">
            <v>1</v>
          </cell>
          <cell r="I4547">
            <v>0</v>
          </cell>
          <cell r="J4547">
            <v>1</v>
          </cell>
          <cell r="K4547">
            <v>0</v>
          </cell>
          <cell r="L4547">
            <v>0</v>
          </cell>
          <cell r="M4547">
            <v>0</v>
          </cell>
          <cell r="N4547">
            <v>1</v>
          </cell>
          <cell r="O4547" t="str">
            <v>10/22/2019</v>
          </cell>
          <cell r="P4547" t="str">
            <v>10/22/2019</v>
          </cell>
          <cell r="Q4547">
            <v>0</v>
          </cell>
          <cell r="R4547">
            <v>1</v>
          </cell>
          <cell r="S4547">
            <v>0</v>
          </cell>
          <cell r="T4547">
            <v>0</v>
          </cell>
          <cell r="U4547">
            <v>0</v>
          </cell>
          <cell r="V4547">
            <v>1</v>
          </cell>
          <cell r="W4547">
            <v>12</v>
          </cell>
          <cell r="X4547">
            <v>0</v>
          </cell>
          <cell r="Y4547">
            <v>0</v>
          </cell>
        </row>
        <row r="4548">
          <cell r="D4548">
            <v>313722</v>
          </cell>
          <cell r="E4548" t="str">
            <v>Majacob Integrated School</v>
          </cell>
          <cell r="F4548">
            <v>1</v>
          </cell>
          <cell r="G4548">
            <v>1</v>
          </cell>
          <cell r="H4548">
            <v>1</v>
          </cell>
          <cell r="I4548">
            <v>0</v>
          </cell>
          <cell r="J4548">
            <v>1</v>
          </cell>
          <cell r="K4548">
            <v>0</v>
          </cell>
          <cell r="L4548">
            <v>0</v>
          </cell>
          <cell r="M4548">
            <v>0</v>
          </cell>
          <cell r="N4548">
            <v>1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1</v>
          </cell>
          <cell r="W4548">
            <v>0</v>
          </cell>
          <cell r="X4548">
            <v>0</v>
          </cell>
          <cell r="Y4548">
            <v>0</v>
          </cell>
        </row>
        <row r="4549">
          <cell r="D4549">
            <v>303633</v>
          </cell>
          <cell r="E4549" t="str">
            <v>Tagapul-an NHS</v>
          </cell>
          <cell r="F4549">
            <v>1</v>
          </cell>
          <cell r="G4549">
            <v>1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</row>
        <row r="4550">
          <cell r="D4550">
            <v>303603</v>
          </cell>
          <cell r="E4550" t="str">
            <v>Sua NHS</v>
          </cell>
          <cell r="F4550">
            <v>1</v>
          </cell>
          <cell r="G4550">
            <v>1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</row>
        <row r="4551">
          <cell r="D4551">
            <v>313619</v>
          </cell>
          <cell r="E4551" t="str">
            <v>Romualdo T. Vicencio National High School</v>
          </cell>
          <cell r="F4551">
            <v>1</v>
          </cell>
          <cell r="G4551">
            <v>0</v>
          </cell>
          <cell r="H4551">
            <v>1</v>
          </cell>
          <cell r="I4551">
            <v>0</v>
          </cell>
          <cell r="J4551">
            <v>0</v>
          </cell>
          <cell r="K4551">
            <v>1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</row>
        <row r="4552">
          <cell r="D4552">
            <v>303366</v>
          </cell>
          <cell r="E4552" t="str">
            <v>Damulaan National High School</v>
          </cell>
          <cell r="F4552">
            <v>1</v>
          </cell>
          <cell r="G4552">
            <v>0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</row>
        <row r="4553">
          <cell r="D4553">
            <v>313705</v>
          </cell>
          <cell r="E4553" t="str">
            <v>Rizal Integrated School</v>
          </cell>
          <cell r="F4553">
            <v>1</v>
          </cell>
          <cell r="G4553">
            <v>0</v>
          </cell>
          <cell r="H4553">
            <v>1</v>
          </cell>
          <cell r="I4553">
            <v>0</v>
          </cell>
          <cell r="J4553">
            <v>0</v>
          </cell>
          <cell r="K4553">
            <v>1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</row>
        <row r="4554">
          <cell r="D4554">
            <v>313302</v>
          </cell>
          <cell r="E4554" t="str">
            <v>Isabel National Comprehensive High School</v>
          </cell>
          <cell r="F4554">
            <v>1</v>
          </cell>
          <cell r="G4554">
            <v>0</v>
          </cell>
          <cell r="H4554">
            <v>1</v>
          </cell>
          <cell r="I4554">
            <v>0</v>
          </cell>
          <cell r="J4554">
            <v>1</v>
          </cell>
          <cell r="K4554">
            <v>0</v>
          </cell>
          <cell r="L4554">
            <v>0</v>
          </cell>
          <cell r="M4554">
            <v>0</v>
          </cell>
          <cell r="N4554">
            <v>1</v>
          </cell>
          <cell r="O4554">
            <v>43778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8</v>
          </cell>
          <cell r="X4554">
            <v>1</v>
          </cell>
          <cell r="Y4554">
            <v>0</v>
          </cell>
        </row>
        <row r="4555">
          <cell r="D4555">
            <v>303596</v>
          </cell>
          <cell r="E4555" t="str">
            <v>Calapi NHS</v>
          </cell>
          <cell r="F4555">
            <v>0</v>
          </cell>
          <cell r="G4555">
            <v>0</v>
          </cell>
          <cell r="H4555">
            <v>1</v>
          </cell>
          <cell r="I4555">
            <v>0</v>
          </cell>
          <cell r="J4555">
            <v>1</v>
          </cell>
          <cell r="K4555">
            <v>0</v>
          </cell>
          <cell r="L4555">
            <v>0</v>
          </cell>
          <cell r="M4555">
            <v>0</v>
          </cell>
          <cell r="N4555">
            <v>1</v>
          </cell>
          <cell r="O4555">
            <v>0</v>
          </cell>
          <cell r="P4555" t="str">
            <v>November 07, 2019</v>
          </cell>
          <cell r="Q4555">
            <v>0</v>
          </cell>
          <cell r="R4555">
            <v>1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</row>
        <row r="4556">
          <cell r="D4556">
            <v>313344</v>
          </cell>
          <cell r="E4556" t="str">
            <v>Manlilisid National High School</v>
          </cell>
          <cell r="F4556">
            <v>1</v>
          </cell>
          <cell r="G4556">
            <v>0</v>
          </cell>
          <cell r="H4556">
            <v>1</v>
          </cell>
          <cell r="I4556">
            <v>1</v>
          </cell>
          <cell r="J4556">
            <v>0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</row>
        <row r="4557">
          <cell r="D4557">
            <v>303626</v>
          </cell>
          <cell r="E4557" t="str">
            <v>San Jose de Buan NHS</v>
          </cell>
          <cell r="F4557">
            <v>1</v>
          </cell>
          <cell r="G4557">
            <v>1</v>
          </cell>
          <cell r="H4557">
            <v>1</v>
          </cell>
          <cell r="I4557">
            <v>0</v>
          </cell>
          <cell r="J4557">
            <v>1</v>
          </cell>
          <cell r="K4557">
            <v>0</v>
          </cell>
          <cell r="L4557">
            <v>1</v>
          </cell>
          <cell r="M4557" t="str">
            <v>As the needs arises</v>
          </cell>
          <cell r="N4557">
            <v>1</v>
          </cell>
          <cell r="O4557">
            <v>43700</v>
          </cell>
          <cell r="P4557">
            <v>43717</v>
          </cell>
          <cell r="Q4557">
            <v>0</v>
          </cell>
          <cell r="R4557">
            <v>1</v>
          </cell>
          <cell r="S4557">
            <v>0</v>
          </cell>
          <cell r="T4557">
            <v>0</v>
          </cell>
          <cell r="U4557">
            <v>0</v>
          </cell>
          <cell r="V4557">
            <v>1</v>
          </cell>
          <cell r="W4557">
            <v>0</v>
          </cell>
          <cell r="X4557">
            <v>0</v>
          </cell>
          <cell r="Y4557">
            <v>0</v>
          </cell>
        </row>
        <row r="4558">
          <cell r="D4558">
            <v>313703</v>
          </cell>
          <cell r="E4558" t="str">
            <v>Cabunga-an IS</v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</row>
        <row r="4559">
          <cell r="D4559">
            <v>303591</v>
          </cell>
          <cell r="E4559" t="str">
            <v>Baras NHS</v>
          </cell>
          <cell r="F4559">
            <v>1</v>
          </cell>
          <cell r="G4559">
            <v>0</v>
          </cell>
          <cell r="H4559">
            <v>1</v>
          </cell>
          <cell r="I4559">
            <v>0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</row>
        <row r="4560">
          <cell r="D4560">
            <v>303487</v>
          </cell>
          <cell r="E4560" t="str">
            <v>Sogod National High School</v>
          </cell>
          <cell r="F4560">
            <v>1</v>
          </cell>
          <cell r="G4560">
            <v>1</v>
          </cell>
          <cell r="H4560">
            <v>1</v>
          </cell>
          <cell r="I4560">
            <v>0</v>
          </cell>
          <cell r="J4560">
            <v>1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1</v>
          </cell>
          <cell r="S4560">
            <v>0</v>
          </cell>
          <cell r="T4560">
            <v>0</v>
          </cell>
          <cell r="U4560">
            <v>0</v>
          </cell>
          <cell r="V4560">
            <v>1</v>
          </cell>
          <cell r="W4560">
            <v>3</v>
          </cell>
          <cell r="X4560">
            <v>0</v>
          </cell>
          <cell r="Y4560">
            <v>0</v>
          </cell>
        </row>
        <row r="4561">
          <cell r="D4561">
            <v>313317</v>
          </cell>
          <cell r="E4561" t="str">
            <v>Felix Caneja Lafuente National High School</v>
          </cell>
          <cell r="F4561">
            <v>1</v>
          </cell>
          <cell r="G4561">
            <v>0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</row>
        <row r="4562">
          <cell r="D4562">
            <v>313727</v>
          </cell>
          <cell r="E4562" t="str">
            <v>Mabini NHS</v>
          </cell>
          <cell r="F4562">
            <v>1</v>
          </cell>
          <cell r="G4562">
            <v>1</v>
          </cell>
          <cell r="H4562">
            <v>1</v>
          </cell>
          <cell r="I4562">
            <v>0</v>
          </cell>
          <cell r="J4562">
            <v>1</v>
          </cell>
          <cell r="K4562">
            <v>0</v>
          </cell>
          <cell r="L4562">
            <v>0</v>
          </cell>
          <cell r="M4562">
            <v>0</v>
          </cell>
          <cell r="N4562">
            <v>1</v>
          </cell>
          <cell r="O4562">
            <v>0</v>
          </cell>
          <cell r="P4562">
            <v>43474</v>
          </cell>
          <cell r="Q4562">
            <v>0</v>
          </cell>
          <cell r="R4562">
            <v>1</v>
          </cell>
          <cell r="S4562">
            <v>0</v>
          </cell>
          <cell r="T4562">
            <v>0</v>
          </cell>
          <cell r="U4562">
            <v>0</v>
          </cell>
          <cell r="V4562">
            <v>1</v>
          </cell>
          <cell r="W4562">
            <v>0</v>
          </cell>
          <cell r="X4562">
            <v>0</v>
          </cell>
          <cell r="Y4562">
            <v>0</v>
          </cell>
        </row>
        <row r="4563">
          <cell r="D4563">
            <v>303414</v>
          </cell>
          <cell r="E4563" t="str">
            <v>Palale National High School</v>
          </cell>
          <cell r="F4563">
            <v>0</v>
          </cell>
          <cell r="G4563">
            <v>0</v>
          </cell>
          <cell r="H4563">
            <v>1</v>
          </cell>
          <cell r="I4563">
            <v>0</v>
          </cell>
          <cell r="J4563">
            <v>1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1</v>
          </cell>
          <cell r="T4563">
            <v>0</v>
          </cell>
          <cell r="U4563">
            <v>0</v>
          </cell>
          <cell r="V4563">
            <v>1</v>
          </cell>
          <cell r="W4563">
            <v>0</v>
          </cell>
          <cell r="X4563">
            <v>0</v>
          </cell>
          <cell r="Y4563">
            <v>0</v>
          </cell>
        </row>
        <row r="4564">
          <cell r="D4564">
            <v>303629</v>
          </cell>
          <cell r="E4564" t="str">
            <v>Sta. Margarita NHS</v>
          </cell>
          <cell r="F4564">
            <v>0</v>
          </cell>
          <cell r="G4564">
            <v>0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9</v>
          </cell>
          <cell r="X4564">
            <v>8</v>
          </cell>
          <cell r="Y4564">
            <v>8</v>
          </cell>
        </row>
        <row r="4565">
          <cell r="D4565">
            <v>303475</v>
          </cell>
          <cell r="E4565" t="str">
            <v>Paku NHS</v>
          </cell>
          <cell r="F4565">
            <v>0</v>
          </cell>
          <cell r="G4565">
            <v>0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 t="str">
            <v>n/a</v>
          </cell>
          <cell r="P4565" t="str">
            <v>n/a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</row>
        <row r="4566">
          <cell r="D4566">
            <v>313340</v>
          </cell>
          <cell r="E4566" t="str">
            <v>Rafaelito Cabanas Martinez National High School</v>
          </cell>
          <cell r="F4566">
            <v>1</v>
          </cell>
          <cell r="G4566">
            <v>1</v>
          </cell>
          <cell r="H4566">
            <v>1</v>
          </cell>
          <cell r="I4566">
            <v>0</v>
          </cell>
          <cell r="J4566">
            <v>1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1</v>
          </cell>
          <cell r="S4566">
            <v>0</v>
          </cell>
          <cell r="T4566">
            <v>0</v>
          </cell>
          <cell r="U4566">
            <v>0</v>
          </cell>
          <cell r="V4566">
            <v>1</v>
          </cell>
          <cell r="W4566">
            <v>0</v>
          </cell>
          <cell r="X4566">
            <v>0</v>
          </cell>
          <cell r="Y4566">
            <v>0</v>
          </cell>
        </row>
        <row r="4567">
          <cell r="D4567">
            <v>330503</v>
          </cell>
          <cell r="E4567" t="str">
            <v>V&amp;G National High School</v>
          </cell>
          <cell r="F4567">
            <v>1</v>
          </cell>
          <cell r="G4567">
            <v>1</v>
          </cell>
          <cell r="H4567">
            <v>1</v>
          </cell>
          <cell r="I4567">
            <v>0</v>
          </cell>
          <cell r="J4567">
            <v>1</v>
          </cell>
          <cell r="K4567">
            <v>0</v>
          </cell>
          <cell r="L4567">
            <v>0</v>
          </cell>
          <cell r="M4567">
            <v>0</v>
          </cell>
          <cell r="N4567">
            <v>1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</row>
        <row r="4568">
          <cell r="D4568">
            <v>303632</v>
          </cell>
          <cell r="E4568" t="str">
            <v>Sto. Nino NHS</v>
          </cell>
          <cell r="F4568">
            <v>1</v>
          </cell>
          <cell r="G4568">
            <v>1</v>
          </cell>
          <cell r="H4568">
            <v>1</v>
          </cell>
          <cell r="I4568">
            <v>0</v>
          </cell>
          <cell r="J4568">
            <v>1</v>
          </cell>
          <cell r="K4568">
            <v>0</v>
          </cell>
          <cell r="L4568">
            <v>0</v>
          </cell>
          <cell r="M4568">
            <v>0</v>
          </cell>
          <cell r="N4568">
            <v>1</v>
          </cell>
          <cell r="O4568">
            <v>43739</v>
          </cell>
          <cell r="P4568">
            <v>43739</v>
          </cell>
          <cell r="Q4568">
            <v>0</v>
          </cell>
          <cell r="R4568">
            <v>1</v>
          </cell>
          <cell r="S4568">
            <v>0</v>
          </cell>
          <cell r="T4568">
            <v>0</v>
          </cell>
          <cell r="U4568">
            <v>0</v>
          </cell>
          <cell r="V4568">
            <v>1</v>
          </cell>
          <cell r="W4568">
            <v>2</v>
          </cell>
          <cell r="X4568">
            <v>2</v>
          </cell>
          <cell r="Y4568">
            <v>2</v>
          </cell>
        </row>
        <row r="4569">
          <cell r="D4569">
            <v>303598</v>
          </cell>
          <cell r="E4569" t="str">
            <v>Casandig NHS</v>
          </cell>
          <cell r="F4569">
            <v>0</v>
          </cell>
          <cell r="G4569">
            <v>0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</row>
        <row r="4570">
          <cell r="D4570">
            <v>303385</v>
          </cell>
          <cell r="E4570" t="str">
            <v>Kikilo National High School</v>
          </cell>
          <cell r="F4570">
            <v>1</v>
          </cell>
          <cell r="G4570">
            <v>1</v>
          </cell>
          <cell r="H4570">
            <v>1</v>
          </cell>
          <cell r="I4570">
            <v>0</v>
          </cell>
          <cell r="J4570">
            <v>1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</row>
        <row r="4571">
          <cell r="D4571">
            <v>303616</v>
          </cell>
          <cell r="E4571" t="str">
            <v>Parasan NHS</v>
          </cell>
          <cell r="F4571">
            <v>0</v>
          </cell>
          <cell r="G4571">
            <v>0</v>
          </cell>
          <cell r="H4571">
            <v>0</v>
          </cell>
          <cell r="I4571">
            <v>1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1</v>
          </cell>
          <cell r="X4571">
            <v>0</v>
          </cell>
          <cell r="Y4571">
            <v>0</v>
          </cell>
        </row>
        <row r="4572">
          <cell r="D4572">
            <v>303480</v>
          </cell>
          <cell r="E4572" t="str">
            <v>San Isidro NHS</v>
          </cell>
          <cell r="F4572">
            <v>1</v>
          </cell>
          <cell r="G4572">
            <v>1</v>
          </cell>
          <cell r="H4572">
            <v>1</v>
          </cell>
          <cell r="I4572">
            <v>0</v>
          </cell>
          <cell r="J4572">
            <v>0</v>
          </cell>
          <cell r="K4572">
            <v>1</v>
          </cell>
          <cell r="L4572">
            <v>0</v>
          </cell>
          <cell r="M4572">
            <v>0</v>
          </cell>
          <cell r="N4572">
            <v>1</v>
          </cell>
          <cell r="O4572" t="str">
            <v>July 29,2019</v>
          </cell>
          <cell r="P4572">
            <v>0</v>
          </cell>
          <cell r="Q4572">
            <v>0</v>
          </cell>
          <cell r="R4572">
            <v>0</v>
          </cell>
          <cell r="S4572">
            <v>1</v>
          </cell>
          <cell r="T4572">
            <v>0</v>
          </cell>
          <cell r="U4572">
            <v>0</v>
          </cell>
          <cell r="V4572">
            <v>1</v>
          </cell>
          <cell r="W4572">
            <v>1</v>
          </cell>
          <cell r="X4572">
            <v>0</v>
          </cell>
          <cell r="Y4572">
            <v>0</v>
          </cell>
        </row>
        <row r="4573">
          <cell r="D4573">
            <v>303350</v>
          </cell>
          <cell r="E4573" t="str">
            <v>Bontoc Senior High School</v>
          </cell>
          <cell r="F4573">
            <v>1</v>
          </cell>
          <cell r="G4573">
            <v>0</v>
          </cell>
          <cell r="H4573">
            <v>1</v>
          </cell>
          <cell r="I4573">
            <v>0</v>
          </cell>
          <cell r="J4573">
            <v>1</v>
          </cell>
          <cell r="K4573">
            <v>0</v>
          </cell>
          <cell r="L4573">
            <v>0</v>
          </cell>
          <cell r="M4573">
            <v>0</v>
          </cell>
          <cell r="N4573">
            <v>1</v>
          </cell>
          <cell r="O4573">
            <v>43739</v>
          </cell>
          <cell r="P4573">
            <v>43812</v>
          </cell>
          <cell r="Q4573">
            <v>0</v>
          </cell>
          <cell r="R4573">
            <v>0</v>
          </cell>
          <cell r="S4573">
            <v>0</v>
          </cell>
          <cell r="T4573">
            <v>1</v>
          </cell>
          <cell r="U4573" t="str">
            <v>DAILY</v>
          </cell>
          <cell r="V4573">
            <v>1</v>
          </cell>
          <cell r="W4573">
            <v>0</v>
          </cell>
          <cell r="X4573">
            <v>0</v>
          </cell>
          <cell r="Y4573">
            <v>0</v>
          </cell>
        </row>
        <row r="4574">
          <cell r="D4574">
            <v>313201</v>
          </cell>
          <cell r="E4574" t="str">
            <v>Western Biliran High School for the Arts and Culture</v>
          </cell>
          <cell r="F4574">
            <v>0</v>
          </cell>
          <cell r="G4574">
            <v>0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</row>
        <row r="4575">
          <cell r="D4575">
            <v>313327</v>
          </cell>
          <cell r="E4575" t="str">
            <v>Rizal National High School</v>
          </cell>
          <cell r="F4575">
            <v>0</v>
          </cell>
          <cell r="G4575">
            <v>1</v>
          </cell>
          <cell r="H4575">
            <v>1</v>
          </cell>
          <cell r="I4575">
            <v>0</v>
          </cell>
          <cell r="J4575">
            <v>0</v>
          </cell>
          <cell r="K4575">
            <v>1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1</v>
          </cell>
          <cell r="T4575">
            <v>0</v>
          </cell>
          <cell r="U4575">
            <v>0</v>
          </cell>
          <cell r="V4575">
            <v>1</v>
          </cell>
          <cell r="W4575">
            <v>0</v>
          </cell>
          <cell r="X4575">
            <v>0</v>
          </cell>
          <cell r="Y4575">
            <v>0</v>
          </cell>
        </row>
        <row r="4576">
          <cell r="D4576">
            <v>305521</v>
          </cell>
          <cell r="E4576" t="str">
            <v>Seguinon Stand Alone Senior High School</v>
          </cell>
          <cell r="F4576">
            <v>1</v>
          </cell>
          <cell r="G4576">
            <v>0</v>
          </cell>
          <cell r="H4576">
            <v>1</v>
          </cell>
          <cell r="I4576">
            <v>0</v>
          </cell>
          <cell r="J4576">
            <v>0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</row>
        <row r="4577">
          <cell r="D4577">
            <v>313306</v>
          </cell>
          <cell r="E4577" t="str">
            <v>Palompon National High School</v>
          </cell>
          <cell r="F4577">
            <v>1</v>
          </cell>
          <cell r="G4577">
            <v>0</v>
          </cell>
          <cell r="H4577">
            <v>1</v>
          </cell>
          <cell r="I4577">
            <v>0</v>
          </cell>
          <cell r="J4577">
            <v>0</v>
          </cell>
          <cell r="K4577">
            <v>1</v>
          </cell>
          <cell r="L4577">
            <v>0</v>
          </cell>
          <cell r="M4577">
            <v>0</v>
          </cell>
          <cell r="N4577">
            <v>1</v>
          </cell>
          <cell r="O4577">
            <v>0</v>
          </cell>
          <cell r="P4577">
            <v>0</v>
          </cell>
          <cell r="Q4577">
            <v>0</v>
          </cell>
          <cell r="R4577">
            <v>1</v>
          </cell>
          <cell r="S4577">
            <v>0</v>
          </cell>
          <cell r="T4577">
            <v>0</v>
          </cell>
          <cell r="U4577">
            <v>0</v>
          </cell>
          <cell r="V4577">
            <v>1</v>
          </cell>
          <cell r="W4577">
            <v>0</v>
          </cell>
          <cell r="X4577">
            <v>0</v>
          </cell>
          <cell r="Y4577">
            <v>0</v>
          </cell>
        </row>
        <row r="4578">
          <cell r="D4578">
            <v>313624</v>
          </cell>
          <cell r="E4578" t="str">
            <v>Oleras NHS</v>
          </cell>
          <cell r="F4578">
            <v>1</v>
          </cell>
          <cell r="G4578">
            <v>0</v>
          </cell>
          <cell r="H4578">
            <v>1</v>
          </cell>
          <cell r="I4578">
            <v>0</v>
          </cell>
          <cell r="J4578">
            <v>1</v>
          </cell>
          <cell r="K4578">
            <v>0</v>
          </cell>
          <cell r="L4578">
            <v>0</v>
          </cell>
          <cell r="M4578">
            <v>0</v>
          </cell>
          <cell r="N4578">
            <v>1</v>
          </cell>
          <cell r="O4578">
            <v>43525</v>
          </cell>
          <cell r="P4578">
            <v>43739</v>
          </cell>
          <cell r="Q4578">
            <v>1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1</v>
          </cell>
          <cell r="W4578">
            <v>1</v>
          </cell>
          <cell r="X4578">
            <v>1</v>
          </cell>
          <cell r="Y4578">
            <v>1</v>
          </cell>
        </row>
        <row r="4579">
          <cell r="D4579">
            <v>303637</v>
          </cell>
          <cell r="E4579" t="str">
            <v>Valeriano C. Yancha MAS</v>
          </cell>
          <cell r="F4579">
            <v>1</v>
          </cell>
          <cell r="G4579">
            <v>1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</row>
        <row r="4580">
          <cell r="D4580">
            <v>303345</v>
          </cell>
          <cell r="E4580" t="str">
            <v>Balugo National High School</v>
          </cell>
          <cell r="F4580">
            <v>0</v>
          </cell>
          <cell r="G4580">
            <v>0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</row>
        <row r="4581">
          <cell r="D4581">
            <v>303431</v>
          </cell>
          <cell r="E4581" t="str">
            <v>Sta. Margarita National High School</v>
          </cell>
          <cell r="F4581">
            <v>1</v>
          </cell>
          <cell r="G4581">
            <v>1</v>
          </cell>
          <cell r="H4581">
            <v>1</v>
          </cell>
          <cell r="I4581">
            <v>0</v>
          </cell>
          <cell r="J4581">
            <v>0</v>
          </cell>
          <cell r="K4581">
            <v>0</v>
          </cell>
          <cell r="L4581">
            <v>1</v>
          </cell>
          <cell r="M4581" t="str">
            <v>as needed</v>
          </cell>
          <cell r="N4581">
            <v>1</v>
          </cell>
          <cell r="O4581">
            <v>0</v>
          </cell>
          <cell r="P4581">
            <v>43508</v>
          </cell>
          <cell r="Q4581">
            <v>1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1</v>
          </cell>
          <cell r="W4581">
            <v>0</v>
          </cell>
          <cell r="X4581">
            <v>0</v>
          </cell>
          <cell r="Y4581">
            <v>0</v>
          </cell>
        </row>
        <row r="4582">
          <cell r="D4582">
            <v>303383</v>
          </cell>
          <cell r="E4582" t="str">
            <v>Kananga National High School - Main</v>
          </cell>
          <cell r="F4582">
            <v>0</v>
          </cell>
          <cell r="G4582">
            <v>0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</row>
        <row r="4583">
          <cell r="D4583">
            <v>303610</v>
          </cell>
          <cell r="E4583" t="str">
            <v>Lawaan NHS</v>
          </cell>
          <cell r="F4583">
            <v>0</v>
          </cell>
          <cell r="G4583">
            <v>0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</row>
        <row r="4584">
          <cell r="D4584">
            <v>303567</v>
          </cell>
          <cell r="E4584" t="str">
            <v>Mongolbongol NHS</v>
          </cell>
          <cell r="F4584">
            <v>0</v>
          </cell>
          <cell r="G4584">
            <v>0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</row>
        <row r="4585">
          <cell r="D4585">
            <v>303575</v>
          </cell>
          <cell r="E4585" t="str">
            <v>San Antonio Agricultural &amp; Vocational Sch.</v>
          </cell>
          <cell r="F4585">
            <v>1</v>
          </cell>
          <cell r="G4585">
            <v>1</v>
          </cell>
          <cell r="H4585">
            <v>1</v>
          </cell>
          <cell r="I4585">
            <v>0</v>
          </cell>
          <cell r="J4585">
            <v>1</v>
          </cell>
          <cell r="K4585">
            <v>0</v>
          </cell>
          <cell r="L4585">
            <v>0</v>
          </cell>
          <cell r="M4585">
            <v>0</v>
          </cell>
          <cell r="N4585">
            <v>1</v>
          </cell>
          <cell r="O4585">
            <v>0</v>
          </cell>
          <cell r="P4585">
            <v>0</v>
          </cell>
          <cell r="Q4585">
            <v>1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1</v>
          </cell>
          <cell r="W4585">
            <v>0</v>
          </cell>
          <cell r="X4585">
            <v>0</v>
          </cell>
          <cell r="Y4585">
            <v>0</v>
          </cell>
        </row>
        <row r="4586">
          <cell r="D4586">
            <v>303667</v>
          </cell>
          <cell r="E4586" t="str">
            <v>San Jose National High School</v>
          </cell>
          <cell r="F4586">
            <v>1</v>
          </cell>
          <cell r="G4586">
            <v>0</v>
          </cell>
          <cell r="H4586">
            <v>1</v>
          </cell>
          <cell r="I4586">
            <v>0</v>
          </cell>
          <cell r="J4586">
            <v>0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</row>
        <row r="4587">
          <cell r="D4587">
            <v>303553</v>
          </cell>
          <cell r="E4587" t="str">
            <v>Bangon NHS</v>
          </cell>
          <cell r="F4587">
            <v>1</v>
          </cell>
          <cell r="G4587">
            <v>1</v>
          </cell>
          <cell r="H4587">
            <v>1</v>
          </cell>
          <cell r="I4587">
            <v>0</v>
          </cell>
          <cell r="J4587">
            <v>1</v>
          </cell>
          <cell r="K4587">
            <v>0</v>
          </cell>
          <cell r="L4587">
            <v>0</v>
          </cell>
          <cell r="M4587">
            <v>0</v>
          </cell>
          <cell r="N4587">
            <v>1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1</v>
          </cell>
          <cell r="T4587">
            <v>0</v>
          </cell>
          <cell r="U4587">
            <v>0</v>
          </cell>
          <cell r="V4587">
            <v>1</v>
          </cell>
          <cell r="W4587">
            <v>0</v>
          </cell>
          <cell r="X4587">
            <v>0</v>
          </cell>
          <cell r="Y4587">
            <v>0</v>
          </cell>
        </row>
        <row r="4588">
          <cell r="D4588">
            <v>344946</v>
          </cell>
          <cell r="E4588" t="str">
            <v>Lope de Vega NHS (Stand Alone)</v>
          </cell>
          <cell r="F4588">
            <v>1</v>
          </cell>
          <cell r="G4588">
            <v>0</v>
          </cell>
          <cell r="H4588">
            <v>1</v>
          </cell>
          <cell r="I4588">
            <v>0</v>
          </cell>
          <cell r="J4588">
            <v>1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1</v>
          </cell>
          <cell r="U4588" t="str">
            <v>SEMESTRAL</v>
          </cell>
          <cell r="V4588">
            <v>0</v>
          </cell>
          <cell r="W4588">
            <v>6</v>
          </cell>
          <cell r="X4588">
            <v>6</v>
          </cell>
          <cell r="Y4588">
            <v>6</v>
          </cell>
        </row>
        <row r="4589">
          <cell r="D4589">
            <v>303537</v>
          </cell>
          <cell r="E4589" t="str">
            <v>Cabacungan NHS</v>
          </cell>
          <cell r="F4589">
            <v>0</v>
          </cell>
          <cell r="G4589">
            <v>0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</row>
        <row r="4590">
          <cell r="D4590">
            <v>303613</v>
          </cell>
          <cell r="E4590" t="str">
            <v>Motiong NHS</v>
          </cell>
          <cell r="F4590">
            <v>1</v>
          </cell>
          <cell r="G4590">
            <v>1</v>
          </cell>
          <cell r="H4590">
            <v>1</v>
          </cell>
          <cell r="I4590">
            <v>0</v>
          </cell>
          <cell r="J4590">
            <v>1</v>
          </cell>
          <cell r="K4590">
            <v>0</v>
          </cell>
          <cell r="L4590">
            <v>0</v>
          </cell>
          <cell r="M4590">
            <v>0</v>
          </cell>
          <cell r="N4590">
            <v>1</v>
          </cell>
          <cell r="O4590">
            <v>43643</v>
          </cell>
          <cell r="P4590">
            <v>43789</v>
          </cell>
          <cell r="Q4590">
            <v>0</v>
          </cell>
          <cell r="R4590">
            <v>1</v>
          </cell>
          <cell r="S4590">
            <v>0</v>
          </cell>
          <cell r="T4590">
            <v>0</v>
          </cell>
          <cell r="U4590">
            <v>0</v>
          </cell>
          <cell r="V4590">
            <v>1</v>
          </cell>
          <cell r="W4590">
            <v>0</v>
          </cell>
          <cell r="X4590">
            <v>0</v>
          </cell>
          <cell r="Y4590">
            <v>0</v>
          </cell>
        </row>
        <row r="4591">
          <cell r="D4591">
            <v>303580</v>
          </cell>
          <cell r="E4591" t="str">
            <v>San Jose Technical HS</v>
          </cell>
          <cell r="F4591">
            <v>1</v>
          </cell>
          <cell r="G4591">
            <v>1</v>
          </cell>
          <cell r="H4591">
            <v>1</v>
          </cell>
          <cell r="I4591">
            <v>0</v>
          </cell>
          <cell r="J4591">
            <v>1</v>
          </cell>
          <cell r="K4591">
            <v>0</v>
          </cell>
          <cell r="L4591">
            <v>0</v>
          </cell>
          <cell r="M4591">
            <v>0</v>
          </cell>
          <cell r="N4591">
            <v>1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</row>
        <row r="4592">
          <cell r="D4592">
            <v>303530</v>
          </cell>
          <cell r="E4592" t="str">
            <v>Alegria NHS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</row>
        <row r="4593">
          <cell r="D4593">
            <v>303577</v>
          </cell>
          <cell r="E4593" t="str">
            <v>San Isidro Agro-Industrial High School</v>
          </cell>
          <cell r="F4593">
            <v>1</v>
          </cell>
          <cell r="G4593">
            <v>1</v>
          </cell>
          <cell r="H4593">
            <v>1</v>
          </cell>
          <cell r="I4593">
            <v>0</v>
          </cell>
          <cell r="J4593">
            <v>1</v>
          </cell>
          <cell r="K4593">
            <v>0</v>
          </cell>
          <cell r="L4593">
            <v>0</v>
          </cell>
          <cell r="M4593">
            <v>0</v>
          </cell>
          <cell r="N4593">
            <v>1</v>
          </cell>
          <cell r="O4593">
            <v>43723</v>
          </cell>
          <cell r="P4593">
            <v>0</v>
          </cell>
          <cell r="Q4593">
            <v>0</v>
          </cell>
          <cell r="R4593">
            <v>1</v>
          </cell>
          <cell r="S4593">
            <v>0</v>
          </cell>
          <cell r="T4593">
            <v>0</v>
          </cell>
          <cell r="U4593">
            <v>0</v>
          </cell>
          <cell r="V4593">
            <v>1</v>
          </cell>
          <cell r="W4593">
            <v>0</v>
          </cell>
          <cell r="X4593">
            <v>0</v>
          </cell>
          <cell r="Y4593">
            <v>0</v>
          </cell>
        </row>
        <row r="4594">
          <cell r="D4594">
            <v>303589</v>
          </cell>
          <cell r="E4594" t="str">
            <v>Bagacay NHS</v>
          </cell>
          <cell r="F4594">
            <v>1</v>
          </cell>
          <cell r="G4594">
            <v>1</v>
          </cell>
          <cell r="H4594">
            <v>0</v>
          </cell>
          <cell r="I4594">
            <v>0</v>
          </cell>
          <cell r="J4594">
            <v>1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</row>
        <row r="4595">
          <cell r="D4595">
            <v>303592</v>
          </cell>
          <cell r="E4595" t="str">
            <v>BASEY NHS</v>
          </cell>
          <cell r="F4595">
            <v>1</v>
          </cell>
          <cell r="G4595">
            <v>0</v>
          </cell>
          <cell r="H4595">
            <v>1</v>
          </cell>
          <cell r="I4595">
            <v>0</v>
          </cell>
          <cell r="J4595">
            <v>1</v>
          </cell>
          <cell r="K4595">
            <v>0</v>
          </cell>
          <cell r="L4595">
            <v>0</v>
          </cell>
          <cell r="M4595">
            <v>0</v>
          </cell>
          <cell r="N4595">
            <v>1</v>
          </cell>
          <cell r="O4595">
            <v>43789</v>
          </cell>
          <cell r="P4595">
            <v>0</v>
          </cell>
          <cell r="Q4595">
            <v>0</v>
          </cell>
          <cell r="R4595">
            <v>0</v>
          </cell>
          <cell r="S4595">
            <v>1</v>
          </cell>
          <cell r="T4595">
            <v>1</v>
          </cell>
          <cell r="U4595">
            <v>43617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</row>
        <row r="4596">
          <cell r="D4596">
            <v>313712</v>
          </cell>
          <cell r="E4596" t="str">
            <v>Piñaplata Integrated School</v>
          </cell>
          <cell r="F4596">
            <v>0</v>
          </cell>
          <cell r="G4596">
            <v>0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</row>
        <row r="4597">
          <cell r="D4597">
            <v>314003</v>
          </cell>
          <cell r="E4597" t="str">
            <v>Antonio Balmes National High School</v>
          </cell>
          <cell r="F4597">
            <v>0</v>
          </cell>
          <cell r="G4597">
            <v>0</v>
          </cell>
          <cell r="H4597">
            <v>1</v>
          </cell>
          <cell r="I4597">
            <v>0</v>
          </cell>
          <cell r="J4597">
            <v>0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 t="str">
            <v>2/22, 2019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1</v>
          </cell>
          <cell r="W4597">
            <v>1</v>
          </cell>
          <cell r="X4597">
            <v>0</v>
          </cell>
          <cell r="Y4597">
            <v>0</v>
          </cell>
        </row>
        <row r="4598">
          <cell r="D4598">
            <v>303634</v>
          </cell>
          <cell r="E4598" t="str">
            <v>Tarangnan NHS</v>
          </cell>
          <cell r="F4598">
            <v>0</v>
          </cell>
          <cell r="G4598">
            <v>0</v>
          </cell>
          <cell r="H4598">
            <v>1</v>
          </cell>
          <cell r="I4598">
            <v>0</v>
          </cell>
          <cell r="J4598">
            <v>1</v>
          </cell>
          <cell r="K4598">
            <v>0</v>
          </cell>
          <cell r="L4598">
            <v>0</v>
          </cell>
          <cell r="M4598">
            <v>0</v>
          </cell>
          <cell r="N4598">
            <v>1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</row>
        <row r="4599">
          <cell r="D4599">
            <v>303595</v>
          </cell>
          <cell r="E4599" t="str">
            <v>Birawan NHS</v>
          </cell>
          <cell r="F4599">
            <v>0</v>
          </cell>
          <cell r="G4599">
            <v>0</v>
          </cell>
          <cell r="H4599">
            <v>0</v>
          </cell>
          <cell r="I4599">
            <v>1</v>
          </cell>
          <cell r="J4599">
            <v>0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</row>
        <row r="4600">
          <cell r="D4600">
            <v>305522</v>
          </cell>
          <cell r="E4600" t="str">
            <v>Matag-ob Stand Alone Senior High School</v>
          </cell>
          <cell r="F4600">
            <v>1</v>
          </cell>
          <cell r="G4600">
            <v>1</v>
          </cell>
          <cell r="H4600">
            <v>1</v>
          </cell>
          <cell r="I4600">
            <v>0</v>
          </cell>
          <cell r="J4600">
            <v>0</v>
          </cell>
          <cell r="K4600">
            <v>0</v>
          </cell>
          <cell r="L4600">
            <v>0</v>
          </cell>
          <cell r="M4600" t="str">
            <v>as needed arise</v>
          </cell>
          <cell r="N4600">
            <v>1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1</v>
          </cell>
          <cell r="W4600">
            <v>1</v>
          </cell>
          <cell r="X4600">
            <v>0</v>
          </cell>
          <cell r="Y4600">
            <v>0</v>
          </cell>
        </row>
        <row r="4601">
          <cell r="D4601">
            <v>303417</v>
          </cell>
          <cell r="E4601" t="str">
            <v>Patoc National High School</v>
          </cell>
          <cell r="F4601">
            <v>0</v>
          </cell>
          <cell r="G4601">
            <v>0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</row>
        <row r="4602">
          <cell r="D4602">
            <v>303548</v>
          </cell>
          <cell r="E4602" t="str">
            <v>Eladio T. Balite Memorial School of Fisheries</v>
          </cell>
          <cell r="F4602">
            <v>1</v>
          </cell>
          <cell r="G4602">
            <v>1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</row>
        <row r="4603">
          <cell r="D4603">
            <v>313314</v>
          </cell>
          <cell r="E4603" t="str">
            <v>Polahongon National High School</v>
          </cell>
          <cell r="F4603">
            <v>0</v>
          </cell>
          <cell r="G4603">
            <v>0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</row>
        <row r="4604">
          <cell r="D4604">
            <v>303539</v>
          </cell>
          <cell r="E4604" t="str">
            <v>Capacujan NHS</v>
          </cell>
          <cell r="F4604">
            <v>1</v>
          </cell>
          <cell r="G4604">
            <v>1</v>
          </cell>
          <cell r="H4604">
            <v>1</v>
          </cell>
          <cell r="I4604">
            <v>0</v>
          </cell>
          <cell r="J4604">
            <v>0</v>
          </cell>
          <cell r="K4604">
            <v>1</v>
          </cell>
          <cell r="L4604">
            <v>0</v>
          </cell>
          <cell r="M4604">
            <v>0</v>
          </cell>
          <cell r="N4604">
            <v>1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1</v>
          </cell>
          <cell r="T4604">
            <v>0</v>
          </cell>
          <cell r="U4604">
            <v>0</v>
          </cell>
          <cell r="V4604">
            <v>1</v>
          </cell>
          <cell r="W4604">
            <v>0</v>
          </cell>
          <cell r="X4604">
            <v>0</v>
          </cell>
          <cell r="Y4604">
            <v>0</v>
          </cell>
        </row>
        <row r="4605">
          <cell r="D4605">
            <v>303581</v>
          </cell>
          <cell r="E4605" t="str">
            <v>San Roque-Pambujan Vocational High School</v>
          </cell>
          <cell r="F4605">
            <v>1</v>
          </cell>
          <cell r="G4605">
            <v>1</v>
          </cell>
          <cell r="H4605">
            <v>1</v>
          </cell>
          <cell r="I4605">
            <v>0</v>
          </cell>
          <cell r="J4605">
            <v>0</v>
          </cell>
          <cell r="K4605">
            <v>0</v>
          </cell>
          <cell r="L4605">
            <v>1</v>
          </cell>
          <cell r="M4605" t="str">
            <v>As required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</row>
        <row r="4606">
          <cell r="D4606">
            <v>303582</v>
          </cell>
          <cell r="E4606" t="str">
            <v>San Vicente School of Fisheries</v>
          </cell>
          <cell r="F4606">
            <v>1</v>
          </cell>
          <cell r="G4606">
            <v>1</v>
          </cell>
          <cell r="H4606">
            <v>1</v>
          </cell>
          <cell r="I4606">
            <v>0</v>
          </cell>
          <cell r="J4606">
            <v>1</v>
          </cell>
          <cell r="K4606">
            <v>0</v>
          </cell>
          <cell r="L4606">
            <v>0</v>
          </cell>
          <cell r="M4606">
            <v>0</v>
          </cell>
          <cell r="N4606">
            <v>1</v>
          </cell>
          <cell r="O4606">
            <v>0</v>
          </cell>
          <cell r="P4606">
            <v>0</v>
          </cell>
          <cell r="Q4606">
            <v>0</v>
          </cell>
          <cell r="R4606">
            <v>1</v>
          </cell>
          <cell r="S4606">
            <v>0</v>
          </cell>
          <cell r="T4606">
            <v>0</v>
          </cell>
          <cell r="U4606">
            <v>0</v>
          </cell>
          <cell r="V4606">
            <v>1</v>
          </cell>
          <cell r="W4606">
            <v>0</v>
          </cell>
          <cell r="X4606">
            <v>0</v>
          </cell>
          <cell r="Y4606">
            <v>0</v>
          </cell>
        </row>
        <row r="4607">
          <cell r="D4607">
            <v>303620</v>
          </cell>
          <cell r="E4607" t="str">
            <v>Samar National School</v>
          </cell>
          <cell r="F4607">
            <v>1</v>
          </cell>
          <cell r="G4607">
            <v>1</v>
          </cell>
          <cell r="H4607">
            <v>1</v>
          </cell>
          <cell r="I4607">
            <v>0</v>
          </cell>
          <cell r="J4607">
            <v>1</v>
          </cell>
          <cell r="K4607">
            <v>0</v>
          </cell>
          <cell r="L4607">
            <v>0</v>
          </cell>
          <cell r="M4607">
            <v>0</v>
          </cell>
          <cell r="N4607">
            <v>1</v>
          </cell>
          <cell r="O4607" t="str">
            <v>10/21/2019</v>
          </cell>
          <cell r="P4607">
            <v>0</v>
          </cell>
          <cell r="Q4607">
            <v>0</v>
          </cell>
          <cell r="R4607">
            <v>1</v>
          </cell>
          <cell r="S4607">
            <v>0</v>
          </cell>
          <cell r="T4607">
            <v>0</v>
          </cell>
          <cell r="U4607">
            <v>0</v>
          </cell>
          <cell r="V4607">
            <v>1</v>
          </cell>
          <cell r="W4607">
            <v>0</v>
          </cell>
          <cell r="X4607">
            <v>0</v>
          </cell>
          <cell r="Y4607">
            <v>0</v>
          </cell>
        </row>
        <row r="4608">
          <cell r="D4608">
            <v>303551</v>
          </cell>
          <cell r="E4608" t="str">
            <v>Gala Vocational School</v>
          </cell>
          <cell r="F4608">
            <v>1</v>
          </cell>
          <cell r="G4608">
            <v>1</v>
          </cell>
          <cell r="H4608">
            <v>1</v>
          </cell>
          <cell r="I4608">
            <v>0</v>
          </cell>
          <cell r="J4608">
            <v>1</v>
          </cell>
          <cell r="K4608">
            <v>0</v>
          </cell>
          <cell r="L4608">
            <v>0</v>
          </cell>
          <cell r="M4608">
            <v>0</v>
          </cell>
          <cell r="N4608">
            <v>1</v>
          </cell>
          <cell r="O4608">
            <v>0</v>
          </cell>
          <cell r="P4608">
            <v>43227</v>
          </cell>
          <cell r="Q4608">
            <v>0</v>
          </cell>
          <cell r="R4608">
            <v>0</v>
          </cell>
          <cell r="S4608">
            <v>1</v>
          </cell>
          <cell r="T4608">
            <v>0</v>
          </cell>
          <cell r="U4608">
            <v>0</v>
          </cell>
          <cell r="V4608">
            <v>1</v>
          </cell>
          <cell r="W4608">
            <v>1</v>
          </cell>
          <cell r="X4608">
            <v>1</v>
          </cell>
          <cell r="Y4608">
            <v>1</v>
          </cell>
        </row>
        <row r="4609">
          <cell r="D4609">
            <v>303546</v>
          </cell>
          <cell r="E4609" t="str">
            <v>Don Juan F. Avalon National High School</v>
          </cell>
          <cell r="F4609">
            <v>0</v>
          </cell>
          <cell r="G4609">
            <v>0</v>
          </cell>
          <cell r="H4609">
            <v>1</v>
          </cell>
          <cell r="I4609">
            <v>1</v>
          </cell>
          <cell r="J4609">
            <v>0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1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</row>
        <row r="4610">
          <cell r="D4610">
            <v>313618</v>
          </cell>
          <cell r="E4610" t="str">
            <v>Balnasan National High School</v>
          </cell>
          <cell r="F4610">
            <v>1</v>
          </cell>
          <cell r="G4610">
            <v>1</v>
          </cell>
          <cell r="H4610">
            <v>1</v>
          </cell>
          <cell r="I4610">
            <v>0</v>
          </cell>
          <cell r="J4610">
            <v>0</v>
          </cell>
          <cell r="K4610">
            <v>1</v>
          </cell>
          <cell r="L4610">
            <v>0</v>
          </cell>
          <cell r="M4610">
            <v>0</v>
          </cell>
          <cell r="N4610">
            <v>1</v>
          </cell>
          <cell r="O4610">
            <v>43373</v>
          </cell>
          <cell r="P4610" t="str">
            <v>9/31/2018</v>
          </cell>
          <cell r="Q4610">
            <v>0</v>
          </cell>
          <cell r="R4610">
            <v>0</v>
          </cell>
          <cell r="S4610">
            <v>1</v>
          </cell>
          <cell r="T4610">
            <v>0</v>
          </cell>
          <cell r="U4610">
            <v>0</v>
          </cell>
          <cell r="V4610">
            <v>1</v>
          </cell>
          <cell r="W4610">
            <v>0</v>
          </cell>
          <cell r="X4610">
            <v>0</v>
          </cell>
          <cell r="Y4610">
            <v>0</v>
          </cell>
        </row>
        <row r="4611">
          <cell r="D4611">
            <v>303578</v>
          </cell>
          <cell r="E4611" t="str">
            <v>San Isidro NHS (San Isidro)</v>
          </cell>
          <cell r="F4611">
            <v>1</v>
          </cell>
          <cell r="G4611">
            <v>1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</row>
        <row r="4612">
          <cell r="D4612">
            <v>303586</v>
          </cell>
          <cell r="E4612" t="str">
            <v>Vigo National High School</v>
          </cell>
          <cell r="F4612">
            <v>0</v>
          </cell>
          <cell r="G4612">
            <v>0</v>
          </cell>
          <cell r="H4612">
            <v>1</v>
          </cell>
          <cell r="I4612">
            <v>0</v>
          </cell>
          <cell r="J4612">
            <v>0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</row>
        <row r="4613">
          <cell r="D4613">
            <v>313621</v>
          </cell>
          <cell r="E4613" t="str">
            <v>Zoilo T. Lobos Memorial High School</v>
          </cell>
          <cell r="F4613">
            <v>1</v>
          </cell>
          <cell r="G4613">
            <v>1</v>
          </cell>
          <cell r="H4613">
            <v>1</v>
          </cell>
          <cell r="I4613">
            <v>0</v>
          </cell>
          <cell r="J4613">
            <v>0</v>
          </cell>
          <cell r="K4613">
            <v>1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</row>
        <row r="4614">
          <cell r="D4614">
            <v>313617</v>
          </cell>
          <cell r="E4614" t="str">
            <v>San Vicente National High School</v>
          </cell>
          <cell r="F4614">
            <v>0</v>
          </cell>
          <cell r="G4614">
            <v>0</v>
          </cell>
          <cell r="H4614">
            <v>1</v>
          </cell>
          <cell r="I4614">
            <v>0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  <cell r="N4614">
            <v>1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</row>
        <row r="4615">
          <cell r="D4615">
            <v>303565</v>
          </cell>
          <cell r="E4615" t="str">
            <v>Marubay NHS</v>
          </cell>
          <cell r="F4615">
            <v>0</v>
          </cell>
          <cell r="G4615">
            <v>0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</row>
        <row r="4616">
          <cell r="D4616">
            <v>303556</v>
          </cell>
          <cell r="E4616" t="str">
            <v>Laoang National Technical High School</v>
          </cell>
          <cell r="F4616">
            <v>0</v>
          </cell>
          <cell r="G4616">
            <v>0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</row>
        <row r="4617">
          <cell r="D4617">
            <v>313602</v>
          </cell>
          <cell r="E4617" t="str">
            <v>Anito NHS</v>
          </cell>
          <cell r="F4617">
            <v>0</v>
          </cell>
          <cell r="G4617">
            <v>0</v>
          </cell>
          <cell r="H4617">
            <v>1</v>
          </cell>
          <cell r="I4617">
            <v>0</v>
          </cell>
          <cell r="J4617">
            <v>0</v>
          </cell>
          <cell r="K4617">
            <v>1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 t="str">
            <v>NA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</row>
        <row r="4618">
          <cell r="D4618">
            <v>303543</v>
          </cell>
          <cell r="E4618" t="str">
            <v>Galutan NHS</v>
          </cell>
          <cell r="F4618">
            <v>1</v>
          </cell>
          <cell r="G4618">
            <v>1</v>
          </cell>
          <cell r="H4618">
            <v>1</v>
          </cell>
          <cell r="I4618">
            <v>0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</row>
        <row r="4619">
          <cell r="D4619">
            <v>313605</v>
          </cell>
          <cell r="E4619" t="str">
            <v>Leonardo M. Amigo High School</v>
          </cell>
          <cell r="F4619">
            <v>0</v>
          </cell>
          <cell r="G4619">
            <v>0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</row>
        <row r="4620">
          <cell r="D4620">
            <v>303560</v>
          </cell>
          <cell r="E4620" t="str">
            <v>Las Navas National High School</v>
          </cell>
          <cell r="F4620">
            <v>0</v>
          </cell>
          <cell r="G4620">
            <v>0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</row>
        <row r="4621">
          <cell r="D4621">
            <v>303554</v>
          </cell>
          <cell r="E4621" t="str">
            <v>Hibubullao NHS</v>
          </cell>
          <cell r="F4621">
            <v>0</v>
          </cell>
          <cell r="G4621">
            <v>0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</row>
        <row r="4622">
          <cell r="D4622">
            <v>303538</v>
          </cell>
          <cell r="E4622" t="str">
            <v>Cahayagan NHS</v>
          </cell>
          <cell r="F4622">
            <v>0</v>
          </cell>
          <cell r="G4622">
            <v>0</v>
          </cell>
          <cell r="H4622">
            <v>1</v>
          </cell>
          <cell r="I4622">
            <v>0</v>
          </cell>
          <cell r="J4622">
            <v>0</v>
          </cell>
          <cell r="K4622">
            <v>1</v>
          </cell>
          <cell r="L4622">
            <v>0</v>
          </cell>
          <cell r="M4622">
            <v>0</v>
          </cell>
          <cell r="N4622">
            <v>1</v>
          </cell>
          <cell r="O4622">
            <v>0</v>
          </cell>
          <cell r="P4622">
            <v>0</v>
          </cell>
          <cell r="Q4622">
            <v>0</v>
          </cell>
          <cell r="R4622">
            <v>1</v>
          </cell>
          <cell r="S4622">
            <v>0</v>
          </cell>
          <cell r="T4622">
            <v>0</v>
          </cell>
          <cell r="U4622">
            <v>0</v>
          </cell>
          <cell r="V4622">
            <v>1</v>
          </cell>
          <cell r="W4622">
            <v>0</v>
          </cell>
          <cell r="X4622">
            <v>0</v>
          </cell>
          <cell r="Y4622">
            <v>0</v>
          </cell>
        </row>
        <row r="4623">
          <cell r="D4623">
            <v>313623</v>
          </cell>
          <cell r="E4623" t="str">
            <v>GUILLERMO C. ADRIATICO, SR. NATIONAL HIGH SCHOOL</v>
          </cell>
          <cell r="F4623">
            <v>0</v>
          </cell>
          <cell r="G4623">
            <v>0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</row>
        <row r="4624">
          <cell r="D4624">
            <v>303584</v>
          </cell>
          <cell r="E4624" t="str">
            <v>SUMOROY AGRO-INDUSTRIAL SCHOOL</v>
          </cell>
          <cell r="F4624">
            <v>1</v>
          </cell>
          <cell r="G4624">
            <v>1</v>
          </cell>
          <cell r="H4624">
            <v>1</v>
          </cell>
          <cell r="I4624">
            <v>1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1</v>
          </cell>
          <cell r="O4624">
            <v>43617</v>
          </cell>
          <cell r="P4624">
            <v>43739</v>
          </cell>
          <cell r="Q4624">
            <v>1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1</v>
          </cell>
          <cell r="W4624">
            <v>0</v>
          </cell>
          <cell r="X4624">
            <v>0</v>
          </cell>
          <cell r="Y4624">
            <v>0</v>
          </cell>
        </row>
        <row r="4625">
          <cell r="D4625">
            <v>303533</v>
          </cell>
          <cell r="E4625" t="str">
            <v>Batag NHS</v>
          </cell>
          <cell r="F4625">
            <v>0</v>
          </cell>
          <cell r="G4625">
            <v>0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</row>
        <row r="4626">
          <cell r="D4626">
            <v>313609</v>
          </cell>
          <cell r="E4626" t="str">
            <v>Cabatuan NHS</v>
          </cell>
          <cell r="F4626">
            <v>1</v>
          </cell>
          <cell r="G4626">
            <v>1</v>
          </cell>
          <cell r="H4626">
            <v>1</v>
          </cell>
          <cell r="I4626">
            <v>0</v>
          </cell>
          <cell r="J4626">
            <v>1</v>
          </cell>
          <cell r="K4626">
            <v>0</v>
          </cell>
          <cell r="L4626">
            <v>0</v>
          </cell>
          <cell r="M4626">
            <v>0</v>
          </cell>
          <cell r="N4626">
            <v>1</v>
          </cell>
          <cell r="O4626" t="str">
            <v>August</v>
          </cell>
          <cell r="P4626" t="str">
            <v>August</v>
          </cell>
          <cell r="Q4626">
            <v>0</v>
          </cell>
          <cell r="R4626">
            <v>1</v>
          </cell>
          <cell r="S4626">
            <v>0</v>
          </cell>
          <cell r="T4626">
            <v>0</v>
          </cell>
          <cell r="U4626">
            <v>0</v>
          </cell>
          <cell r="V4626">
            <v>1</v>
          </cell>
          <cell r="W4626">
            <v>1</v>
          </cell>
          <cell r="X4626">
            <v>0</v>
          </cell>
          <cell r="Y4626">
            <v>0</v>
          </cell>
        </row>
        <row r="4627">
          <cell r="D4627">
            <v>303557</v>
          </cell>
          <cell r="E4627" t="str">
            <v>Laoang NHS</v>
          </cell>
          <cell r="F4627">
            <v>0</v>
          </cell>
          <cell r="G4627">
            <v>0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</row>
        <row r="4628">
          <cell r="D4628">
            <v>303623</v>
          </cell>
          <cell r="E4628" t="str">
            <v>Silanga NHS</v>
          </cell>
          <cell r="F4628">
            <v>1</v>
          </cell>
          <cell r="G4628">
            <v>1</v>
          </cell>
          <cell r="H4628">
            <v>1</v>
          </cell>
          <cell r="I4628">
            <v>0</v>
          </cell>
          <cell r="J4628">
            <v>1</v>
          </cell>
          <cell r="K4628">
            <v>0</v>
          </cell>
          <cell r="L4628">
            <v>0</v>
          </cell>
          <cell r="M4628">
            <v>0</v>
          </cell>
          <cell r="N4628">
            <v>1</v>
          </cell>
          <cell r="O4628">
            <v>43678</v>
          </cell>
          <cell r="P4628">
            <v>43678</v>
          </cell>
          <cell r="Q4628">
            <v>1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1</v>
          </cell>
          <cell r="W4628">
            <v>5</v>
          </cell>
          <cell r="X4628">
            <v>5</v>
          </cell>
          <cell r="Y4628">
            <v>3</v>
          </cell>
        </row>
        <row r="4629">
          <cell r="D4629">
            <v>303544</v>
          </cell>
          <cell r="E4629" t="str">
            <v>Catubig Valley NHS</v>
          </cell>
          <cell r="F4629">
            <v>1</v>
          </cell>
          <cell r="G4629">
            <v>1</v>
          </cell>
          <cell r="H4629">
            <v>1</v>
          </cell>
          <cell r="I4629">
            <v>0</v>
          </cell>
          <cell r="J4629">
            <v>0</v>
          </cell>
          <cell r="K4629">
            <v>1</v>
          </cell>
          <cell r="L4629">
            <v>0</v>
          </cell>
          <cell r="M4629">
            <v>0</v>
          </cell>
          <cell r="N4629">
            <v>1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1</v>
          </cell>
          <cell r="T4629">
            <v>0</v>
          </cell>
          <cell r="U4629">
            <v>0</v>
          </cell>
          <cell r="V4629">
            <v>1</v>
          </cell>
          <cell r="W4629">
            <v>0</v>
          </cell>
          <cell r="X4629">
            <v>0</v>
          </cell>
          <cell r="Y4629">
            <v>0</v>
          </cell>
        </row>
        <row r="4630">
          <cell r="D4630">
            <v>313706</v>
          </cell>
          <cell r="E4630" t="str">
            <v>Pangdan National High School</v>
          </cell>
          <cell r="F4630">
            <v>1</v>
          </cell>
          <cell r="G4630">
            <v>0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1</v>
          </cell>
          <cell r="U4630" t="str">
            <v xml:space="preserve">None 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</row>
        <row r="4631">
          <cell r="D4631">
            <v>313305</v>
          </cell>
          <cell r="E4631" t="str">
            <v>Tanauan School of Arts and Trade</v>
          </cell>
          <cell r="F4631">
            <v>0</v>
          </cell>
          <cell r="G4631">
            <v>0</v>
          </cell>
          <cell r="H4631">
            <v>1</v>
          </cell>
          <cell r="I4631">
            <v>0</v>
          </cell>
          <cell r="J4631">
            <v>1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</row>
        <row r="4632">
          <cell r="D4632">
            <v>303550</v>
          </cell>
          <cell r="E4632" t="str">
            <v>Francisca Dominice NHS</v>
          </cell>
          <cell r="F4632">
            <v>1</v>
          </cell>
          <cell r="G4632">
            <v>1</v>
          </cell>
          <cell r="H4632">
            <v>1</v>
          </cell>
          <cell r="I4632">
            <v>0</v>
          </cell>
          <cell r="J4632">
            <v>1</v>
          </cell>
          <cell r="K4632">
            <v>0</v>
          </cell>
          <cell r="L4632">
            <v>0</v>
          </cell>
          <cell r="M4632">
            <v>0</v>
          </cell>
          <cell r="N4632">
            <v>1</v>
          </cell>
          <cell r="O4632" t="str">
            <v>09/15/2019</v>
          </cell>
          <cell r="P4632" t="str">
            <v>09/15/2019</v>
          </cell>
          <cell r="Q4632">
            <v>0</v>
          </cell>
          <cell r="R4632">
            <v>1</v>
          </cell>
          <cell r="S4632">
            <v>0</v>
          </cell>
          <cell r="T4632">
            <v>0</v>
          </cell>
          <cell r="U4632">
            <v>0</v>
          </cell>
          <cell r="V4632">
            <v>1</v>
          </cell>
          <cell r="W4632">
            <v>1</v>
          </cell>
          <cell r="X4632">
            <v>1</v>
          </cell>
          <cell r="Y4632">
            <v>0</v>
          </cell>
        </row>
        <row r="4633">
          <cell r="D4633">
            <v>303559</v>
          </cell>
          <cell r="E4633" t="str">
            <v>Lorenzo S. Menzon AIS</v>
          </cell>
          <cell r="F4633">
            <v>1</v>
          </cell>
          <cell r="G4633">
            <v>1</v>
          </cell>
          <cell r="H4633">
            <v>1</v>
          </cell>
          <cell r="I4633">
            <v>0</v>
          </cell>
          <cell r="J4633">
            <v>0</v>
          </cell>
          <cell r="K4633">
            <v>1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</row>
        <row r="4634">
          <cell r="D4634">
            <v>303569</v>
          </cell>
          <cell r="E4634" t="str">
            <v>Pambujan NHS</v>
          </cell>
          <cell r="F4634">
            <v>1</v>
          </cell>
          <cell r="G4634">
            <v>0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</row>
        <row r="4635">
          <cell r="D4635">
            <v>313603</v>
          </cell>
          <cell r="E4635" t="str">
            <v>Rawis National High School</v>
          </cell>
          <cell r="F4635">
            <v>0</v>
          </cell>
          <cell r="G4635">
            <v>0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</row>
        <row r="4636">
          <cell r="D4636">
            <v>303541</v>
          </cell>
          <cell r="E4636" t="str">
            <v>Catarman National High School</v>
          </cell>
          <cell r="F4636">
            <v>1</v>
          </cell>
          <cell r="G4636">
            <v>1</v>
          </cell>
          <cell r="H4636">
            <v>1</v>
          </cell>
          <cell r="I4636">
            <v>1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43809</v>
          </cell>
          <cell r="Q4636">
            <v>1</v>
          </cell>
          <cell r="R4636">
            <v>0</v>
          </cell>
          <cell r="S4636">
            <v>0</v>
          </cell>
          <cell r="T4636">
            <v>1</v>
          </cell>
          <cell r="U4636">
            <v>0</v>
          </cell>
          <cell r="V4636">
            <v>1</v>
          </cell>
          <cell r="W4636">
            <v>2</v>
          </cell>
          <cell r="X4636">
            <v>0</v>
          </cell>
          <cell r="Y4636">
            <v>0</v>
          </cell>
        </row>
        <row r="4637">
          <cell r="D4637">
            <v>303570</v>
          </cell>
          <cell r="E4637" t="str">
            <v>Polangi National HIgh School</v>
          </cell>
          <cell r="F4637">
            <v>0</v>
          </cell>
          <cell r="G4637">
            <v>0</v>
          </cell>
          <cell r="H4637">
            <v>1</v>
          </cell>
          <cell r="I4637">
            <v>0</v>
          </cell>
          <cell r="J4637">
            <v>1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43101</v>
          </cell>
          <cell r="Q4637">
            <v>0</v>
          </cell>
          <cell r="R4637">
            <v>1</v>
          </cell>
          <cell r="S4637">
            <v>0</v>
          </cell>
          <cell r="T4637">
            <v>0</v>
          </cell>
          <cell r="U4637">
            <v>0</v>
          </cell>
          <cell r="V4637">
            <v>1</v>
          </cell>
          <cell r="W4637">
            <v>0</v>
          </cell>
          <cell r="X4637">
            <v>0</v>
          </cell>
          <cell r="Y4637">
            <v>0</v>
          </cell>
        </row>
        <row r="4638">
          <cell r="D4638">
            <v>303564</v>
          </cell>
          <cell r="E4638" t="str">
            <v>Mapanas Agro-Industrial High School</v>
          </cell>
          <cell r="F4638">
            <v>1</v>
          </cell>
          <cell r="G4638">
            <v>1</v>
          </cell>
          <cell r="H4638">
            <v>1</v>
          </cell>
          <cell r="I4638">
            <v>0</v>
          </cell>
          <cell r="J4638">
            <v>1</v>
          </cell>
          <cell r="K4638">
            <v>0</v>
          </cell>
          <cell r="L4638">
            <v>0</v>
          </cell>
          <cell r="M4638">
            <v>0</v>
          </cell>
          <cell r="N4638">
            <v>1</v>
          </cell>
          <cell r="O4638" t="str">
            <v>11-25-1019</v>
          </cell>
          <cell r="P4638" t="str">
            <v>11-26-2019</v>
          </cell>
          <cell r="Q4638">
            <v>0</v>
          </cell>
          <cell r="R4638">
            <v>1</v>
          </cell>
          <cell r="S4638">
            <v>0</v>
          </cell>
          <cell r="T4638">
            <v>0</v>
          </cell>
          <cell r="U4638">
            <v>0</v>
          </cell>
          <cell r="V4638">
            <v>1</v>
          </cell>
          <cell r="W4638">
            <v>0</v>
          </cell>
          <cell r="X4638">
            <v>0</v>
          </cell>
          <cell r="Y4638">
            <v>0</v>
          </cell>
        </row>
        <row r="4639">
          <cell r="D4639">
            <v>303324</v>
          </cell>
          <cell r="E4639" t="str">
            <v>Culaba NVS</v>
          </cell>
          <cell r="F4639">
            <v>1</v>
          </cell>
          <cell r="G4639">
            <v>1</v>
          </cell>
          <cell r="H4639">
            <v>1</v>
          </cell>
          <cell r="I4639">
            <v>1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1</v>
          </cell>
          <cell r="O4639">
            <v>43629</v>
          </cell>
          <cell r="P4639">
            <v>43629</v>
          </cell>
          <cell r="Q4639">
            <v>1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1</v>
          </cell>
          <cell r="W4639">
            <v>2</v>
          </cell>
          <cell r="X4639">
            <v>1</v>
          </cell>
          <cell r="Y4639">
            <v>1</v>
          </cell>
        </row>
        <row r="4640">
          <cell r="D4640">
            <v>303452</v>
          </cell>
          <cell r="E4640" t="str">
            <v>Catbalogan City Agro-Industrial School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</row>
        <row r="4641">
          <cell r="D4641">
            <v>303737</v>
          </cell>
          <cell r="E4641" t="str">
            <v>Sibutad National High School</v>
          </cell>
          <cell r="F4641">
            <v>1</v>
          </cell>
          <cell r="G4641">
            <v>1</v>
          </cell>
          <cell r="H4641">
            <v>1</v>
          </cell>
          <cell r="I4641">
            <v>0</v>
          </cell>
          <cell r="J4641">
            <v>1</v>
          </cell>
          <cell r="K4641">
            <v>0</v>
          </cell>
          <cell r="L4641">
            <v>0</v>
          </cell>
          <cell r="M4641">
            <v>0</v>
          </cell>
          <cell r="N4641">
            <v>1</v>
          </cell>
          <cell r="O4641">
            <v>0</v>
          </cell>
          <cell r="P4641" t="str">
            <v>October 1, 2019</v>
          </cell>
          <cell r="Q4641">
            <v>1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1</v>
          </cell>
          <cell r="W4641">
            <v>3</v>
          </cell>
          <cell r="X4641">
            <v>3</v>
          </cell>
          <cell r="Y4641">
            <v>3</v>
          </cell>
        </row>
        <row r="4642">
          <cell r="D4642">
            <v>303724</v>
          </cell>
          <cell r="E4642" t="str">
            <v>San Jose NHS</v>
          </cell>
          <cell r="F4642">
            <v>1</v>
          </cell>
          <cell r="G4642">
            <v>0</v>
          </cell>
          <cell r="H4642">
            <v>1</v>
          </cell>
          <cell r="I4642">
            <v>0</v>
          </cell>
          <cell r="J4642">
            <v>0</v>
          </cell>
          <cell r="K4642">
            <v>1</v>
          </cell>
          <cell r="L4642">
            <v>0</v>
          </cell>
          <cell r="M4642">
            <v>0</v>
          </cell>
          <cell r="N4642">
            <v>1</v>
          </cell>
          <cell r="O4642" t="str">
            <v>JUNE 13, 2019</v>
          </cell>
          <cell r="P4642" t="str">
            <v>NOVEMBER 7, 2019</v>
          </cell>
          <cell r="Q4642">
            <v>1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1</v>
          </cell>
          <cell r="W4642">
            <v>0</v>
          </cell>
          <cell r="X4642">
            <v>0</v>
          </cell>
          <cell r="Y4642">
            <v>0</v>
          </cell>
        </row>
        <row r="4643">
          <cell r="D4643">
            <v>303726</v>
          </cell>
          <cell r="E4643" t="str">
            <v>Sebaca NHS</v>
          </cell>
          <cell r="F4643">
            <v>1</v>
          </cell>
          <cell r="G4643">
            <v>1</v>
          </cell>
          <cell r="H4643">
            <v>1</v>
          </cell>
          <cell r="I4643">
            <v>1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1</v>
          </cell>
          <cell r="O4643">
            <v>0</v>
          </cell>
          <cell r="P4643">
            <v>43613</v>
          </cell>
          <cell r="Q4643">
            <v>0</v>
          </cell>
          <cell r="R4643">
            <v>1</v>
          </cell>
          <cell r="S4643">
            <v>0</v>
          </cell>
          <cell r="T4643">
            <v>0</v>
          </cell>
          <cell r="U4643">
            <v>0</v>
          </cell>
          <cell r="V4643">
            <v>1</v>
          </cell>
          <cell r="W4643">
            <v>3</v>
          </cell>
          <cell r="X4643">
            <v>0</v>
          </cell>
          <cell r="Y4643">
            <v>0</v>
          </cell>
        </row>
        <row r="4644">
          <cell r="D4644">
            <v>303720</v>
          </cell>
          <cell r="E4644" t="str">
            <v>Rizal National High School</v>
          </cell>
          <cell r="F4644">
            <v>1</v>
          </cell>
          <cell r="G4644">
            <v>0</v>
          </cell>
          <cell r="H4644">
            <v>1</v>
          </cell>
          <cell r="I4644">
            <v>0</v>
          </cell>
          <cell r="J4644">
            <v>0</v>
          </cell>
          <cell r="K4644">
            <v>1</v>
          </cell>
          <cell r="L4644">
            <v>0</v>
          </cell>
          <cell r="M4644">
            <v>0</v>
          </cell>
          <cell r="N4644">
            <v>1</v>
          </cell>
          <cell r="O4644" t="str">
            <v>05/26/2019</v>
          </cell>
          <cell r="P4644">
            <v>43503</v>
          </cell>
          <cell r="Q4644">
            <v>0</v>
          </cell>
          <cell r="R4644">
            <v>1</v>
          </cell>
          <cell r="S4644">
            <v>0</v>
          </cell>
          <cell r="T4644">
            <v>0</v>
          </cell>
          <cell r="U4644">
            <v>0</v>
          </cell>
          <cell r="V4644">
            <v>1</v>
          </cell>
          <cell r="W4644">
            <v>2</v>
          </cell>
          <cell r="X4644">
            <v>0</v>
          </cell>
          <cell r="Y4644">
            <v>0</v>
          </cell>
        </row>
        <row r="4645">
          <cell r="D4645">
            <v>303704</v>
          </cell>
          <cell r="E4645" t="str">
            <v>La Libertad NHS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</row>
        <row r="4646">
          <cell r="D4646">
            <v>303745</v>
          </cell>
          <cell r="E4646" t="str">
            <v>Tampilisan NHS</v>
          </cell>
          <cell r="F4646">
            <v>1</v>
          </cell>
          <cell r="G4646">
            <v>1</v>
          </cell>
          <cell r="H4646">
            <v>1</v>
          </cell>
          <cell r="I4646">
            <v>0</v>
          </cell>
          <cell r="J4646">
            <v>1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43747</v>
          </cell>
          <cell r="P4646">
            <v>43803</v>
          </cell>
          <cell r="Q4646">
            <v>1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</row>
        <row r="4647">
          <cell r="D4647">
            <v>303728</v>
          </cell>
          <cell r="E4647" t="str">
            <v>Sergio Osmena NHS</v>
          </cell>
          <cell r="F4647">
            <v>0</v>
          </cell>
          <cell r="G4647">
            <v>0</v>
          </cell>
          <cell r="H4647">
            <v>1</v>
          </cell>
          <cell r="I4647">
            <v>0</v>
          </cell>
          <cell r="J4647">
            <v>1</v>
          </cell>
          <cell r="K4647">
            <v>0</v>
          </cell>
          <cell r="L4647">
            <v>0</v>
          </cell>
          <cell r="M4647">
            <v>0</v>
          </cell>
          <cell r="N4647">
            <v>1</v>
          </cell>
          <cell r="O4647" t="str">
            <v>8/21/2019</v>
          </cell>
          <cell r="P4647" t="str">
            <v>9/15/2019</v>
          </cell>
          <cell r="Q4647">
            <v>0</v>
          </cell>
          <cell r="R4647">
            <v>0</v>
          </cell>
          <cell r="S4647">
            <v>1</v>
          </cell>
          <cell r="T4647">
            <v>0</v>
          </cell>
          <cell r="U4647">
            <v>0</v>
          </cell>
          <cell r="V4647">
            <v>1</v>
          </cell>
          <cell r="W4647">
            <v>3</v>
          </cell>
          <cell r="X4647">
            <v>0</v>
          </cell>
          <cell r="Y4647">
            <v>0</v>
          </cell>
        </row>
        <row r="4648">
          <cell r="D4648">
            <v>303715</v>
          </cell>
          <cell r="E4648" t="str">
            <v>Pinan National High School</v>
          </cell>
          <cell r="F4648">
            <v>1</v>
          </cell>
          <cell r="G4648">
            <v>1</v>
          </cell>
          <cell r="H4648">
            <v>1</v>
          </cell>
          <cell r="I4648">
            <v>0</v>
          </cell>
          <cell r="J4648">
            <v>1</v>
          </cell>
          <cell r="K4648">
            <v>0</v>
          </cell>
          <cell r="L4648">
            <v>0</v>
          </cell>
          <cell r="M4648">
            <v>0</v>
          </cell>
          <cell r="N4648">
            <v>1</v>
          </cell>
          <cell r="O4648">
            <v>43619</v>
          </cell>
          <cell r="P4648">
            <v>43619</v>
          </cell>
          <cell r="Q4648">
            <v>0</v>
          </cell>
          <cell r="R4648">
            <v>1</v>
          </cell>
          <cell r="S4648">
            <v>0</v>
          </cell>
          <cell r="T4648">
            <v>0</v>
          </cell>
          <cell r="U4648">
            <v>0</v>
          </cell>
          <cell r="V4648">
            <v>1</v>
          </cell>
          <cell r="W4648">
            <v>0</v>
          </cell>
          <cell r="X4648">
            <v>0</v>
          </cell>
          <cell r="Y4648">
            <v>0</v>
          </cell>
        </row>
        <row r="4649">
          <cell r="D4649">
            <v>303695</v>
          </cell>
          <cell r="E4649" t="str">
            <v>Sawang NHS</v>
          </cell>
          <cell r="F4649">
            <v>1</v>
          </cell>
          <cell r="G4649">
            <v>1</v>
          </cell>
          <cell r="H4649">
            <v>1</v>
          </cell>
          <cell r="I4649">
            <v>0</v>
          </cell>
          <cell r="J4649">
            <v>1</v>
          </cell>
          <cell r="K4649">
            <v>0</v>
          </cell>
          <cell r="L4649">
            <v>0</v>
          </cell>
          <cell r="M4649">
            <v>0</v>
          </cell>
          <cell r="N4649">
            <v>1</v>
          </cell>
          <cell r="O4649" t="str">
            <v>11/24/2019</v>
          </cell>
          <cell r="P4649" t="str">
            <v>November 5, 2019</v>
          </cell>
          <cell r="Q4649">
            <v>1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1</v>
          </cell>
          <cell r="W4649">
            <v>0</v>
          </cell>
          <cell r="X4649">
            <v>0</v>
          </cell>
          <cell r="Y4649">
            <v>0</v>
          </cell>
        </row>
        <row r="4650">
          <cell r="D4650">
            <v>303685</v>
          </cell>
          <cell r="E4650" t="str">
            <v>Raba National High School</v>
          </cell>
          <cell r="F4650">
            <v>1</v>
          </cell>
          <cell r="G4650">
            <v>1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</row>
        <row r="4651">
          <cell r="D4651">
            <v>314121</v>
          </cell>
          <cell r="E4651" t="str">
            <v>Gutalac NHS Ext. - San Juan</v>
          </cell>
          <cell r="F4651">
            <v>1</v>
          </cell>
          <cell r="G4651">
            <v>1</v>
          </cell>
          <cell r="H4651">
            <v>1</v>
          </cell>
          <cell r="I4651">
            <v>1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1</v>
          </cell>
          <cell r="O4651">
            <v>43758</v>
          </cell>
          <cell r="P4651">
            <v>0</v>
          </cell>
          <cell r="Q4651">
            <v>1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1</v>
          </cell>
          <cell r="W4651">
            <v>3</v>
          </cell>
          <cell r="X4651">
            <v>2</v>
          </cell>
          <cell r="Y4651">
            <v>2</v>
          </cell>
        </row>
        <row r="4652">
          <cell r="D4652">
            <v>303729</v>
          </cell>
          <cell r="E4652" t="str">
            <v>Siari John H. Roemer NHS</v>
          </cell>
          <cell r="F4652">
            <v>1</v>
          </cell>
          <cell r="G4652">
            <v>1</v>
          </cell>
          <cell r="H4652">
            <v>1</v>
          </cell>
          <cell r="I4652">
            <v>0</v>
          </cell>
          <cell r="J4652">
            <v>0</v>
          </cell>
          <cell r="K4652">
            <v>1</v>
          </cell>
          <cell r="L4652">
            <v>0</v>
          </cell>
          <cell r="M4652">
            <v>0</v>
          </cell>
          <cell r="N4652">
            <v>1</v>
          </cell>
          <cell r="O4652">
            <v>43617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</row>
        <row r="4653">
          <cell r="D4653">
            <v>314124</v>
          </cell>
          <cell r="E4653" t="str">
            <v>Gutalac NHS-Panganuran Ext.</v>
          </cell>
          <cell r="F4653">
            <v>1</v>
          </cell>
          <cell r="G4653">
            <v>1</v>
          </cell>
          <cell r="H4653">
            <v>1</v>
          </cell>
          <cell r="I4653">
            <v>0</v>
          </cell>
          <cell r="J4653">
            <v>1</v>
          </cell>
          <cell r="K4653">
            <v>0</v>
          </cell>
          <cell r="L4653">
            <v>0</v>
          </cell>
          <cell r="M4653">
            <v>0</v>
          </cell>
          <cell r="N4653">
            <v>1</v>
          </cell>
          <cell r="O4653">
            <v>0</v>
          </cell>
          <cell r="P4653">
            <v>0</v>
          </cell>
          <cell r="Q4653">
            <v>0</v>
          </cell>
          <cell r="R4653">
            <v>1</v>
          </cell>
          <cell r="S4653">
            <v>0</v>
          </cell>
          <cell r="T4653">
            <v>0</v>
          </cell>
          <cell r="U4653">
            <v>0</v>
          </cell>
          <cell r="V4653">
            <v>1</v>
          </cell>
          <cell r="W4653">
            <v>0</v>
          </cell>
          <cell r="X4653">
            <v>0</v>
          </cell>
          <cell r="Y4653">
            <v>0</v>
          </cell>
        </row>
        <row r="4654">
          <cell r="D4654">
            <v>303690</v>
          </cell>
          <cell r="E4654" t="str">
            <v>Kalawit NHS</v>
          </cell>
          <cell r="F4654">
            <v>1</v>
          </cell>
          <cell r="G4654">
            <v>1</v>
          </cell>
          <cell r="H4654">
            <v>1</v>
          </cell>
          <cell r="I4654">
            <v>0</v>
          </cell>
          <cell r="J4654">
            <v>0</v>
          </cell>
          <cell r="K4654">
            <v>1</v>
          </cell>
          <cell r="L4654">
            <v>0</v>
          </cell>
          <cell r="M4654">
            <v>0</v>
          </cell>
          <cell r="N4654">
            <v>1</v>
          </cell>
          <cell r="O4654">
            <v>43623</v>
          </cell>
          <cell r="P4654">
            <v>43784</v>
          </cell>
          <cell r="Q4654">
            <v>0</v>
          </cell>
          <cell r="R4654">
            <v>1</v>
          </cell>
          <cell r="S4654">
            <v>0</v>
          </cell>
          <cell r="T4654">
            <v>0</v>
          </cell>
          <cell r="U4654">
            <v>0</v>
          </cell>
          <cell r="V4654">
            <v>1</v>
          </cell>
          <cell r="W4654">
            <v>2</v>
          </cell>
          <cell r="X4654">
            <v>0</v>
          </cell>
          <cell r="Y4654">
            <v>0</v>
          </cell>
        </row>
        <row r="4655">
          <cell r="D4655">
            <v>303723</v>
          </cell>
          <cell r="E4655" t="str">
            <v>San Isidro NHS</v>
          </cell>
          <cell r="F4655">
            <v>1</v>
          </cell>
          <cell r="G4655">
            <v>1</v>
          </cell>
          <cell r="H4655">
            <v>1</v>
          </cell>
          <cell r="I4655">
            <v>0</v>
          </cell>
          <cell r="J4655">
            <v>1</v>
          </cell>
          <cell r="K4655">
            <v>0</v>
          </cell>
          <cell r="L4655">
            <v>0</v>
          </cell>
          <cell r="M4655">
            <v>0</v>
          </cell>
          <cell r="N4655">
            <v>1</v>
          </cell>
          <cell r="O4655" t="str">
            <v>8/14/2019</v>
          </cell>
          <cell r="P4655" t="str">
            <v>10/28/2019</v>
          </cell>
          <cell r="Q4655">
            <v>0</v>
          </cell>
          <cell r="R4655">
            <v>1</v>
          </cell>
          <cell r="S4655">
            <v>0</v>
          </cell>
          <cell r="T4655">
            <v>0</v>
          </cell>
          <cell r="U4655">
            <v>0</v>
          </cell>
          <cell r="V4655">
            <v>1</v>
          </cell>
          <cell r="W4655">
            <v>0</v>
          </cell>
          <cell r="X4655">
            <v>0</v>
          </cell>
          <cell r="Y4655">
            <v>0</v>
          </cell>
        </row>
        <row r="4656">
          <cell r="D4656">
            <v>314109</v>
          </cell>
          <cell r="E4656" t="str">
            <v>Canatuan National High School</v>
          </cell>
          <cell r="F4656">
            <v>0</v>
          </cell>
          <cell r="G4656">
            <v>0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1</v>
          </cell>
          <cell r="T4656">
            <v>1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</row>
        <row r="4657">
          <cell r="D4657">
            <v>314116</v>
          </cell>
          <cell r="E4657" t="str">
            <v>Gatas NHS</v>
          </cell>
          <cell r="F4657">
            <v>1</v>
          </cell>
          <cell r="G4657">
            <v>1</v>
          </cell>
          <cell r="H4657">
            <v>1</v>
          </cell>
          <cell r="I4657">
            <v>0</v>
          </cell>
          <cell r="J4657">
            <v>0</v>
          </cell>
          <cell r="K4657">
            <v>1</v>
          </cell>
          <cell r="L4657">
            <v>0</v>
          </cell>
          <cell r="M4657">
            <v>0</v>
          </cell>
          <cell r="N4657">
            <v>1</v>
          </cell>
          <cell r="O4657">
            <v>43724</v>
          </cell>
          <cell r="P4657" t="str">
            <v>NONE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1</v>
          </cell>
          <cell r="W4657">
            <v>0</v>
          </cell>
          <cell r="X4657">
            <v>0</v>
          </cell>
          <cell r="Y4657">
            <v>0</v>
          </cell>
        </row>
        <row r="4658">
          <cell r="D4658">
            <v>303730</v>
          </cell>
          <cell r="E4658" t="str">
            <v>Siayan National High School</v>
          </cell>
          <cell r="F4658">
            <v>1</v>
          </cell>
          <cell r="G4658">
            <v>0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</row>
        <row r="4659">
          <cell r="D4659">
            <v>303732</v>
          </cell>
          <cell r="E4659" t="str">
            <v>Gunyan NHS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</row>
        <row r="4660">
          <cell r="D4660">
            <v>303693</v>
          </cell>
          <cell r="E4660" t="str">
            <v>TUGOP NATIONAL HIGH SCHOOL</v>
          </cell>
          <cell r="F4660">
            <v>1</v>
          </cell>
          <cell r="G4660">
            <v>0</v>
          </cell>
          <cell r="H4660">
            <v>1</v>
          </cell>
          <cell r="I4660">
            <v>0</v>
          </cell>
          <cell r="J4660">
            <v>0</v>
          </cell>
          <cell r="K4660">
            <v>1</v>
          </cell>
          <cell r="L4660">
            <v>0</v>
          </cell>
          <cell r="M4660">
            <v>0</v>
          </cell>
          <cell r="N4660">
            <v>1</v>
          </cell>
          <cell r="O4660" t="str">
            <v>june 3, 2019</v>
          </cell>
          <cell r="P4660" t="str">
            <v>n/a</v>
          </cell>
          <cell r="Q4660">
            <v>0</v>
          </cell>
          <cell r="R4660">
            <v>0</v>
          </cell>
          <cell r="S4660">
            <v>0</v>
          </cell>
          <cell r="T4660">
            <v>1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</row>
        <row r="4661">
          <cell r="D4661">
            <v>303691</v>
          </cell>
          <cell r="E4661" t="str">
            <v>Batayan NHS</v>
          </cell>
          <cell r="F4661">
            <v>1</v>
          </cell>
          <cell r="G4661">
            <v>0</v>
          </cell>
          <cell r="H4661">
            <v>1</v>
          </cell>
          <cell r="I4661">
            <v>0</v>
          </cell>
          <cell r="J4661">
            <v>0</v>
          </cell>
          <cell r="K4661">
            <v>1</v>
          </cell>
          <cell r="L4661">
            <v>0</v>
          </cell>
          <cell r="M4661">
            <v>0</v>
          </cell>
          <cell r="N4661">
            <v>1</v>
          </cell>
          <cell r="O4661">
            <v>43791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</row>
        <row r="4662">
          <cell r="D4662">
            <v>303672</v>
          </cell>
          <cell r="E4662" t="str">
            <v>Bacungan NHS</v>
          </cell>
          <cell r="F4662">
            <v>1</v>
          </cell>
          <cell r="G4662">
            <v>0</v>
          </cell>
          <cell r="H4662">
            <v>1</v>
          </cell>
          <cell r="I4662">
            <v>0</v>
          </cell>
          <cell r="J4662">
            <v>1</v>
          </cell>
          <cell r="K4662">
            <v>0</v>
          </cell>
          <cell r="L4662">
            <v>0</v>
          </cell>
          <cell r="M4662">
            <v>0</v>
          </cell>
          <cell r="N4662">
            <v>1</v>
          </cell>
          <cell r="O4662">
            <v>43752</v>
          </cell>
          <cell r="P4662">
            <v>43766</v>
          </cell>
          <cell r="Q4662">
            <v>0</v>
          </cell>
          <cell r="R4662">
            <v>1</v>
          </cell>
          <cell r="S4662">
            <v>0</v>
          </cell>
          <cell r="T4662">
            <v>0</v>
          </cell>
          <cell r="U4662">
            <v>0</v>
          </cell>
          <cell r="V4662">
            <v>1</v>
          </cell>
          <cell r="W4662">
            <v>0</v>
          </cell>
          <cell r="X4662">
            <v>0</v>
          </cell>
          <cell r="Y4662">
            <v>0</v>
          </cell>
        </row>
        <row r="4663">
          <cell r="D4663">
            <v>314104</v>
          </cell>
          <cell r="E4663" t="str">
            <v>Matam NHS</v>
          </cell>
          <cell r="F4663">
            <v>1</v>
          </cell>
          <cell r="G4663">
            <v>1</v>
          </cell>
          <cell r="H4663">
            <v>1</v>
          </cell>
          <cell r="I4663">
            <v>0</v>
          </cell>
          <cell r="J4663">
            <v>1</v>
          </cell>
          <cell r="K4663">
            <v>0</v>
          </cell>
          <cell r="L4663">
            <v>0</v>
          </cell>
          <cell r="M4663">
            <v>0</v>
          </cell>
          <cell r="N4663">
            <v>1</v>
          </cell>
          <cell r="O4663">
            <v>43641</v>
          </cell>
          <cell r="P4663">
            <v>43714</v>
          </cell>
          <cell r="Q4663">
            <v>1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1</v>
          </cell>
          <cell r="W4663">
            <v>2</v>
          </cell>
          <cell r="X4663">
            <v>2</v>
          </cell>
          <cell r="Y4663">
            <v>0</v>
          </cell>
        </row>
        <row r="4664">
          <cell r="D4664">
            <v>303734</v>
          </cell>
          <cell r="E4664" t="str">
            <v>Sibuco National High School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</row>
        <row r="4665">
          <cell r="D4665">
            <v>303684</v>
          </cell>
          <cell r="E4665" t="str">
            <v>GODOD NATIONAL HIGH SCHOOL</v>
          </cell>
          <cell r="F4665">
            <v>1</v>
          </cell>
          <cell r="G4665">
            <v>0</v>
          </cell>
          <cell r="H4665">
            <v>1</v>
          </cell>
          <cell r="I4665">
            <v>0</v>
          </cell>
          <cell r="J4665">
            <v>0</v>
          </cell>
          <cell r="K4665">
            <v>0</v>
          </cell>
          <cell r="L4665">
            <v>1</v>
          </cell>
          <cell r="M4665" t="str">
            <v>IF NEEDED</v>
          </cell>
          <cell r="N4665">
            <v>0</v>
          </cell>
          <cell r="O4665">
            <v>0</v>
          </cell>
          <cell r="P4665" t="str">
            <v>NONE</v>
          </cell>
          <cell r="Q4665">
            <v>0</v>
          </cell>
          <cell r="R4665">
            <v>0</v>
          </cell>
          <cell r="S4665">
            <v>0</v>
          </cell>
          <cell r="T4665">
            <v>1</v>
          </cell>
          <cell r="U4665" t="str">
            <v>AS NEEDED</v>
          </cell>
          <cell r="V4665">
            <v>1</v>
          </cell>
          <cell r="W4665">
            <v>1</v>
          </cell>
          <cell r="X4665">
            <v>0</v>
          </cell>
          <cell r="Y4665">
            <v>0</v>
          </cell>
        </row>
        <row r="4666">
          <cell r="D4666">
            <v>501156</v>
          </cell>
          <cell r="E4666" t="str">
            <v>Bulawan Integrated School</v>
          </cell>
          <cell r="F4666">
            <v>1</v>
          </cell>
          <cell r="G4666">
            <v>1</v>
          </cell>
          <cell r="H4666">
            <v>1</v>
          </cell>
          <cell r="I4666">
            <v>0</v>
          </cell>
          <cell r="J4666">
            <v>1</v>
          </cell>
          <cell r="K4666">
            <v>0</v>
          </cell>
          <cell r="L4666">
            <v>0</v>
          </cell>
          <cell r="M4666">
            <v>0</v>
          </cell>
          <cell r="N4666">
            <v>1</v>
          </cell>
          <cell r="O4666">
            <v>43739</v>
          </cell>
          <cell r="P4666" t="str">
            <v>August 20, 2019</v>
          </cell>
          <cell r="Q4666">
            <v>1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1</v>
          </cell>
          <cell r="W4666">
            <v>0</v>
          </cell>
          <cell r="X4666">
            <v>0</v>
          </cell>
          <cell r="Y4666">
            <v>0</v>
          </cell>
        </row>
        <row r="4667">
          <cell r="D4667">
            <v>314111</v>
          </cell>
          <cell r="E4667" t="str">
            <v>Lapero NHS</v>
          </cell>
          <cell r="F4667">
            <v>1</v>
          </cell>
          <cell r="G4667">
            <v>1</v>
          </cell>
          <cell r="H4667">
            <v>1</v>
          </cell>
          <cell r="I4667">
            <v>0</v>
          </cell>
          <cell r="J4667">
            <v>1</v>
          </cell>
          <cell r="K4667">
            <v>0</v>
          </cell>
          <cell r="L4667">
            <v>0</v>
          </cell>
          <cell r="M4667">
            <v>0</v>
          </cell>
          <cell r="N4667">
            <v>1</v>
          </cell>
          <cell r="O4667">
            <v>43720</v>
          </cell>
          <cell r="P4667">
            <v>0</v>
          </cell>
          <cell r="Q4667">
            <v>0</v>
          </cell>
          <cell r="R4667">
            <v>1</v>
          </cell>
          <cell r="S4667">
            <v>0</v>
          </cell>
          <cell r="T4667">
            <v>0</v>
          </cell>
          <cell r="U4667">
            <v>0</v>
          </cell>
          <cell r="V4667">
            <v>1</v>
          </cell>
          <cell r="W4667">
            <v>0</v>
          </cell>
          <cell r="X4667">
            <v>0</v>
          </cell>
          <cell r="Y4667">
            <v>0</v>
          </cell>
        </row>
        <row r="4668">
          <cell r="D4668">
            <v>303712</v>
          </cell>
          <cell r="E4668" t="str">
            <v>Marupay NHS</v>
          </cell>
          <cell r="F4668">
            <v>1</v>
          </cell>
          <cell r="G4668">
            <v>1</v>
          </cell>
          <cell r="H4668">
            <v>0</v>
          </cell>
          <cell r="I4668">
            <v>0</v>
          </cell>
          <cell r="J4668">
            <v>1</v>
          </cell>
          <cell r="K4668">
            <v>0</v>
          </cell>
          <cell r="L4668">
            <v>0</v>
          </cell>
          <cell r="M4668">
            <v>0</v>
          </cell>
          <cell r="N4668">
            <v>1</v>
          </cell>
          <cell r="O4668" t="str">
            <v>10/17/2019</v>
          </cell>
          <cell r="P4668" t="str">
            <v>10/19/2019</v>
          </cell>
          <cell r="Q4668">
            <v>0</v>
          </cell>
          <cell r="R4668">
            <v>1</v>
          </cell>
          <cell r="S4668">
            <v>0</v>
          </cell>
          <cell r="T4668">
            <v>0</v>
          </cell>
          <cell r="U4668">
            <v>0</v>
          </cell>
          <cell r="V4668">
            <v>1</v>
          </cell>
          <cell r="W4668">
            <v>1</v>
          </cell>
          <cell r="X4668">
            <v>1</v>
          </cell>
          <cell r="Y4668">
            <v>1</v>
          </cell>
        </row>
        <row r="4669">
          <cell r="D4669">
            <v>303744</v>
          </cell>
          <cell r="E4669" t="str">
            <v>Sirawai NHS Annex - Piacan</v>
          </cell>
          <cell r="F4669">
            <v>1</v>
          </cell>
          <cell r="G4669">
            <v>0</v>
          </cell>
          <cell r="H4669">
            <v>1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</row>
        <row r="4670">
          <cell r="D4670">
            <v>303692</v>
          </cell>
          <cell r="E4670" t="str">
            <v>Kalawit NHS Annex - Pianon</v>
          </cell>
          <cell r="F4670">
            <v>1</v>
          </cell>
          <cell r="G4670">
            <v>1</v>
          </cell>
          <cell r="H4670">
            <v>1</v>
          </cell>
          <cell r="I4670">
            <v>0</v>
          </cell>
          <cell r="J4670">
            <v>0</v>
          </cell>
          <cell r="K4670">
            <v>1</v>
          </cell>
          <cell r="L4670">
            <v>0</v>
          </cell>
          <cell r="M4670">
            <v>0</v>
          </cell>
          <cell r="N4670">
            <v>1</v>
          </cell>
          <cell r="O4670">
            <v>0</v>
          </cell>
          <cell r="P4670">
            <v>0</v>
          </cell>
          <cell r="Q4670">
            <v>1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1</v>
          </cell>
          <cell r="W4670">
            <v>0</v>
          </cell>
          <cell r="X4670">
            <v>0</v>
          </cell>
          <cell r="Y4670">
            <v>0</v>
          </cell>
        </row>
        <row r="4671">
          <cell r="D4671">
            <v>314108</v>
          </cell>
          <cell r="E4671" t="str">
            <v>Alam Mudja Sai NHS</v>
          </cell>
          <cell r="F4671">
            <v>1</v>
          </cell>
          <cell r="G4671">
            <v>1</v>
          </cell>
          <cell r="H4671">
            <v>0</v>
          </cell>
          <cell r="I4671">
            <v>0</v>
          </cell>
          <cell r="J4671">
            <v>1</v>
          </cell>
          <cell r="K4671">
            <v>0</v>
          </cell>
          <cell r="L4671">
            <v>0</v>
          </cell>
          <cell r="M4671">
            <v>0</v>
          </cell>
          <cell r="N4671">
            <v>1</v>
          </cell>
          <cell r="O4671">
            <v>43606</v>
          </cell>
          <cell r="P4671">
            <v>0</v>
          </cell>
          <cell r="Q4671">
            <v>0</v>
          </cell>
          <cell r="R4671">
            <v>1</v>
          </cell>
          <cell r="S4671">
            <v>0</v>
          </cell>
          <cell r="T4671">
            <v>0</v>
          </cell>
          <cell r="U4671">
            <v>0</v>
          </cell>
          <cell r="V4671">
            <v>1</v>
          </cell>
          <cell r="W4671">
            <v>0</v>
          </cell>
          <cell r="X4671">
            <v>0</v>
          </cell>
          <cell r="Y4671">
            <v>0</v>
          </cell>
        </row>
        <row r="4672">
          <cell r="D4672">
            <v>314118</v>
          </cell>
          <cell r="E4672" t="str">
            <v>Saluyong NHS</v>
          </cell>
          <cell r="F4672">
            <v>1</v>
          </cell>
          <cell r="G4672">
            <v>0</v>
          </cell>
          <cell r="H4672">
            <v>1</v>
          </cell>
          <cell r="I4672">
            <v>0</v>
          </cell>
          <cell r="J4672">
            <v>0</v>
          </cell>
          <cell r="K4672">
            <v>1</v>
          </cell>
          <cell r="L4672">
            <v>0</v>
          </cell>
          <cell r="M4672">
            <v>0</v>
          </cell>
          <cell r="N4672">
            <v>1</v>
          </cell>
          <cell r="O4672">
            <v>0</v>
          </cell>
          <cell r="P4672">
            <v>0</v>
          </cell>
          <cell r="Q4672">
            <v>1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1</v>
          </cell>
          <cell r="W4672">
            <v>0</v>
          </cell>
          <cell r="X4672">
            <v>0</v>
          </cell>
          <cell r="Y4672">
            <v>0</v>
          </cell>
        </row>
        <row r="4673">
          <cell r="D4673">
            <v>314119</v>
          </cell>
          <cell r="E4673" t="str">
            <v>Mutia National High School Extension - Alvenda</v>
          </cell>
          <cell r="F4673">
            <v>1</v>
          </cell>
          <cell r="G4673">
            <v>0</v>
          </cell>
          <cell r="H4673">
            <v>1</v>
          </cell>
          <cell r="I4673">
            <v>0</v>
          </cell>
          <cell r="J4673">
            <v>1</v>
          </cell>
          <cell r="K4673">
            <v>0</v>
          </cell>
          <cell r="L4673">
            <v>0</v>
          </cell>
          <cell r="M4673">
            <v>0</v>
          </cell>
          <cell r="N4673">
            <v>1</v>
          </cell>
          <cell r="O4673">
            <v>43776</v>
          </cell>
          <cell r="P4673">
            <v>43739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1</v>
          </cell>
          <cell r="W4673">
            <v>5</v>
          </cell>
          <cell r="X4673">
            <v>2</v>
          </cell>
          <cell r="Y4673">
            <v>2</v>
          </cell>
        </row>
        <row r="4674">
          <cell r="D4674">
            <v>303751</v>
          </cell>
          <cell r="E4674" t="str">
            <v>Malintuboan National High School</v>
          </cell>
          <cell r="F4674">
            <v>1</v>
          </cell>
          <cell r="G4674">
            <v>1</v>
          </cell>
          <cell r="H4674">
            <v>1</v>
          </cell>
          <cell r="I4674">
            <v>0</v>
          </cell>
          <cell r="J4674">
            <v>0</v>
          </cell>
          <cell r="K4674">
            <v>1</v>
          </cell>
          <cell r="L4674">
            <v>0</v>
          </cell>
          <cell r="M4674">
            <v>0</v>
          </cell>
          <cell r="N4674">
            <v>1</v>
          </cell>
          <cell r="O4674" t="str">
            <v>JUNE 18, 2019</v>
          </cell>
          <cell r="P4674" t="str">
            <v>JUNE 18, 2019</v>
          </cell>
          <cell r="Q4674">
            <v>0</v>
          </cell>
          <cell r="R4674">
            <v>0</v>
          </cell>
          <cell r="S4674">
            <v>1</v>
          </cell>
          <cell r="T4674">
            <v>0</v>
          </cell>
          <cell r="U4674">
            <v>0</v>
          </cell>
          <cell r="V4674">
            <v>1</v>
          </cell>
          <cell r="W4674">
            <v>3</v>
          </cell>
          <cell r="X4674">
            <v>0</v>
          </cell>
          <cell r="Y4674">
            <v>0</v>
          </cell>
        </row>
        <row r="4675">
          <cell r="D4675">
            <v>303713</v>
          </cell>
          <cell r="E4675" t="str">
            <v>Mutia NHS</v>
          </cell>
          <cell r="F4675">
            <v>1</v>
          </cell>
          <cell r="G4675">
            <v>1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</row>
        <row r="4676">
          <cell r="D4676">
            <v>303677</v>
          </cell>
          <cell r="E4676" t="str">
            <v>Baliguian NHS</v>
          </cell>
          <cell r="F4676">
            <v>1</v>
          </cell>
          <cell r="G4676">
            <v>0</v>
          </cell>
          <cell r="H4676">
            <v>1</v>
          </cell>
          <cell r="I4676">
            <v>0</v>
          </cell>
          <cell r="J4676">
            <v>1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1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</row>
        <row r="4677">
          <cell r="D4677">
            <v>303742</v>
          </cell>
          <cell r="E4677" t="str">
            <v>Sirawai National High School</v>
          </cell>
          <cell r="F4677">
            <v>1</v>
          </cell>
          <cell r="G4677">
            <v>1</v>
          </cell>
          <cell r="H4677">
            <v>1</v>
          </cell>
          <cell r="I4677">
            <v>0</v>
          </cell>
          <cell r="J4677">
            <v>1</v>
          </cell>
          <cell r="K4677">
            <v>0</v>
          </cell>
          <cell r="L4677">
            <v>0</v>
          </cell>
          <cell r="M4677">
            <v>0</v>
          </cell>
          <cell r="N4677">
            <v>1</v>
          </cell>
          <cell r="O4677">
            <v>0</v>
          </cell>
          <cell r="P4677">
            <v>0</v>
          </cell>
          <cell r="Q4677">
            <v>0</v>
          </cell>
          <cell r="R4677">
            <v>1</v>
          </cell>
          <cell r="S4677">
            <v>0</v>
          </cell>
          <cell r="T4677">
            <v>1</v>
          </cell>
          <cell r="U4677" t="str">
            <v>8/16/2019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</row>
        <row r="4678">
          <cell r="D4678">
            <v>303689</v>
          </cell>
          <cell r="E4678" t="str">
            <v>Julian Soriano Memorial Comprehensive High School</v>
          </cell>
          <cell r="F4678">
            <v>1</v>
          </cell>
          <cell r="G4678">
            <v>1</v>
          </cell>
          <cell r="H4678">
            <v>1</v>
          </cell>
          <cell r="I4678">
            <v>0</v>
          </cell>
          <cell r="J4678">
            <v>1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1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1</v>
          </cell>
          <cell r="W4678">
            <v>0</v>
          </cell>
          <cell r="X4678">
            <v>0</v>
          </cell>
          <cell r="Y4678">
            <v>0</v>
          </cell>
        </row>
        <row r="4679">
          <cell r="D4679">
            <v>303681</v>
          </cell>
          <cell r="E4679" t="str">
            <v>Bartolome Aripal Memorial NHS</v>
          </cell>
          <cell r="F4679">
            <v>0</v>
          </cell>
          <cell r="G4679">
            <v>0</v>
          </cell>
          <cell r="H4679">
            <v>1</v>
          </cell>
          <cell r="I4679">
            <v>0</v>
          </cell>
          <cell r="J4679">
            <v>0</v>
          </cell>
          <cell r="K4679">
            <v>1</v>
          </cell>
          <cell r="L4679">
            <v>0</v>
          </cell>
          <cell r="M4679">
            <v>0</v>
          </cell>
          <cell r="N4679">
            <v>1</v>
          </cell>
          <cell r="O4679" t="str">
            <v>JAN. 13,2019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</row>
        <row r="4680">
          <cell r="D4680">
            <v>303725</v>
          </cell>
          <cell r="E4680" t="str">
            <v>San Pedro National High School</v>
          </cell>
          <cell r="F4680">
            <v>0</v>
          </cell>
          <cell r="G4680">
            <v>0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</row>
        <row r="4681">
          <cell r="D4681">
            <v>303716</v>
          </cell>
          <cell r="E4681" t="str">
            <v>Polanco NHS</v>
          </cell>
          <cell r="F4681">
            <v>1</v>
          </cell>
          <cell r="G4681">
            <v>1</v>
          </cell>
          <cell r="H4681">
            <v>0</v>
          </cell>
          <cell r="I4681">
            <v>0</v>
          </cell>
          <cell r="J4681">
            <v>1</v>
          </cell>
          <cell r="K4681">
            <v>0</v>
          </cell>
          <cell r="L4681">
            <v>0</v>
          </cell>
          <cell r="M4681">
            <v>0</v>
          </cell>
          <cell r="N4681">
            <v>1</v>
          </cell>
          <cell r="O4681">
            <v>0</v>
          </cell>
          <cell r="P4681">
            <v>0</v>
          </cell>
          <cell r="Q4681">
            <v>0</v>
          </cell>
          <cell r="R4681">
            <v>1</v>
          </cell>
          <cell r="S4681">
            <v>0</v>
          </cell>
          <cell r="T4681">
            <v>0</v>
          </cell>
          <cell r="U4681">
            <v>0</v>
          </cell>
          <cell r="V4681">
            <v>1</v>
          </cell>
          <cell r="W4681">
            <v>3</v>
          </cell>
          <cell r="X4681">
            <v>0</v>
          </cell>
          <cell r="Y4681">
            <v>0</v>
          </cell>
        </row>
        <row r="4682">
          <cell r="D4682">
            <v>303696</v>
          </cell>
          <cell r="E4682" t="str">
            <v>Katipunan National High School</v>
          </cell>
          <cell r="F4682">
            <v>1</v>
          </cell>
          <cell r="G4682">
            <v>1</v>
          </cell>
          <cell r="H4682">
            <v>1</v>
          </cell>
          <cell r="I4682">
            <v>0</v>
          </cell>
          <cell r="J4682">
            <v>0</v>
          </cell>
          <cell r="K4682">
            <v>1</v>
          </cell>
          <cell r="L4682">
            <v>0</v>
          </cell>
          <cell r="M4682">
            <v>0</v>
          </cell>
          <cell r="N4682">
            <v>1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1</v>
          </cell>
          <cell r="T4682">
            <v>0</v>
          </cell>
          <cell r="U4682">
            <v>0</v>
          </cell>
          <cell r="V4682">
            <v>0</v>
          </cell>
          <cell r="W4682">
            <v>3</v>
          </cell>
          <cell r="X4682">
            <v>0</v>
          </cell>
          <cell r="Y4682">
            <v>0</v>
          </cell>
        </row>
        <row r="4683">
          <cell r="D4683">
            <v>314107</v>
          </cell>
          <cell r="E4683" t="str">
            <v>Cawit-Cawit National High School</v>
          </cell>
          <cell r="F4683">
            <v>0</v>
          </cell>
          <cell r="G4683">
            <v>0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</row>
        <row r="4684">
          <cell r="D4684">
            <v>303718</v>
          </cell>
          <cell r="E4684" t="str">
            <v>Silawe NHS</v>
          </cell>
          <cell r="F4684">
            <v>0</v>
          </cell>
          <cell r="G4684">
            <v>0</v>
          </cell>
          <cell r="H4684">
            <v>1</v>
          </cell>
          <cell r="I4684">
            <v>0</v>
          </cell>
          <cell r="J4684">
            <v>0</v>
          </cell>
          <cell r="K4684">
            <v>1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1</v>
          </cell>
          <cell r="S4684">
            <v>0</v>
          </cell>
          <cell r="T4684">
            <v>0</v>
          </cell>
          <cell r="U4684">
            <v>0</v>
          </cell>
          <cell r="V4684">
            <v>1</v>
          </cell>
          <cell r="W4684">
            <v>3</v>
          </cell>
          <cell r="X4684">
            <v>0</v>
          </cell>
          <cell r="Y4684">
            <v>0</v>
          </cell>
        </row>
        <row r="4685">
          <cell r="D4685">
            <v>303683</v>
          </cell>
          <cell r="E4685" t="str">
            <v>Dumalogdog National High School</v>
          </cell>
          <cell r="F4685">
            <v>1</v>
          </cell>
          <cell r="G4685">
            <v>1</v>
          </cell>
          <cell r="H4685">
            <v>1</v>
          </cell>
          <cell r="I4685">
            <v>0</v>
          </cell>
          <cell r="J4685">
            <v>1</v>
          </cell>
          <cell r="K4685">
            <v>0</v>
          </cell>
          <cell r="L4685">
            <v>0</v>
          </cell>
          <cell r="M4685">
            <v>0</v>
          </cell>
          <cell r="N4685">
            <v>1</v>
          </cell>
          <cell r="O4685">
            <v>43781</v>
          </cell>
          <cell r="P4685">
            <v>43808</v>
          </cell>
          <cell r="Q4685">
            <v>1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1</v>
          </cell>
          <cell r="W4685">
            <v>3</v>
          </cell>
          <cell r="X4685">
            <v>3</v>
          </cell>
          <cell r="Y4685">
            <v>3</v>
          </cell>
        </row>
        <row r="4686">
          <cell r="D4686">
            <v>303752</v>
          </cell>
          <cell r="E4686" t="str">
            <v>Jesus A. Ramos NHS</v>
          </cell>
          <cell r="F4686">
            <v>0</v>
          </cell>
          <cell r="G4686">
            <v>0</v>
          </cell>
          <cell r="H4686">
            <v>1</v>
          </cell>
          <cell r="I4686">
            <v>0</v>
          </cell>
          <cell r="J4686">
            <v>1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1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</row>
        <row r="4687">
          <cell r="D4687">
            <v>314114</v>
          </cell>
          <cell r="E4687" t="str">
            <v>Binoni NHS</v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</row>
        <row r="4688">
          <cell r="D4688">
            <v>303694</v>
          </cell>
          <cell r="E4688" t="str">
            <v>Kanim NHS</v>
          </cell>
          <cell r="F4688">
            <v>0</v>
          </cell>
          <cell r="G4688">
            <v>0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</row>
        <row r="4689">
          <cell r="D4689">
            <v>303708</v>
          </cell>
          <cell r="E4689" t="str">
            <v>Malayal NHS</v>
          </cell>
          <cell r="F4689">
            <v>1</v>
          </cell>
          <cell r="G4689">
            <v>0</v>
          </cell>
          <cell r="H4689">
            <v>1</v>
          </cell>
          <cell r="I4689">
            <v>0</v>
          </cell>
          <cell r="J4689">
            <v>0</v>
          </cell>
          <cell r="K4689">
            <v>1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1</v>
          </cell>
          <cell r="T4689">
            <v>0</v>
          </cell>
          <cell r="U4689">
            <v>0</v>
          </cell>
          <cell r="V4689">
            <v>1</v>
          </cell>
          <cell r="W4689">
            <v>0</v>
          </cell>
          <cell r="X4689">
            <v>0</v>
          </cell>
          <cell r="Y4689">
            <v>0</v>
          </cell>
        </row>
        <row r="4690">
          <cell r="D4690">
            <v>303727</v>
          </cell>
          <cell r="E4690" t="str">
            <v>Seres NHS</v>
          </cell>
          <cell r="F4690">
            <v>1</v>
          </cell>
          <cell r="G4690">
            <v>0</v>
          </cell>
          <cell r="H4690">
            <v>1</v>
          </cell>
          <cell r="I4690">
            <v>0</v>
          </cell>
          <cell r="J4690">
            <v>1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</row>
        <row r="4691">
          <cell r="D4691">
            <v>501210</v>
          </cell>
          <cell r="E4691" t="str">
            <v>Doña Natividad L. Macias Integrated School</v>
          </cell>
          <cell r="F4691">
            <v>1</v>
          </cell>
          <cell r="G4691">
            <v>1</v>
          </cell>
          <cell r="H4691">
            <v>1</v>
          </cell>
          <cell r="I4691">
            <v>0</v>
          </cell>
          <cell r="J4691">
            <v>1</v>
          </cell>
          <cell r="K4691">
            <v>0</v>
          </cell>
          <cell r="L4691">
            <v>0</v>
          </cell>
          <cell r="M4691">
            <v>0</v>
          </cell>
          <cell r="N4691">
            <v>1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</row>
        <row r="4692">
          <cell r="D4692">
            <v>303705</v>
          </cell>
          <cell r="E4692" t="str">
            <v>Langatian NHS</v>
          </cell>
          <cell r="F4692">
            <v>1</v>
          </cell>
          <cell r="G4692">
            <v>1</v>
          </cell>
          <cell r="H4692">
            <v>1</v>
          </cell>
          <cell r="I4692">
            <v>0</v>
          </cell>
          <cell r="J4692">
            <v>1</v>
          </cell>
          <cell r="K4692">
            <v>0</v>
          </cell>
          <cell r="L4692">
            <v>0</v>
          </cell>
          <cell r="M4692">
            <v>0</v>
          </cell>
          <cell r="N4692">
            <v>1</v>
          </cell>
          <cell r="O4692">
            <v>0</v>
          </cell>
          <cell r="P4692">
            <v>0</v>
          </cell>
          <cell r="Q4692">
            <v>0</v>
          </cell>
          <cell r="R4692">
            <v>1</v>
          </cell>
          <cell r="S4692">
            <v>0</v>
          </cell>
          <cell r="T4692">
            <v>0</v>
          </cell>
          <cell r="U4692">
            <v>0</v>
          </cell>
          <cell r="V4692">
            <v>1</v>
          </cell>
          <cell r="W4692">
            <v>0</v>
          </cell>
          <cell r="X4692">
            <v>0</v>
          </cell>
          <cell r="Y4692">
            <v>0</v>
          </cell>
        </row>
        <row r="4693">
          <cell r="D4693">
            <v>303707</v>
          </cell>
          <cell r="E4693" t="str">
            <v>COMPRA NATIONAL HIGH SCHOOL</v>
          </cell>
          <cell r="F4693">
            <v>1</v>
          </cell>
          <cell r="G4693">
            <v>0</v>
          </cell>
          <cell r="H4693">
            <v>1</v>
          </cell>
          <cell r="I4693">
            <v>0</v>
          </cell>
          <cell r="J4693">
            <v>0</v>
          </cell>
          <cell r="K4693">
            <v>1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</row>
        <row r="4694">
          <cell r="D4694">
            <v>303678</v>
          </cell>
          <cell r="E4694" t="str">
            <v>Bartolome  Lira, Sr. NHS</v>
          </cell>
          <cell r="F4694">
            <v>1</v>
          </cell>
          <cell r="G4694">
            <v>1</v>
          </cell>
          <cell r="H4694">
            <v>1</v>
          </cell>
          <cell r="I4694">
            <v>0</v>
          </cell>
          <cell r="J4694">
            <v>1</v>
          </cell>
          <cell r="K4694">
            <v>0</v>
          </cell>
          <cell r="L4694">
            <v>0</v>
          </cell>
          <cell r="M4694">
            <v>0</v>
          </cell>
          <cell r="N4694">
            <v>1</v>
          </cell>
          <cell r="O4694">
            <v>43638</v>
          </cell>
          <cell r="P4694">
            <v>43809</v>
          </cell>
          <cell r="Q4694">
            <v>1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1</v>
          </cell>
          <cell r="W4694">
            <v>4</v>
          </cell>
          <cell r="X4694">
            <v>0</v>
          </cell>
          <cell r="Y4694">
            <v>0</v>
          </cell>
        </row>
        <row r="4695">
          <cell r="D4695">
            <v>303682</v>
          </cell>
          <cell r="E4695" t="str">
            <v>Dohinob NHS</v>
          </cell>
          <cell r="F4695">
            <v>1</v>
          </cell>
          <cell r="G4695">
            <v>1</v>
          </cell>
          <cell r="H4695">
            <v>1</v>
          </cell>
          <cell r="I4695">
            <v>0</v>
          </cell>
          <cell r="J4695">
            <v>1</v>
          </cell>
          <cell r="K4695">
            <v>0</v>
          </cell>
          <cell r="L4695">
            <v>0</v>
          </cell>
          <cell r="M4695">
            <v>0</v>
          </cell>
          <cell r="N4695">
            <v>1</v>
          </cell>
          <cell r="O4695">
            <v>43803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</row>
        <row r="4696">
          <cell r="D4696">
            <v>303702</v>
          </cell>
          <cell r="E4696" t="str">
            <v>Sitog National High School</v>
          </cell>
          <cell r="F4696">
            <v>1</v>
          </cell>
          <cell r="G4696">
            <v>0</v>
          </cell>
          <cell r="H4696">
            <v>1</v>
          </cell>
          <cell r="I4696">
            <v>0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</row>
        <row r="4697">
          <cell r="D4697">
            <v>303709</v>
          </cell>
          <cell r="E4697" t="str">
            <v>Manawan National High School</v>
          </cell>
          <cell r="F4697">
            <v>1</v>
          </cell>
          <cell r="G4697">
            <v>1</v>
          </cell>
          <cell r="H4697">
            <v>1</v>
          </cell>
          <cell r="I4697">
            <v>1</v>
          </cell>
          <cell r="J4697">
            <v>0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1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1</v>
          </cell>
          <cell r="W4697">
            <v>0</v>
          </cell>
          <cell r="X4697">
            <v>0</v>
          </cell>
          <cell r="Y4697">
            <v>0</v>
          </cell>
        </row>
        <row r="4698">
          <cell r="D4698">
            <v>303686</v>
          </cell>
          <cell r="E4698" t="str">
            <v>Gutalac NHS</v>
          </cell>
          <cell r="F4698">
            <v>1</v>
          </cell>
          <cell r="G4698">
            <v>1</v>
          </cell>
          <cell r="H4698">
            <v>0</v>
          </cell>
          <cell r="I4698">
            <v>0</v>
          </cell>
          <cell r="J4698">
            <v>1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1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1</v>
          </cell>
          <cell r="W4698">
            <v>0</v>
          </cell>
          <cell r="X4698">
            <v>0</v>
          </cell>
          <cell r="Y4698">
            <v>0</v>
          </cell>
        </row>
        <row r="4699">
          <cell r="D4699">
            <v>314103</v>
          </cell>
          <cell r="E4699" t="str">
            <v>Moliton National High School</v>
          </cell>
          <cell r="F4699">
            <v>1</v>
          </cell>
          <cell r="G4699">
            <v>1</v>
          </cell>
          <cell r="H4699">
            <v>1</v>
          </cell>
          <cell r="I4699">
            <v>0</v>
          </cell>
          <cell r="J4699">
            <v>0</v>
          </cell>
          <cell r="K4699">
            <v>1</v>
          </cell>
          <cell r="L4699">
            <v>0</v>
          </cell>
          <cell r="M4699">
            <v>0</v>
          </cell>
          <cell r="N4699">
            <v>1</v>
          </cell>
          <cell r="O4699">
            <v>43621</v>
          </cell>
          <cell r="P4699">
            <v>0</v>
          </cell>
          <cell r="Q4699">
            <v>0</v>
          </cell>
          <cell r="R4699">
            <v>0</v>
          </cell>
          <cell r="S4699">
            <v>1</v>
          </cell>
          <cell r="T4699">
            <v>0</v>
          </cell>
          <cell r="U4699">
            <v>0</v>
          </cell>
          <cell r="V4699">
            <v>1</v>
          </cell>
          <cell r="W4699">
            <v>0</v>
          </cell>
          <cell r="X4699">
            <v>0</v>
          </cell>
          <cell r="Y4699">
            <v>0</v>
          </cell>
        </row>
        <row r="4700">
          <cell r="D4700">
            <v>303748</v>
          </cell>
          <cell r="E4700" t="str">
            <v>Tampilisan NHS Annex - Situbo</v>
          </cell>
          <cell r="F4700">
            <v>1</v>
          </cell>
          <cell r="G4700">
            <v>1</v>
          </cell>
          <cell r="H4700">
            <v>1</v>
          </cell>
          <cell r="I4700">
            <v>0</v>
          </cell>
          <cell r="J4700">
            <v>1</v>
          </cell>
          <cell r="K4700">
            <v>0</v>
          </cell>
          <cell r="L4700">
            <v>0</v>
          </cell>
          <cell r="M4700">
            <v>0</v>
          </cell>
          <cell r="N4700">
            <v>1</v>
          </cell>
          <cell r="O4700">
            <v>0</v>
          </cell>
          <cell r="P4700">
            <v>0</v>
          </cell>
          <cell r="Q4700">
            <v>0</v>
          </cell>
          <cell r="R4700">
            <v>1</v>
          </cell>
          <cell r="S4700">
            <v>0</v>
          </cell>
          <cell r="T4700">
            <v>0</v>
          </cell>
          <cell r="U4700">
            <v>0</v>
          </cell>
          <cell r="V4700">
            <v>1</v>
          </cell>
          <cell r="W4700">
            <v>0</v>
          </cell>
          <cell r="X4700">
            <v>0</v>
          </cell>
          <cell r="Y4700">
            <v>0</v>
          </cell>
        </row>
        <row r="4701">
          <cell r="D4701">
            <v>314105</v>
          </cell>
          <cell r="E4701" t="str">
            <v>Polanco NHS Ext. - Isis</v>
          </cell>
          <cell r="F4701">
            <v>1</v>
          </cell>
          <cell r="G4701">
            <v>1</v>
          </cell>
          <cell r="H4701">
            <v>1</v>
          </cell>
          <cell r="I4701">
            <v>0</v>
          </cell>
          <cell r="J4701">
            <v>0</v>
          </cell>
          <cell r="K4701">
            <v>0</v>
          </cell>
          <cell r="L4701">
            <v>0</v>
          </cell>
          <cell r="M4701">
            <v>0</v>
          </cell>
          <cell r="N4701">
            <v>1</v>
          </cell>
          <cell r="O4701">
            <v>0</v>
          </cell>
          <cell r="P4701">
            <v>0</v>
          </cell>
          <cell r="Q4701">
            <v>0</v>
          </cell>
          <cell r="R4701">
            <v>1</v>
          </cell>
          <cell r="S4701">
            <v>0</v>
          </cell>
          <cell r="T4701">
            <v>0</v>
          </cell>
          <cell r="U4701">
            <v>0</v>
          </cell>
          <cell r="V4701">
            <v>1</v>
          </cell>
          <cell r="W4701">
            <v>0</v>
          </cell>
          <cell r="X4701">
            <v>0</v>
          </cell>
          <cell r="Y4701">
            <v>0</v>
          </cell>
        </row>
        <row r="4702">
          <cell r="D4702">
            <v>303697</v>
          </cell>
          <cell r="E4702" t="str">
            <v>Basagan National High School</v>
          </cell>
          <cell r="F4702">
            <v>1</v>
          </cell>
          <cell r="G4702">
            <v>0</v>
          </cell>
          <cell r="H4702">
            <v>0</v>
          </cell>
          <cell r="I4702">
            <v>0</v>
          </cell>
          <cell r="J4702">
            <v>1</v>
          </cell>
          <cell r="K4702">
            <v>0</v>
          </cell>
          <cell r="L4702">
            <v>0</v>
          </cell>
          <cell r="M4702">
            <v>0</v>
          </cell>
          <cell r="N4702">
            <v>1</v>
          </cell>
          <cell r="O4702">
            <v>0</v>
          </cell>
          <cell r="P4702" t="str">
            <v>12/31/19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1</v>
          </cell>
          <cell r="W4702">
            <v>0</v>
          </cell>
          <cell r="X4702">
            <v>0</v>
          </cell>
          <cell r="Y4702">
            <v>0</v>
          </cell>
        </row>
        <row r="4703">
          <cell r="D4703">
            <v>303750</v>
          </cell>
          <cell r="E4703" t="str">
            <v>Ubay National High School</v>
          </cell>
          <cell r="F4703">
            <v>1</v>
          </cell>
          <cell r="G4703">
            <v>1</v>
          </cell>
          <cell r="H4703">
            <v>1</v>
          </cell>
          <cell r="I4703">
            <v>1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43756</v>
          </cell>
          <cell r="P4703">
            <v>43789</v>
          </cell>
          <cell r="Q4703">
            <v>0</v>
          </cell>
          <cell r="R4703">
            <v>1</v>
          </cell>
          <cell r="S4703">
            <v>0</v>
          </cell>
          <cell r="T4703">
            <v>0</v>
          </cell>
          <cell r="U4703">
            <v>0</v>
          </cell>
          <cell r="V4703">
            <v>1</v>
          </cell>
          <cell r="W4703">
            <v>6</v>
          </cell>
          <cell r="X4703">
            <v>4</v>
          </cell>
          <cell r="Y4703">
            <v>4</v>
          </cell>
        </row>
        <row r="4704">
          <cell r="D4704">
            <v>303701</v>
          </cell>
          <cell r="E4704" t="str">
            <v>Katipunan NHS -Sinuyak Annex</v>
          </cell>
          <cell r="F4704">
            <v>1</v>
          </cell>
          <cell r="G4704">
            <v>0</v>
          </cell>
          <cell r="H4704">
            <v>1</v>
          </cell>
          <cell r="I4704">
            <v>0</v>
          </cell>
          <cell r="J4704">
            <v>1</v>
          </cell>
          <cell r="K4704">
            <v>0</v>
          </cell>
          <cell r="L4704">
            <v>0</v>
          </cell>
          <cell r="M4704">
            <v>0</v>
          </cell>
          <cell r="N4704">
            <v>1</v>
          </cell>
          <cell r="O4704">
            <v>43791</v>
          </cell>
          <cell r="P4704">
            <v>43805</v>
          </cell>
          <cell r="Q4704">
            <v>1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1</v>
          </cell>
          <cell r="W4704">
            <v>2</v>
          </cell>
          <cell r="X4704">
            <v>2</v>
          </cell>
          <cell r="Y4704">
            <v>2</v>
          </cell>
        </row>
        <row r="4705">
          <cell r="D4705">
            <v>303671</v>
          </cell>
          <cell r="E4705" t="str">
            <v>Bacong NHS</v>
          </cell>
          <cell r="F4705">
            <v>1</v>
          </cell>
          <cell r="G4705">
            <v>1</v>
          </cell>
          <cell r="H4705">
            <v>1</v>
          </cell>
          <cell r="I4705">
            <v>0</v>
          </cell>
          <cell r="J4705">
            <v>1</v>
          </cell>
          <cell r="K4705">
            <v>0</v>
          </cell>
          <cell r="L4705">
            <v>0</v>
          </cell>
          <cell r="M4705">
            <v>0</v>
          </cell>
          <cell r="N4705">
            <v>1</v>
          </cell>
          <cell r="O4705" t="str">
            <v>10/25/2019</v>
          </cell>
          <cell r="P4705" t="str">
            <v>12/13/2019</v>
          </cell>
          <cell r="Q4705">
            <v>0</v>
          </cell>
          <cell r="R4705">
            <v>1</v>
          </cell>
          <cell r="S4705">
            <v>0</v>
          </cell>
          <cell r="T4705">
            <v>0</v>
          </cell>
          <cell r="U4705">
            <v>0</v>
          </cell>
          <cell r="V4705">
            <v>1</v>
          </cell>
          <cell r="W4705">
            <v>0</v>
          </cell>
          <cell r="X4705">
            <v>0</v>
          </cell>
          <cell r="Y4705">
            <v>0</v>
          </cell>
        </row>
        <row r="4706">
          <cell r="D4706">
            <v>314115</v>
          </cell>
          <cell r="E4706" t="str">
            <v>SIANAN NATIONAL HIGH SCHOOL</v>
          </cell>
          <cell r="F4706">
            <v>1</v>
          </cell>
          <cell r="G4706">
            <v>1</v>
          </cell>
          <cell r="H4706">
            <v>1</v>
          </cell>
          <cell r="I4706">
            <v>0</v>
          </cell>
          <cell r="J4706">
            <v>1</v>
          </cell>
          <cell r="K4706">
            <v>0</v>
          </cell>
          <cell r="L4706">
            <v>0</v>
          </cell>
          <cell r="M4706">
            <v>0</v>
          </cell>
          <cell r="N4706">
            <v>1</v>
          </cell>
          <cell r="O4706">
            <v>0</v>
          </cell>
          <cell r="P4706">
            <v>43747</v>
          </cell>
          <cell r="Q4706">
            <v>0</v>
          </cell>
          <cell r="R4706">
            <v>1</v>
          </cell>
          <cell r="S4706">
            <v>0</v>
          </cell>
          <cell r="T4706">
            <v>0</v>
          </cell>
          <cell r="U4706">
            <v>0</v>
          </cell>
          <cell r="V4706">
            <v>1</v>
          </cell>
          <cell r="W4706">
            <v>1</v>
          </cell>
          <cell r="X4706">
            <v>1</v>
          </cell>
          <cell r="Y4706">
            <v>1</v>
          </cell>
        </row>
        <row r="4707">
          <cell r="D4707">
            <v>303710</v>
          </cell>
          <cell r="E4707" t="str">
            <v>Manukan NHS</v>
          </cell>
          <cell r="F4707">
            <v>1</v>
          </cell>
          <cell r="G4707">
            <v>1</v>
          </cell>
          <cell r="H4707">
            <v>1</v>
          </cell>
          <cell r="I4707">
            <v>0</v>
          </cell>
          <cell r="J4707">
            <v>1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1</v>
          </cell>
          <cell r="S4707">
            <v>0</v>
          </cell>
          <cell r="T4707">
            <v>0</v>
          </cell>
          <cell r="U4707">
            <v>0</v>
          </cell>
          <cell r="V4707">
            <v>1</v>
          </cell>
          <cell r="W4707">
            <v>0</v>
          </cell>
          <cell r="X4707">
            <v>0</v>
          </cell>
          <cell r="Y4707">
            <v>0</v>
          </cell>
        </row>
        <row r="4708">
          <cell r="D4708">
            <v>303719</v>
          </cell>
          <cell r="E4708" t="str">
            <v>Ponot NHS</v>
          </cell>
          <cell r="F4708">
            <v>1</v>
          </cell>
          <cell r="G4708">
            <v>0</v>
          </cell>
          <cell r="H4708">
            <v>1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N4708">
            <v>1</v>
          </cell>
          <cell r="O4708">
            <v>43539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</row>
        <row r="4709">
          <cell r="D4709">
            <v>303721</v>
          </cell>
          <cell r="E4709" t="str">
            <v>Salug National High School</v>
          </cell>
          <cell r="F4709">
            <v>1</v>
          </cell>
          <cell r="G4709">
            <v>1</v>
          </cell>
          <cell r="H4709">
            <v>1</v>
          </cell>
          <cell r="I4709">
            <v>0</v>
          </cell>
          <cell r="J4709">
            <v>1</v>
          </cell>
          <cell r="K4709">
            <v>0</v>
          </cell>
          <cell r="L4709">
            <v>0</v>
          </cell>
          <cell r="M4709">
            <v>0</v>
          </cell>
          <cell r="N4709">
            <v>1</v>
          </cell>
          <cell r="O4709">
            <v>43739</v>
          </cell>
          <cell r="P4709">
            <v>43800</v>
          </cell>
          <cell r="Q4709">
            <v>1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1</v>
          </cell>
          <cell r="W4709">
            <v>3</v>
          </cell>
          <cell r="X4709">
            <v>3</v>
          </cell>
          <cell r="Y4709">
            <v>0</v>
          </cell>
        </row>
        <row r="4710">
          <cell r="D4710">
            <v>303675</v>
          </cell>
          <cell r="E4710" t="str">
            <v>Tinuyop National High school</v>
          </cell>
          <cell r="F4710">
            <v>1</v>
          </cell>
          <cell r="G4710">
            <v>1</v>
          </cell>
          <cell r="H4710">
            <v>1</v>
          </cell>
          <cell r="I4710">
            <v>0</v>
          </cell>
          <cell r="J4710">
            <v>1</v>
          </cell>
          <cell r="K4710">
            <v>0</v>
          </cell>
          <cell r="L4710">
            <v>0</v>
          </cell>
          <cell r="M4710">
            <v>0</v>
          </cell>
          <cell r="N4710">
            <v>1</v>
          </cell>
          <cell r="O4710">
            <v>43805</v>
          </cell>
          <cell r="P4710">
            <v>43805</v>
          </cell>
          <cell r="Q4710">
            <v>1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1</v>
          </cell>
          <cell r="W4710">
            <v>6</v>
          </cell>
          <cell r="X4710">
            <v>6</v>
          </cell>
          <cell r="Y4710">
            <v>6</v>
          </cell>
        </row>
        <row r="4711">
          <cell r="D4711">
            <v>303743</v>
          </cell>
          <cell r="E4711" t="str">
            <v>Dacon National High School (Sirawai NHS - Guban Annex)</v>
          </cell>
          <cell r="F4711">
            <v>1</v>
          </cell>
          <cell r="G4711">
            <v>1</v>
          </cell>
          <cell r="H4711">
            <v>0</v>
          </cell>
          <cell r="I4711">
            <v>0</v>
          </cell>
          <cell r="J4711">
            <v>0</v>
          </cell>
          <cell r="K4711">
            <v>1</v>
          </cell>
          <cell r="L4711">
            <v>0</v>
          </cell>
          <cell r="M4711">
            <v>0</v>
          </cell>
          <cell r="N4711">
            <v>1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1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</row>
        <row r="4712">
          <cell r="D4712">
            <v>303740</v>
          </cell>
          <cell r="E4712" t="str">
            <v>Siocon National High School</v>
          </cell>
          <cell r="F4712">
            <v>1</v>
          </cell>
          <cell r="G4712">
            <v>1</v>
          </cell>
          <cell r="H4712">
            <v>1</v>
          </cell>
          <cell r="I4712">
            <v>0</v>
          </cell>
          <cell r="J4712">
            <v>1</v>
          </cell>
          <cell r="K4712">
            <v>0</v>
          </cell>
          <cell r="L4712">
            <v>0</v>
          </cell>
          <cell r="M4712">
            <v>0</v>
          </cell>
          <cell r="N4712">
            <v>1</v>
          </cell>
          <cell r="O4712">
            <v>0</v>
          </cell>
          <cell r="P4712">
            <v>0</v>
          </cell>
          <cell r="Q4712">
            <v>0</v>
          </cell>
          <cell r="R4712">
            <v>1</v>
          </cell>
          <cell r="S4712">
            <v>0</v>
          </cell>
          <cell r="T4712">
            <v>0</v>
          </cell>
          <cell r="U4712">
            <v>0</v>
          </cell>
          <cell r="V4712">
            <v>1</v>
          </cell>
          <cell r="W4712">
            <v>2</v>
          </cell>
          <cell r="X4712">
            <v>1</v>
          </cell>
          <cell r="Y4712">
            <v>1</v>
          </cell>
        </row>
        <row r="4713">
          <cell r="D4713">
            <v>303738</v>
          </cell>
          <cell r="E4713" t="str">
            <v>SINDANGAN NATIONAL AGRICULTURAL SCHOOL</v>
          </cell>
          <cell r="F4713">
            <v>1</v>
          </cell>
          <cell r="G4713">
            <v>1</v>
          </cell>
          <cell r="H4713">
            <v>1</v>
          </cell>
          <cell r="I4713">
            <v>0</v>
          </cell>
          <cell r="J4713">
            <v>1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</row>
        <row r="4714">
          <cell r="D4714">
            <v>314128</v>
          </cell>
          <cell r="E4714" t="str">
            <v>MATIAS C. RANILLO NATIONAL HIGH SCHOOL</v>
          </cell>
          <cell r="F4714">
            <v>1</v>
          </cell>
          <cell r="G4714">
            <v>0</v>
          </cell>
          <cell r="H4714">
            <v>1</v>
          </cell>
          <cell r="I4714">
            <v>0</v>
          </cell>
          <cell r="J4714">
            <v>0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</row>
        <row r="4715">
          <cell r="D4715">
            <v>303676</v>
          </cell>
          <cell r="E4715" t="str">
            <v>Balakan NHS</v>
          </cell>
          <cell r="F4715">
            <v>1</v>
          </cell>
          <cell r="G4715">
            <v>1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</row>
        <row r="4716">
          <cell r="D4716">
            <v>303739</v>
          </cell>
          <cell r="E4716" t="str">
            <v>Sindangan National High School</v>
          </cell>
          <cell r="F4716">
            <v>1</v>
          </cell>
          <cell r="G4716">
            <v>1</v>
          </cell>
          <cell r="H4716">
            <v>0</v>
          </cell>
          <cell r="I4716">
            <v>0</v>
          </cell>
          <cell r="J4716">
            <v>1</v>
          </cell>
          <cell r="K4716">
            <v>0</v>
          </cell>
          <cell r="L4716">
            <v>0</v>
          </cell>
          <cell r="M4716">
            <v>0</v>
          </cell>
          <cell r="N4716">
            <v>1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1</v>
          </cell>
          <cell r="T4716">
            <v>0</v>
          </cell>
          <cell r="U4716">
            <v>0</v>
          </cell>
          <cell r="V4716">
            <v>1</v>
          </cell>
          <cell r="W4716">
            <v>0</v>
          </cell>
          <cell r="X4716">
            <v>0</v>
          </cell>
          <cell r="Y4716">
            <v>0</v>
          </cell>
        </row>
        <row r="4717">
          <cell r="D4717">
            <v>303680</v>
          </cell>
          <cell r="E4717" t="str">
            <v>DINASAN NATIONAL HIGH SCHOOL</v>
          </cell>
          <cell r="F4717">
            <v>0</v>
          </cell>
          <cell r="G4717">
            <v>0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</row>
        <row r="4718">
          <cell r="D4718">
            <v>303688</v>
          </cell>
          <cell r="E4718" t="str">
            <v>Gutalac NHS Mamawan - Annex</v>
          </cell>
          <cell r="F4718">
            <v>1</v>
          </cell>
          <cell r="G4718">
            <v>1</v>
          </cell>
          <cell r="H4718">
            <v>1</v>
          </cell>
          <cell r="I4718">
            <v>0</v>
          </cell>
          <cell r="J4718">
            <v>1</v>
          </cell>
          <cell r="K4718">
            <v>0</v>
          </cell>
          <cell r="L4718">
            <v>0</v>
          </cell>
          <cell r="M4718">
            <v>0</v>
          </cell>
          <cell r="N4718">
            <v>1</v>
          </cell>
          <cell r="O4718">
            <v>43777</v>
          </cell>
          <cell r="P4718">
            <v>43805</v>
          </cell>
          <cell r="Q4718">
            <v>1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1</v>
          </cell>
          <cell r="W4718">
            <v>2</v>
          </cell>
          <cell r="X4718">
            <v>0</v>
          </cell>
          <cell r="Y4718">
            <v>0</v>
          </cell>
        </row>
        <row r="4719">
          <cell r="D4719">
            <v>303679</v>
          </cell>
          <cell r="E4719" t="str">
            <v>Dilawa NHS</v>
          </cell>
          <cell r="F4719">
            <v>1</v>
          </cell>
          <cell r="G4719">
            <v>0</v>
          </cell>
          <cell r="H4719">
            <v>1</v>
          </cell>
          <cell r="I4719">
            <v>0</v>
          </cell>
          <cell r="J4719">
            <v>0</v>
          </cell>
          <cell r="K4719">
            <v>1</v>
          </cell>
          <cell r="L4719">
            <v>0</v>
          </cell>
          <cell r="M4719">
            <v>0</v>
          </cell>
          <cell r="N4719">
            <v>1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1</v>
          </cell>
          <cell r="T4719">
            <v>0</v>
          </cell>
          <cell r="U4719">
            <v>0</v>
          </cell>
          <cell r="V4719">
            <v>1</v>
          </cell>
          <cell r="W4719">
            <v>0</v>
          </cell>
          <cell r="X4719">
            <v>0</v>
          </cell>
          <cell r="Y4719">
            <v>0</v>
          </cell>
        </row>
        <row r="4720">
          <cell r="D4720">
            <v>303687</v>
          </cell>
          <cell r="E4720" t="str">
            <v>Canuto Enerio National High School</v>
          </cell>
          <cell r="F4720">
            <v>0</v>
          </cell>
          <cell r="G4720">
            <v>0</v>
          </cell>
          <cell r="H4720">
            <v>0</v>
          </cell>
          <cell r="I4720">
            <v>0</v>
          </cell>
          <cell r="J4720">
            <v>1</v>
          </cell>
          <cell r="K4720">
            <v>0</v>
          </cell>
          <cell r="L4720">
            <v>0</v>
          </cell>
          <cell r="M4720">
            <v>0</v>
          </cell>
          <cell r="N4720">
            <v>1</v>
          </cell>
          <cell r="O4720">
            <v>0</v>
          </cell>
          <cell r="P4720">
            <v>43706</v>
          </cell>
          <cell r="Q4720">
            <v>1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1</v>
          </cell>
          <cell r="W4720">
            <v>0</v>
          </cell>
          <cell r="X4720">
            <v>0</v>
          </cell>
          <cell r="Y4720">
            <v>0</v>
          </cell>
        </row>
        <row r="4721">
          <cell r="D4721">
            <v>303698</v>
          </cell>
          <cell r="E4721" t="str">
            <v>Don Teotimo Z. Ochotorena NHS</v>
          </cell>
          <cell r="F4721">
            <v>1</v>
          </cell>
          <cell r="G4721">
            <v>0</v>
          </cell>
          <cell r="H4721">
            <v>0</v>
          </cell>
          <cell r="I4721">
            <v>0</v>
          </cell>
          <cell r="J4721">
            <v>0</v>
          </cell>
          <cell r="K4721">
            <v>1</v>
          </cell>
          <cell r="L4721">
            <v>0</v>
          </cell>
          <cell r="M4721">
            <v>0</v>
          </cell>
          <cell r="N4721">
            <v>1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1</v>
          </cell>
          <cell r="T4721">
            <v>0</v>
          </cell>
          <cell r="U4721">
            <v>0</v>
          </cell>
          <cell r="V4721">
            <v>1</v>
          </cell>
          <cell r="W4721">
            <v>0</v>
          </cell>
          <cell r="X4721">
            <v>0</v>
          </cell>
          <cell r="Y4721">
            <v>0</v>
          </cell>
        </row>
        <row r="4722">
          <cell r="D4722">
            <v>314110</v>
          </cell>
          <cell r="E4722" t="str">
            <v>Polanco NHS Ext. - Lingasad</v>
          </cell>
          <cell r="F4722">
            <v>1</v>
          </cell>
          <cell r="G4722">
            <v>1</v>
          </cell>
          <cell r="H4722">
            <v>1</v>
          </cell>
          <cell r="I4722">
            <v>0</v>
          </cell>
          <cell r="J4722">
            <v>0</v>
          </cell>
          <cell r="K4722">
            <v>1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1</v>
          </cell>
          <cell r="S4722">
            <v>0</v>
          </cell>
          <cell r="T4722">
            <v>0</v>
          </cell>
          <cell r="U4722">
            <v>0</v>
          </cell>
          <cell r="V4722">
            <v>1</v>
          </cell>
          <cell r="W4722">
            <v>1</v>
          </cell>
          <cell r="X4722">
            <v>0</v>
          </cell>
          <cell r="Y4722">
            <v>0</v>
          </cell>
        </row>
        <row r="4723">
          <cell r="D4723">
            <v>303674</v>
          </cell>
          <cell r="E4723" t="str">
            <v>Talinga National High School</v>
          </cell>
          <cell r="F4723">
            <v>1</v>
          </cell>
          <cell r="G4723">
            <v>0</v>
          </cell>
          <cell r="H4723">
            <v>1</v>
          </cell>
          <cell r="I4723">
            <v>0</v>
          </cell>
          <cell r="J4723">
            <v>1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</row>
        <row r="4724">
          <cell r="D4724">
            <v>303703</v>
          </cell>
          <cell r="E4724" t="str">
            <v>Kipit Agro-Fishery NHS</v>
          </cell>
          <cell r="F4724">
            <v>1</v>
          </cell>
          <cell r="G4724">
            <v>1</v>
          </cell>
          <cell r="H4724">
            <v>0</v>
          </cell>
          <cell r="I4724">
            <v>0</v>
          </cell>
          <cell r="J4724">
            <v>0</v>
          </cell>
          <cell r="K4724">
            <v>1</v>
          </cell>
          <cell r="L4724">
            <v>0</v>
          </cell>
          <cell r="M4724">
            <v>0</v>
          </cell>
          <cell r="N4724">
            <v>1</v>
          </cell>
          <cell r="O4724" t="str">
            <v>AUG. 2019</v>
          </cell>
          <cell r="P4724" t="str">
            <v>NOV. 2019</v>
          </cell>
          <cell r="Q4724">
            <v>0</v>
          </cell>
          <cell r="R4724">
            <v>1</v>
          </cell>
          <cell r="S4724">
            <v>0</v>
          </cell>
          <cell r="T4724">
            <v>0</v>
          </cell>
          <cell r="U4724">
            <v>0</v>
          </cell>
          <cell r="V4724">
            <v>1</v>
          </cell>
          <cell r="W4724">
            <v>0</v>
          </cell>
          <cell r="X4724">
            <v>0</v>
          </cell>
          <cell r="Y4724">
            <v>0</v>
          </cell>
        </row>
        <row r="4725">
          <cell r="D4725">
            <v>314122</v>
          </cell>
          <cell r="E4725" t="str">
            <v>Gutalac NHS Ext. - Tipan</v>
          </cell>
          <cell r="F4725">
            <v>0</v>
          </cell>
          <cell r="G4725">
            <v>0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</row>
        <row r="4726">
          <cell r="D4726">
            <v>314126</v>
          </cell>
          <cell r="E4726" t="str">
            <v>Sergio Osmena NHS Ext. - Marapong</v>
          </cell>
          <cell r="F4726">
            <v>1</v>
          </cell>
          <cell r="G4726">
            <v>1</v>
          </cell>
          <cell r="H4726">
            <v>1</v>
          </cell>
          <cell r="I4726">
            <v>0</v>
          </cell>
          <cell r="J4726">
            <v>1</v>
          </cell>
          <cell r="K4726">
            <v>0</v>
          </cell>
          <cell r="L4726">
            <v>0</v>
          </cell>
          <cell r="M4726">
            <v>0</v>
          </cell>
          <cell r="N4726">
            <v>1</v>
          </cell>
          <cell r="O4726" t="str">
            <v>10/25/2019</v>
          </cell>
          <cell r="P4726" t="str">
            <v>NONE</v>
          </cell>
          <cell r="Q4726">
            <v>0</v>
          </cell>
          <cell r="R4726">
            <v>1</v>
          </cell>
          <cell r="S4726">
            <v>0</v>
          </cell>
          <cell r="T4726">
            <v>0</v>
          </cell>
          <cell r="U4726">
            <v>0</v>
          </cell>
          <cell r="V4726">
            <v>1</v>
          </cell>
          <cell r="W4726">
            <v>0</v>
          </cell>
          <cell r="X4726">
            <v>0</v>
          </cell>
          <cell r="Y4726">
            <v>0</v>
          </cell>
        </row>
        <row r="4727">
          <cell r="D4727">
            <v>314120</v>
          </cell>
          <cell r="E4727" t="str">
            <v>Balas National High School</v>
          </cell>
          <cell r="F4727">
            <v>0</v>
          </cell>
          <cell r="G4727">
            <v>0</v>
          </cell>
          <cell r="H4727">
            <v>1</v>
          </cell>
          <cell r="I4727">
            <v>0</v>
          </cell>
          <cell r="J4727">
            <v>0</v>
          </cell>
          <cell r="K4727">
            <v>1</v>
          </cell>
          <cell r="L4727">
            <v>0</v>
          </cell>
          <cell r="M4727">
            <v>0</v>
          </cell>
          <cell r="N4727">
            <v>0</v>
          </cell>
          <cell r="O4727">
            <v>43647</v>
          </cell>
          <cell r="P4727">
            <v>43647</v>
          </cell>
          <cell r="Q4727">
            <v>0</v>
          </cell>
          <cell r="R4727">
            <v>0</v>
          </cell>
          <cell r="S4727">
            <v>1</v>
          </cell>
          <cell r="T4727">
            <v>0</v>
          </cell>
          <cell r="U4727">
            <v>0</v>
          </cell>
          <cell r="V4727">
            <v>0</v>
          </cell>
          <cell r="W4727">
            <v>4</v>
          </cell>
          <cell r="X4727">
            <v>4</v>
          </cell>
          <cell r="Y4727">
            <v>1</v>
          </cell>
        </row>
        <row r="4728">
          <cell r="D4728">
            <v>303815</v>
          </cell>
          <cell r="E4728" t="str">
            <v>Simata NHS</v>
          </cell>
          <cell r="F4728">
            <v>1</v>
          </cell>
          <cell r="G4728">
            <v>1</v>
          </cell>
          <cell r="H4728">
            <v>0</v>
          </cell>
          <cell r="I4728">
            <v>0</v>
          </cell>
          <cell r="J4728">
            <v>1</v>
          </cell>
          <cell r="K4728">
            <v>0</v>
          </cell>
          <cell r="L4728">
            <v>0</v>
          </cell>
          <cell r="M4728">
            <v>0</v>
          </cell>
          <cell r="N4728">
            <v>1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1</v>
          </cell>
          <cell r="W4728">
            <v>0</v>
          </cell>
          <cell r="X4728">
            <v>0</v>
          </cell>
          <cell r="Y4728">
            <v>0</v>
          </cell>
        </row>
        <row r="4729">
          <cell r="D4729">
            <v>314216</v>
          </cell>
          <cell r="E4729" t="str">
            <v>Bulawan National High School</v>
          </cell>
          <cell r="F4729">
            <v>1</v>
          </cell>
          <cell r="G4729">
            <v>1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1</v>
          </cell>
          <cell r="M4729" t="str">
            <v>SYMPOSIUM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</row>
        <row r="4730">
          <cell r="D4730">
            <v>303755</v>
          </cell>
          <cell r="E4730" t="str">
            <v>Bag-ong Kahayag NHS</v>
          </cell>
          <cell r="F4730">
            <v>1</v>
          </cell>
          <cell r="G4730">
            <v>1</v>
          </cell>
          <cell r="H4730">
            <v>0</v>
          </cell>
          <cell r="I4730">
            <v>0</v>
          </cell>
          <cell r="J4730">
            <v>1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</row>
        <row r="4731">
          <cell r="D4731">
            <v>303810</v>
          </cell>
          <cell r="E4731" t="str">
            <v>Saloagan NHS</v>
          </cell>
          <cell r="F4731">
            <v>1</v>
          </cell>
          <cell r="G4731">
            <v>1</v>
          </cell>
          <cell r="H4731">
            <v>1</v>
          </cell>
          <cell r="I4731">
            <v>0</v>
          </cell>
          <cell r="J4731">
            <v>1</v>
          </cell>
          <cell r="K4731">
            <v>0</v>
          </cell>
          <cell r="L4731">
            <v>0</v>
          </cell>
          <cell r="M4731">
            <v>0</v>
          </cell>
          <cell r="N4731">
            <v>1</v>
          </cell>
          <cell r="O4731">
            <v>43721</v>
          </cell>
          <cell r="P4731">
            <v>0</v>
          </cell>
          <cell r="Q4731">
            <v>0</v>
          </cell>
          <cell r="R4731">
            <v>1</v>
          </cell>
          <cell r="S4731">
            <v>0</v>
          </cell>
          <cell r="T4731">
            <v>0</v>
          </cell>
          <cell r="U4731">
            <v>0</v>
          </cell>
          <cell r="V4731">
            <v>1</v>
          </cell>
          <cell r="W4731">
            <v>0</v>
          </cell>
          <cell r="X4731">
            <v>0</v>
          </cell>
          <cell r="Y4731">
            <v>0</v>
          </cell>
        </row>
        <row r="4732">
          <cell r="D4732">
            <v>303814</v>
          </cell>
          <cell r="E4732" t="str">
            <v>Sapa Anding Agricultural Vocational Technical School</v>
          </cell>
          <cell r="F4732">
            <v>1</v>
          </cell>
          <cell r="G4732">
            <v>1</v>
          </cell>
          <cell r="H4732">
            <v>0</v>
          </cell>
          <cell r="I4732">
            <v>1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N4732">
            <v>1</v>
          </cell>
          <cell r="O4732">
            <v>0</v>
          </cell>
          <cell r="P4732" t="str">
            <v>OCTOBER 30,2019</v>
          </cell>
          <cell r="Q4732">
            <v>1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1</v>
          </cell>
          <cell r="W4732">
            <v>4</v>
          </cell>
          <cell r="X4732">
            <v>4</v>
          </cell>
          <cell r="Y4732">
            <v>3</v>
          </cell>
        </row>
        <row r="4733">
          <cell r="D4733">
            <v>501159</v>
          </cell>
          <cell r="E4733" t="str">
            <v>Bogo Calabat Integrated School</v>
          </cell>
          <cell r="F4733">
            <v>1</v>
          </cell>
          <cell r="G4733">
            <v>1</v>
          </cell>
          <cell r="H4733">
            <v>1</v>
          </cell>
          <cell r="I4733">
            <v>0</v>
          </cell>
          <cell r="J4733">
            <v>0</v>
          </cell>
          <cell r="K4733">
            <v>1</v>
          </cell>
          <cell r="L4733">
            <v>0</v>
          </cell>
          <cell r="M4733">
            <v>0</v>
          </cell>
          <cell r="N4733">
            <v>1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1</v>
          </cell>
          <cell r="T4733">
            <v>0</v>
          </cell>
          <cell r="U4733">
            <v>0</v>
          </cell>
          <cell r="V4733">
            <v>1</v>
          </cell>
          <cell r="W4733">
            <v>0</v>
          </cell>
          <cell r="X4733">
            <v>0</v>
          </cell>
          <cell r="Y4733">
            <v>0</v>
          </cell>
        </row>
        <row r="4734">
          <cell r="D4734">
            <v>303803</v>
          </cell>
          <cell r="E4734" t="str">
            <v>Mahayag School of Arts and Trade (Mahayag NHS)</v>
          </cell>
          <cell r="F4734">
            <v>1</v>
          </cell>
          <cell r="G4734">
            <v>0</v>
          </cell>
          <cell r="H4734">
            <v>1</v>
          </cell>
          <cell r="I4734">
            <v>1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N4734">
            <v>1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</row>
        <row r="4735">
          <cell r="D4735">
            <v>314217</v>
          </cell>
          <cell r="E4735" t="str">
            <v>Bibilik NHS</v>
          </cell>
          <cell r="F4735">
            <v>1</v>
          </cell>
          <cell r="G4735">
            <v>1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1</v>
          </cell>
          <cell r="T4735">
            <v>0</v>
          </cell>
          <cell r="U4735">
            <v>0</v>
          </cell>
          <cell r="V4735">
            <v>1</v>
          </cell>
          <cell r="W4735">
            <v>0</v>
          </cell>
          <cell r="X4735">
            <v>0</v>
          </cell>
          <cell r="Y4735">
            <v>0</v>
          </cell>
        </row>
        <row r="4736">
          <cell r="D4736">
            <v>303766</v>
          </cell>
          <cell r="E4736" t="str">
            <v>Commonwealth NHS</v>
          </cell>
          <cell r="F4736">
            <v>0</v>
          </cell>
          <cell r="G4736">
            <v>0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 t="str">
            <v>N/A</v>
          </cell>
          <cell r="P4736" t="str">
            <v>N/A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 t="str">
            <v>N/A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</row>
        <row r="4737">
          <cell r="D4737">
            <v>303790</v>
          </cell>
          <cell r="E4737" t="str">
            <v>Legarda Dos NHS</v>
          </cell>
          <cell r="F4737">
            <v>1</v>
          </cell>
          <cell r="G4737">
            <v>1</v>
          </cell>
          <cell r="H4737">
            <v>0</v>
          </cell>
          <cell r="I4737">
            <v>0</v>
          </cell>
          <cell r="J4737">
            <v>0</v>
          </cell>
          <cell r="K4737">
            <v>1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1</v>
          </cell>
          <cell r="T4737">
            <v>0</v>
          </cell>
          <cell r="U4737">
            <v>0</v>
          </cell>
          <cell r="V4737">
            <v>1</v>
          </cell>
          <cell r="W4737">
            <v>0</v>
          </cell>
          <cell r="X4737">
            <v>0</v>
          </cell>
          <cell r="Y4737">
            <v>0</v>
          </cell>
        </row>
        <row r="4738">
          <cell r="D4738">
            <v>303807</v>
          </cell>
          <cell r="E4738" t="str">
            <v>Proper Dimaya NHS</v>
          </cell>
          <cell r="F4738">
            <v>1</v>
          </cell>
          <cell r="G4738">
            <v>1</v>
          </cell>
          <cell r="H4738">
            <v>1</v>
          </cell>
          <cell r="I4738">
            <v>0</v>
          </cell>
          <cell r="J4738">
            <v>1</v>
          </cell>
          <cell r="K4738">
            <v>0</v>
          </cell>
          <cell r="L4738">
            <v>0</v>
          </cell>
          <cell r="M4738">
            <v>0</v>
          </cell>
          <cell r="N4738">
            <v>1</v>
          </cell>
          <cell r="O4738">
            <v>0</v>
          </cell>
          <cell r="P4738">
            <v>0</v>
          </cell>
          <cell r="Q4738">
            <v>0</v>
          </cell>
          <cell r="R4738">
            <v>1</v>
          </cell>
          <cell r="S4738">
            <v>0</v>
          </cell>
          <cell r="T4738">
            <v>0</v>
          </cell>
          <cell r="U4738">
            <v>0</v>
          </cell>
          <cell r="V4738">
            <v>1</v>
          </cell>
          <cell r="W4738">
            <v>0</v>
          </cell>
          <cell r="X4738">
            <v>0</v>
          </cell>
          <cell r="Y4738">
            <v>0</v>
          </cell>
        </row>
        <row r="4739">
          <cell r="D4739">
            <v>314257</v>
          </cell>
          <cell r="E4739" t="str">
            <v>Midsalip NHS - Buloron Extension</v>
          </cell>
          <cell r="F4739">
            <v>0</v>
          </cell>
          <cell r="G4739">
            <v>0</v>
          </cell>
          <cell r="H4739">
            <v>1</v>
          </cell>
          <cell r="I4739">
            <v>0</v>
          </cell>
          <cell r="J4739">
            <v>0</v>
          </cell>
          <cell r="K4739">
            <v>0</v>
          </cell>
          <cell r="L4739">
            <v>0</v>
          </cell>
          <cell r="M4739" t="str">
            <v>SELDOM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</row>
        <row r="4740">
          <cell r="D4740">
            <v>314252</v>
          </cell>
          <cell r="E4740" t="str">
            <v>Locuban NHS</v>
          </cell>
          <cell r="F4740">
            <v>1</v>
          </cell>
          <cell r="G4740">
            <v>0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</row>
        <row r="4741">
          <cell r="D4741">
            <v>303804</v>
          </cell>
          <cell r="E4741" t="str">
            <v>Paulino Dari NHS</v>
          </cell>
          <cell r="F4741">
            <v>1</v>
          </cell>
          <cell r="G4741">
            <v>0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</row>
        <row r="4742">
          <cell r="D4742">
            <v>303777</v>
          </cell>
          <cell r="E4742" t="str">
            <v>Guinicolalay NHS</v>
          </cell>
          <cell r="F4742">
            <v>1</v>
          </cell>
          <cell r="G4742">
            <v>1</v>
          </cell>
          <cell r="H4742">
            <v>1</v>
          </cell>
          <cell r="I4742">
            <v>0</v>
          </cell>
          <cell r="J4742">
            <v>1</v>
          </cell>
          <cell r="K4742">
            <v>0</v>
          </cell>
          <cell r="L4742">
            <v>0</v>
          </cell>
          <cell r="M4742">
            <v>0</v>
          </cell>
          <cell r="N4742">
            <v>1</v>
          </cell>
          <cell r="O4742" t="str">
            <v>September 20, 2019</v>
          </cell>
          <cell r="P4742" t="str">
            <v>September 19, 2019</v>
          </cell>
          <cell r="Q4742">
            <v>0</v>
          </cell>
          <cell r="R4742">
            <v>1</v>
          </cell>
          <cell r="S4742">
            <v>0</v>
          </cell>
          <cell r="T4742">
            <v>0</v>
          </cell>
          <cell r="U4742">
            <v>0</v>
          </cell>
          <cell r="V4742">
            <v>1</v>
          </cell>
          <cell r="W4742">
            <v>0</v>
          </cell>
          <cell r="X4742">
            <v>0</v>
          </cell>
          <cell r="Y4742">
            <v>0</v>
          </cell>
        </row>
        <row r="4743">
          <cell r="D4743">
            <v>303756</v>
          </cell>
          <cell r="E4743" t="str">
            <v>Balongating National High School</v>
          </cell>
          <cell r="F4743">
            <v>0</v>
          </cell>
          <cell r="G4743">
            <v>1</v>
          </cell>
          <cell r="H4743">
            <v>0</v>
          </cell>
          <cell r="I4743">
            <v>0</v>
          </cell>
          <cell r="J4743">
            <v>0</v>
          </cell>
          <cell r="K4743">
            <v>1</v>
          </cell>
          <cell r="L4743">
            <v>0</v>
          </cell>
          <cell r="M4743">
            <v>0</v>
          </cell>
          <cell r="N4743">
            <v>1</v>
          </cell>
          <cell r="O4743">
            <v>43630</v>
          </cell>
          <cell r="P4743">
            <v>43630</v>
          </cell>
          <cell r="Q4743">
            <v>0</v>
          </cell>
          <cell r="R4743">
            <v>0</v>
          </cell>
          <cell r="S4743">
            <v>1</v>
          </cell>
          <cell r="T4743">
            <v>0</v>
          </cell>
          <cell r="U4743">
            <v>0</v>
          </cell>
          <cell r="V4743">
            <v>1</v>
          </cell>
          <cell r="W4743">
            <v>0</v>
          </cell>
          <cell r="X4743">
            <v>0</v>
          </cell>
          <cell r="Y4743">
            <v>0</v>
          </cell>
        </row>
        <row r="4744">
          <cell r="D4744">
            <v>303786</v>
          </cell>
          <cell r="E4744" t="str">
            <v>Lantungan National High School</v>
          </cell>
          <cell r="F4744">
            <v>1</v>
          </cell>
          <cell r="G4744">
            <v>1</v>
          </cell>
          <cell r="H4744">
            <v>0</v>
          </cell>
          <cell r="I4744">
            <v>0</v>
          </cell>
          <cell r="J4744">
            <v>1</v>
          </cell>
          <cell r="K4744">
            <v>0</v>
          </cell>
          <cell r="L4744">
            <v>0</v>
          </cell>
          <cell r="M4744">
            <v>0</v>
          </cell>
          <cell r="N4744">
            <v>1</v>
          </cell>
          <cell r="O4744">
            <v>43652</v>
          </cell>
          <cell r="P4744">
            <v>0</v>
          </cell>
          <cell r="Q4744">
            <v>0</v>
          </cell>
          <cell r="R4744">
            <v>1</v>
          </cell>
          <cell r="S4744">
            <v>0</v>
          </cell>
          <cell r="T4744">
            <v>0</v>
          </cell>
          <cell r="U4744">
            <v>0</v>
          </cell>
          <cell r="V4744">
            <v>1</v>
          </cell>
          <cell r="W4744">
            <v>0</v>
          </cell>
          <cell r="X4744">
            <v>0</v>
          </cell>
          <cell r="Y4744">
            <v>0</v>
          </cell>
        </row>
        <row r="4745">
          <cell r="D4745">
            <v>303767</v>
          </cell>
          <cell r="E4745" t="str">
            <v>CONCEPCION NATIONAL HIGH SCHOOL</v>
          </cell>
          <cell r="F4745">
            <v>0</v>
          </cell>
          <cell r="G4745">
            <v>0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</row>
        <row r="4746">
          <cell r="D4746">
            <v>314255</v>
          </cell>
          <cell r="E4746" t="str">
            <v>Old Mirapao NHS</v>
          </cell>
          <cell r="F4746">
            <v>1</v>
          </cell>
          <cell r="G4746">
            <v>0</v>
          </cell>
          <cell r="H4746">
            <v>1</v>
          </cell>
          <cell r="I4746">
            <v>0</v>
          </cell>
          <cell r="J4746">
            <v>1</v>
          </cell>
          <cell r="K4746">
            <v>0</v>
          </cell>
          <cell r="L4746">
            <v>0</v>
          </cell>
          <cell r="M4746">
            <v>0</v>
          </cell>
          <cell r="N4746">
            <v>1</v>
          </cell>
          <cell r="O4746">
            <v>43656</v>
          </cell>
          <cell r="P4746">
            <v>0</v>
          </cell>
          <cell r="Q4746">
            <v>0</v>
          </cell>
          <cell r="R4746">
            <v>1</v>
          </cell>
          <cell r="S4746">
            <v>0</v>
          </cell>
          <cell r="T4746">
            <v>0</v>
          </cell>
          <cell r="U4746">
            <v>0</v>
          </cell>
          <cell r="V4746">
            <v>1</v>
          </cell>
          <cell r="W4746">
            <v>0</v>
          </cell>
          <cell r="X4746">
            <v>0</v>
          </cell>
          <cell r="Y4746">
            <v>0</v>
          </cell>
        </row>
        <row r="4747">
          <cell r="D4747">
            <v>314237</v>
          </cell>
          <cell r="E4747" t="str">
            <v>Mecolong National High School</v>
          </cell>
          <cell r="F4747">
            <v>1</v>
          </cell>
          <cell r="G4747">
            <v>1</v>
          </cell>
          <cell r="H4747">
            <v>1</v>
          </cell>
          <cell r="I4747">
            <v>0</v>
          </cell>
          <cell r="J4747">
            <v>1</v>
          </cell>
          <cell r="K4747">
            <v>0</v>
          </cell>
          <cell r="L4747">
            <v>0</v>
          </cell>
          <cell r="M4747">
            <v>0</v>
          </cell>
          <cell r="N4747">
            <v>1</v>
          </cell>
          <cell r="O4747">
            <v>43686</v>
          </cell>
          <cell r="P4747">
            <v>43742</v>
          </cell>
          <cell r="Q4747">
            <v>0</v>
          </cell>
          <cell r="R4747">
            <v>1</v>
          </cell>
          <cell r="S4747">
            <v>0</v>
          </cell>
          <cell r="T4747">
            <v>0</v>
          </cell>
          <cell r="U4747">
            <v>0</v>
          </cell>
          <cell r="V4747">
            <v>1</v>
          </cell>
          <cell r="W4747">
            <v>2</v>
          </cell>
          <cell r="X4747">
            <v>0</v>
          </cell>
          <cell r="Y4747">
            <v>0</v>
          </cell>
        </row>
        <row r="4748">
          <cell r="D4748">
            <v>303754</v>
          </cell>
          <cell r="E4748" t="str">
            <v>Baganian NHS</v>
          </cell>
          <cell r="F4748">
            <v>1</v>
          </cell>
          <cell r="G4748">
            <v>1</v>
          </cell>
          <cell r="H4748">
            <v>1</v>
          </cell>
          <cell r="I4748">
            <v>1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N4748">
            <v>1</v>
          </cell>
          <cell r="O4748" t="str">
            <v>Nov. 15, 2019</v>
          </cell>
          <cell r="P4748" t="str">
            <v>Sept. 9, 2019</v>
          </cell>
          <cell r="Q4748">
            <v>0</v>
          </cell>
          <cell r="R4748">
            <v>1</v>
          </cell>
          <cell r="S4748">
            <v>0</v>
          </cell>
          <cell r="T4748">
            <v>0</v>
          </cell>
          <cell r="U4748">
            <v>0</v>
          </cell>
          <cell r="V4748">
            <v>1</v>
          </cell>
          <cell r="W4748">
            <v>5</v>
          </cell>
          <cell r="X4748">
            <v>2</v>
          </cell>
          <cell r="Y4748">
            <v>2</v>
          </cell>
        </row>
        <row r="4749">
          <cell r="D4749">
            <v>303784</v>
          </cell>
          <cell r="E4749" t="str">
            <v>Kumalarang NHS</v>
          </cell>
          <cell r="F4749">
            <v>1</v>
          </cell>
          <cell r="G4749">
            <v>1</v>
          </cell>
          <cell r="H4749">
            <v>1</v>
          </cell>
          <cell r="I4749">
            <v>0</v>
          </cell>
          <cell r="J4749">
            <v>1</v>
          </cell>
          <cell r="K4749">
            <v>0</v>
          </cell>
          <cell r="L4749">
            <v>0</v>
          </cell>
          <cell r="M4749">
            <v>0</v>
          </cell>
          <cell r="N4749">
            <v>1</v>
          </cell>
          <cell r="O4749">
            <v>0</v>
          </cell>
          <cell r="P4749">
            <v>0</v>
          </cell>
          <cell r="Q4749">
            <v>0</v>
          </cell>
          <cell r="R4749">
            <v>1</v>
          </cell>
          <cell r="S4749">
            <v>0</v>
          </cell>
          <cell r="T4749">
            <v>0</v>
          </cell>
          <cell r="U4749">
            <v>0</v>
          </cell>
          <cell r="V4749">
            <v>1</v>
          </cell>
          <cell r="W4749">
            <v>0</v>
          </cell>
          <cell r="X4749">
            <v>0</v>
          </cell>
          <cell r="Y4749">
            <v>0</v>
          </cell>
        </row>
        <row r="4750">
          <cell r="D4750">
            <v>314228</v>
          </cell>
          <cell r="E4750" t="str">
            <v>Sapa Anding NHS - Ramon Magsaysay Extension</v>
          </cell>
          <cell r="F4750">
            <v>0</v>
          </cell>
          <cell r="G4750">
            <v>0</v>
          </cell>
          <cell r="H4750">
            <v>1</v>
          </cell>
          <cell r="I4750">
            <v>0</v>
          </cell>
          <cell r="J4750">
            <v>0</v>
          </cell>
          <cell r="K4750">
            <v>1</v>
          </cell>
          <cell r="L4750">
            <v>0</v>
          </cell>
          <cell r="M4750">
            <v>0</v>
          </cell>
          <cell r="N4750">
            <v>0</v>
          </cell>
          <cell r="O4750" t="str">
            <v>N/A</v>
          </cell>
          <cell r="P4750" t="str">
            <v>N/A</v>
          </cell>
          <cell r="Q4750">
            <v>1</v>
          </cell>
          <cell r="R4750">
            <v>0</v>
          </cell>
          <cell r="S4750">
            <v>0</v>
          </cell>
          <cell r="T4750">
            <v>1</v>
          </cell>
          <cell r="U4750" t="str">
            <v>N/A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</row>
        <row r="4751">
          <cell r="D4751">
            <v>303759</v>
          </cell>
          <cell r="E4751" t="str">
            <v>Binuay NHS</v>
          </cell>
          <cell r="F4751">
            <v>0</v>
          </cell>
          <cell r="G4751">
            <v>0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</row>
        <row r="4752">
          <cell r="D4752">
            <v>303787</v>
          </cell>
          <cell r="E4752" t="str">
            <v>Laperian National High School</v>
          </cell>
          <cell r="F4752">
            <v>1</v>
          </cell>
          <cell r="G4752">
            <v>1</v>
          </cell>
          <cell r="H4752">
            <v>1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N4752">
            <v>1</v>
          </cell>
          <cell r="O4752">
            <v>0</v>
          </cell>
          <cell r="P4752">
            <v>0</v>
          </cell>
          <cell r="Q4752">
            <v>0</v>
          </cell>
          <cell r="R4752">
            <v>1</v>
          </cell>
          <cell r="S4752">
            <v>0</v>
          </cell>
          <cell r="T4752">
            <v>0</v>
          </cell>
          <cell r="U4752">
            <v>0</v>
          </cell>
          <cell r="V4752">
            <v>1</v>
          </cell>
          <cell r="W4752">
            <v>0</v>
          </cell>
          <cell r="X4752">
            <v>0</v>
          </cell>
          <cell r="Y4752">
            <v>0</v>
          </cell>
        </row>
        <row r="4753">
          <cell r="D4753">
            <v>303770</v>
          </cell>
          <cell r="E4753" t="str">
            <v>Dimataling National High School</v>
          </cell>
          <cell r="F4753">
            <v>1</v>
          </cell>
          <cell r="G4753">
            <v>1</v>
          </cell>
          <cell r="H4753">
            <v>0</v>
          </cell>
          <cell r="I4753">
            <v>1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N4753">
            <v>1</v>
          </cell>
          <cell r="O4753">
            <v>0</v>
          </cell>
          <cell r="P4753">
            <v>0</v>
          </cell>
          <cell r="Q4753">
            <v>1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1</v>
          </cell>
          <cell r="W4753">
            <v>1</v>
          </cell>
          <cell r="X4753">
            <v>1</v>
          </cell>
          <cell r="Y4753">
            <v>1</v>
          </cell>
        </row>
        <row r="4754">
          <cell r="D4754">
            <v>303753</v>
          </cell>
          <cell r="E4754" t="str">
            <v>Antonio NHS</v>
          </cell>
          <cell r="F4754">
            <v>0</v>
          </cell>
          <cell r="G4754">
            <v>0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</row>
        <row r="4755">
          <cell r="D4755">
            <v>314241</v>
          </cell>
          <cell r="E4755" t="str">
            <v>Libayoy NHS</v>
          </cell>
          <cell r="F4755">
            <v>0</v>
          </cell>
          <cell r="G4755">
            <v>0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1</v>
          </cell>
          <cell r="M4755" t="str">
            <v>Just convene if problem arises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</row>
        <row r="4756">
          <cell r="D4756">
            <v>314263</v>
          </cell>
          <cell r="E4756" t="str">
            <v>Ma. Clara Lobregat NHS</v>
          </cell>
          <cell r="F4756">
            <v>1</v>
          </cell>
          <cell r="G4756">
            <v>1</v>
          </cell>
          <cell r="H4756">
            <v>1</v>
          </cell>
          <cell r="I4756">
            <v>0</v>
          </cell>
          <cell r="J4756">
            <v>0</v>
          </cell>
          <cell r="K4756">
            <v>1</v>
          </cell>
          <cell r="L4756">
            <v>0</v>
          </cell>
          <cell r="M4756">
            <v>0</v>
          </cell>
          <cell r="N4756">
            <v>1</v>
          </cell>
          <cell r="O4756">
            <v>43617</v>
          </cell>
          <cell r="P4756">
            <v>0</v>
          </cell>
          <cell r="Q4756">
            <v>0</v>
          </cell>
          <cell r="R4756">
            <v>1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2</v>
          </cell>
          <cell r="X4756">
            <v>0</v>
          </cell>
          <cell r="Y4756">
            <v>0</v>
          </cell>
        </row>
        <row r="4757">
          <cell r="D4757">
            <v>314204</v>
          </cell>
          <cell r="E4757" t="str">
            <v>Sumalig NHS</v>
          </cell>
          <cell r="F4757">
            <v>1</v>
          </cell>
          <cell r="G4757">
            <v>1</v>
          </cell>
          <cell r="H4757">
            <v>1</v>
          </cell>
          <cell r="I4757">
            <v>0</v>
          </cell>
          <cell r="J4757">
            <v>1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1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</row>
        <row r="4758">
          <cell r="D4758">
            <v>303773</v>
          </cell>
          <cell r="E4758" t="str">
            <v>Dumingag National High School</v>
          </cell>
          <cell r="F4758">
            <v>1</v>
          </cell>
          <cell r="G4758">
            <v>1</v>
          </cell>
          <cell r="H4758">
            <v>1</v>
          </cell>
          <cell r="I4758">
            <v>0</v>
          </cell>
          <cell r="J4758">
            <v>0</v>
          </cell>
          <cell r="K4758">
            <v>1</v>
          </cell>
          <cell r="L4758">
            <v>0</v>
          </cell>
          <cell r="M4758">
            <v>0</v>
          </cell>
          <cell r="N4758">
            <v>1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1</v>
          </cell>
          <cell r="T4758">
            <v>0</v>
          </cell>
          <cell r="U4758">
            <v>0</v>
          </cell>
          <cell r="V4758">
            <v>1</v>
          </cell>
          <cell r="W4758">
            <v>2</v>
          </cell>
          <cell r="X4758">
            <v>2</v>
          </cell>
          <cell r="Y4758">
            <v>0</v>
          </cell>
        </row>
        <row r="4759">
          <cell r="D4759">
            <v>303775</v>
          </cell>
          <cell r="E4759" t="str">
            <v>Esperanza Switch NHS</v>
          </cell>
          <cell r="F4759">
            <v>0</v>
          </cell>
          <cell r="G4759">
            <v>0</v>
          </cell>
          <cell r="H4759">
            <v>1</v>
          </cell>
          <cell r="I4759">
            <v>0</v>
          </cell>
          <cell r="J4759">
            <v>0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</row>
        <row r="4760">
          <cell r="D4760">
            <v>303800</v>
          </cell>
          <cell r="E4760" t="str">
            <v>Nilo NHS</v>
          </cell>
          <cell r="F4760">
            <v>1</v>
          </cell>
          <cell r="G4760">
            <v>0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0</v>
          </cell>
          <cell r="M4760">
            <v>0</v>
          </cell>
          <cell r="N4760">
            <v>1</v>
          </cell>
          <cell r="O4760">
            <v>0</v>
          </cell>
          <cell r="P4760" t="str">
            <v>10/25/2019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1</v>
          </cell>
          <cell r="W4760">
            <v>1</v>
          </cell>
          <cell r="X4760">
            <v>1</v>
          </cell>
          <cell r="Y4760">
            <v>1</v>
          </cell>
        </row>
        <row r="4761">
          <cell r="D4761">
            <v>303819</v>
          </cell>
          <cell r="E4761" t="str">
            <v>Tambulig NHS</v>
          </cell>
          <cell r="F4761">
            <v>1</v>
          </cell>
          <cell r="G4761">
            <v>1</v>
          </cell>
          <cell r="H4761">
            <v>1</v>
          </cell>
          <cell r="I4761">
            <v>0</v>
          </cell>
          <cell r="J4761">
            <v>1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</row>
        <row r="4762">
          <cell r="D4762">
            <v>303789</v>
          </cell>
          <cell r="E4762" t="str">
            <v>Maruing NHS</v>
          </cell>
          <cell r="F4762">
            <v>1</v>
          </cell>
          <cell r="G4762">
            <v>0</v>
          </cell>
          <cell r="H4762">
            <v>1</v>
          </cell>
          <cell r="I4762">
            <v>0</v>
          </cell>
          <cell r="J4762">
            <v>1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1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1</v>
          </cell>
          <cell r="W4762">
            <v>0</v>
          </cell>
          <cell r="X4762">
            <v>0</v>
          </cell>
          <cell r="Y4762">
            <v>0</v>
          </cell>
        </row>
        <row r="4763">
          <cell r="D4763">
            <v>303811</v>
          </cell>
          <cell r="E4763" t="str">
            <v>Tukuran Tech. Voc'l. HS</v>
          </cell>
          <cell r="F4763">
            <v>1</v>
          </cell>
          <cell r="G4763">
            <v>1</v>
          </cell>
          <cell r="H4763">
            <v>1</v>
          </cell>
          <cell r="I4763">
            <v>0</v>
          </cell>
          <cell r="J4763">
            <v>1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1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</row>
        <row r="4764">
          <cell r="D4764">
            <v>303792</v>
          </cell>
          <cell r="E4764" t="str">
            <v>Leonardo NHS</v>
          </cell>
          <cell r="F4764">
            <v>1</v>
          </cell>
          <cell r="G4764">
            <v>1</v>
          </cell>
          <cell r="H4764">
            <v>1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1</v>
          </cell>
          <cell r="U4764" t="str">
            <v>never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</row>
        <row r="4765">
          <cell r="D4765">
            <v>303761</v>
          </cell>
          <cell r="E4765" t="str">
            <v>Bokong NHS</v>
          </cell>
          <cell r="F4765">
            <v>1</v>
          </cell>
          <cell r="G4765">
            <v>1</v>
          </cell>
          <cell r="H4765">
            <v>1</v>
          </cell>
          <cell r="I4765">
            <v>0</v>
          </cell>
          <cell r="J4765">
            <v>1</v>
          </cell>
          <cell r="K4765">
            <v>0</v>
          </cell>
          <cell r="L4765">
            <v>0</v>
          </cell>
          <cell r="M4765">
            <v>0</v>
          </cell>
          <cell r="N4765">
            <v>1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1</v>
          </cell>
          <cell r="W4765">
            <v>0</v>
          </cell>
          <cell r="X4765">
            <v>0</v>
          </cell>
          <cell r="Y4765">
            <v>0</v>
          </cell>
        </row>
        <row r="4766">
          <cell r="D4766">
            <v>314223</v>
          </cell>
          <cell r="E4766" t="str">
            <v>Potenciano Solon Bandolon Memorial National High School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</row>
        <row r="4767">
          <cell r="D4767">
            <v>303788</v>
          </cell>
          <cell r="E4767" t="str">
            <v>Lapuyan NHS</v>
          </cell>
          <cell r="F4767">
            <v>0</v>
          </cell>
          <cell r="G4767">
            <v>1</v>
          </cell>
          <cell r="H4767">
            <v>1</v>
          </cell>
          <cell r="I4767">
            <v>0</v>
          </cell>
          <cell r="J4767">
            <v>1</v>
          </cell>
          <cell r="K4767">
            <v>0</v>
          </cell>
          <cell r="L4767">
            <v>0</v>
          </cell>
          <cell r="M4767">
            <v>0</v>
          </cell>
          <cell r="N4767">
            <v>1</v>
          </cell>
          <cell r="O4767">
            <v>43714</v>
          </cell>
          <cell r="P4767">
            <v>43714</v>
          </cell>
          <cell r="Q4767">
            <v>0</v>
          </cell>
          <cell r="R4767">
            <v>1</v>
          </cell>
          <cell r="S4767">
            <v>0</v>
          </cell>
          <cell r="T4767">
            <v>0</v>
          </cell>
          <cell r="U4767">
            <v>0</v>
          </cell>
          <cell r="V4767">
            <v>1</v>
          </cell>
          <cell r="W4767">
            <v>3</v>
          </cell>
          <cell r="X4767">
            <v>0</v>
          </cell>
          <cell r="Y4767">
            <v>0</v>
          </cell>
        </row>
        <row r="4768">
          <cell r="D4768">
            <v>345844</v>
          </cell>
          <cell r="E4768" t="str">
            <v>SHS in Labangan, Zamboanga Del Sur</v>
          </cell>
          <cell r="F4768">
            <v>1</v>
          </cell>
          <cell r="G4768">
            <v>1</v>
          </cell>
          <cell r="H4768">
            <v>1</v>
          </cell>
          <cell r="I4768">
            <v>0</v>
          </cell>
          <cell r="J4768">
            <v>1</v>
          </cell>
          <cell r="K4768">
            <v>0</v>
          </cell>
          <cell r="L4768">
            <v>0</v>
          </cell>
          <cell r="M4768">
            <v>0</v>
          </cell>
          <cell r="N4768">
            <v>1</v>
          </cell>
          <cell r="O4768">
            <v>43566</v>
          </cell>
          <cell r="P4768">
            <v>43566</v>
          </cell>
          <cell r="Q4768">
            <v>0</v>
          </cell>
          <cell r="R4768">
            <v>1</v>
          </cell>
          <cell r="S4768">
            <v>0</v>
          </cell>
          <cell r="T4768">
            <v>0</v>
          </cell>
          <cell r="U4768">
            <v>0</v>
          </cell>
          <cell r="V4768">
            <v>1</v>
          </cell>
          <cell r="W4768">
            <v>0</v>
          </cell>
          <cell r="X4768">
            <v>0</v>
          </cell>
          <cell r="Y4768">
            <v>0</v>
          </cell>
        </row>
        <row r="4769">
          <cell r="D4769">
            <v>303764</v>
          </cell>
          <cell r="E4769" t="str">
            <v>Laureano Salusod NHS</v>
          </cell>
          <cell r="F4769">
            <v>1</v>
          </cell>
          <cell r="G4769">
            <v>0</v>
          </cell>
          <cell r="H4769">
            <v>1</v>
          </cell>
          <cell r="I4769">
            <v>0</v>
          </cell>
          <cell r="J4769">
            <v>0</v>
          </cell>
          <cell r="K4769">
            <v>1</v>
          </cell>
          <cell r="L4769">
            <v>0</v>
          </cell>
          <cell r="M4769">
            <v>0</v>
          </cell>
          <cell r="N4769">
            <v>1</v>
          </cell>
          <cell r="O4769">
            <v>43617</v>
          </cell>
          <cell r="P4769">
            <v>43739</v>
          </cell>
          <cell r="Q4769">
            <v>0</v>
          </cell>
          <cell r="R4769">
            <v>1</v>
          </cell>
          <cell r="S4769">
            <v>0</v>
          </cell>
          <cell r="T4769">
            <v>0</v>
          </cell>
          <cell r="U4769">
            <v>0</v>
          </cell>
          <cell r="V4769">
            <v>1</v>
          </cell>
          <cell r="W4769">
            <v>2</v>
          </cell>
          <cell r="X4769">
            <v>0</v>
          </cell>
          <cell r="Y4769">
            <v>0</v>
          </cell>
        </row>
        <row r="4770">
          <cell r="D4770">
            <v>303778</v>
          </cell>
          <cell r="E4770" t="str">
            <v>Guipos NHS</v>
          </cell>
          <cell r="F4770">
            <v>0</v>
          </cell>
          <cell r="G4770">
            <v>0</v>
          </cell>
          <cell r="H4770">
            <v>1</v>
          </cell>
          <cell r="I4770">
            <v>0</v>
          </cell>
          <cell r="J4770">
            <v>0</v>
          </cell>
          <cell r="K4770">
            <v>1</v>
          </cell>
          <cell r="L4770">
            <v>0</v>
          </cell>
          <cell r="M4770">
            <v>0</v>
          </cell>
          <cell r="N4770">
            <v>1</v>
          </cell>
          <cell r="O4770" t="str">
            <v>6/8/2019</v>
          </cell>
          <cell r="P4770">
            <v>43748</v>
          </cell>
          <cell r="Q4770">
            <v>1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1</v>
          </cell>
          <cell r="W4770">
            <v>0</v>
          </cell>
          <cell r="X4770">
            <v>0</v>
          </cell>
          <cell r="Y4770">
            <v>0</v>
          </cell>
        </row>
        <row r="4771">
          <cell r="D4771">
            <v>303817</v>
          </cell>
          <cell r="E4771" t="str">
            <v>Sominot National High School</v>
          </cell>
          <cell r="F4771">
            <v>1</v>
          </cell>
          <cell r="G4771">
            <v>1</v>
          </cell>
          <cell r="H4771">
            <v>1</v>
          </cell>
          <cell r="I4771">
            <v>0</v>
          </cell>
          <cell r="J4771">
            <v>1</v>
          </cell>
          <cell r="K4771">
            <v>0</v>
          </cell>
          <cell r="L4771">
            <v>0</v>
          </cell>
          <cell r="M4771">
            <v>0</v>
          </cell>
          <cell r="N4771">
            <v>1</v>
          </cell>
          <cell r="O4771">
            <v>0</v>
          </cell>
          <cell r="P4771">
            <v>0</v>
          </cell>
          <cell r="Q4771">
            <v>0</v>
          </cell>
          <cell r="R4771">
            <v>1</v>
          </cell>
          <cell r="S4771">
            <v>0</v>
          </cell>
          <cell r="T4771">
            <v>0</v>
          </cell>
          <cell r="U4771">
            <v>0</v>
          </cell>
          <cell r="V4771">
            <v>1</v>
          </cell>
          <cell r="W4771">
            <v>0</v>
          </cell>
          <cell r="X4771">
            <v>0</v>
          </cell>
          <cell r="Y4771">
            <v>0</v>
          </cell>
        </row>
        <row r="4772">
          <cell r="D4772">
            <v>303776</v>
          </cell>
          <cell r="E4772" t="str">
            <v>Eugenia Andrin NHS</v>
          </cell>
          <cell r="F4772">
            <v>1</v>
          </cell>
          <cell r="G4772">
            <v>1</v>
          </cell>
          <cell r="H4772">
            <v>1</v>
          </cell>
          <cell r="I4772">
            <v>0</v>
          </cell>
          <cell r="J4772">
            <v>1</v>
          </cell>
          <cell r="K4772">
            <v>0</v>
          </cell>
          <cell r="L4772">
            <v>0</v>
          </cell>
          <cell r="M4772">
            <v>0</v>
          </cell>
          <cell r="N4772">
            <v>1</v>
          </cell>
          <cell r="O4772">
            <v>43739</v>
          </cell>
          <cell r="P4772">
            <v>0</v>
          </cell>
          <cell r="Q4772">
            <v>0</v>
          </cell>
          <cell r="R4772">
            <v>1</v>
          </cell>
          <cell r="S4772">
            <v>0</v>
          </cell>
          <cell r="T4772">
            <v>0</v>
          </cell>
          <cell r="U4772">
            <v>0</v>
          </cell>
          <cell r="V4772">
            <v>1</v>
          </cell>
          <cell r="W4772">
            <v>2</v>
          </cell>
          <cell r="X4772">
            <v>0</v>
          </cell>
          <cell r="Y4772">
            <v>0</v>
          </cell>
        </row>
        <row r="4773">
          <cell r="D4773">
            <v>303757</v>
          </cell>
          <cell r="E4773" t="str">
            <v>Bayog National Technical Vocational High School</v>
          </cell>
          <cell r="F4773">
            <v>1</v>
          </cell>
          <cell r="G4773">
            <v>0</v>
          </cell>
          <cell r="H4773">
            <v>1</v>
          </cell>
          <cell r="I4773">
            <v>0</v>
          </cell>
          <cell r="J4773">
            <v>0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43472</v>
          </cell>
          <cell r="P4773">
            <v>43472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1</v>
          </cell>
          <cell r="W4773">
            <v>3</v>
          </cell>
          <cell r="X4773">
            <v>3</v>
          </cell>
          <cell r="Y4773">
            <v>3</v>
          </cell>
        </row>
        <row r="4774">
          <cell r="D4774">
            <v>303821</v>
          </cell>
          <cell r="E4774" t="str">
            <v>Tigbao NHS</v>
          </cell>
          <cell r="F4774">
            <v>0</v>
          </cell>
          <cell r="G4774">
            <v>0</v>
          </cell>
          <cell r="H4774">
            <v>1</v>
          </cell>
          <cell r="I4774">
            <v>0</v>
          </cell>
          <cell r="J4774">
            <v>0</v>
          </cell>
          <cell r="K4774">
            <v>0</v>
          </cell>
          <cell r="L4774">
            <v>1</v>
          </cell>
          <cell r="M4774" t="str">
            <v>WHEN THE NEED ARISES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</row>
        <row r="4775">
          <cell r="D4775">
            <v>303818</v>
          </cell>
          <cell r="E4775" t="str">
            <v>Subanen Agricultural NHS</v>
          </cell>
          <cell r="F4775">
            <v>1</v>
          </cell>
          <cell r="G4775">
            <v>1</v>
          </cell>
          <cell r="H4775">
            <v>1</v>
          </cell>
          <cell r="I4775">
            <v>0</v>
          </cell>
          <cell r="J4775">
            <v>1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 t="str">
            <v>11/22/19</v>
          </cell>
          <cell r="P4775">
            <v>0</v>
          </cell>
          <cell r="Q4775">
            <v>0</v>
          </cell>
          <cell r="R4775">
            <v>1</v>
          </cell>
          <cell r="S4775">
            <v>0</v>
          </cell>
          <cell r="T4775">
            <v>0</v>
          </cell>
          <cell r="U4775">
            <v>0</v>
          </cell>
          <cell r="V4775">
            <v>1</v>
          </cell>
          <cell r="W4775">
            <v>0</v>
          </cell>
          <cell r="X4775">
            <v>0</v>
          </cell>
          <cell r="Y4775">
            <v>0</v>
          </cell>
        </row>
        <row r="4776">
          <cell r="D4776">
            <v>303805</v>
          </cell>
          <cell r="E4776" t="str">
            <v>Panubigan NHS</v>
          </cell>
          <cell r="F4776">
            <v>0</v>
          </cell>
          <cell r="G4776">
            <v>0</v>
          </cell>
          <cell r="H4776">
            <v>1</v>
          </cell>
          <cell r="I4776">
            <v>0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1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</row>
        <row r="4777">
          <cell r="D4777">
            <v>314218</v>
          </cell>
          <cell r="E4777" t="str">
            <v>Bag-ong Kauswagan NHS</v>
          </cell>
          <cell r="F4777">
            <v>0</v>
          </cell>
          <cell r="G4777">
            <v>0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1</v>
          </cell>
          <cell r="U4777" t="str">
            <v>Never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</row>
        <row r="4778">
          <cell r="D4778">
            <v>303771</v>
          </cell>
          <cell r="E4778" t="str">
            <v>Dinas NHS</v>
          </cell>
          <cell r="F4778">
            <v>1</v>
          </cell>
          <cell r="G4778">
            <v>1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N4778">
            <v>1</v>
          </cell>
          <cell r="O4778">
            <v>43716</v>
          </cell>
          <cell r="P4778">
            <v>0</v>
          </cell>
          <cell r="Q4778">
            <v>1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1</v>
          </cell>
          <cell r="W4778">
            <v>0</v>
          </cell>
          <cell r="X4778">
            <v>0</v>
          </cell>
          <cell r="Y4778">
            <v>0</v>
          </cell>
        </row>
        <row r="4779">
          <cell r="D4779">
            <v>303823</v>
          </cell>
          <cell r="E4779" t="str">
            <v>Vicenta C. Enerio National High School</v>
          </cell>
          <cell r="F4779">
            <v>1</v>
          </cell>
          <cell r="G4779">
            <v>0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</row>
        <row r="4780">
          <cell r="D4780">
            <v>303782</v>
          </cell>
          <cell r="E4780" t="str">
            <v>Kabatan National High School</v>
          </cell>
          <cell r="F4780">
            <v>1</v>
          </cell>
          <cell r="G4780">
            <v>0</v>
          </cell>
          <cell r="H4780">
            <v>1</v>
          </cell>
          <cell r="I4780">
            <v>0</v>
          </cell>
          <cell r="J4780">
            <v>1</v>
          </cell>
          <cell r="K4780">
            <v>0</v>
          </cell>
          <cell r="L4780">
            <v>0</v>
          </cell>
          <cell r="M4780">
            <v>0</v>
          </cell>
          <cell r="N4780">
            <v>1</v>
          </cell>
          <cell r="O4780">
            <v>43750</v>
          </cell>
          <cell r="P4780">
            <v>43779</v>
          </cell>
          <cell r="Q4780">
            <v>1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1</v>
          </cell>
          <cell r="W4780">
            <v>5</v>
          </cell>
          <cell r="X4780">
            <v>0</v>
          </cell>
          <cell r="Y4780">
            <v>0</v>
          </cell>
        </row>
        <row r="4781">
          <cell r="D4781">
            <v>303791</v>
          </cell>
          <cell r="E4781" t="str">
            <v>Betinan NHS</v>
          </cell>
          <cell r="F4781">
            <v>0</v>
          </cell>
          <cell r="G4781">
            <v>0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</row>
        <row r="4782">
          <cell r="D4782">
            <v>303758</v>
          </cell>
          <cell r="E4782" t="str">
            <v>Damit NHS</v>
          </cell>
          <cell r="F4782">
            <v>1</v>
          </cell>
          <cell r="G4782">
            <v>1</v>
          </cell>
          <cell r="H4782">
            <v>1</v>
          </cell>
          <cell r="I4782">
            <v>0</v>
          </cell>
          <cell r="J4782">
            <v>0</v>
          </cell>
          <cell r="K4782">
            <v>1</v>
          </cell>
          <cell r="L4782">
            <v>0</v>
          </cell>
          <cell r="M4782">
            <v>0</v>
          </cell>
          <cell r="N4782">
            <v>1</v>
          </cell>
          <cell r="O4782">
            <v>43620</v>
          </cell>
          <cell r="P4782" t="str">
            <v>june 4 2019</v>
          </cell>
          <cell r="Q4782">
            <v>0</v>
          </cell>
          <cell r="R4782">
            <v>0</v>
          </cell>
          <cell r="S4782">
            <v>1</v>
          </cell>
          <cell r="T4782">
            <v>0</v>
          </cell>
          <cell r="U4782">
            <v>0</v>
          </cell>
          <cell r="V4782">
            <v>1</v>
          </cell>
          <cell r="W4782">
            <v>0</v>
          </cell>
          <cell r="X4782">
            <v>0</v>
          </cell>
          <cell r="Y4782">
            <v>0</v>
          </cell>
        </row>
        <row r="4783">
          <cell r="D4783">
            <v>303816</v>
          </cell>
          <cell r="E4783" t="str">
            <v>Parasan National High School</v>
          </cell>
          <cell r="F4783">
            <v>0</v>
          </cell>
          <cell r="G4783">
            <v>0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</row>
        <row r="4784">
          <cell r="D4784">
            <v>303812</v>
          </cell>
          <cell r="E4784" t="str">
            <v>San Jose NHS</v>
          </cell>
          <cell r="F4784">
            <v>0</v>
          </cell>
          <cell r="G4784">
            <v>0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</row>
        <row r="4785">
          <cell r="D4785">
            <v>303765</v>
          </cell>
          <cell r="E4785" t="str">
            <v>Cogon National High School</v>
          </cell>
          <cell r="F4785">
            <v>1</v>
          </cell>
          <cell r="G4785">
            <v>1</v>
          </cell>
          <cell r="H4785">
            <v>1</v>
          </cell>
          <cell r="I4785">
            <v>0</v>
          </cell>
          <cell r="J4785">
            <v>1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43672</v>
          </cell>
          <cell r="P4785">
            <v>43672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3</v>
          </cell>
          <cell r="X4785">
            <v>0</v>
          </cell>
          <cell r="Y4785">
            <v>0</v>
          </cell>
        </row>
        <row r="4786">
          <cell r="D4786">
            <v>303809</v>
          </cell>
          <cell r="E4786" t="str">
            <v>Sagacad NHS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</row>
        <row r="4787">
          <cell r="D4787">
            <v>303760</v>
          </cell>
          <cell r="E4787" t="str">
            <v>Bobuan NHS</v>
          </cell>
          <cell r="F4787">
            <v>1</v>
          </cell>
          <cell r="G4787">
            <v>1</v>
          </cell>
          <cell r="H4787">
            <v>1</v>
          </cell>
          <cell r="I4787">
            <v>0</v>
          </cell>
          <cell r="J4787">
            <v>1</v>
          </cell>
          <cell r="K4787">
            <v>0</v>
          </cell>
          <cell r="L4787">
            <v>0</v>
          </cell>
          <cell r="M4787">
            <v>0</v>
          </cell>
          <cell r="N4787">
            <v>1</v>
          </cell>
          <cell r="O4787" t="str">
            <v>10/25/2019</v>
          </cell>
          <cell r="P4787" t="str">
            <v>10/20/2019</v>
          </cell>
          <cell r="Q4787">
            <v>0</v>
          </cell>
          <cell r="R4787">
            <v>1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</row>
        <row r="4788">
          <cell r="D4788">
            <v>303797</v>
          </cell>
          <cell r="E4788" t="str">
            <v>Molave Vocational Technical School</v>
          </cell>
          <cell r="F4788">
            <v>0</v>
          </cell>
          <cell r="G4788">
            <v>1</v>
          </cell>
          <cell r="H4788">
            <v>1</v>
          </cell>
          <cell r="I4788">
            <v>0</v>
          </cell>
          <cell r="J4788">
            <v>0</v>
          </cell>
          <cell r="K4788">
            <v>1</v>
          </cell>
          <cell r="L4788">
            <v>0</v>
          </cell>
          <cell r="M4788">
            <v>0</v>
          </cell>
          <cell r="N4788">
            <v>1</v>
          </cell>
          <cell r="O4788">
            <v>43714</v>
          </cell>
          <cell r="P4788">
            <v>43714</v>
          </cell>
          <cell r="Q4788">
            <v>0</v>
          </cell>
          <cell r="R4788">
            <v>1</v>
          </cell>
          <cell r="S4788">
            <v>0</v>
          </cell>
          <cell r="T4788">
            <v>0</v>
          </cell>
          <cell r="U4788">
            <v>0</v>
          </cell>
          <cell r="V4788">
            <v>1</v>
          </cell>
          <cell r="W4788">
            <v>3</v>
          </cell>
          <cell r="X4788">
            <v>0</v>
          </cell>
          <cell r="Y4788">
            <v>0</v>
          </cell>
        </row>
        <row r="4789">
          <cell r="D4789">
            <v>314229</v>
          </cell>
          <cell r="E4789" t="str">
            <v>Tiguha National High School</v>
          </cell>
          <cell r="F4789">
            <v>1</v>
          </cell>
          <cell r="G4789">
            <v>0</v>
          </cell>
          <cell r="H4789">
            <v>1</v>
          </cell>
          <cell r="I4789">
            <v>0</v>
          </cell>
          <cell r="J4789">
            <v>1</v>
          </cell>
          <cell r="K4789">
            <v>0</v>
          </cell>
          <cell r="L4789">
            <v>0</v>
          </cell>
          <cell r="M4789">
            <v>0</v>
          </cell>
          <cell r="N4789">
            <v>1</v>
          </cell>
          <cell r="O4789">
            <v>43674</v>
          </cell>
          <cell r="P4789">
            <v>0</v>
          </cell>
          <cell r="Q4789">
            <v>0</v>
          </cell>
          <cell r="R4789">
            <v>1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</row>
        <row r="4790">
          <cell r="D4790">
            <v>303813</v>
          </cell>
          <cell r="E4790" t="str">
            <v>San Pablo NHS</v>
          </cell>
          <cell r="F4790">
            <v>0</v>
          </cell>
          <cell r="G4790">
            <v>0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</row>
        <row r="4791">
          <cell r="D4791">
            <v>314234</v>
          </cell>
          <cell r="E4791" t="str">
            <v>Dulop NHS - Bag-ong Valencia Extension</v>
          </cell>
          <cell r="F4791">
            <v>1</v>
          </cell>
          <cell r="G4791">
            <v>1</v>
          </cell>
          <cell r="H4791">
            <v>1</v>
          </cell>
          <cell r="I4791">
            <v>1</v>
          </cell>
          <cell r="J4791">
            <v>0</v>
          </cell>
          <cell r="K4791">
            <v>0</v>
          </cell>
          <cell r="L4791">
            <v>0</v>
          </cell>
          <cell r="M4791">
            <v>0</v>
          </cell>
          <cell r="N4791">
            <v>1</v>
          </cell>
          <cell r="O4791">
            <v>43739</v>
          </cell>
          <cell r="P4791">
            <v>43739</v>
          </cell>
          <cell r="Q4791">
            <v>1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1</v>
          </cell>
          <cell r="W4791">
            <v>0</v>
          </cell>
          <cell r="X4791">
            <v>0</v>
          </cell>
          <cell r="Y4791">
            <v>0</v>
          </cell>
        </row>
        <row r="4792">
          <cell r="D4792">
            <v>314239</v>
          </cell>
          <cell r="E4792" t="str">
            <v>Dao-an NHS</v>
          </cell>
          <cell r="F4792">
            <v>1</v>
          </cell>
          <cell r="G4792">
            <v>1</v>
          </cell>
          <cell r="H4792">
            <v>1</v>
          </cell>
          <cell r="I4792">
            <v>0</v>
          </cell>
          <cell r="J4792">
            <v>0</v>
          </cell>
          <cell r="K4792">
            <v>0</v>
          </cell>
          <cell r="L4792">
            <v>0</v>
          </cell>
          <cell r="M4792">
            <v>0</v>
          </cell>
          <cell r="N4792">
            <v>1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4</v>
          </cell>
          <cell r="X4792">
            <v>0</v>
          </cell>
          <cell r="Y4792">
            <v>4</v>
          </cell>
        </row>
        <row r="4793">
          <cell r="D4793">
            <v>303769</v>
          </cell>
          <cell r="E4793" t="str">
            <v>Culabay NHS</v>
          </cell>
          <cell r="F4793">
            <v>1</v>
          </cell>
          <cell r="G4793">
            <v>1</v>
          </cell>
          <cell r="H4793">
            <v>0</v>
          </cell>
          <cell r="I4793">
            <v>0</v>
          </cell>
          <cell r="J4793">
            <v>0</v>
          </cell>
          <cell r="K4793">
            <v>1</v>
          </cell>
          <cell r="L4793">
            <v>0</v>
          </cell>
          <cell r="M4793">
            <v>0</v>
          </cell>
          <cell r="N4793">
            <v>1</v>
          </cell>
          <cell r="O4793" t="str">
            <v>March 22, 2019</v>
          </cell>
          <cell r="P4793" t="str">
            <v>March 22, 2019</v>
          </cell>
          <cell r="Q4793">
            <v>0</v>
          </cell>
          <cell r="R4793">
            <v>0</v>
          </cell>
          <cell r="S4793">
            <v>1</v>
          </cell>
          <cell r="T4793">
            <v>0</v>
          </cell>
          <cell r="U4793">
            <v>0</v>
          </cell>
          <cell r="V4793">
            <v>1</v>
          </cell>
          <cell r="W4793">
            <v>0</v>
          </cell>
          <cell r="X4793">
            <v>0</v>
          </cell>
          <cell r="Y4793">
            <v>0</v>
          </cell>
        </row>
        <row r="4794">
          <cell r="D4794">
            <v>314222</v>
          </cell>
          <cell r="E4794" t="str">
            <v>Golictop National High School</v>
          </cell>
          <cell r="F4794">
            <v>1</v>
          </cell>
          <cell r="G4794">
            <v>1</v>
          </cell>
          <cell r="H4794">
            <v>1</v>
          </cell>
          <cell r="I4794">
            <v>0</v>
          </cell>
          <cell r="J4794">
            <v>1</v>
          </cell>
          <cell r="K4794">
            <v>0</v>
          </cell>
          <cell r="L4794">
            <v>0</v>
          </cell>
          <cell r="M4794">
            <v>0</v>
          </cell>
          <cell r="N4794">
            <v>1</v>
          </cell>
          <cell r="O4794">
            <v>0</v>
          </cell>
          <cell r="P4794">
            <v>0</v>
          </cell>
          <cell r="Q4794">
            <v>0</v>
          </cell>
          <cell r="R4794">
            <v>1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</row>
        <row r="4795">
          <cell r="D4795">
            <v>303783</v>
          </cell>
          <cell r="E4795" t="str">
            <v>Kalian NHS</v>
          </cell>
          <cell r="F4795">
            <v>1</v>
          </cell>
          <cell r="G4795">
            <v>1</v>
          </cell>
          <cell r="H4795">
            <v>1</v>
          </cell>
          <cell r="I4795">
            <v>0</v>
          </cell>
          <cell r="J4795">
            <v>1</v>
          </cell>
          <cell r="K4795">
            <v>0</v>
          </cell>
          <cell r="L4795">
            <v>0</v>
          </cell>
          <cell r="M4795">
            <v>0</v>
          </cell>
          <cell r="N4795">
            <v>1</v>
          </cell>
          <cell r="O4795" t="str">
            <v>June 10, 2019</v>
          </cell>
          <cell r="P4795" t="str">
            <v>June 10, 2019</v>
          </cell>
          <cell r="Q4795">
            <v>0</v>
          </cell>
          <cell r="R4795">
            <v>1</v>
          </cell>
          <cell r="S4795">
            <v>0</v>
          </cell>
          <cell r="T4795">
            <v>0</v>
          </cell>
          <cell r="U4795">
            <v>0</v>
          </cell>
          <cell r="V4795">
            <v>1</v>
          </cell>
          <cell r="W4795">
            <v>0</v>
          </cell>
          <cell r="X4795">
            <v>0</v>
          </cell>
          <cell r="Y4795">
            <v>0</v>
          </cell>
        </row>
        <row r="4796">
          <cell r="D4796">
            <v>314219</v>
          </cell>
          <cell r="E4796" t="str">
            <v>Malim NHS</v>
          </cell>
          <cell r="F4796">
            <v>1</v>
          </cell>
          <cell r="G4796">
            <v>1</v>
          </cell>
          <cell r="H4796">
            <v>1</v>
          </cell>
          <cell r="I4796">
            <v>0</v>
          </cell>
          <cell r="J4796">
            <v>1</v>
          </cell>
          <cell r="K4796">
            <v>0</v>
          </cell>
          <cell r="L4796">
            <v>0</v>
          </cell>
          <cell r="M4796">
            <v>0</v>
          </cell>
          <cell r="N4796">
            <v>1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1</v>
          </cell>
          <cell r="W4796">
            <v>0</v>
          </cell>
          <cell r="X4796">
            <v>0</v>
          </cell>
          <cell r="Y4796">
            <v>0</v>
          </cell>
        </row>
        <row r="4797">
          <cell r="D4797">
            <v>314249</v>
          </cell>
          <cell r="E4797" t="str">
            <v>Poblacion Comprehensive NHS</v>
          </cell>
          <cell r="F4797">
            <v>1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</row>
        <row r="4798">
          <cell r="D4798">
            <v>303806</v>
          </cell>
          <cell r="E4798" t="str">
            <v>Payag NHS</v>
          </cell>
          <cell r="F4798">
            <v>1</v>
          </cell>
          <cell r="G4798">
            <v>1</v>
          </cell>
          <cell r="H4798">
            <v>1</v>
          </cell>
          <cell r="I4798">
            <v>0</v>
          </cell>
          <cell r="J4798">
            <v>1</v>
          </cell>
          <cell r="K4798">
            <v>0</v>
          </cell>
          <cell r="L4798">
            <v>0</v>
          </cell>
          <cell r="M4798">
            <v>0</v>
          </cell>
          <cell r="N4798">
            <v>1</v>
          </cell>
          <cell r="O4798" t="str">
            <v>06/28/2019</v>
          </cell>
          <cell r="P4798">
            <v>43472</v>
          </cell>
          <cell r="Q4798">
            <v>0</v>
          </cell>
          <cell r="R4798">
            <v>1</v>
          </cell>
          <cell r="S4798">
            <v>0</v>
          </cell>
          <cell r="T4798">
            <v>0</v>
          </cell>
          <cell r="U4798">
            <v>0</v>
          </cell>
          <cell r="V4798">
            <v>1</v>
          </cell>
          <cell r="W4798">
            <v>2</v>
          </cell>
          <cell r="X4798">
            <v>1</v>
          </cell>
          <cell r="Y4798">
            <v>1</v>
          </cell>
        </row>
        <row r="4799">
          <cell r="D4799">
            <v>314220</v>
          </cell>
          <cell r="E4799" t="str">
            <v>Teniapan NHS</v>
          </cell>
          <cell r="F4799">
            <v>0</v>
          </cell>
          <cell r="G4799">
            <v>0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</row>
        <row r="4800">
          <cell r="D4800">
            <v>303795</v>
          </cell>
          <cell r="E4800" t="str">
            <v>Maestro Cornelio S. Minor NHS</v>
          </cell>
          <cell r="F4800">
            <v>1</v>
          </cell>
          <cell r="G4800">
            <v>1</v>
          </cell>
          <cell r="H4800">
            <v>1</v>
          </cell>
          <cell r="I4800">
            <v>0</v>
          </cell>
          <cell r="J4800">
            <v>1</v>
          </cell>
          <cell r="K4800">
            <v>0</v>
          </cell>
          <cell r="L4800">
            <v>0</v>
          </cell>
          <cell r="M4800">
            <v>0</v>
          </cell>
          <cell r="N4800">
            <v>1</v>
          </cell>
          <cell r="O4800">
            <v>0</v>
          </cell>
          <cell r="P4800">
            <v>0</v>
          </cell>
          <cell r="Q4800">
            <v>1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1</v>
          </cell>
          <cell r="W4800">
            <v>0</v>
          </cell>
          <cell r="X4800">
            <v>0</v>
          </cell>
          <cell r="Y4800">
            <v>0</v>
          </cell>
        </row>
        <row r="4801">
          <cell r="D4801">
            <v>303781</v>
          </cell>
          <cell r="E4801" t="str">
            <v>Judge Edmundo Pinga NHS</v>
          </cell>
          <cell r="F4801">
            <v>1</v>
          </cell>
          <cell r="G4801">
            <v>1</v>
          </cell>
          <cell r="H4801">
            <v>0</v>
          </cell>
          <cell r="I4801">
            <v>0</v>
          </cell>
          <cell r="J4801">
            <v>0</v>
          </cell>
          <cell r="K4801">
            <v>1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1</v>
          </cell>
          <cell r="S4801">
            <v>0</v>
          </cell>
          <cell r="T4801">
            <v>0</v>
          </cell>
          <cell r="U4801">
            <v>0</v>
          </cell>
          <cell r="V4801">
            <v>1</v>
          </cell>
          <cell r="W4801">
            <v>0</v>
          </cell>
          <cell r="X4801">
            <v>0</v>
          </cell>
          <cell r="Y4801">
            <v>0</v>
          </cell>
        </row>
        <row r="4802">
          <cell r="D4802">
            <v>314240</v>
          </cell>
          <cell r="E4802" t="str">
            <v>Fatima NHS</v>
          </cell>
          <cell r="F4802">
            <v>0</v>
          </cell>
          <cell r="G4802">
            <v>0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</row>
        <row r="4803">
          <cell r="D4803">
            <v>314212</v>
          </cell>
          <cell r="E4803" t="str">
            <v>Monte Alegre National High School</v>
          </cell>
          <cell r="F4803">
            <v>1</v>
          </cell>
          <cell r="G4803">
            <v>1</v>
          </cell>
          <cell r="H4803">
            <v>1</v>
          </cell>
          <cell r="I4803">
            <v>0</v>
          </cell>
          <cell r="J4803">
            <v>0</v>
          </cell>
          <cell r="K4803">
            <v>0</v>
          </cell>
          <cell r="L4803">
            <v>1</v>
          </cell>
          <cell r="M4803" t="str">
            <v>Brgy. Session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</row>
        <row r="4804">
          <cell r="D4804">
            <v>314231</v>
          </cell>
          <cell r="E4804" t="str">
            <v>Tambulig NHS - Lower Tiparak Annex</v>
          </cell>
          <cell r="F4804">
            <v>0</v>
          </cell>
          <cell r="G4804">
            <v>0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</row>
        <row r="4805">
          <cell r="D4805">
            <v>314208</v>
          </cell>
          <cell r="E4805" t="str">
            <v>Sagucan NHS</v>
          </cell>
          <cell r="F4805">
            <v>1</v>
          </cell>
          <cell r="G4805">
            <v>0</v>
          </cell>
          <cell r="H4805">
            <v>1</v>
          </cell>
          <cell r="I4805">
            <v>0</v>
          </cell>
          <cell r="J4805">
            <v>0</v>
          </cell>
          <cell r="K4805">
            <v>1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</row>
        <row r="4806">
          <cell r="D4806">
            <v>303774</v>
          </cell>
          <cell r="E4806" t="str">
            <v>Dumalinao NHS</v>
          </cell>
          <cell r="F4806">
            <v>0</v>
          </cell>
          <cell r="G4806">
            <v>0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</row>
        <row r="4807">
          <cell r="D4807">
            <v>303794</v>
          </cell>
          <cell r="E4807" t="str">
            <v>Lintugop National High School</v>
          </cell>
          <cell r="F4807">
            <v>0</v>
          </cell>
          <cell r="G4807">
            <v>0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</row>
        <row r="4808">
          <cell r="D4808">
            <v>314233</v>
          </cell>
          <cell r="E4808" t="str">
            <v>Daniel C. Mantos NHS</v>
          </cell>
          <cell r="F4808">
            <v>1</v>
          </cell>
          <cell r="G4808">
            <v>1</v>
          </cell>
          <cell r="H4808">
            <v>1</v>
          </cell>
          <cell r="I4808">
            <v>0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N4808">
            <v>1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</row>
        <row r="4809">
          <cell r="D4809">
            <v>314224</v>
          </cell>
          <cell r="E4809" t="str">
            <v>Balintawak National High School</v>
          </cell>
          <cell r="F4809">
            <v>0</v>
          </cell>
          <cell r="G4809">
            <v>0</v>
          </cell>
          <cell r="H4809">
            <v>1</v>
          </cell>
          <cell r="I4809">
            <v>0</v>
          </cell>
          <cell r="J4809">
            <v>0</v>
          </cell>
          <cell r="K4809">
            <v>0</v>
          </cell>
          <cell r="L4809">
            <v>1</v>
          </cell>
          <cell r="M4809" t="str">
            <v>On Call</v>
          </cell>
          <cell r="N4809">
            <v>1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</row>
        <row r="4810">
          <cell r="D4810">
            <v>303785</v>
          </cell>
          <cell r="E4810" t="str">
            <v>Picanan NHS</v>
          </cell>
          <cell r="F4810">
            <v>0</v>
          </cell>
          <cell r="G4810">
            <v>0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</row>
        <row r="4811">
          <cell r="D4811">
            <v>303772</v>
          </cell>
          <cell r="E4811" t="str">
            <v>Dulop National High School</v>
          </cell>
          <cell r="F4811">
            <v>1</v>
          </cell>
          <cell r="G4811">
            <v>0</v>
          </cell>
          <cell r="H4811">
            <v>0</v>
          </cell>
          <cell r="I4811">
            <v>0</v>
          </cell>
          <cell r="J4811">
            <v>1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1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</row>
        <row r="4812">
          <cell r="D4812">
            <v>314203</v>
          </cell>
          <cell r="E4812" t="str">
            <v>Boniao National High School</v>
          </cell>
          <cell r="F4812">
            <v>1</v>
          </cell>
          <cell r="G4812">
            <v>0</v>
          </cell>
          <cell r="H4812">
            <v>1</v>
          </cell>
          <cell r="I4812">
            <v>0</v>
          </cell>
          <cell r="J4812">
            <v>0</v>
          </cell>
          <cell r="K4812">
            <v>1</v>
          </cell>
          <cell r="L4812">
            <v>0</v>
          </cell>
          <cell r="M4812">
            <v>0</v>
          </cell>
          <cell r="N4812">
            <v>1</v>
          </cell>
          <cell r="O4812" t="str">
            <v>JULY 21, 2019</v>
          </cell>
          <cell r="P4812" t="str">
            <v>JULY 22, 2019</v>
          </cell>
          <cell r="Q4812">
            <v>0</v>
          </cell>
          <cell r="R4812">
            <v>0</v>
          </cell>
          <cell r="S4812">
            <v>1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</row>
        <row r="4813">
          <cell r="D4813">
            <v>314207</v>
          </cell>
          <cell r="E4813" t="str">
            <v>Guling National High School</v>
          </cell>
          <cell r="F4813">
            <v>1</v>
          </cell>
          <cell r="G4813">
            <v>0</v>
          </cell>
          <cell r="H4813">
            <v>1</v>
          </cell>
          <cell r="I4813">
            <v>0</v>
          </cell>
          <cell r="J4813">
            <v>1</v>
          </cell>
          <cell r="K4813">
            <v>0</v>
          </cell>
          <cell r="L4813">
            <v>0</v>
          </cell>
          <cell r="M4813">
            <v>0</v>
          </cell>
          <cell r="N4813">
            <v>1</v>
          </cell>
          <cell r="O4813">
            <v>43700</v>
          </cell>
          <cell r="P4813">
            <v>43654</v>
          </cell>
          <cell r="Q4813">
            <v>0</v>
          </cell>
          <cell r="R4813">
            <v>1</v>
          </cell>
          <cell r="S4813">
            <v>0</v>
          </cell>
          <cell r="T4813">
            <v>0</v>
          </cell>
          <cell r="U4813">
            <v>0</v>
          </cell>
          <cell r="V4813">
            <v>1</v>
          </cell>
          <cell r="W4813">
            <v>0</v>
          </cell>
          <cell r="X4813">
            <v>0</v>
          </cell>
          <cell r="Y4813">
            <v>0</v>
          </cell>
        </row>
        <row r="4814">
          <cell r="D4814">
            <v>303799</v>
          </cell>
          <cell r="E4814" t="str">
            <v>New Labangan NHS</v>
          </cell>
          <cell r="F4814">
            <v>1</v>
          </cell>
          <cell r="G4814">
            <v>1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2</v>
          </cell>
          <cell r="X4814">
            <v>0</v>
          </cell>
          <cell r="Y4814">
            <v>0</v>
          </cell>
        </row>
        <row r="4815">
          <cell r="D4815">
            <v>303793</v>
          </cell>
          <cell r="E4815" t="str">
            <v>Libertad NHS</v>
          </cell>
          <cell r="F4815">
            <v>1</v>
          </cell>
          <cell r="G4815">
            <v>0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</row>
        <row r="4816">
          <cell r="D4816">
            <v>303780</v>
          </cell>
          <cell r="E4816" t="str">
            <v>Aurora National High School</v>
          </cell>
          <cell r="F4816">
            <v>1</v>
          </cell>
          <cell r="G4816">
            <v>1</v>
          </cell>
          <cell r="H4816">
            <v>1</v>
          </cell>
          <cell r="I4816">
            <v>0</v>
          </cell>
          <cell r="J4816">
            <v>1</v>
          </cell>
          <cell r="K4816">
            <v>0</v>
          </cell>
          <cell r="L4816">
            <v>0</v>
          </cell>
          <cell r="M4816">
            <v>0</v>
          </cell>
          <cell r="N4816">
            <v>1</v>
          </cell>
          <cell r="O4816" t="str">
            <v>n/a</v>
          </cell>
          <cell r="P4816">
            <v>43758</v>
          </cell>
          <cell r="Q4816">
            <v>1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1</v>
          </cell>
          <cell r="W4816">
            <v>0</v>
          </cell>
          <cell r="X4816">
            <v>0</v>
          </cell>
          <cell r="Y4816">
            <v>0</v>
          </cell>
        </row>
        <row r="4817">
          <cell r="D4817">
            <v>303796</v>
          </cell>
          <cell r="E4817" t="str">
            <v>Midsalip NHS- Main</v>
          </cell>
          <cell r="F4817">
            <v>1</v>
          </cell>
          <cell r="G4817">
            <v>1</v>
          </cell>
          <cell r="H4817">
            <v>1</v>
          </cell>
          <cell r="I4817">
            <v>0</v>
          </cell>
          <cell r="J4817">
            <v>1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1</v>
          </cell>
          <cell r="W4817">
            <v>0</v>
          </cell>
          <cell r="X4817">
            <v>0</v>
          </cell>
          <cell r="Y4817">
            <v>0</v>
          </cell>
        </row>
        <row r="4818">
          <cell r="D4818">
            <v>303822</v>
          </cell>
          <cell r="E4818" t="str">
            <v>Toribio Minor NHS</v>
          </cell>
          <cell r="F4818">
            <v>0</v>
          </cell>
          <cell r="G4818">
            <v>0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</row>
        <row r="4819">
          <cell r="D4819">
            <v>303768</v>
          </cell>
          <cell r="E4819" t="str">
            <v>Tabina National High School</v>
          </cell>
          <cell r="F4819">
            <v>0</v>
          </cell>
          <cell r="G4819">
            <v>0</v>
          </cell>
          <cell r="H4819">
            <v>0</v>
          </cell>
          <cell r="I4819">
            <v>0</v>
          </cell>
          <cell r="J4819">
            <v>1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</row>
        <row r="4820">
          <cell r="D4820">
            <v>303808</v>
          </cell>
          <cell r="E4820" t="str">
            <v>Rebokon AVHS</v>
          </cell>
          <cell r="F4820">
            <v>0</v>
          </cell>
          <cell r="G4820">
            <v>0</v>
          </cell>
          <cell r="H4820">
            <v>0</v>
          </cell>
          <cell r="I4820">
            <v>0</v>
          </cell>
          <cell r="J4820">
            <v>1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</row>
        <row r="4821">
          <cell r="D4821">
            <v>303843</v>
          </cell>
          <cell r="E4821" t="str">
            <v>Laih-Batu NHS</v>
          </cell>
          <cell r="F4821">
            <v>0</v>
          </cell>
          <cell r="G4821">
            <v>0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 t="str">
            <v>n/a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</row>
        <row r="4822">
          <cell r="D4822">
            <v>303865</v>
          </cell>
          <cell r="E4822" t="str">
            <v>Monching National High School</v>
          </cell>
          <cell r="F4822">
            <v>1</v>
          </cell>
          <cell r="G4822">
            <v>1</v>
          </cell>
          <cell r="H4822">
            <v>1</v>
          </cell>
          <cell r="I4822">
            <v>0</v>
          </cell>
          <cell r="J4822">
            <v>1</v>
          </cell>
          <cell r="K4822">
            <v>0</v>
          </cell>
          <cell r="L4822">
            <v>0</v>
          </cell>
          <cell r="M4822">
            <v>0</v>
          </cell>
          <cell r="N4822">
            <v>1</v>
          </cell>
          <cell r="O4822">
            <v>43740</v>
          </cell>
          <cell r="P4822">
            <v>43740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1</v>
          </cell>
          <cell r="W4822">
            <v>0</v>
          </cell>
          <cell r="X4822">
            <v>0</v>
          </cell>
          <cell r="Y4822">
            <v>0</v>
          </cell>
        </row>
        <row r="4823">
          <cell r="D4823">
            <v>303864</v>
          </cell>
          <cell r="E4823" t="str">
            <v>Siay NHS</v>
          </cell>
          <cell r="F4823">
            <v>0</v>
          </cell>
          <cell r="G4823">
            <v>0</v>
          </cell>
          <cell r="H4823">
            <v>1</v>
          </cell>
          <cell r="I4823">
            <v>0</v>
          </cell>
          <cell r="J4823">
            <v>0</v>
          </cell>
          <cell r="K4823">
            <v>1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</row>
        <row r="4824">
          <cell r="D4824">
            <v>303838</v>
          </cell>
          <cell r="E4824" t="str">
            <v>Ipil NHS</v>
          </cell>
          <cell r="F4824">
            <v>0</v>
          </cell>
          <cell r="G4824">
            <v>0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</row>
        <row r="4825">
          <cell r="D4825">
            <v>314316</v>
          </cell>
          <cell r="E4825" t="str">
            <v>Camanga NHS</v>
          </cell>
          <cell r="F4825">
            <v>0</v>
          </cell>
          <cell r="G4825">
            <v>0</v>
          </cell>
          <cell r="H4825">
            <v>1</v>
          </cell>
          <cell r="I4825">
            <v>0</v>
          </cell>
          <cell r="J4825">
            <v>1</v>
          </cell>
          <cell r="K4825">
            <v>0</v>
          </cell>
          <cell r="L4825">
            <v>0</v>
          </cell>
          <cell r="M4825">
            <v>0</v>
          </cell>
          <cell r="N4825">
            <v>1</v>
          </cell>
          <cell r="O4825">
            <v>0</v>
          </cell>
          <cell r="P4825">
            <v>0</v>
          </cell>
          <cell r="Q4825">
            <v>0</v>
          </cell>
          <cell r="R4825">
            <v>1</v>
          </cell>
          <cell r="S4825">
            <v>0</v>
          </cell>
          <cell r="T4825">
            <v>0</v>
          </cell>
          <cell r="U4825">
            <v>0</v>
          </cell>
          <cell r="V4825">
            <v>1</v>
          </cell>
          <cell r="W4825">
            <v>0</v>
          </cell>
          <cell r="X4825">
            <v>0</v>
          </cell>
          <cell r="Y4825">
            <v>0</v>
          </cell>
        </row>
        <row r="4826">
          <cell r="D4826">
            <v>314309</v>
          </cell>
          <cell r="E4826" t="str">
            <v>Gango NHS</v>
          </cell>
          <cell r="F4826">
            <v>0</v>
          </cell>
          <cell r="G4826">
            <v>0</v>
          </cell>
          <cell r="H4826">
            <v>1</v>
          </cell>
          <cell r="I4826">
            <v>0</v>
          </cell>
          <cell r="J4826">
            <v>0</v>
          </cell>
          <cell r="K4826">
            <v>1</v>
          </cell>
          <cell r="L4826">
            <v>0</v>
          </cell>
          <cell r="M4826">
            <v>0</v>
          </cell>
          <cell r="N4826">
            <v>1</v>
          </cell>
          <cell r="O4826">
            <v>43620</v>
          </cell>
          <cell r="P4826">
            <v>43496</v>
          </cell>
          <cell r="Q4826">
            <v>0</v>
          </cell>
          <cell r="R4826">
            <v>0</v>
          </cell>
          <cell r="S4826">
            <v>1</v>
          </cell>
          <cell r="T4826">
            <v>0</v>
          </cell>
          <cell r="U4826">
            <v>0</v>
          </cell>
          <cell r="V4826">
            <v>1</v>
          </cell>
          <cell r="W4826">
            <v>0</v>
          </cell>
          <cell r="X4826">
            <v>0</v>
          </cell>
          <cell r="Y4826">
            <v>0</v>
          </cell>
        </row>
        <row r="4827">
          <cell r="D4827">
            <v>303839</v>
          </cell>
          <cell r="E4827" t="str">
            <v>Kabasalan NHS</v>
          </cell>
          <cell r="F4827">
            <v>1</v>
          </cell>
          <cell r="G4827">
            <v>0</v>
          </cell>
          <cell r="H4827">
            <v>1</v>
          </cell>
          <cell r="I4827">
            <v>0</v>
          </cell>
          <cell r="J4827">
            <v>1</v>
          </cell>
          <cell r="K4827">
            <v>0</v>
          </cell>
          <cell r="L4827">
            <v>0</v>
          </cell>
          <cell r="M4827">
            <v>0</v>
          </cell>
          <cell r="N4827">
            <v>1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</row>
        <row r="4828">
          <cell r="D4828">
            <v>303874</v>
          </cell>
          <cell r="E4828" t="str">
            <v>Tungawan NHS</v>
          </cell>
          <cell r="F4828">
            <v>1</v>
          </cell>
          <cell r="G4828">
            <v>1</v>
          </cell>
          <cell r="H4828">
            <v>1</v>
          </cell>
          <cell r="I4828">
            <v>0</v>
          </cell>
          <cell r="J4828">
            <v>0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</row>
        <row r="4829">
          <cell r="D4829">
            <v>314324</v>
          </cell>
          <cell r="E4829" t="str">
            <v>Kitabog NHS</v>
          </cell>
          <cell r="F4829">
            <v>1</v>
          </cell>
          <cell r="G4829">
            <v>0</v>
          </cell>
          <cell r="H4829">
            <v>1</v>
          </cell>
          <cell r="I4829">
            <v>0</v>
          </cell>
          <cell r="J4829">
            <v>1</v>
          </cell>
          <cell r="K4829">
            <v>0</v>
          </cell>
          <cell r="L4829">
            <v>0</v>
          </cell>
          <cell r="M4829">
            <v>0</v>
          </cell>
          <cell r="N4829">
            <v>1</v>
          </cell>
          <cell r="O4829">
            <v>43752</v>
          </cell>
          <cell r="P4829">
            <v>43752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1</v>
          </cell>
          <cell r="W4829">
            <v>6</v>
          </cell>
          <cell r="X4829">
            <v>0</v>
          </cell>
          <cell r="Y4829">
            <v>0</v>
          </cell>
        </row>
        <row r="4830">
          <cell r="D4830">
            <v>314319</v>
          </cell>
          <cell r="E4830" t="str">
            <v>Sto. Rosario National High School</v>
          </cell>
          <cell r="F4830">
            <v>1</v>
          </cell>
          <cell r="G4830">
            <v>0</v>
          </cell>
          <cell r="H4830">
            <v>1</v>
          </cell>
          <cell r="I4830">
            <v>0</v>
          </cell>
          <cell r="J4830">
            <v>1</v>
          </cell>
          <cell r="K4830">
            <v>0</v>
          </cell>
          <cell r="L4830">
            <v>0</v>
          </cell>
          <cell r="M4830">
            <v>0</v>
          </cell>
          <cell r="N4830">
            <v>1</v>
          </cell>
          <cell r="O4830" t="str">
            <v>30/08/2019</v>
          </cell>
          <cell r="P4830">
            <v>0</v>
          </cell>
          <cell r="Q4830">
            <v>0</v>
          </cell>
          <cell r="R4830">
            <v>0</v>
          </cell>
          <cell r="S4830">
            <v>1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</row>
        <row r="4831">
          <cell r="D4831">
            <v>303867</v>
          </cell>
          <cell r="E4831" t="str">
            <v>Malubal NHS</v>
          </cell>
          <cell r="F4831">
            <v>1</v>
          </cell>
          <cell r="G4831">
            <v>0</v>
          </cell>
          <cell r="H4831">
            <v>1</v>
          </cell>
          <cell r="I4831">
            <v>0</v>
          </cell>
          <cell r="J4831">
            <v>0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 t="str">
            <v>N/A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1</v>
          </cell>
          <cell r="U4831" t="str">
            <v>Random</v>
          </cell>
          <cell r="V4831">
            <v>0</v>
          </cell>
          <cell r="W4831">
            <v>4</v>
          </cell>
          <cell r="X4831">
            <v>4</v>
          </cell>
          <cell r="Y4831">
            <v>0</v>
          </cell>
        </row>
        <row r="4832">
          <cell r="D4832">
            <v>314323</v>
          </cell>
          <cell r="E4832" t="str">
            <v>Sta. Fe National High School</v>
          </cell>
          <cell r="F4832">
            <v>1</v>
          </cell>
          <cell r="G4832">
            <v>1</v>
          </cell>
          <cell r="H4832">
            <v>1</v>
          </cell>
          <cell r="I4832">
            <v>0</v>
          </cell>
          <cell r="J4832">
            <v>0</v>
          </cell>
          <cell r="K4832">
            <v>1</v>
          </cell>
          <cell r="L4832">
            <v>0</v>
          </cell>
          <cell r="M4832">
            <v>0</v>
          </cell>
          <cell r="N4832">
            <v>1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</row>
        <row r="4833">
          <cell r="D4833">
            <v>303854</v>
          </cell>
          <cell r="E4833" t="str">
            <v>Zamboanga Sibugay NHS</v>
          </cell>
          <cell r="F4833">
            <v>1</v>
          </cell>
          <cell r="G4833">
            <v>0</v>
          </cell>
          <cell r="H4833">
            <v>1</v>
          </cell>
          <cell r="I4833">
            <v>0</v>
          </cell>
          <cell r="J4833">
            <v>0</v>
          </cell>
          <cell r="K4833">
            <v>0</v>
          </cell>
          <cell r="L4833">
            <v>0</v>
          </cell>
          <cell r="M4833">
            <v>0</v>
          </cell>
          <cell r="N4833">
            <v>1</v>
          </cell>
          <cell r="O4833">
            <v>0</v>
          </cell>
          <cell r="P4833">
            <v>0</v>
          </cell>
          <cell r="Q4833">
            <v>1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1</v>
          </cell>
          <cell r="W4833">
            <v>3</v>
          </cell>
          <cell r="X4833">
            <v>3</v>
          </cell>
          <cell r="Y4833">
            <v>3</v>
          </cell>
        </row>
        <row r="4834">
          <cell r="D4834">
            <v>303829</v>
          </cell>
          <cell r="E4834" t="str">
            <v>Buug NHS</v>
          </cell>
          <cell r="F4834">
            <v>1</v>
          </cell>
          <cell r="G4834">
            <v>0</v>
          </cell>
          <cell r="H4834">
            <v>0</v>
          </cell>
          <cell r="I4834">
            <v>0</v>
          </cell>
          <cell r="J4834">
            <v>1</v>
          </cell>
          <cell r="K4834">
            <v>0</v>
          </cell>
          <cell r="L4834">
            <v>0</v>
          </cell>
          <cell r="M4834">
            <v>0</v>
          </cell>
          <cell r="N4834">
            <v>1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19</v>
          </cell>
          <cell r="X4834">
            <v>19</v>
          </cell>
          <cell r="Y4834">
            <v>19</v>
          </cell>
        </row>
        <row r="4835">
          <cell r="D4835">
            <v>303875</v>
          </cell>
          <cell r="E4835" t="str">
            <v>San Isidro NHS</v>
          </cell>
          <cell r="F4835">
            <v>0</v>
          </cell>
          <cell r="G4835">
            <v>0</v>
          </cell>
          <cell r="H4835">
            <v>1</v>
          </cell>
          <cell r="I4835">
            <v>0</v>
          </cell>
          <cell r="J4835">
            <v>0</v>
          </cell>
          <cell r="K4835">
            <v>1</v>
          </cell>
          <cell r="L4835">
            <v>0</v>
          </cell>
          <cell r="M4835">
            <v>0</v>
          </cell>
          <cell r="N4835">
            <v>1</v>
          </cell>
          <cell r="O4835">
            <v>0</v>
          </cell>
          <cell r="P4835">
            <v>43617</v>
          </cell>
          <cell r="Q4835">
            <v>0</v>
          </cell>
          <cell r="R4835">
            <v>0</v>
          </cell>
          <cell r="S4835">
            <v>1</v>
          </cell>
          <cell r="T4835">
            <v>0</v>
          </cell>
          <cell r="U4835">
            <v>0</v>
          </cell>
          <cell r="V4835">
            <v>1</v>
          </cell>
          <cell r="W4835">
            <v>1</v>
          </cell>
          <cell r="X4835">
            <v>1</v>
          </cell>
          <cell r="Y4835">
            <v>1</v>
          </cell>
        </row>
        <row r="4836">
          <cell r="D4836">
            <v>303866</v>
          </cell>
          <cell r="E4836" t="str">
            <v>Surabay NHS</v>
          </cell>
          <cell r="F4836">
            <v>1</v>
          </cell>
          <cell r="G4836">
            <v>1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1</v>
          </cell>
          <cell r="W4836">
            <v>0</v>
          </cell>
          <cell r="X4836">
            <v>0</v>
          </cell>
          <cell r="Y4836">
            <v>0</v>
          </cell>
        </row>
        <row r="4837">
          <cell r="D4837">
            <v>314314</v>
          </cell>
          <cell r="E4837" t="str">
            <v>Ditay NHS</v>
          </cell>
          <cell r="F4837">
            <v>1</v>
          </cell>
          <cell r="G4837">
            <v>1</v>
          </cell>
          <cell r="H4837">
            <v>1</v>
          </cell>
          <cell r="I4837">
            <v>0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  <cell r="N4837">
            <v>1</v>
          </cell>
          <cell r="O4837" t="str">
            <v>February, 2019</v>
          </cell>
          <cell r="P4837" t="str">
            <v>February, 2019</v>
          </cell>
          <cell r="Q4837">
            <v>0</v>
          </cell>
          <cell r="R4837">
            <v>0</v>
          </cell>
          <cell r="S4837">
            <v>1</v>
          </cell>
          <cell r="T4837">
            <v>0</v>
          </cell>
          <cell r="U4837">
            <v>0</v>
          </cell>
          <cell r="V4837">
            <v>1</v>
          </cell>
          <cell r="W4837">
            <v>0</v>
          </cell>
          <cell r="X4837">
            <v>0</v>
          </cell>
          <cell r="Y4837">
            <v>0</v>
          </cell>
        </row>
        <row r="4838">
          <cell r="D4838">
            <v>314325</v>
          </cell>
          <cell r="E4838" t="str">
            <v>Dionisio Lopez Sr. National High School</v>
          </cell>
          <cell r="F4838">
            <v>0</v>
          </cell>
          <cell r="G4838">
            <v>0</v>
          </cell>
          <cell r="H4838">
            <v>1</v>
          </cell>
          <cell r="I4838">
            <v>0</v>
          </cell>
          <cell r="J4838">
            <v>0</v>
          </cell>
          <cell r="K4838">
            <v>1</v>
          </cell>
          <cell r="L4838">
            <v>0</v>
          </cell>
          <cell r="M4838">
            <v>0</v>
          </cell>
          <cell r="N4838">
            <v>1</v>
          </cell>
          <cell r="O4838" t="str">
            <v>06-14-2019</v>
          </cell>
          <cell r="P4838" t="str">
            <v>06-17-2019</v>
          </cell>
          <cell r="Q4838">
            <v>0</v>
          </cell>
          <cell r="R4838">
            <v>0</v>
          </cell>
          <cell r="S4838">
            <v>1</v>
          </cell>
          <cell r="T4838">
            <v>0</v>
          </cell>
          <cell r="U4838">
            <v>0</v>
          </cell>
          <cell r="V4838">
            <v>1</v>
          </cell>
          <cell r="W4838">
            <v>0</v>
          </cell>
          <cell r="X4838">
            <v>0</v>
          </cell>
          <cell r="Y4838">
            <v>0</v>
          </cell>
        </row>
        <row r="4839">
          <cell r="D4839">
            <v>302764</v>
          </cell>
          <cell r="E4839" t="str">
            <v>Sandayong NHS</v>
          </cell>
          <cell r="F4839">
            <v>1</v>
          </cell>
          <cell r="G4839">
            <v>1</v>
          </cell>
          <cell r="H4839">
            <v>1</v>
          </cell>
          <cell r="I4839">
            <v>0</v>
          </cell>
          <cell r="J4839">
            <v>0</v>
          </cell>
          <cell r="K4839">
            <v>1</v>
          </cell>
          <cell r="L4839">
            <v>0</v>
          </cell>
          <cell r="M4839">
            <v>0</v>
          </cell>
          <cell r="N4839">
            <v>1</v>
          </cell>
          <cell r="O4839" t="str">
            <v>July 12, 2019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1</v>
          </cell>
          <cell r="U4839" t="str">
            <v>June 7 2019</v>
          </cell>
          <cell r="V4839">
            <v>1</v>
          </cell>
          <cell r="W4839">
            <v>0</v>
          </cell>
          <cell r="X4839">
            <v>0</v>
          </cell>
          <cell r="Y4839">
            <v>0</v>
          </cell>
        </row>
        <row r="4840">
          <cell r="D4840">
            <v>303828</v>
          </cell>
          <cell r="E4840" t="str">
            <v>Diplahan NHS</v>
          </cell>
          <cell r="F4840">
            <v>1</v>
          </cell>
          <cell r="G4840">
            <v>1</v>
          </cell>
          <cell r="H4840">
            <v>1</v>
          </cell>
          <cell r="I4840">
            <v>0</v>
          </cell>
          <cell r="J4840">
            <v>0</v>
          </cell>
          <cell r="K4840">
            <v>0</v>
          </cell>
          <cell r="L4840">
            <v>1</v>
          </cell>
          <cell r="M4840" t="str">
            <v>AS NEEDED</v>
          </cell>
          <cell r="N4840">
            <v>1</v>
          </cell>
          <cell r="O4840">
            <v>43623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1</v>
          </cell>
          <cell r="U4840" t="str">
            <v>AS NEEDED</v>
          </cell>
          <cell r="V4840">
            <v>1</v>
          </cell>
          <cell r="W4840">
            <v>1</v>
          </cell>
          <cell r="X4840">
            <v>0</v>
          </cell>
          <cell r="Y4840">
            <v>0</v>
          </cell>
        </row>
        <row r="4841">
          <cell r="D4841">
            <v>303873</v>
          </cell>
          <cell r="E4841" t="str">
            <v>Malagandis NHS</v>
          </cell>
          <cell r="F4841">
            <v>0</v>
          </cell>
          <cell r="G4841">
            <v>0</v>
          </cell>
          <cell r="H4841">
            <v>1</v>
          </cell>
          <cell r="I4841">
            <v>0</v>
          </cell>
          <cell r="J4841">
            <v>0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</row>
        <row r="4842">
          <cell r="D4842">
            <v>303840</v>
          </cell>
          <cell r="E4842" t="str">
            <v>Kabasalan Sci. &amp; Tech. HS</v>
          </cell>
          <cell r="F4842">
            <v>0</v>
          </cell>
          <cell r="G4842">
            <v>0</v>
          </cell>
          <cell r="H4842">
            <v>1</v>
          </cell>
          <cell r="I4842">
            <v>0</v>
          </cell>
          <cell r="J4842">
            <v>1</v>
          </cell>
          <cell r="K4842">
            <v>0</v>
          </cell>
          <cell r="L4842">
            <v>0</v>
          </cell>
          <cell r="M4842">
            <v>0</v>
          </cell>
          <cell r="N4842">
            <v>1</v>
          </cell>
          <cell r="O4842">
            <v>43678</v>
          </cell>
          <cell r="P4842">
            <v>0</v>
          </cell>
          <cell r="Q4842">
            <v>0</v>
          </cell>
          <cell r="R4842">
            <v>1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</row>
        <row r="4843">
          <cell r="D4843">
            <v>303859</v>
          </cell>
          <cell r="E4843" t="str">
            <v>Pioneer NHS</v>
          </cell>
          <cell r="F4843">
            <v>1</v>
          </cell>
          <cell r="G4843">
            <v>0</v>
          </cell>
          <cell r="H4843">
            <v>1</v>
          </cell>
          <cell r="I4843">
            <v>0</v>
          </cell>
          <cell r="J4843">
            <v>0</v>
          </cell>
          <cell r="K4843">
            <v>0</v>
          </cell>
          <cell r="L4843">
            <v>1</v>
          </cell>
          <cell r="M4843" t="str">
            <v>As need arises</v>
          </cell>
          <cell r="N4843">
            <v>1</v>
          </cell>
          <cell r="O4843">
            <v>0</v>
          </cell>
          <cell r="P4843">
            <v>43635</v>
          </cell>
          <cell r="Q4843">
            <v>0</v>
          </cell>
          <cell r="R4843">
            <v>0</v>
          </cell>
          <cell r="S4843">
            <v>0</v>
          </cell>
          <cell r="T4843">
            <v>1</v>
          </cell>
          <cell r="U4843" t="str">
            <v>When there are reported cases</v>
          </cell>
          <cell r="V4843">
            <v>1</v>
          </cell>
          <cell r="W4843">
            <v>1</v>
          </cell>
          <cell r="X4843">
            <v>0</v>
          </cell>
          <cell r="Y4843">
            <v>0</v>
          </cell>
        </row>
        <row r="4844">
          <cell r="D4844">
            <v>303849</v>
          </cell>
          <cell r="E4844" t="str">
            <v>Naga NHS</v>
          </cell>
          <cell r="F4844">
            <v>1</v>
          </cell>
          <cell r="G4844">
            <v>1</v>
          </cell>
          <cell r="H4844">
            <v>1</v>
          </cell>
          <cell r="I4844">
            <v>0</v>
          </cell>
          <cell r="J4844">
            <v>1</v>
          </cell>
          <cell r="K4844">
            <v>0</v>
          </cell>
          <cell r="L4844">
            <v>1</v>
          </cell>
          <cell r="M4844">
            <v>0</v>
          </cell>
          <cell r="N4844">
            <v>1</v>
          </cell>
          <cell r="O4844">
            <v>0</v>
          </cell>
          <cell r="P4844">
            <v>0</v>
          </cell>
          <cell r="Q4844">
            <v>1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1</v>
          </cell>
          <cell r="W4844">
            <v>0</v>
          </cell>
          <cell r="X4844">
            <v>0</v>
          </cell>
          <cell r="Y4844">
            <v>0</v>
          </cell>
        </row>
        <row r="4845">
          <cell r="D4845">
            <v>314311</v>
          </cell>
          <cell r="E4845" t="str">
            <v>Simbol National High School</v>
          </cell>
          <cell r="F4845">
            <v>1</v>
          </cell>
          <cell r="G4845">
            <v>1</v>
          </cell>
          <cell r="H4845">
            <v>1</v>
          </cell>
          <cell r="I4845">
            <v>0</v>
          </cell>
          <cell r="J4845">
            <v>1</v>
          </cell>
          <cell r="K4845">
            <v>0</v>
          </cell>
          <cell r="L4845">
            <v>0</v>
          </cell>
          <cell r="M4845">
            <v>0</v>
          </cell>
          <cell r="N4845">
            <v>1</v>
          </cell>
          <cell r="O4845" t="str">
            <v>9/28/2019</v>
          </cell>
          <cell r="P4845">
            <v>43743</v>
          </cell>
          <cell r="Q4845">
            <v>1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</row>
        <row r="4846">
          <cell r="D4846">
            <v>314321</v>
          </cell>
          <cell r="E4846" t="str">
            <v>Palinta NHS</v>
          </cell>
          <cell r="F4846">
            <v>1</v>
          </cell>
          <cell r="G4846">
            <v>1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N4846">
            <v>1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</row>
        <row r="4847">
          <cell r="D4847">
            <v>314308</v>
          </cell>
          <cell r="E4847" t="str">
            <v>Laparay NHS</v>
          </cell>
          <cell r="F4847">
            <v>0</v>
          </cell>
          <cell r="G4847">
            <v>0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 t="str">
            <v>N/A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</row>
        <row r="4848">
          <cell r="D4848">
            <v>303856</v>
          </cell>
          <cell r="E4848" t="str">
            <v>Payao NHS</v>
          </cell>
          <cell r="F4848">
            <v>1</v>
          </cell>
          <cell r="G4848">
            <v>1</v>
          </cell>
          <cell r="H4848">
            <v>1</v>
          </cell>
          <cell r="I4848">
            <v>0</v>
          </cell>
          <cell r="J4848">
            <v>0</v>
          </cell>
          <cell r="K4848">
            <v>1</v>
          </cell>
          <cell r="L4848">
            <v>0</v>
          </cell>
          <cell r="M4848">
            <v>0</v>
          </cell>
          <cell r="N4848">
            <v>1</v>
          </cell>
          <cell r="O4848" t="str">
            <v>June , 2019</v>
          </cell>
          <cell r="P4848">
            <v>0</v>
          </cell>
          <cell r="Q4848">
            <v>0</v>
          </cell>
          <cell r="R4848">
            <v>1</v>
          </cell>
          <cell r="S4848">
            <v>0</v>
          </cell>
          <cell r="T4848">
            <v>0</v>
          </cell>
          <cell r="U4848">
            <v>0</v>
          </cell>
          <cell r="V4848">
            <v>1</v>
          </cell>
          <cell r="W4848">
            <v>0</v>
          </cell>
          <cell r="X4848">
            <v>0</v>
          </cell>
          <cell r="Y4848">
            <v>0</v>
          </cell>
        </row>
        <row r="4849">
          <cell r="D4849">
            <v>314326</v>
          </cell>
          <cell r="E4849" t="str">
            <v>Langon NHS</v>
          </cell>
          <cell r="F4849">
            <v>1</v>
          </cell>
          <cell r="G4849">
            <v>1</v>
          </cell>
          <cell r="H4849">
            <v>1</v>
          </cell>
          <cell r="I4849">
            <v>1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  <cell r="N4849">
            <v>1</v>
          </cell>
          <cell r="O4849">
            <v>0</v>
          </cell>
          <cell r="P4849">
            <v>0</v>
          </cell>
          <cell r="Q4849">
            <v>1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1</v>
          </cell>
          <cell r="W4849">
            <v>0</v>
          </cell>
          <cell r="X4849">
            <v>0</v>
          </cell>
          <cell r="Y4849">
            <v>0</v>
          </cell>
        </row>
        <row r="4850">
          <cell r="D4850">
            <v>500241</v>
          </cell>
          <cell r="E4850" t="str">
            <v>Talairan IS</v>
          </cell>
          <cell r="F4850">
            <v>1</v>
          </cell>
          <cell r="G4850">
            <v>1</v>
          </cell>
          <cell r="H4850">
            <v>1</v>
          </cell>
          <cell r="I4850">
            <v>0</v>
          </cell>
          <cell r="J4850">
            <v>1</v>
          </cell>
          <cell r="K4850">
            <v>0</v>
          </cell>
          <cell r="L4850">
            <v>0</v>
          </cell>
          <cell r="M4850">
            <v>0</v>
          </cell>
          <cell r="N4850">
            <v>1</v>
          </cell>
          <cell r="O4850" t="str">
            <v>JUNE 1,2019</v>
          </cell>
          <cell r="P4850">
            <v>0</v>
          </cell>
          <cell r="Q4850">
            <v>0</v>
          </cell>
          <cell r="R4850">
            <v>1</v>
          </cell>
          <cell r="S4850">
            <v>0</v>
          </cell>
          <cell r="T4850">
            <v>0</v>
          </cell>
          <cell r="U4850">
            <v>0</v>
          </cell>
          <cell r="V4850">
            <v>1</v>
          </cell>
          <cell r="W4850">
            <v>9</v>
          </cell>
          <cell r="X4850">
            <v>1</v>
          </cell>
          <cell r="Y4850">
            <v>1</v>
          </cell>
        </row>
        <row r="4851">
          <cell r="D4851">
            <v>314301</v>
          </cell>
          <cell r="E4851" t="str">
            <v>Dalama NHS</v>
          </cell>
          <cell r="F4851">
            <v>1</v>
          </cell>
          <cell r="G4851">
            <v>1</v>
          </cell>
          <cell r="H4851">
            <v>0</v>
          </cell>
          <cell r="I4851">
            <v>0</v>
          </cell>
          <cell r="J4851">
            <v>0</v>
          </cell>
          <cell r="K4851">
            <v>1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1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</row>
        <row r="4852">
          <cell r="D4852">
            <v>303872</v>
          </cell>
          <cell r="E4852" t="str">
            <v>Titay NHS</v>
          </cell>
          <cell r="F4852">
            <v>1</v>
          </cell>
          <cell r="G4852">
            <v>1</v>
          </cell>
          <cell r="H4852">
            <v>1</v>
          </cell>
          <cell r="I4852">
            <v>1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N4852">
            <v>1</v>
          </cell>
          <cell r="O4852">
            <v>0</v>
          </cell>
          <cell r="P4852">
            <v>0</v>
          </cell>
          <cell r="Q4852">
            <v>1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1</v>
          </cell>
          <cell r="W4852">
            <v>0</v>
          </cell>
          <cell r="X4852">
            <v>0</v>
          </cell>
          <cell r="Y4852">
            <v>0</v>
          </cell>
        </row>
        <row r="4853">
          <cell r="D4853">
            <v>303824</v>
          </cell>
          <cell r="E4853" t="str">
            <v>Alicia NHS</v>
          </cell>
          <cell r="F4853">
            <v>1</v>
          </cell>
          <cell r="G4853">
            <v>1</v>
          </cell>
          <cell r="H4853">
            <v>1</v>
          </cell>
          <cell r="I4853">
            <v>0</v>
          </cell>
          <cell r="J4853">
            <v>1</v>
          </cell>
          <cell r="K4853">
            <v>0</v>
          </cell>
          <cell r="L4853">
            <v>0</v>
          </cell>
          <cell r="M4853">
            <v>0</v>
          </cell>
          <cell r="N4853">
            <v>1</v>
          </cell>
          <cell r="O4853" t="str">
            <v>SEPTEMBER, 2019</v>
          </cell>
          <cell r="P4853" t="str">
            <v>AUGUST, 2019</v>
          </cell>
          <cell r="Q4853">
            <v>0</v>
          </cell>
          <cell r="R4853">
            <v>1</v>
          </cell>
          <cell r="S4853">
            <v>0</v>
          </cell>
          <cell r="T4853">
            <v>0</v>
          </cell>
          <cell r="U4853">
            <v>0</v>
          </cell>
          <cell r="V4853">
            <v>1</v>
          </cell>
          <cell r="W4853">
            <v>2</v>
          </cell>
          <cell r="X4853">
            <v>0</v>
          </cell>
          <cell r="Y4853">
            <v>0</v>
          </cell>
        </row>
        <row r="4854">
          <cell r="D4854">
            <v>303836</v>
          </cell>
          <cell r="E4854" t="str">
            <v>Guintolan NHS</v>
          </cell>
          <cell r="F4854">
            <v>1</v>
          </cell>
          <cell r="G4854">
            <v>1</v>
          </cell>
          <cell r="H4854">
            <v>1</v>
          </cell>
          <cell r="I4854">
            <v>1</v>
          </cell>
          <cell r="J4854">
            <v>1</v>
          </cell>
          <cell r="K4854">
            <v>0</v>
          </cell>
          <cell r="L4854">
            <v>0</v>
          </cell>
          <cell r="M4854">
            <v>0</v>
          </cell>
          <cell r="N4854">
            <v>1</v>
          </cell>
          <cell r="O4854">
            <v>43644</v>
          </cell>
          <cell r="P4854">
            <v>43767</v>
          </cell>
          <cell r="Q4854">
            <v>0</v>
          </cell>
          <cell r="R4854">
            <v>0</v>
          </cell>
          <cell r="S4854">
            <v>0</v>
          </cell>
          <cell r="T4854">
            <v>1</v>
          </cell>
          <cell r="U4854" t="str">
            <v>daily</v>
          </cell>
          <cell r="V4854">
            <v>1</v>
          </cell>
          <cell r="W4854">
            <v>1</v>
          </cell>
          <cell r="X4854">
            <v>1</v>
          </cell>
          <cell r="Y4854">
            <v>1</v>
          </cell>
        </row>
        <row r="4855">
          <cell r="D4855">
            <v>303835</v>
          </cell>
          <cell r="E4855" t="str">
            <v>Natan National High School</v>
          </cell>
          <cell r="F4855">
            <v>1</v>
          </cell>
          <cell r="G4855">
            <v>0</v>
          </cell>
          <cell r="H4855">
            <v>1</v>
          </cell>
          <cell r="I4855">
            <v>0</v>
          </cell>
          <cell r="J4855">
            <v>1</v>
          </cell>
          <cell r="K4855">
            <v>0</v>
          </cell>
          <cell r="L4855">
            <v>0</v>
          </cell>
          <cell r="M4855">
            <v>0</v>
          </cell>
          <cell r="N4855">
            <v>1</v>
          </cell>
          <cell r="O4855">
            <v>0</v>
          </cell>
          <cell r="P4855">
            <v>0</v>
          </cell>
          <cell r="Q4855">
            <v>0</v>
          </cell>
          <cell r="R4855">
            <v>1</v>
          </cell>
          <cell r="S4855">
            <v>0</v>
          </cell>
          <cell r="T4855">
            <v>0</v>
          </cell>
          <cell r="U4855">
            <v>0</v>
          </cell>
          <cell r="V4855">
            <v>1</v>
          </cell>
          <cell r="W4855">
            <v>3</v>
          </cell>
          <cell r="X4855">
            <v>0</v>
          </cell>
          <cell r="Y4855">
            <v>0</v>
          </cell>
        </row>
        <row r="4856">
          <cell r="D4856">
            <v>303868</v>
          </cell>
          <cell r="E4856" t="str">
            <v>San Fernandino NHS</v>
          </cell>
          <cell r="F4856">
            <v>1</v>
          </cell>
          <cell r="G4856">
            <v>0</v>
          </cell>
          <cell r="H4856">
            <v>1</v>
          </cell>
          <cell r="I4856">
            <v>0</v>
          </cell>
          <cell r="J4856">
            <v>0</v>
          </cell>
          <cell r="K4856">
            <v>1</v>
          </cell>
          <cell r="L4856">
            <v>0</v>
          </cell>
          <cell r="M4856">
            <v>0</v>
          </cell>
          <cell r="N4856">
            <v>1</v>
          </cell>
          <cell r="O4856">
            <v>43623</v>
          </cell>
          <cell r="P4856" t="str">
            <v>OCTOBER 10, 2019</v>
          </cell>
          <cell r="Q4856">
            <v>1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2</v>
          </cell>
          <cell r="X4856">
            <v>0</v>
          </cell>
          <cell r="Y4856">
            <v>0</v>
          </cell>
        </row>
        <row r="4857">
          <cell r="D4857">
            <v>303830</v>
          </cell>
          <cell r="E4857" t="str">
            <v>Del Monte NHS</v>
          </cell>
          <cell r="F4857">
            <v>1</v>
          </cell>
          <cell r="G4857">
            <v>1</v>
          </cell>
          <cell r="H4857">
            <v>1</v>
          </cell>
          <cell r="I4857">
            <v>0</v>
          </cell>
          <cell r="J4857">
            <v>0</v>
          </cell>
          <cell r="K4857">
            <v>1</v>
          </cell>
          <cell r="L4857">
            <v>0</v>
          </cell>
          <cell r="M4857">
            <v>0</v>
          </cell>
          <cell r="N4857">
            <v>1</v>
          </cell>
          <cell r="O4857" t="str">
            <v>6/15/2019</v>
          </cell>
          <cell r="P4857" t="str">
            <v>6/30/2019</v>
          </cell>
          <cell r="Q4857">
            <v>1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1</v>
          </cell>
          <cell r="W4857">
            <v>0</v>
          </cell>
          <cell r="X4857">
            <v>0</v>
          </cell>
          <cell r="Y4857">
            <v>0</v>
          </cell>
        </row>
        <row r="4858">
          <cell r="D4858">
            <v>314315</v>
          </cell>
          <cell r="E4858" t="str">
            <v>Mabuhay Agro-Industrial HS</v>
          </cell>
          <cell r="F4858">
            <v>1</v>
          </cell>
          <cell r="G4858">
            <v>1</v>
          </cell>
          <cell r="H4858">
            <v>1</v>
          </cell>
          <cell r="I4858">
            <v>0</v>
          </cell>
          <cell r="J4858">
            <v>1</v>
          </cell>
          <cell r="K4858">
            <v>0</v>
          </cell>
          <cell r="L4858">
            <v>0</v>
          </cell>
          <cell r="M4858">
            <v>0</v>
          </cell>
          <cell r="N4858">
            <v>1</v>
          </cell>
          <cell r="O4858">
            <v>43719</v>
          </cell>
          <cell r="P4858">
            <v>43754</v>
          </cell>
          <cell r="Q4858">
            <v>0</v>
          </cell>
          <cell r="R4858">
            <v>1</v>
          </cell>
          <cell r="S4858">
            <v>0</v>
          </cell>
          <cell r="T4858">
            <v>0</v>
          </cell>
          <cell r="U4858">
            <v>0</v>
          </cell>
          <cell r="V4858">
            <v>1</v>
          </cell>
          <cell r="W4858">
            <v>4</v>
          </cell>
          <cell r="X4858">
            <v>0</v>
          </cell>
          <cell r="Y4858">
            <v>0</v>
          </cell>
        </row>
        <row r="4859">
          <cell r="D4859">
            <v>303858</v>
          </cell>
          <cell r="E4859" t="str">
            <v>Bulawan NHS</v>
          </cell>
          <cell r="F4859">
            <v>1</v>
          </cell>
          <cell r="G4859">
            <v>1</v>
          </cell>
          <cell r="H4859">
            <v>1</v>
          </cell>
          <cell r="I4859">
            <v>0</v>
          </cell>
          <cell r="J4859">
            <v>0</v>
          </cell>
          <cell r="K4859">
            <v>1</v>
          </cell>
          <cell r="L4859">
            <v>1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</row>
        <row r="4860">
          <cell r="D4860">
            <v>303844</v>
          </cell>
          <cell r="E4860" t="str">
            <v>Makilas NHS</v>
          </cell>
          <cell r="F4860">
            <v>1</v>
          </cell>
          <cell r="G4860">
            <v>1</v>
          </cell>
          <cell r="H4860">
            <v>1</v>
          </cell>
          <cell r="I4860">
            <v>0</v>
          </cell>
          <cell r="J4860">
            <v>0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</row>
        <row r="4861">
          <cell r="D4861">
            <v>303837</v>
          </cell>
          <cell r="E4861" t="str">
            <v>Imelda NHS</v>
          </cell>
          <cell r="F4861">
            <v>1</v>
          </cell>
          <cell r="G4861">
            <v>1</v>
          </cell>
          <cell r="H4861">
            <v>1</v>
          </cell>
          <cell r="I4861">
            <v>0</v>
          </cell>
          <cell r="J4861">
            <v>0</v>
          </cell>
          <cell r="K4861">
            <v>1</v>
          </cell>
          <cell r="L4861">
            <v>0</v>
          </cell>
          <cell r="M4861">
            <v>0</v>
          </cell>
          <cell r="N4861">
            <v>0</v>
          </cell>
          <cell r="O4861">
            <v>43647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2</v>
          </cell>
          <cell r="X4861">
            <v>0</v>
          </cell>
          <cell r="Y4861">
            <v>0</v>
          </cell>
        </row>
        <row r="4862">
          <cell r="D4862">
            <v>314322</v>
          </cell>
          <cell r="E4862" t="str">
            <v>Taway NHS</v>
          </cell>
          <cell r="F4862">
            <v>1</v>
          </cell>
          <cell r="G4862">
            <v>0</v>
          </cell>
          <cell r="H4862">
            <v>1</v>
          </cell>
          <cell r="I4862">
            <v>0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1</v>
          </cell>
          <cell r="W4862">
            <v>0</v>
          </cell>
          <cell r="X4862">
            <v>0</v>
          </cell>
          <cell r="Y4862">
            <v>0</v>
          </cell>
        </row>
        <row r="4863">
          <cell r="D4863">
            <v>303861</v>
          </cell>
          <cell r="E4863" t="str">
            <v>Sta. Clara NHS</v>
          </cell>
          <cell r="F4863">
            <v>0</v>
          </cell>
          <cell r="G4863">
            <v>0</v>
          </cell>
          <cell r="H4863">
            <v>1</v>
          </cell>
          <cell r="I4863">
            <v>0</v>
          </cell>
          <cell r="J4863">
            <v>1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</row>
        <row r="4864">
          <cell r="D4864">
            <v>303846</v>
          </cell>
          <cell r="E4864" t="str">
            <v>Catituan NHS</v>
          </cell>
          <cell r="F4864">
            <v>0</v>
          </cell>
          <cell r="G4864">
            <v>0</v>
          </cell>
          <cell r="H4864">
            <v>1</v>
          </cell>
          <cell r="I4864">
            <v>0</v>
          </cell>
          <cell r="J4864">
            <v>0</v>
          </cell>
          <cell r="K4864">
            <v>1</v>
          </cell>
          <cell r="L4864">
            <v>0</v>
          </cell>
          <cell r="M4864">
            <v>0</v>
          </cell>
          <cell r="N4864">
            <v>1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</row>
        <row r="4865">
          <cell r="D4865">
            <v>303848</v>
          </cell>
          <cell r="E4865" t="str">
            <v>Minsulao National High School</v>
          </cell>
          <cell r="F4865">
            <v>1</v>
          </cell>
          <cell r="G4865">
            <v>1</v>
          </cell>
          <cell r="H4865">
            <v>1</v>
          </cell>
          <cell r="I4865">
            <v>0</v>
          </cell>
          <cell r="J4865">
            <v>0</v>
          </cell>
          <cell r="K4865">
            <v>0</v>
          </cell>
          <cell r="L4865">
            <v>1</v>
          </cell>
          <cell r="M4865" t="str">
            <v>As needed</v>
          </cell>
          <cell r="N4865">
            <v>0</v>
          </cell>
          <cell r="O4865">
            <v>43646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1</v>
          </cell>
          <cell r="U4865" t="str">
            <v>as needed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</row>
        <row r="4866">
          <cell r="D4866">
            <v>303870</v>
          </cell>
          <cell r="E4866" t="str">
            <v>Talusan NHS</v>
          </cell>
          <cell r="F4866">
            <v>1</v>
          </cell>
          <cell r="G4866">
            <v>1</v>
          </cell>
          <cell r="H4866">
            <v>1</v>
          </cell>
          <cell r="I4866">
            <v>0</v>
          </cell>
          <cell r="J4866">
            <v>0</v>
          </cell>
          <cell r="K4866">
            <v>1</v>
          </cell>
          <cell r="L4866">
            <v>0</v>
          </cell>
          <cell r="M4866">
            <v>0</v>
          </cell>
          <cell r="N4866">
            <v>0</v>
          </cell>
          <cell r="O4866" t="str">
            <v>October 16, 2019</v>
          </cell>
          <cell r="P4866" t="str">
            <v>Oct. 16, 2019</v>
          </cell>
          <cell r="Q4866">
            <v>0</v>
          </cell>
          <cell r="R4866">
            <v>1</v>
          </cell>
          <cell r="S4866">
            <v>0</v>
          </cell>
          <cell r="T4866">
            <v>0</v>
          </cell>
          <cell r="U4866">
            <v>0</v>
          </cell>
          <cell r="V4866">
            <v>1</v>
          </cell>
          <cell r="W4866">
            <v>0</v>
          </cell>
          <cell r="X4866">
            <v>0</v>
          </cell>
          <cell r="Y4866">
            <v>0</v>
          </cell>
        </row>
        <row r="4867">
          <cell r="D4867">
            <v>303863</v>
          </cell>
          <cell r="E4867" t="str">
            <v>Sulo National High School</v>
          </cell>
          <cell r="F4867">
            <v>1</v>
          </cell>
          <cell r="G4867">
            <v>0</v>
          </cell>
          <cell r="H4867">
            <v>1</v>
          </cell>
          <cell r="I4867">
            <v>0</v>
          </cell>
          <cell r="J4867">
            <v>1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</row>
        <row r="4868">
          <cell r="D4868">
            <v>303852</v>
          </cell>
          <cell r="E4868" t="str">
            <v>Mabuhay NHS</v>
          </cell>
          <cell r="F4868">
            <v>1</v>
          </cell>
          <cell r="G4868">
            <v>1</v>
          </cell>
          <cell r="H4868">
            <v>0</v>
          </cell>
          <cell r="I4868">
            <v>0</v>
          </cell>
          <cell r="J4868">
            <v>0</v>
          </cell>
          <cell r="K4868">
            <v>1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1</v>
          </cell>
          <cell r="W4868">
            <v>3</v>
          </cell>
          <cell r="X4868">
            <v>3</v>
          </cell>
          <cell r="Y4868">
            <v>0</v>
          </cell>
        </row>
        <row r="4869">
          <cell r="D4869">
            <v>303825</v>
          </cell>
          <cell r="E4869" t="str">
            <v>Dawa-Dawa NHS</v>
          </cell>
          <cell r="F4869">
            <v>1</v>
          </cell>
          <cell r="G4869">
            <v>1</v>
          </cell>
          <cell r="H4869">
            <v>1</v>
          </cell>
          <cell r="I4869">
            <v>0</v>
          </cell>
          <cell r="J4869">
            <v>1</v>
          </cell>
          <cell r="K4869">
            <v>0</v>
          </cell>
          <cell r="L4869">
            <v>0</v>
          </cell>
          <cell r="M4869">
            <v>0</v>
          </cell>
          <cell r="N4869">
            <v>1</v>
          </cell>
          <cell r="O4869" t="str">
            <v>n/a</v>
          </cell>
          <cell r="P4869" t="str">
            <v>08/15/2019</v>
          </cell>
          <cell r="Q4869">
            <v>1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1</v>
          </cell>
          <cell r="W4869">
            <v>3</v>
          </cell>
          <cell r="X4869">
            <v>0</v>
          </cell>
          <cell r="Y4869">
            <v>0</v>
          </cell>
        </row>
        <row r="4870">
          <cell r="D4870">
            <v>314305</v>
          </cell>
          <cell r="E4870" t="str">
            <v>Basalem NHS</v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</row>
        <row r="4871">
          <cell r="D4871">
            <v>303853</v>
          </cell>
          <cell r="E4871" t="str">
            <v>Palomoc NHS</v>
          </cell>
          <cell r="F4871">
            <v>0</v>
          </cell>
          <cell r="G4871">
            <v>0</v>
          </cell>
          <cell r="H4871">
            <v>1</v>
          </cell>
          <cell r="I4871">
            <v>0</v>
          </cell>
          <cell r="J4871">
            <v>1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</row>
        <row r="4872">
          <cell r="D4872">
            <v>303827</v>
          </cell>
          <cell r="E4872" t="str">
            <v>Francisco Ramos NHS</v>
          </cell>
          <cell r="F4872">
            <v>1</v>
          </cell>
          <cell r="G4872">
            <v>0</v>
          </cell>
          <cell r="H4872">
            <v>1</v>
          </cell>
          <cell r="I4872">
            <v>0</v>
          </cell>
          <cell r="J4872">
            <v>1</v>
          </cell>
          <cell r="K4872">
            <v>0</v>
          </cell>
          <cell r="L4872">
            <v>0</v>
          </cell>
          <cell r="M4872">
            <v>0</v>
          </cell>
          <cell r="N4872">
            <v>1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1</v>
          </cell>
          <cell r="U4872" t="str">
            <v>WEEKLY</v>
          </cell>
          <cell r="V4872">
            <v>1</v>
          </cell>
          <cell r="W4872">
            <v>0</v>
          </cell>
          <cell r="X4872">
            <v>0</v>
          </cell>
          <cell r="Y4872">
            <v>0</v>
          </cell>
        </row>
        <row r="4873">
          <cell r="D4873">
            <v>314313</v>
          </cell>
          <cell r="E4873" t="str">
            <v>Magdaup National High School</v>
          </cell>
          <cell r="F4873">
            <v>1</v>
          </cell>
          <cell r="G4873">
            <v>0</v>
          </cell>
          <cell r="H4873">
            <v>1</v>
          </cell>
          <cell r="I4873">
            <v>0</v>
          </cell>
          <cell r="J4873">
            <v>1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</row>
        <row r="4874">
          <cell r="D4874">
            <v>303851</v>
          </cell>
          <cell r="E4874" t="str">
            <v>Olutanga NHS</v>
          </cell>
          <cell r="F4874">
            <v>0</v>
          </cell>
          <cell r="G4874">
            <v>0</v>
          </cell>
          <cell r="H4874">
            <v>1</v>
          </cell>
          <cell r="I4874">
            <v>0</v>
          </cell>
          <cell r="J4874">
            <v>1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1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</row>
        <row r="4875">
          <cell r="D4875">
            <v>303841</v>
          </cell>
          <cell r="E4875" t="str">
            <v>Kawayan NHS</v>
          </cell>
          <cell r="F4875">
            <v>0</v>
          </cell>
          <cell r="G4875">
            <v>0</v>
          </cell>
          <cell r="H4875">
            <v>1</v>
          </cell>
          <cell r="I4875">
            <v>0</v>
          </cell>
          <cell r="J4875">
            <v>0</v>
          </cell>
          <cell r="K4875">
            <v>1</v>
          </cell>
          <cell r="L4875">
            <v>0</v>
          </cell>
          <cell r="M4875">
            <v>0</v>
          </cell>
          <cell r="N4875">
            <v>1</v>
          </cell>
          <cell r="O4875">
            <v>43623</v>
          </cell>
          <cell r="P4875">
            <v>0</v>
          </cell>
          <cell r="Q4875">
            <v>0</v>
          </cell>
          <cell r="R4875">
            <v>0</v>
          </cell>
          <cell r="S4875">
            <v>1</v>
          </cell>
          <cell r="T4875">
            <v>0</v>
          </cell>
          <cell r="U4875">
            <v>0</v>
          </cell>
          <cell r="V4875">
            <v>1</v>
          </cell>
          <cell r="W4875">
            <v>2</v>
          </cell>
          <cell r="X4875">
            <v>0</v>
          </cell>
          <cell r="Y4875">
            <v>1</v>
          </cell>
        </row>
        <row r="4876">
          <cell r="D4876">
            <v>314312</v>
          </cell>
          <cell r="E4876" t="str">
            <v>Timalang NHS</v>
          </cell>
          <cell r="F4876">
            <v>1</v>
          </cell>
          <cell r="G4876">
            <v>0</v>
          </cell>
          <cell r="H4876">
            <v>1</v>
          </cell>
          <cell r="I4876">
            <v>0</v>
          </cell>
          <cell r="J4876">
            <v>0</v>
          </cell>
          <cell r="K4876">
            <v>0</v>
          </cell>
          <cell r="L4876">
            <v>0</v>
          </cell>
          <cell r="M4876">
            <v>0</v>
          </cell>
          <cell r="N4876">
            <v>1</v>
          </cell>
          <cell r="O4876" t="str">
            <v>JUNE 15 2019</v>
          </cell>
          <cell r="P4876">
            <v>0</v>
          </cell>
          <cell r="Q4876">
            <v>0</v>
          </cell>
          <cell r="R4876">
            <v>1</v>
          </cell>
          <cell r="S4876">
            <v>0</v>
          </cell>
          <cell r="T4876">
            <v>0</v>
          </cell>
          <cell r="U4876">
            <v>0</v>
          </cell>
          <cell r="V4876">
            <v>1</v>
          </cell>
          <cell r="W4876">
            <v>1</v>
          </cell>
          <cell r="X4876">
            <v>1</v>
          </cell>
          <cell r="Y4876">
            <v>1</v>
          </cell>
        </row>
        <row r="4877">
          <cell r="D4877">
            <v>303834</v>
          </cell>
          <cell r="E4877" t="str">
            <v>Villacastor NHS</v>
          </cell>
          <cell r="F4877">
            <v>1</v>
          </cell>
          <cell r="G4877">
            <v>1</v>
          </cell>
          <cell r="H4877">
            <v>1</v>
          </cell>
          <cell r="I4877">
            <v>0</v>
          </cell>
          <cell r="J4877">
            <v>0</v>
          </cell>
          <cell r="K4877">
            <v>0</v>
          </cell>
          <cell r="L4877">
            <v>1</v>
          </cell>
          <cell r="M4877" t="str">
            <v>BY SEMESTER</v>
          </cell>
          <cell r="N4877">
            <v>1</v>
          </cell>
          <cell r="O4877" t="str">
            <v>JULY31,2019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</row>
        <row r="4878">
          <cell r="D4878">
            <v>303855</v>
          </cell>
          <cell r="E4878" t="str">
            <v>Bacalan National High School</v>
          </cell>
          <cell r="F4878">
            <v>1</v>
          </cell>
          <cell r="G4878">
            <v>1</v>
          </cell>
          <cell r="H4878">
            <v>1</v>
          </cell>
          <cell r="I4878">
            <v>0</v>
          </cell>
          <cell r="J4878">
            <v>1</v>
          </cell>
          <cell r="K4878">
            <v>0</v>
          </cell>
          <cell r="L4878">
            <v>0</v>
          </cell>
          <cell r="M4878">
            <v>0</v>
          </cell>
          <cell r="N4878">
            <v>1</v>
          </cell>
          <cell r="O4878" t="str">
            <v>AUGUST 17, 2019</v>
          </cell>
          <cell r="P4878" t="str">
            <v>AUGUST 17, 2019</v>
          </cell>
          <cell r="Q4878">
            <v>0</v>
          </cell>
          <cell r="R4878">
            <v>1</v>
          </cell>
          <cell r="S4878">
            <v>0</v>
          </cell>
          <cell r="T4878">
            <v>0</v>
          </cell>
          <cell r="U4878">
            <v>0</v>
          </cell>
          <cell r="V4878">
            <v>1</v>
          </cell>
          <cell r="W4878">
            <v>0</v>
          </cell>
          <cell r="X4878">
            <v>0</v>
          </cell>
          <cell r="Y4878">
            <v>0</v>
          </cell>
        </row>
        <row r="4879">
          <cell r="D4879">
            <v>303845</v>
          </cell>
          <cell r="E4879" t="str">
            <v>Malangas NHS</v>
          </cell>
          <cell r="F4879">
            <v>1</v>
          </cell>
          <cell r="G4879">
            <v>1</v>
          </cell>
          <cell r="H4879">
            <v>1</v>
          </cell>
          <cell r="I4879">
            <v>0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  <cell r="N4879">
            <v>1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1</v>
          </cell>
          <cell r="X4879">
            <v>0</v>
          </cell>
          <cell r="Y4879">
            <v>0</v>
          </cell>
        </row>
        <row r="4880">
          <cell r="D4880">
            <v>314306</v>
          </cell>
          <cell r="E4880" t="str">
            <v>San Pedro NHS</v>
          </cell>
          <cell r="F4880">
            <v>1</v>
          </cell>
          <cell r="G4880">
            <v>1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N4880">
            <v>1</v>
          </cell>
          <cell r="O4880" t="str">
            <v>Oct. 12, 2019</v>
          </cell>
          <cell r="P4880" t="str">
            <v>Oct. 12, 2019</v>
          </cell>
          <cell r="Q4880">
            <v>1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1</v>
          </cell>
          <cell r="W4880">
            <v>0</v>
          </cell>
          <cell r="X4880">
            <v>0</v>
          </cell>
          <cell r="Y4880">
            <v>0</v>
          </cell>
        </row>
        <row r="4881">
          <cell r="D4881">
            <v>314304</v>
          </cell>
          <cell r="E4881" t="str">
            <v>Sisay NHS</v>
          </cell>
          <cell r="F4881">
            <v>0</v>
          </cell>
          <cell r="G4881">
            <v>0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</row>
        <row r="4882">
          <cell r="D4882">
            <v>303860</v>
          </cell>
          <cell r="E4882" t="str">
            <v>San Antonio NHS</v>
          </cell>
          <cell r="F4882">
            <v>1</v>
          </cell>
          <cell r="G4882">
            <v>0</v>
          </cell>
          <cell r="H4882">
            <v>1</v>
          </cell>
          <cell r="I4882">
            <v>0</v>
          </cell>
          <cell r="J4882">
            <v>0</v>
          </cell>
          <cell r="K4882">
            <v>1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</row>
        <row r="4883">
          <cell r="D4883">
            <v>314307</v>
          </cell>
          <cell r="E4883" t="str">
            <v>Tambanan National High School</v>
          </cell>
          <cell r="F4883">
            <v>1</v>
          </cell>
          <cell r="G4883">
            <v>1</v>
          </cell>
          <cell r="H4883">
            <v>1</v>
          </cell>
          <cell r="I4883">
            <v>0</v>
          </cell>
          <cell r="J4883">
            <v>1</v>
          </cell>
          <cell r="K4883">
            <v>0</v>
          </cell>
          <cell r="L4883">
            <v>0</v>
          </cell>
          <cell r="M4883">
            <v>0</v>
          </cell>
          <cell r="N4883">
            <v>1</v>
          </cell>
          <cell r="O4883">
            <v>0</v>
          </cell>
          <cell r="P4883">
            <v>43740</v>
          </cell>
          <cell r="Q4883">
            <v>1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1</v>
          </cell>
          <cell r="W4883">
            <v>0</v>
          </cell>
          <cell r="X4883">
            <v>0</v>
          </cell>
          <cell r="Y4883">
            <v>0</v>
          </cell>
        </row>
        <row r="4884">
          <cell r="D4884">
            <v>303884</v>
          </cell>
          <cell r="E4884" t="str">
            <v>Sulangon NHS</v>
          </cell>
          <cell r="F4884">
            <v>1</v>
          </cell>
          <cell r="G4884">
            <v>1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</row>
        <row r="4885">
          <cell r="D4885">
            <v>303880</v>
          </cell>
          <cell r="E4885" t="str">
            <v>Dapitan City National High School</v>
          </cell>
          <cell r="F4885">
            <v>1</v>
          </cell>
          <cell r="G4885">
            <v>1</v>
          </cell>
          <cell r="H4885">
            <v>1</v>
          </cell>
          <cell r="I4885">
            <v>0</v>
          </cell>
          <cell r="J4885">
            <v>0</v>
          </cell>
          <cell r="K4885">
            <v>0</v>
          </cell>
          <cell r="L4885">
            <v>1</v>
          </cell>
          <cell r="M4885" t="str">
            <v>As needed arises</v>
          </cell>
          <cell r="N4885">
            <v>1</v>
          </cell>
          <cell r="O4885">
            <v>43685</v>
          </cell>
          <cell r="P4885">
            <v>43772</v>
          </cell>
          <cell r="Q4885">
            <v>1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1</v>
          </cell>
          <cell r="W4885">
            <v>0</v>
          </cell>
          <cell r="X4885">
            <v>0</v>
          </cell>
          <cell r="Y4885">
            <v>0</v>
          </cell>
        </row>
        <row r="4886">
          <cell r="D4886">
            <v>303878</v>
          </cell>
          <cell r="E4886" t="str">
            <v>Baylimango NHS</v>
          </cell>
          <cell r="F4886">
            <v>1</v>
          </cell>
          <cell r="G4886">
            <v>1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</row>
        <row r="4887">
          <cell r="D4887">
            <v>303876</v>
          </cell>
          <cell r="E4887" t="str">
            <v>Aseniero NHS</v>
          </cell>
          <cell r="F4887">
            <v>1</v>
          </cell>
          <cell r="G4887">
            <v>1</v>
          </cell>
          <cell r="H4887">
            <v>1</v>
          </cell>
          <cell r="I4887">
            <v>0</v>
          </cell>
          <cell r="J4887">
            <v>0</v>
          </cell>
          <cell r="K4887">
            <v>1</v>
          </cell>
          <cell r="L4887">
            <v>0</v>
          </cell>
          <cell r="M4887">
            <v>0</v>
          </cell>
          <cell r="N4887">
            <v>1</v>
          </cell>
          <cell r="O4887">
            <v>43663</v>
          </cell>
          <cell r="P4887">
            <v>0</v>
          </cell>
          <cell r="Q4887">
            <v>0</v>
          </cell>
          <cell r="R4887">
            <v>1</v>
          </cell>
          <cell r="S4887">
            <v>0</v>
          </cell>
          <cell r="T4887">
            <v>0</v>
          </cell>
          <cell r="U4887">
            <v>0</v>
          </cell>
          <cell r="V4887">
            <v>1</v>
          </cell>
          <cell r="W4887">
            <v>1</v>
          </cell>
          <cell r="X4887">
            <v>1</v>
          </cell>
          <cell r="Y4887">
            <v>1</v>
          </cell>
        </row>
        <row r="4888">
          <cell r="D4888">
            <v>303877</v>
          </cell>
          <cell r="E4888" t="str">
            <v>Barcelona National High School</v>
          </cell>
          <cell r="F4888">
            <v>1</v>
          </cell>
          <cell r="G4888">
            <v>1</v>
          </cell>
          <cell r="H4888">
            <v>1</v>
          </cell>
          <cell r="I4888">
            <v>0</v>
          </cell>
          <cell r="J4888">
            <v>1</v>
          </cell>
          <cell r="K4888">
            <v>0</v>
          </cell>
          <cell r="L4888">
            <v>0</v>
          </cell>
          <cell r="M4888">
            <v>0</v>
          </cell>
          <cell r="N4888">
            <v>1</v>
          </cell>
          <cell r="O4888">
            <v>43787</v>
          </cell>
          <cell r="P4888">
            <v>43787</v>
          </cell>
          <cell r="Q4888">
            <v>0</v>
          </cell>
          <cell r="R4888">
            <v>1</v>
          </cell>
          <cell r="S4888">
            <v>0</v>
          </cell>
          <cell r="T4888">
            <v>0</v>
          </cell>
          <cell r="U4888">
            <v>0</v>
          </cell>
          <cell r="V4888">
            <v>1</v>
          </cell>
          <cell r="W4888">
            <v>0</v>
          </cell>
          <cell r="X4888">
            <v>0</v>
          </cell>
          <cell r="Y4888">
            <v>0</v>
          </cell>
        </row>
        <row r="4889">
          <cell r="D4889">
            <v>303881</v>
          </cell>
          <cell r="E4889" t="str">
            <v>Ilaya NHS</v>
          </cell>
          <cell r="F4889">
            <v>1</v>
          </cell>
          <cell r="G4889">
            <v>1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</row>
        <row r="4890">
          <cell r="D4890">
            <v>500675</v>
          </cell>
          <cell r="E4890" t="str">
            <v>Kauswagan IS</v>
          </cell>
          <cell r="F4890">
            <v>1</v>
          </cell>
          <cell r="G4890">
            <v>1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3</v>
          </cell>
          <cell r="X4890">
            <v>0</v>
          </cell>
          <cell r="Y4890">
            <v>0</v>
          </cell>
        </row>
        <row r="4891">
          <cell r="D4891">
            <v>303883</v>
          </cell>
          <cell r="E4891" t="str">
            <v>Potungan NHS</v>
          </cell>
          <cell r="F4891">
            <v>1</v>
          </cell>
          <cell r="G4891">
            <v>1</v>
          </cell>
          <cell r="H4891">
            <v>1</v>
          </cell>
          <cell r="I4891">
            <v>0</v>
          </cell>
          <cell r="J4891">
            <v>1</v>
          </cell>
          <cell r="K4891">
            <v>0</v>
          </cell>
          <cell r="L4891">
            <v>0</v>
          </cell>
          <cell r="M4891">
            <v>0</v>
          </cell>
          <cell r="N4891">
            <v>1</v>
          </cell>
          <cell r="O4891">
            <v>0</v>
          </cell>
          <cell r="P4891">
            <v>43747</v>
          </cell>
          <cell r="Q4891">
            <v>0</v>
          </cell>
          <cell r="R4891">
            <v>1</v>
          </cell>
          <cell r="S4891">
            <v>0</v>
          </cell>
          <cell r="T4891">
            <v>0</v>
          </cell>
          <cell r="U4891">
            <v>0</v>
          </cell>
          <cell r="V4891">
            <v>1</v>
          </cell>
          <cell r="W4891">
            <v>0</v>
          </cell>
          <cell r="X4891">
            <v>0</v>
          </cell>
          <cell r="Y4891">
            <v>0</v>
          </cell>
        </row>
        <row r="4892">
          <cell r="D4892">
            <v>303879</v>
          </cell>
          <cell r="E4892" t="str">
            <v>Dakak National High School</v>
          </cell>
          <cell r="F4892">
            <v>1</v>
          </cell>
          <cell r="G4892">
            <v>1</v>
          </cell>
          <cell r="H4892">
            <v>1</v>
          </cell>
          <cell r="I4892">
            <v>0</v>
          </cell>
          <cell r="J4892">
            <v>1</v>
          </cell>
          <cell r="K4892">
            <v>0</v>
          </cell>
          <cell r="L4892">
            <v>0</v>
          </cell>
          <cell r="M4892">
            <v>0</v>
          </cell>
          <cell r="N4892">
            <v>1</v>
          </cell>
          <cell r="O4892">
            <v>43333</v>
          </cell>
          <cell r="P4892">
            <v>43800</v>
          </cell>
          <cell r="Q4892">
            <v>0</v>
          </cell>
          <cell r="R4892">
            <v>1</v>
          </cell>
          <cell r="S4892">
            <v>0</v>
          </cell>
          <cell r="T4892">
            <v>0</v>
          </cell>
          <cell r="U4892">
            <v>0</v>
          </cell>
          <cell r="V4892">
            <v>1</v>
          </cell>
          <cell r="W4892">
            <v>0</v>
          </cell>
          <cell r="X4892">
            <v>0</v>
          </cell>
          <cell r="Y4892">
            <v>0</v>
          </cell>
        </row>
        <row r="4893">
          <cell r="D4893">
            <v>303891</v>
          </cell>
          <cell r="E4893" t="str">
            <v>Punta National High School</v>
          </cell>
          <cell r="F4893">
            <v>1</v>
          </cell>
          <cell r="G4893">
            <v>1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</row>
        <row r="4894">
          <cell r="D4894">
            <v>303886</v>
          </cell>
          <cell r="E4894" t="str">
            <v>Cogon NHS</v>
          </cell>
          <cell r="F4894">
            <v>1</v>
          </cell>
          <cell r="G4894">
            <v>1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</row>
        <row r="4895">
          <cell r="D4895">
            <v>303887</v>
          </cell>
          <cell r="E4895" t="str">
            <v>Dipolog City NHS (Barra)</v>
          </cell>
          <cell r="F4895">
            <v>1</v>
          </cell>
          <cell r="G4895">
            <v>1</v>
          </cell>
          <cell r="H4895">
            <v>1</v>
          </cell>
          <cell r="I4895">
            <v>0</v>
          </cell>
          <cell r="J4895">
            <v>1</v>
          </cell>
          <cell r="K4895">
            <v>1</v>
          </cell>
          <cell r="L4895">
            <v>0</v>
          </cell>
          <cell r="M4895">
            <v>0</v>
          </cell>
          <cell r="N4895">
            <v>1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</row>
        <row r="4896">
          <cell r="D4896">
            <v>303893</v>
          </cell>
          <cell r="E4896" t="str">
            <v>Zamboanga Norte NHS</v>
          </cell>
          <cell r="F4896">
            <v>1</v>
          </cell>
          <cell r="G4896">
            <v>1</v>
          </cell>
          <cell r="H4896">
            <v>1</v>
          </cell>
          <cell r="I4896">
            <v>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</row>
        <row r="4897">
          <cell r="D4897">
            <v>303888</v>
          </cell>
          <cell r="E4897" t="str">
            <v>Galas NHS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</row>
        <row r="4898">
          <cell r="D4898">
            <v>303890</v>
          </cell>
          <cell r="E4898" t="str">
            <v>Pamansalan Eco. Tech. HS</v>
          </cell>
          <cell r="F4898">
            <v>1</v>
          </cell>
          <cell r="G4898">
            <v>1</v>
          </cell>
          <cell r="H4898">
            <v>1</v>
          </cell>
          <cell r="I4898">
            <v>0</v>
          </cell>
          <cell r="J4898">
            <v>0</v>
          </cell>
          <cell r="K4898">
            <v>1</v>
          </cell>
          <cell r="L4898">
            <v>0</v>
          </cell>
          <cell r="M4898">
            <v>0</v>
          </cell>
          <cell r="N4898">
            <v>1</v>
          </cell>
          <cell r="O4898">
            <v>43558</v>
          </cell>
          <cell r="P4898">
            <v>43744</v>
          </cell>
          <cell r="Q4898">
            <v>0</v>
          </cell>
          <cell r="R4898">
            <v>0</v>
          </cell>
          <cell r="S4898">
            <v>1</v>
          </cell>
          <cell r="T4898">
            <v>0</v>
          </cell>
          <cell r="U4898">
            <v>0</v>
          </cell>
          <cell r="V4898">
            <v>1</v>
          </cell>
          <cell r="W4898">
            <v>0</v>
          </cell>
          <cell r="X4898">
            <v>0</v>
          </cell>
          <cell r="Y4898">
            <v>0</v>
          </cell>
        </row>
        <row r="4899">
          <cell r="D4899">
            <v>303892</v>
          </cell>
          <cell r="E4899" t="str">
            <v>Sicayab National High School</v>
          </cell>
          <cell r="F4899">
            <v>0</v>
          </cell>
          <cell r="G4899">
            <v>0</v>
          </cell>
          <cell r="H4899">
            <v>0</v>
          </cell>
          <cell r="I4899">
            <v>0</v>
          </cell>
          <cell r="J4899">
            <v>1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1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</row>
        <row r="4900">
          <cell r="D4900">
            <v>500242</v>
          </cell>
          <cell r="E4900" t="str">
            <v>Upper Dicayas Integrated School</v>
          </cell>
          <cell r="F4900">
            <v>1</v>
          </cell>
          <cell r="G4900">
            <v>1</v>
          </cell>
          <cell r="H4900">
            <v>1</v>
          </cell>
          <cell r="I4900">
            <v>0</v>
          </cell>
          <cell r="J4900">
            <v>1</v>
          </cell>
          <cell r="K4900">
            <v>0</v>
          </cell>
          <cell r="L4900">
            <v>0</v>
          </cell>
          <cell r="M4900">
            <v>0</v>
          </cell>
          <cell r="N4900">
            <v>1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1</v>
          </cell>
          <cell r="W4900">
            <v>0</v>
          </cell>
          <cell r="X4900">
            <v>0</v>
          </cell>
          <cell r="Y4900">
            <v>0</v>
          </cell>
        </row>
        <row r="4901">
          <cell r="D4901">
            <v>303885</v>
          </cell>
          <cell r="E4901" t="str">
            <v>Alberto Q. Ubay Mem. Agro-Tech'l. Sci. HS</v>
          </cell>
          <cell r="F4901">
            <v>1</v>
          </cell>
          <cell r="G4901">
            <v>0</v>
          </cell>
          <cell r="H4901">
            <v>1</v>
          </cell>
          <cell r="I4901">
            <v>0</v>
          </cell>
          <cell r="J4901">
            <v>0</v>
          </cell>
          <cell r="K4901">
            <v>1</v>
          </cell>
          <cell r="L4901">
            <v>0</v>
          </cell>
          <cell r="M4901">
            <v>0</v>
          </cell>
          <cell r="N4901">
            <v>1</v>
          </cell>
          <cell r="O4901" t="str">
            <v>June 25, 2019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</row>
        <row r="4902">
          <cell r="D4902">
            <v>303894</v>
          </cell>
          <cell r="E4902" t="str">
            <v>Basilan NHS</v>
          </cell>
          <cell r="F4902">
            <v>1</v>
          </cell>
          <cell r="G4902">
            <v>0</v>
          </cell>
          <cell r="H4902">
            <v>1</v>
          </cell>
          <cell r="I4902">
            <v>0</v>
          </cell>
          <cell r="J4902">
            <v>0</v>
          </cell>
          <cell r="K4902">
            <v>1</v>
          </cell>
          <cell r="L4902">
            <v>0</v>
          </cell>
          <cell r="M4902">
            <v>0</v>
          </cell>
          <cell r="N4902">
            <v>1</v>
          </cell>
          <cell r="O4902">
            <v>43588</v>
          </cell>
          <cell r="P4902">
            <v>43286</v>
          </cell>
          <cell r="Q4902">
            <v>0</v>
          </cell>
          <cell r="R4902">
            <v>0</v>
          </cell>
          <cell r="S4902">
            <v>1</v>
          </cell>
          <cell r="T4902">
            <v>0</v>
          </cell>
          <cell r="U4902">
            <v>0</v>
          </cell>
          <cell r="V4902">
            <v>1</v>
          </cell>
          <cell r="W4902">
            <v>0</v>
          </cell>
          <cell r="X4902">
            <v>0</v>
          </cell>
          <cell r="Y4902">
            <v>0</v>
          </cell>
        </row>
        <row r="4903">
          <cell r="D4903">
            <v>303898</v>
          </cell>
          <cell r="E4903" t="str">
            <v>Tandung Ahas NHS</v>
          </cell>
          <cell r="F4903">
            <v>1</v>
          </cell>
          <cell r="G4903">
            <v>1</v>
          </cell>
          <cell r="H4903">
            <v>1</v>
          </cell>
          <cell r="I4903">
            <v>0</v>
          </cell>
          <cell r="J4903">
            <v>0</v>
          </cell>
          <cell r="K4903">
            <v>0</v>
          </cell>
          <cell r="L4903">
            <v>1</v>
          </cell>
          <cell r="M4903" t="str">
            <v>WHEN NECESSARY</v>
          </cell>
          <cell r="N4903">
            <v>0</v>
          </cell>
          <cell r="O4903">
            <v>0</v>
          </cell>
          <cell r="P4903">
            <v>43474</v>
          </cell>
          <cell r="Q4903">
            <v>0</v>
          </cell>
          <cell r="R4903">
            <v>1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</row>
        <row r="4904">
          <cell r="D4904">
            <v>303895</v>
          </cell>
          <cell r="E4904" t="str">
            <v>Malamawi National High School</v>
          </cell>
          <cell r="F4904">
            <v>1</v>
          </cell>
          <cell r="G4904">
            <v>1</v>
          </cell>
          <cell r="H4904">
            <v>0</v>
          </cell>
          <cell r="I4904">
            <v>1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1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1</v>
          </cell>
          <cell r="W4904">
            <v>0</v>
          </cell>
          <cell r="X4904">
            <v>0</v>
          </cell>
          <cell r="Y4904">
            <v>0</v>
          </cell>
        </row>
        <row r="4905">
          <cell r="D4905">
            <v>303897</v>
          </cell>
          <cell r="E4905" t="str">
            <v>Begang NHS</v>
          </cell>
          <cell r="F4905">
            <v>1</v>
          </cell>
          <cell r="G4905">
            <v>1</v>
          </cell>
          <cell r="H4905">
            <v>1</v>
          </cell>
          <cell r="I4905">
            <v>0</v>
          </cell>
          <cell r="J4905">
            <v>0</v>
          </cell>
          <cell r="K4905">
            <v>1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1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</row>
        <row r="4906">
          <cell r="D4906">
            <v>314603</v>
          </cell>
          <cell r="E4906" t="str">
            <v>Baluno National High School</v>
          </cell>
          <cell r="F4906">
            <v>1</v>
          </cell>
          <cell r="G4906">
            <v>0</v>
          </cell>
          <cell r="H4906">
            <v>1</v>
          </cell>
          <cell r="I4906">
            <v>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1</v>
          </cell>
          <cell r="O4906" t="str">
            <v>7/7/2018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</row>
        <row r="4907">
          <cell r="D4907">
            <v>314601</v>
          </cell>
          <cell r="E4907" t="str">
            <v>Isabela City NHS</v>
          </cell>
          <cell r="F4907">
            <v>0</v>
          </cell>
          <cell r="G4907">
            <v>0</v>
          </cell>
          <cell r="H4907">
            <v>1</v>
          </cell>
          <cell r="I4907">
            <v>0</v>
          </cell>
          <cell r="J4907">
            <v>0</v>
          </cell>
          <cell r="K4907">
            <v>0</v>
          </cell>
          <cell r="L4907">
            <v>1</v>
          </cell>
          <cell r="M4907" t="str">
            <v>as the need arises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</row>
        <row r="4908">
          <cell r="D4908">
            <v>500243</v>
          </cell>
          <cell r="E4908" t="str">
            <v>Geras Integrated School</v>
          </cell>
          <cell r="F4908">
            <v>1</v>
          </cell>
          <cell r="G4908">
            <v>1</v>
          </cell>
          <cell r="H4908">
            <v>1</v>
          </cell>
          <cell r="I4908">
            <v>1</v>
          </cell>
          <cell r="J4908">
            <v>1</v>
          </cell>
          <cell r="K4908">
            <v>1</v>
          </cell>
          <cell r="L4908">
            <v>0</v>
          </cell>
          <cell r="M4908">
            <v>0</v>
          </cell>
          <cell r="N4908">
            <v>1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</row>
        <row r="4909">
          <cell r="D4909">
            <v>314602</v>
          </cell>
          <cell r="E4909" t="str">
            <v>Calvario Peak National High School</v>
          </cell>
          <cell r="F4909">
            <v>1</v>
          </cell>
          <cell r="G4909">
            <v>1</v>
          </cell>
          <cell r="H4909">
            <v>1</v>
          </cell>
          <cell r="I4909">
            <v>0</v>
          </cell>
          <cell r="J4909">
            <v>1</v>
          </cell>
          <cell r="K4909">
            <v>0</v>
          </cell>
          <cell r="L4909">
            <v>0</v>
          </cell>
          <cell r="M4909">
            <v>0</v>
          </cell>
          <cell r="N4909">
            <v>1</v>
          </cell>
          <cell r="O4909" t="str">
            <v>10/15/2019</v>
          </cell>
          <cell r="P4909" t="str">
            <v>10/20/2019</v>
          </cell>
          <cell r="Q4909">
            <v>0</v>
          </cell>
          <cell r="R4909">
            <v>1</v>
          </cell>
          <cell r="S4909">
            <v>0</v>
          </cell>
          <cell r="T4909">
            <v>0</v>
          </cell>
          <cell r="U4909">
            <v>0</v>
          </cell>
          <cell r="V4909">
            <v>1</v>
          </cell>
          <cell r="W4909">
            <v>0</v>
          </cell>
          <cell r="X4909">
            <v>0</v>
          </cell>
          <cell r="Y4909">
            <v>0</v>
          </cell>
        </row>
        <row r="4910">
          <cell r="D4910">
            <v>314704</v>
          </cell>
          <cell r="E4910" t="str">
            <v>Pagadian City Science High School</v>
          </cell>
          <cell r="F4910">
            <v>1</v>
          </cell>
          <cell r="G4910">
            <v>1</v>
          </cell>
          <cell r="H4910">
            <v>0</v>
          </cell>
          <cell r="I4910">
            <v>0</v>
          </cell>
          <cell r="J4910">
            <v>0</v>
          </cell>
          <cell r="K4910">
            <v>1</v>
          </cell>
          <cell r="L4910">
            <v>0</v>
          </cell>
          <cell r="M4910">
            <v>0</v>
          </cell>
          <cell r="N4910">
            <v>1</v>
          </cell>
          <cell r="O4910">
            <v>0</v>
          </cell>
          <cell r="P4910">
            <v>0</v>
          </cell>
          <cell r="Q4910">
            <v>1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1</v>
          </cell>
          <cell r="W4910">
            <v>0</v>
          </cell>
          <cell r="X4910">
            <v>0</v>
          </cell>
          <cell r="Y4910">
            <v>0</v>
          </cell>
        </row>
        <row r="4911">
          <cell r="D4911">
            <v>303906</v>
          </cell>
          <cell r="E4911" t="str">
            <v>Pagadian City National Comprehensive High School</v>
          </cell>
          <cell r="F4911">
            <v>1</v>
          </cell>
          <cell r="G4911">
            <v>1</v>
          </cell>
          <cell r="H4911">
            <v>1</v>
          </cell>
          <cell r="I4911">
            <v>0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N4911">
            <v>1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1</v>
          </cell>
          <cell r="W4911">
            <v>0</v>
          </cell>
          <cell r="X4911">
            <v>0</v>
          </cell>
          <cell r="Y4911">
            <v>0</v>
          </cell>
        </row>
        <row r="4912">
          <cell r="D4912">
            <v>303909</v>
          </cell>
          <cell r="E4912" t="str">
            <v>Tawagan Sur NHS</v>
          </cell>
          <cell r="F4912">
            <v>1</v>
          </cell>
          <cell r="G4912">
            <v>0</v>
          </cell>
          <cell r="H4912">
            <v>1</v>
          </cell>
          <cell r="I4912">
            <v>0</v>
          </cell>
          <cell r="J4912">
            <v>0</v>
          </cell>
          <cell r="K4912">
            <v>0</v>
          </cell>
          <cell r="L4912">
            <v>0</v>
          </cell>
          <cell r="M4912">
            <v>0</v>
          </cell>
          <cell r="N4912">
            <v>1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</row>
        <row r="4913">
          <cell r="D4913">
            <v>303900</v>
          </cell>
          <cell r="E4913" t="str">
            <v>Ditoray NHS</v>
          </cell>
          <cell r="F4913">
            <v>1</v>
          </cell>
          <cell r="G4913">
            <v>0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</row>
        <row r="4914">
          <cell r="D4914">
            <v>314701</v>
          </cell>
          <cell r="E4914" t="str">
            <v>Macasing NHS (PCNHS Annex, Macasing)</v>
          </cell>
          <cell r="F4914">
            <v>1</v>
          </cell>
          <cell r="G4914">
            <v>1</v>
          </cell>
          <cell r="H4914">
            <v>1</v>
          </cell>
          <cell r="I4914">
            <v>0</v>
          </cell>
          <cell r="J4914">
            <v>1</v>
          </cell>
          <cell r="K4914">
            <v>0</v>
          </cell>
          <cell r="L4914">
            <v>0</v>
          </cell>
          <cell r="M4914">
            <v>0</v>
          </cell>
          <cell r="N4914">
            <v>1</v>
          </cell>
          <cell r="O4914">
            <v>0</v>
          </cell>
          <cell r="P4914">
            <v>0</v>
          </cell>
          <cell r="Q4914">
            <v>0</v>
          </cell>
          <cell r="R4914">
            <v>1</v>
          </cell>
          <cell r="S4914">
            <v>0</v>
          </cell>
          <cell r="T4914">
            <v>0</v>
          </cell>
          <cell r="U4914">
            <v>0</v>
          </cell>
          <cell r="V4914">
            <v>1</v>
          </cell>
          <cell r="W4914">
            <v>0</v>
          </cell>
          <cell r="X4914">
            <v>0</v>
          </cell>
          <cell r="Y4914">
            <v>0</v>
          </cell>
        </row>
        <row r="4915">
          <cell r="D4915">
            <v>303901</v>
          </cell>
          <cell r="E4915" t="str">
            <v>Lala National High School</v>
          </cell>
          <cell r="F4915">
            <v>0</v>
          </cell>
          <cell r="G4915">
            <v>0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</row>
        <row r="4916">
          <cell r="D4916">
            <v>303911</v>
          </cell>
          <cell r="E4916" t="str">
            <v>ZAMBOANGA DEL SUR NATIONAL HIGH SCHOOL-SAN PEDRO ANNEX</v>
          </cell>
          <cell r="F4916">
            <v>1</v>
          </cell>
          <cell r="G4916">
            <v>1</v>
          </cell>
          <cell r="H4916">
            <v>1</v>
          </cell>
          <cell r="I4916">
            <v>0</v>
          </cell>
          <cell r="J4916">
            <v>1</v>
          </cell>
          <cell r="K4916">
            <v>0</v>
          </cell>
          <cell r="L4916">
            <v>1</v>
          </cell>
          <cell r="M4916" t="str">
            <v>as the need arises</v>
          </cell>
          <cell r="N4916">
            <v>1</v>
          </cell>
          <cell r="O4916">
            <v>0</v>
          </cell>
          <cell r="P4916">
            <v>0</v>
          </cell>
          <cell r="Q4916">
            <v>0</v>
          </cell>
          <cell r="R4916">
            <v>1</v>
          </cell>
          <cell r="S4916">
            <v>0</v>
          </cell>
          <cell r="T4916">
            <v>0</v>
          </cell>
          <cell r="U4916">
            <v>0</v>
          </cell>
          <cell r="V4916">
            <v>1</v>
          </cell>
          <cell r="W4916">
            <v>2</v>
          </cell>
          <cell r="X4916">
            <v>1</v>
          </cell>
          <cell r="Y4916">
            <v>1</v>
          </cell>
        </row>
        <row r="4917">
          <cell r="D4917">
            <v>303908</v>
          </cell>
          <cell r="E4917" t="str">
            <v>Pagadian City NHS</v>
          </cell>
          <cell r="F4917">
            <v>1</v>
          </cell>
          <cell r="G4917">
            <v>1</v>
          </cell>
          <cell r="H4917">
            <v>1</v>
          </cell>
          <cell r="I4917">
            <v>1</v>
          </cell>
          <cell r="J4917">
            <v>0</v>
          </cell>
          <cell r="K4917">
            <v>0</v>
          </cell>
          <cell r="L4917">
            <v>0</v>
          </cell>
          <cell r="M4917">
            <v>0</v>
          </cell>
          <cell r="N4917">
            <v>1</v>
          </cell>
          <cell r="O4917">
            <v>0</v>
          </cell>
          <cell r="P4917">
            <v>0</v>
          </cell>
          <cell r="Q4917">
            <v>1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1</v>
          </cell>
          <cell r="W4917">
            <v>0</v>
          </cell>
          <cell r="X4917">
            <v>2</v>
          </cell>
          <cell r="Y4917">
            <v>0</v>
          </cell>
        </row>
        <row r="4918">
          <cell r="D4918">
            <v>303904</v>
          </cell>
          <cell r="E4918" t="str">
            <v>Manga NHS</v>
          </cell>
          <cell r="F4918">
            <v>1</v>
          </cell>
          <cell r="G4918">
            <v>0</v>
          </cell>
          <cell r="H4918">
            <v>1</v>
          </cell>
          <cell r="I4918">
            <v>0</v>
          </cell>
          <cell r="J4918">
            <v>1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1</v>
          </cell>
          <cell r="S4918">
            <v>0</v>
          </cell>
          <cell r="T4918">
            <v>0</v>
          </cell>
          <cell r="U4918">
            <v>0</v>
          </cell>
          <cell r="V4918">
            <v>1</v>
          </cell>
          <cell r="W4918">
            <v>2</v>
          </cell>
          <cell r="X4918">
            <v>0</v>
          </cell>
          <cell r="Y4918">
            <v>0</v>
          </cell>
        </row>
        <row r="4919">
          <cell r="D4919">
            <v>314705</v>
          </cell>
          <cell r="E4919" t="str">
            <v>Co Tek Chun National Trade School</v>
          </cell>
          <cell r="F4919">
            <v>1</v>
          </cell>
          <cell r="G4919">
            <v>1</v>
          </cell>
          <cell r="H4919">
            <v>0</v>
          </cell>
          <cell r="I4919">
            <v>0</v>
          </cell>
          <cell r="J4919">
            <v>1</v>
          </cell>
          <cell r="K4919">
            <v>0</v>
          </cell>
          <cell r="L4919">
            <v>0</v>
          </cell>
          <cell r="M4919">
            <v>0</v>
          </cell>
          <cell r="N4919">
            <v>1</v>
          </cell>
          <cell r="O4919">
            <v>0</v>
          </cell>
          <cell r="P4919">
            <v>0</v>
          </cell>
          <cell r="Q4919">
            <v>1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1</v>
          </cell>
          <cell r="W4919">
            <v>0</v>
          </cell>
          <cell r="X4919">
            <v>0</v>
          </cell>
          <cell r="Y4919">
            <v>0</v>
          </cell>
        </row>
        <row r="4920">
          <cell r="D4920">
            <v>303907</v>
          </cell>
          <cell r="E4920" t="str">
            <v>Otto Lingue National High School</v>
          </cell>
          <cell r="F4920">
            <v>1</v>
          </cell>
          <cell r="G4920">
            <v>1</v>
          </cell>
          <cell r="H4920">
            <v>1</v>
          </cell>
          <cell r="I4920">
            <v>0</v>
          </cell>
          <cell r="J4920">
            <v>0</v>
          </cell>
          <cell r="K4920">
            <v>0</v>
          </cell>
          <cell r="L4920">
            <v>1</v>
          </cell>
          <cell r="M4920" t="str">
            <v>AS NEEDED</v>
          </cell>
          <cell r="N4920">
            <v>1</v>
          </cell>
          <cell r="O4920">
            <v>0</v>
          </cell>
          <cell r="P4920">
            <v>43748</v>
          </cell>
          <cell r="Q4920">
            <v>0</v>
          </cell>
          <cell r="R4920">
            <v>0</v>
          </cell>
          <cell r="S4920">
            <v>0</v>
          </cell>
          <cell r="T4920">
            <v>1</v>
          </cell>
          <cell r="U4920" t="str">
            <v>OCCASIONALLY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</row>
        <row r="4921">
          <cell r="D4921">
            <v>303912</v>
          </cell>
          <cell r="E4921" t="str">
            <v>Sta. Lucia NHS (ZDS NHS, Sta. Lucia Annex)</v>
          </cell>
          <cell r="F4921">
            <v>0</v>
          </cell>
          <cell r="G4921">
            <v>0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</row>
        <row r="4922">
          <cell r="D4922">
            <v>303913</v>
          </cell>
          <cell r="E4922" t="str">
            <v>ZAMBOANGA DEL SUR SCHOOL OF ARTS AND TRADES</v>
          </cell>
          <cell r="F4922">
            <v>0</v>
          </cell>
          <cell r="G4922">
            <v>0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</row>
        <row r="4923">
          <cell r="D4923">
            <v>314702</v>
          </cell>
          <cell r="E4923" t="str">
            <v>Norberta Guillar Memorial NHS</v>
          </cell>
          <cell r="F4923">
            <v>1</v>
          </cell>
          <cell r="G4923">
            <v>0</v>
          </cell>
          <cell r="H4923">
            <v>1</v>
          </cell>
          <cell r="I4923">
            <v>0</v>
          </cell>
          <cell r="J4923">
            <v>0</v>
          </cell>
          <cell r="K4923">
            <v>1</v>
          </cell>
          <cell r="L4923">
            <v>0</v>
          </cell>
          <cell r="M4923">
            <v>0</v>
          </cell>
          <cell r="N4923">
            <v>1</v>
          </cell>
          <cell r="O4923">
            <v>43692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</row>
        <row r="4924">
          <cell r="D4924">
            <v>314706</v>
          </cell>
          <cell r="E4924" t="str">
            <v>Bulatok Integrated School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</row>
        <row r="4925">
          <cell r="D4925">
            <v>303903</v>
          </cell>
          <cell r="E4925" t="str">
            <v>Lison Valley NHS</v>
          </cell>
          <cell r="F4925">
            <v>0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</row>
        <row r="4926">
          <cell r="D4926">
            <v>303902</v>
          </cell>
          <cell r="E4926" t="str">
            <v>Lourdes National High School(R.A.:10125)</v>
          </cell>
          <cell r="F4926">
            <v>1</v>
          </cell>
          <cell r="G4926">
            <v>0</v>
          </cell>
          <cell r="H4926">
            <v>1</v>
          </cell>
          <cell r="I4926">
            <v>0</v>
          </cell>
          <cell r="J4926">
            <v>0</v>
          </cell>
          <cell r="K4926">
            <v>1</v>
          </cell>
          <cell r="L4926">
            <v>0</v>
          </cell>
          <cell r="M4926">
            <v>0</v>
          </cell>
          <cell r="N4926">
            <v>1</v>
          </cell>
          <cell r="O4926" t="str">
            <v>07/19/20</v>
          </cell>
          <cell r="P4926">
            <v>0</v>
          </cell>
          <cell r="Q4926">
            <v>0</v>
          </cell>
          <cell r="R4926">
            <v>0</v>
          </cell>
          <cell r="S4926">
            <v>1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</row>
        <row r="4927">
          <cell r="D4927">
            <v>303930</v>
          </cell>
          <cell r="E4927" t="str">
            <v>Sangali NHS</v>
          </cell>
          <cell r="F4927">
            <v>1</v>
          </cell>
          <cell r="G4927">
            <v>0</v>
          </cell>
          <cell r="H4927">
            <v>1</v>
          </cell>
          <cell r="I4927">
            <v>0</v>
          </cell>
          <cell r="J4927">
            <v>1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</row>
        <row r="4928">
          <cell r="D4928">
            <v>303937</v>
          </cell>
          <cell r="E4928" t="str">
            <v>Tolosa NHS</v>
          </cell>
          <cell r="F4928">
            <v>1</v>
          </cell>
          <cell r="G4928">
            <v>0</v>
          </cell>
          <cell r="H4928">
            <v>1</v>
          </cell>
          <cell r="I4928">
            <v>0</v>
          </cell>
          <cell r="J4928">
            <v>0</v>
          </cell>
          <cell r="K4928">
            <v>1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43678</v>
          </cell>
          <cell r="Q4928">
            <v>0</v>
          </cell>
          <cell r="R4928">
            <v>1</v>
          </cell>
          <cell r="S4928">
            <v>0</v>
          </cell>
          <cell r="T4928">
            <v>0</v>
          </cell>
          <cell r="U4928">
            <v>0</v>
          </cell>
          <cell r="V4928">
            <v>1</v>
          </cell>
          <cell r="W4928">
            <v>0</v>
          </cell>
          <cell r="X4928">
            <v>0</v>
          </cell>
          <cell r="Y4928">
            <v>0</v>
          </cell>
        </row>
        <row r="4929">
          <cell r="D4929">
            <v>303928</v>
          </cell>
          <cell r="E4929" t="str">
            <v>Manicahan NHS</v>
          </cell>
          <cell r="F4929">
            <v>1</v>
          </cell>
          <cell r="G4929">
            <v>0</v>
          </cell>
          <cell r="H4929">
            <v>1</v>
          </cell>
          <cell r="I4929">
            <v>0</v>
          </cell>
          <cell r="J4929">
            <v>0</v>
          </cell>
          <cell r="K4929">
            <v>0</v>
          </cell>
          <cell r="L4929">
            <v>1</v>
          </cell>
          <cell r="M4929" t="str">
            <v>as need arises</v>
          </cell>
          <cell r="N4929">
            <v>1</v>
          </cell>
          <cell r="O4929">
            <v>43643</v>
          </cell>
          <cell r="P4929">
            <v>43706</v>
          </cell>
          <cell r="Q4929">
            <v>1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1</v>
          </cell>
          <cell r="W4929">
            <v>1</v>
          </cell>
          <cell r="X4929">
            <v>0</v>
          </cell>
          <cell r="Y4929">
            <v>0</v>
          </cell>
        </row>
        <row r="4930">
          <cell r="D4930">
            <v>303919</v>
          </cell>
          <cell r="E4930" t="str">
            <v>Cabaluay NHS</v>
          </cell>
          <cell r="F4930">
            <v>1</v>
          </cell>
          <cell r="G4930">
            <v>0</v>
          </cell>
          <cell r="H4930">
            <v>1</v>
          </cell>
          <cell r="I4930">
            <v>0</v>
          </cell>
          <cell r="J4930">
            <v>0</v>
          </cell>
          <cell r="K4930">
            <v>0</v>
          </cell>
          <cell r="L4930">
            <v>1</v>
          </cell>
          <cell r="M4930" t="str">
            <v>SOMETIMES</v>
          </cell>
          <cell r="N4930">
            <v>1</v>
          </cell>
          <cell r="O4930" t="str">
            <v>february, 2019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</row>
        <row r="4931">
          <cell r="D4931">
            <v>345869</v>
          </cell>
          <cell r="E4931" t="str">
            <v>Baliwasan Senior High School - Stand Alone</v>
          </cell>
          <cell r="F4931">
            <v>1</v>
          </cell>
          <cell r="G4931">
            <v>0</v>
          </cell>
          <cell r="H4931">
            <v>1</v>
          </cell>
          <cell r="I4931">
            <v>0</v>
          </cell>
          <cell r="J4931">
            <v>0</v>
          </cell>
          <cell r="K4931">
            <v>1</v>
          </cell>
          <cell r="L4931">
            <v>0</v>
          </cell>
          <cell r="M4931">
            <v>0</v>
          </cell>
          <cell r="N4931">
            <v>1</v>
          </cell>
          <cell r="O4931" t="str">
            <v>JULY</v>
          </cell>
          <cell r="P4931">
            <v>0</v>
          </cell>
          <cell r="Q4931">
            <v>0</v>
          </cell>
          <cell r="R4931">
            <v>1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1</v>
          </cell>
          <cell r="X4931">
            <v>0</v>
          </cell>
          <cell r="Y4931">
            <v>0</v>
          </cell>
        </row>
        <row r="4932">
          <cell r="D4932">
            <v>303921</v>
          </cell>
          <cell r="E4932" t="str">
            <v>Curuan NHS</v>
          </cell>
          <cell r="F4932">
            <v>1</v>
          </cell>
          <cell r="G4932">
            <v>1</v>
          </cell>
          <cell r="H4932">
            <v>1</v>
          </cell>
          <cell r="I4932">
            <v>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1</v>
          </cell>
          <cell r="O4932">
            <v>43678</v>
          </cell>
          <cell r="P4932">
            <v>43473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1</v>
          </cell>
          <cell r="W4932">
            <v>2</v>
          </cell>
          <cell r="X4932">
            <v>0</v>
          </cell>
          <cell r="Y4932">
            <v>0</v>
          </cell>
        </row>
        <row r="4933">
          <cell r="D4933">
            <v>303924</v>
          </cell>
          <cell r="E4933" t="str">
            <v>Ramon Enriquez HS</v>
          </cell>
          <cell r="F4933">
            <v>1</v>
          </cell>
          <cell r="G4933">
            <v>1</v>
          </cell>
          <cell r="H4933">
            <v>1</v>
          </cell>
          <cell r="I4933">
            <v>0</v>
          </cell>
          <cell r="J4933">
            <v>0</v>
          </cell>
          <cell r="K4933">
            <v>0</v>
          </cell>
          <cell r="L4933">
            <v>1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1</v>
          </cell>
          <cell r="T4933">
            <v>1</v>
          </cell>
          <cell r="U4933">
            <v>0</v>
          </cell>
          <cell r="V4933">
            <v>1</v>
          </cell>
          <cell r="W4933">
            <v>0</v>
          </cell>
          <cell r="X4933">
            <v>0</v>
          </cell>
          <cell r="Y4933">
            <v>0</v>
          </cell>
        </row>
        <row r="4934">
          <cell r="D4934">
            <v>303922</v>
          </cell>
          <cell r="E4934" t="str">
            <v>Maria Clara L. Lobregat NHS</v>
          </cell>
          <cell r="F4934">
            <v>1</v>
          </cell>
          <cell r="G4934">
            <v>1</v>
          </cell>
          <cell r="H4934">
            <v>1</v>
          </cell>
          <cell r="I4934">
            <v>0</v>
          </cell>
          <cell r="J4934">
            <v>0</v>
          </cell>
          <cell r="K4934">
            <v>0</v>
          </cell>
          <cell r="L4934">
            <v>1</v>
          </cell>
          <cell r="M4934" t="str">
            <v>WHEN NEEDED</v>
          </cell>
          <cell r="N4934">
            <v>1</v>
          </cell>
          <cell r="O4934">
            <v>43678</v>
          </cell>
          <cell r="P4934">
            <v>0</v>
          </cell>
          <cell r="Q4934">
            <v>0</v>
          </cell>
          <cell r="R4934">
            <v>1</v>
          </cell>
          <cell r="S4934">
            <v>0</v>
          </cell>
          <cell r="T4934">
            <v>0</v>
          </cell>
          <cell r="U4934">
            <v>0</v>
          </cell>
          <cell r="V4934">
            <v>1</v>
          </cell>
          <cell r="W4934">
            <v>2</v>
          </cell>
          <cell r="X4934">
            <v>2</v>
          </cell>
          <cell r="Y4934">
            <v>2</v>
          </cell>
        </row>
        <row r="4935">
          <cell r="D4935">
            <v>303935</v>
          </cell>
          <cell r="E4935" t="str">
            <v>Talisayan NHS</v>
          </cell>
          <cell r="F4935">
            <v>1</v>
          </cell>
          <cell r="G4935">
            <v>0</v>
          </cell>
          <cell r="H4935">
            <v>1</v>
          </cell>
          <cell r="I4935">
            <v>0</v>
          </cell>
          <cell r="J4935">
            <v>1</v>
          </cell>
          <cell r="K4935">
            <v>0</v>
          </cell>
          <cell r="L4935">
            <v>0</v>
          </cell>
          <cell r="M4935">
            <v>0</v>
          </cell>
          <cell r="N4935">
            <v>1</v>
          </cell>
          <cell r="O4935">
            <v>43678</v>
          </cell>
          <cell r="P4935">
            <v>43678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1</v>
          </cell>
          <cell r="W4935">
            <v>0</v>
          </cell>
          <cell r="X4935">
            <v>0</v>
          </cell>
          <cell r="Y4935">
            <v>0</v>
          </cell>
        </row>
        <row r="4936">
          <cell r="D4936">
            <v>303925</v>
          </cell>
          <cell r="E4936" t="str">
            <v>Sinubong NHS</v>
          </cell>
          <cell r="F4936">
            <v>1</v>
          </cell>
          <cell r="G4936">
            <v>0</v>
          </cell>
          <cell r="H4936">
            <v>1</v>
          </cell>
          <cell r="I4936">
            <v>0</v>
          </cell>
          <cell r="J4936">
            <v>1</v>
          </cell>
          <cell r="K4936">
            <v>0</v>
          </cell>
          <cell r="L4936">
            <v>0</v>
          </cell>
          <cell r="M4936">
            <v>0</v>
          </cell>
          <cell r="N4936">
            <v>1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1</v>
          </cell>
          <cell r="T4936">
            <v>0</v>
          </cell>
          <cell r="U4936">
            <v>0</v>
          </cell>
          <cell r="V4936">
            <v>1</v>
          </cell>
          <cell r="W4936">
            <v>0</v>
          </cell>
          <cell r="X4936">
            <v>0</v>
          </cell>
          <cell r="Y4936">
            <v>0</v>
          </cell>
        </row>
        <row r="4937">
          <cell r="D4937">
            <v>303917</v>
          </cell>
          <cell r="E4937" t="str">
            <v>Bolong NHS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 t="str">
            <v>Never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</row>
        <row r="4938">
          <cell r="D4938">
            <v>303927</v>
          </cell>
          <cell r="E4938" t="str">
            <v>Limpapa NHS</v>
          </cell>
          <cell r="F4938">
            <v>1</v>
          </cell>
          <cell r="G4938">
            <v>0</v>
          </cell>
          <cell r="H4938">
            <v>1</v>
          </cell>
          <cell r="I4938">
            <v>1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1</v>
          </cell>
          <cell r="O4938" t="str">
            <v>06/15/2019</v>
          </cell>
          <cell r="P4938">
            <v>0</v>
          </cell>
          <cell r="Q4938">
            <v>1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1</v>
          </cell>
          <cell r="W4938">
            <v>0</v>
          </cell>
          <cell r="X4938">
            <v>0</v>
          </cell>
          <cell r="Y4938">
            <v>0</v>
          </cell>
        </row>
        <row r="4939">
          <cell r="D4939">
            <v>303933</v>
          </cell>
          <cell r="E4939" t="str">
            <v>Southcom NHS</v>
          </cell>
          <cell r="F4939">
            <v>1</v>
          </cell>
          <cell r="G4939">
            <v>1</v>
          </cell>
          <cell r="H4939">
            <v>1</v>
          </cell>
          <cell r="I4939">
            <v>0</v>
          </cell>
          <cell r="J4939">
            <v>1</v>
          </cell>
          <cell r="K4939">
            <v>0</v>
          </cell>
          <cell r="L4939">
            <v>0</v>
          </cell>
          <cell r="M4939">
            <v>0</v>
          </cell>
          <cell r="N4939">
            <v>1</v>
          </cell>
          <cell r="O4939">
            <v>0</v>
          </cell>
          <cell r="P4939">
            <v>0</v>
          </cell>
          <cell r="Q4939">
            <v>0</v>
          </cell>
          <cell r="R4939">
            <v>1</v>
          </cell>
          <cell r="S4939">
            <v>0</v>
          </cell>
          <cell r="T4939">
            <v>0</v>
          </cell>
          <cell r="U4939">
            <v>0</v>
          </cell>
          <cell r="V4939">
            <v>1</v>
          </cell>
          <cell r="W4939">
            <v>1</v>
          </cell>
          <cell r="X4939">
            <v>1</v>
          </cell>
          <cell r="Y4939">
            <v>1</v>
          </cell>
        </row>
        <row r="4940">
          <cell r="D4940">
            <v>314809</v>
          </cell>
          <cell r="E4940" t="str">
            <v>San Roque NHS</v>
          </cell>
          <cell r="F4940">
            <v>1</v>
          </cell>
          <cell r="G4940">
            <v>0</v>
          </cell>
          <cell r="H4940">
            <v>1</v>
          </cell>
          <cell r="I4940">
            <v>0</v>
          </cell>
          <cell r="J4940">
            <v>0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1</v>
          </cell>
          <cell r="U4940" t="str">
            <v>On Going Plan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</row>
        <row r="4941">
          <cell r="D4941">
            <v>303920</v>
          </cell>
          <cell r="E4941" t="str">
            <v>Culianan NHS</v>
          </cell>
          <cell r="F4941">
            <v>1</v>
          </cell>
          <cell r="G4941">
            <v>1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</row>
        <row r="4942">
          <cell r="D4942">
            <v>314807</v>
          </cell>
          <cell r="E4942" t="str">
            <v>Tulungatung NHS</v>
          </cell>
          <cell r="F4942">
            <v>1</v>
          </cell>
          <cell r="G4942">
            <v>1</v>
          </cell>
          <cell r="H4942">
            <v>1</v>
          </cell>
          <cell r="I4942">
            <v>0</v>
          </cell>
          <cell r="J4942">
            <v>1</v>
          </cell>
          <cell r="K4942">
            <v>0</v>
          </cell>
          <cell r="L4942">
            <v>0</v>
          </cell>
          <cell r="M4942">
            <v>0</v>
          </cell>
          <cell r="N4942">
            <v>1</v>
          </cell>
          <cell r="O4942">
            <v>0</v>
          </cell>
          <cell r="P4942">
            <v>0</v>
          </cell>
          <cell r="Q4942">
            <v>0</v>
          </cell>
          <cell r="R4942">
            <v>1</v>
          </cell>
          <cell r="S4942">
            <v>0</v>
          </cell>
          <cell r="T4942">
            <v>0</v>
          </cell>
          <cell r="U4942">
            <v>0</v>
          </cell>
          <cell r="V4942">
            <v>1</v>
          </cell>
          <cell r="W4942">
            <v>0</v>
          </cell>
          <cell r="X4942">
            <v>0</v>
          </cell>
          <cell r="Y4942">
            <v>0</v>
          </cell>
        </row>
        <row r="4943">
          <cell r="D4943">
            <v>314804</v>
          </cell>
          <cell r="E4943" t="str">
            <v>Capisan NHS</v>
          </cell>
          <cell r="F4943">
            <v>1</v>
          </cell>
          <cell r="G4943">
            <v>0</v>
          </cell>
          <cell r="H4943">
            <v>1</v>
          </cell>
          <cell r="I4943">
            <v>0</v>
          </cell>
          <cell r="J4943">
            <v>0</v>
          </cell>
          <cell r="K4943">
            <v>1</v>
          </cell>
          <cell r="L4943">
            <v>0</v>
          </cell>
          <cell r="M4943">
            <v>0</v>
          </cell>
          <cell r="N4943">
            <v>0</v>
          </cell>
          <cell r="O4943" t="str">
            <v>NONE</v>
          </cell>
          <cell r="P4943" t="str">
            <v>NONE</v>
          </cell>
          <cell r="Q4943">
            <v>0</v>
          </cell>
          <cell r="R4943">
            <v>0</v>
          </cell>
          <cell r="S4943">
            <v>0</v>
          </cell>
          <cell r="T4943">
            <v>1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</row>
        <row r="4944">
          <cell r="D4944">
            <v>303914</v>
          </cell>
          <cell r="E4944" t="str">
            <v>Arena Blanco NHS</v>
          </cell>
          <cell r="F4944">
            <v>1</v>
          </cell>
          <cell r="G4944">
            <v>1</v>
          </cell>
          <cell r="H4944">
            <v>1</v>
          </cell>
          <cell r="I4944">
            <v>0</v>
          </cell>
          <cell r="J4944">
            <v>1</v>
          </cell>
          <cell r="K4944">
            <v>0</v>
          </cell>
          <cell r="L4944">
            <v>0</v>
          </cell>
          <cell r="M4944">
            <v>0</v>
          </cell>
          <cell r="N4944">
            <v>1</v>
          </cell>
          <cell r="O4944">
            <v>43748</v>
          </cell>
          <cell r="P4944">
            <v>43748</v>
          </cell>
          <cell r="Q4944">
            <v>0</v>
          </cell>
          <cell r="R4944">
            <v>1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</row>
        <row r="4945">
          <cell r="D4945">
            <v>303939</v>
          </cell>
          <cell r="E4945" t="str">
            <v>Vitali NHS</v>
          </cell>
          <cell r="F4945">
            <v>1</v>
          </cell>
          <cell r="G4945">
            <v>1</v>
          </cell>
          <cell r="H4945">
            <v>1</v>
          </cell>
          <cell r="I4945">
            <v>1</v>
          </cell>
          <cell r="J4945">
            <v>0</v>
          </cell>
          <cell r="K4945">
            <v>0</v>
          </cell>
          <cell r="L4945">
            <v>0</v>
          </cell>
          <cell r="M4945">
            <v>0</v>
          </cell>
          <cell r="N4945">
            <v>1</v>
          </cell>
          <cell r="O4945">
            <v>43703</v>
          </cell>
          <cell r="P4945">
            <v>43699</v>
          </cell>
          <cell r="Q4945">
            <v>0</v>
          </cell>
          <cell r="R4945">
            <v>1</v>
          </cell>
          <cell r="S4945">
            <v>0</v>
          </cell>
          <cell r="T4945">
            <v>0</v>
          </cell>
          <cell r="U4945">
            <v>0</v>
          </cell>
          <cell r="V4945">
            <v>1</v>
          </cell>
          <cell r="W4945">
            <v>0</v>
          </cell>
          <cell r="X4945">
            <v>0</v>
          </cell>
          <cell r="Y4945">
            <v>0</v>
          </cell>
        </row>
        <row r="4946">
          <cell r="D4946">
            <v>500244</v>
          </cell>
          <cell r="E4946" t="str">
            <v>Mangusu Integrated School</v>
          </cell>
          <cell r="F4946">
            <v>1</v>
          </cell>
          <cell r="G4946">
            <v>0</v>
          </cell>
          <cell r="H4946">
            <v>1</v>
          </cell>
          <cell r="I4946">
            <v>0</v>
          </cell>
          <cell r="J4946">
            <v>1</v>
          </cell>
          <cell r="K4946">
            <v>0</v>
          </cell>
          <cell r="L4946">
            <v>0</v>
          </cell>
          <cell r="M4946">
            <v>0</v>
          </cell>
          <cell r="N4946">
            <v>1</v>
          </cell>
          <cell r="O4946" t="str">
            <v>MARCH 22, 2019</v>
          </cell>
          <cell r="P4946" t="str">
            <v>JUNE 21, 2019</v>
          </cell>
          <cell r="Q4946">
            <v>0</v>
          </cell>
          <cell r="R4946">
            <v>1</v>
          </cell>
          <cell r="S4946">
            <v>0</v>
          </cell>
          <cell r="T4946">
            <v>0</v>
          </cell>
          <cell r="U4946">
            <v>0</v>
          </cell>
          <cell r="V4946">
            <v>1</v>
          </cell>
          <cell r="W4946">
            <v>2</v>
          </cell>
          <cell r="X4946">
            <v>2</v>
          </cell>
          <cell r="Y4946">
            <v>2</v>
          </cell>
        </row>
        <row r="4947">
          <cell r="D4947">
            <v>314805</v>
          </cell>
          <cell r="E4947" t="str">
            <v>Recodo NHS</v>
          </cell>
          <cell r="F4947">
            <v>1</v>
          </cell>
          <cell r="G4947">
            <v>0</v>
          </cell>
          <cell r="H4947">
            <v>1</v>
          </cell>
          <cell r="I4947">
            <v>0</v>
          </cell>
          <cell r="J4947">
            <v>1</v>
          </cell>
          <cell r="K4947">
            <v>0</v>
          </cell>
          <cell r="L4947">
            <v>0</v>
          </cell>
          <cell r="M4947">
            <v>0</v>
          </cell>
          <cell r="N4947">
            <v>1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</row>
        <row r="4948">
          <cell r="D4948">
            <v>303936</v>
          </cell>
          <cell r="E4948" t="str">
            <v>Tictapul NHS</v>
          </cell>
          <cell r="F4948">
            <v>1</v>
          </cell>
          <cell r="G4948">
            <v>0</v>
          </cell>
          <cell r="H4948">
            <v>1</v>
          </cell>
          <cell r="I4948">
            <v>0</v>
          </cell>
          <cell r="J4948">
            <v>1</v>
          </cell>
          <cell r="K4948">
            <v>0</v>
          </cell>
          <cell r="L4948">
            <v>0</v>
          </cell>
          <cell r="M4948">
            <v>0</v>
          </cell>
          <cell r="N4948">
            <v>1</v>
          </cell>
          <cell r="O4948">
            <v>43783</v>
          </cell>
          <cell r="P4948">
            <v>43539</v>
          </cell>
          <cell r="Q4948">
            <v>0</v>
          </cell>
          <cell r="R4948">
            <v>0</v>
          </cell>
          <cell r="S4948">
            <v>1</v>
          </cell>
          <cell r="T4948">
            <v>0</v>
          </cell>
          <cell r="U4948">
            <v>0</v>
          </cell>
          <cell r="V4948">
            <v>1</v>
          </cell>
          <cell r="W4948">
            <v>2</v>
          </cell>
          <cell r="X4948">
            <v>0</v>
          </cell>
          <cell r="Y4948">
            <v>0</v>
          </cell>
        </row>
        <row r="4949">
          <cell r="D4949">
            <v>303926</v>
          </cell>
          <cell r="E4949" t="str">
            <v>Limaong NHS</v>
          </cell>
          <cell r="F4949">
            <v>1</v>
          </cell>
          <cell r="G4949">
            <v>0</v>
          </cell>
          <cell r="H4949">
            <v>1</v>
          </cell>
          <cell r="I4949">
            <v>0</v>
          </cell>
          <cell r="J4949">
            <v>1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1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</row>
        <row r="4950">
          <cell r="D4950">
            <v>303931</v>
          </cell>
          <cell r="E4950" t="str">
            <v>Sibulao NHS</v>
          </cell>
          <cell r="F4950">
            <v>1</v>
          </cell>
          <cell r="G4950">
            <v>1</v>
          </cell>
          <cell r="H4950">
            <v>1</v>
          </cell>
          <cell r="I4950">
            <v>0</v>
          </cell>
          <cell r="J4950">
            <v>1</v>
          </cell>
          <cell r="K4950">
            <v>0</v>
          </cell>
          <cell r="L4950">
            <v>0</v>
          </cell>
          <cell r="M4950">
            <v>0</v>
          </cell>
          <cell r="N4950">
            <v>1</v>
          </cell>
          <cell r="O4950">
            <v>43777</v>
          </cell>
          <cell r="P4950">
            <v>43717</v>
          </cell>
          <cell r="Q4950">
            <v>1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1</v>
          </cell>
          <cell r="W4950">
            <v>0</v>
          </cell>
          <cell r="X4950">
            <v>0</v>
          </cell>
          <cell r="Y4950">
            <v>0</v>
          </cell>
        </row>
        <row r="4951">
          <cell r="D4951">
            <v>501110</v>
          </cell>
          <cell r="E4951" t="str">
            <v>Manalipa Integrated School</v>
          </cell>
          <cell r="F4951">
            <v>1</v>
          </cell>
          <cell r="G4951">
            <v>0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</row>
        <row r="4952">
          <cell r="D4952">
            <v>303934</v>
          </cell>
          <cell r="E4952" t="str">
            <v>Tagasilay NHS</v>
          </cell>
          <cell r="F4952">
            <v>1</v>
          </cell>
          <cell r="G4952">
            <v>1</v>
          </cell>
          <cell r="H4952">
            <v>1</v>
          </cell>
          <cell r="I4952">
            <v>0</v>
          </cell>
          <cell r="J4952">
            <v>0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</row>
        <row r="4953">
          <cell r="D4953">
            <v>314803</v>
          </cell>
          <cell r="E4953" t="str">
            <v>Arena Blanco NHS- Landang Gua Annex</v>
          </cell>
          <cell r="F4953">
            <v>1</v>
          </cell>
          <cell r="G4953">
            <v>1</v>
          </cell>
          <cell r="H4953">
            <v>1</v>
          </cell>
          <cell r="I4953">
            <v>0</v>
          </cell>
          <cell r="J4953">
            <v>0</v>
          </cell>
          <cell r="K4953">
            <v>1</v>
          </cell>
          <cell r="L4953">
            <v>0</v>
          </cell>
          <cell r="M4953">
            <v>0</v>
          </cell>
          <cell r="N4953">
            <v>1</v>
          </cell>
          <cell r="O4953" t="str">
            <v>August</v>
          </cell>
          <cell r="P4953" t="str">
            <v>August</v>
          </cell>
          <cell r="Q4953">
            <v>0</v>
          </cell>
          <cell r="R4953">
            <v>0</v>
          </cell>
          <cell r="S4953">
            <v>1</v>
          </cell>
          <cell r="T4953">
            <v>0</v>
          </cell>
          <cell r="U4953">
            <v>0</v>
          </cell>
          <cell r="V4953">
            <v>1</v>
          </cell>
          <cell r="W4953">
            <v>1</v>
          </cell>
          <cell r="X4953">
            <v>0</v>
          </cell>
          <cell r="Y4953">
            <v>0</v>
          </cell>
        </row>
        <row r="4954">
          <cell r="D4954">
            <v>303918</v>
          </cell>
          <cell r="E4954" t="str">
            <v>Bunguiao NHS</v>
          </cell>
          <cell r="F4954">
            <v>1</v>
          </cell>
          <cell r="G4954">
            <v>1</v>
          </cell>
          <cell r="H4954">
            <v>1</v>
          </cell>
          <cell r="I4954">
            <v>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1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1</v>
          </cell>
          <cell r="W4954">
            <v>0</v>
          </cell>
          <cell r="X4954">
            <v>0</v>
          </cell>
          <cell r="Y4954">
            <v>0</v>
          </cell>
        </row>
        <row r="4955">
          <cell r="D4955">
            <v>314808</v>
          </cell>
          <cell r="E4955" t="str">
            <v>Pasonanca NHS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</row>
        <row r="4956">
          <cell r="D4956">
            <v>303940</v>
          </cell>
          <cell r="E4956" t="str">
            <v>Zamboanga City HS, Main</v>
          </cell>
          <cell r="F4956">
            <v>1</v>
          </cell>
          <cell r="G4956">
            <v>0</v>
          </cell>
          <cell r="H4956">
            <v>1</v>
          </cell>
          <cell r="I4956">
            <v>0</v>
          </cell>
          <cell r="J4956">
            <v>0</v>
          </cell>
          <cell r="K4956">
            <v>0</v>
          </cell>
          <cell r="L4956">
            <v>1</v>
          </cell>
          <cell r="M4956" t="str">
            <v>as need arises</v>
          </cell>
          <cell r="N4956">
            <v>0</v>
          </cell>
          <cell r="O4956">
            <v>0</v>
          </cell>
          <cell r="P4956">
            <v>0</v>
          </cell>
          <cell r="Q4956">
            <v>1</v>
          </cell>
          <cell r="R4956">
            <v>0</v>
          </cell>
          <cell r="S4956">
            <v>0</v>
          </cell>
          <cell r="T4956">
            <v>1</v>
          </cell>
          <cell r="U4956" t="str">
            <v>through assistance</v>
          </cell>
          <cell r="V4956">
            <v>1</v>
          </cell>
          <cell r="W4956">
            <v>1</v>
          </cell>
          <cell r="X4956">
            <v>0</v>
          </cell>
          <cell r="Y4956">
            <v>0</v>
          </cell>
        </row>
        <row r="4957">
          <cell r="D4957">
            <v>302765</v>
          </cell>
          <cell r="E4957" t="str">
            <v>Don Pablo A. Lorenzo Memorial SHS</v>
          </cell>
          <cell r="F4957">
            <v>1</v>
          </cell>
          <cell r="G4957">
            <v>1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</row>
        <row r="4958">
          <cell r="D4958">
            <v>303916</v>
          </cell>
          <cell r="E4958" t="str">
            <v>Enerdino C. Coronel - Baluno NHS</v>
          </cell>
          <cell r="F4958">
            <v>1</v>
          </cell>
          <cell r="G4958">
            <v>1</v>
          </cell>
          <cell r="H4958">
            <v>1</v>
          </cell>
          <cell r="I4958">
            <v>0</v>
          </cell>
          <cell r="J4958">
            <v>1</v>
          </cell>
          <cell r="K4958">
            <v>0</v>
          </cell>
          <cell r="L4958">
            <v>0</v>
          </cell>
          <cell r="M4958">
            <v>0</v>
          </cell>
          <cell r="N4958">
            <v>1</v>
          </cell>
          <cell r="O4958" t="str">
            <v>10/25/2019</v>
          </cell>
          <cell r="P4958">
            <v>43714</v>
          </cell>
          <cell r="Q4958">
            <v>0</v>
          </cell>
          <cell r="R4958">
            <v>1</v>
          </cell>
          <cell r="S4958">
            <v>0</v>
          </cell>
          <cell r="T4958">
            <v>0</v>
          </cell>
          <cell r="U4958">
            <v>0</v>
          </cell>
          <cell r="V4958">
            <v>1</v>
          </cell>
          <cell r="W4958">
            <v>0</v>
          </cell>
          <cell r="X4958">
            <v>0</v>
          </cell>
          <cell r="Y4958">
            <v>0</v>
          </cell>
        </row>
        <row r="4959">
          <cell r="D4959">
            <v>303915</v>
          </cell>
          <cell r="E4959" t="str">
            <v>Ayala NHS</v>
          </cell>
          <cell r="F4959">
            <v>0</v>
          </cell>
          <cell r="G4959">
            <v>0</v>
          </cell>
          <cell r="H4959">
            <v>1</v>
          </cell>
          <cell r="I4959">
            <v>0</v>
          </cell>
          <cell r="J4959">
            <v>0</v>
          </cell>
          <cell r="K4959">
            <v>1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43831</v>
          </cell>
          <cell r="Q4959">
            <v>0</v>
          </cell>
          <cell r="R4959">
            <v>0</v>
          </cell>
          <cell r="S4959">
            <v>1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</row>
        <row r="4960">
          <cell r="D4960">
            <v>314801</v>
          </cell>
          <cell r="E4960" t="str">
            <v>Talon-Talon NHS</v>
          </cell>
          <cell r="F4960">
            <v>1</v>
          </cell>
          <cell r="G4960">
            <v>0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</row>
        <row r="4961">
          <cell r="D4961">
            <v>314802</v>
          </cell>
          <cell r="E4961" t="str">
            <v>Lubigan NHS, Curuan Annex</v>
          </cell>
          <cell r="F4961">
            <v>0</v>
          </cell>
          <cell r="G4961">
            <v>0</v>
          </cell>
          <cell r="H4961">
            <v>1</v>
          </cell>
          <cell r="I4961">
            <v>0</v>
          </cell>
          <cell r="J4961">
            <v>1</v>
          </cell>
          <cell r="K4961">
            <v>0</v>
          </cell>
          <cell r="L4961">
            <v>0</v>
          </cell>
          <cell r="M4961">
            <v>0</v>
          </cell>
          <cell r="N4961">
            <v>1</v>
          </cell>
          <cell r="O4961">
            <v>43783</v>
          </cell>
          <cell r="P4961" t="str">
            <v>n/a</v>
          </cell>
          <cell r="Q4961">
            <v>0</v>
          </cell>
          <cell r="R4961">
            <v>0</v>
          </cell>
          <cell r="S4961">
            <v>0</v>
          </cell>
          <cell r="T4961">
            <v>1</v>
          </cell>
          <cell r="U4961" t="str">
            <v>n/a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</row>
        <row r="4962">
          <cell r="D4962">
            <v>501155</v>
          </cell>
          <cell r="E4962" t="str">
            <v>Tuan Datu Hj. Abdulla Nuño Integrated School</v>
          </cell>
          <cell r="F4962">
            <v>1</v>
          </cell>
          <cell r="G4962">
            <v>0</v>
          </cell>
          <cell r="H4962">
            <v>1</v>
          </cell>
          <cell r="I4962">
            <v>0</v>
          </cell>
          <cell r="J4962">
            <v>0</v>
          </cell>
          <cell r="K4962">
            <v>1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</row>
        <row r="4963">
          <cell r="D4963">
            <v>303929</v>
          </cell>
          <cell r="E4963" t="str">
            <v>Mercedes NHS</v>
          </cell>
          <cell r="F4963">
            <v>1</v>
          </cell>
          <cell r="G4963">
            <v>1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</row>
        <row r="4964">
          <cell r="D4964">
            <v>303943</v>
          </cell>
          <cell r="E4964" t="str">
            <v>Regional Science HS</v>
          </cell>
          <cell r="F4964">
            <v>1</v>
          </cell>
          <cell r="G4964">
            <v>0</v>
          </cell>
          <cell r="H4964">
            <v>1</v>
          </cell>
          <cell r="I4964">
            <v>0</v>
          </cell>
          <cell r="J4964">
            <v>0</v>
          </cell>
          <cell r="K4964">
            <v>0</v>
          </cell>
          <cell r="L4964">
            <v>1</v>
          </cell>
          <cell r="M4964" t="str">
            <v>As needed arises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1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</row>
        <row r="4965">
          <cell r="D4965">
            <v>303932</v>
          </cell>
          <cell r="E4965" t="str">
            <v>Sinunuc NHS</v>
          </cell>
          <cell r="F4965">
            <v>0</v>
          </cell>
          <cell r="G4965">
            <v>0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1</v>
          </cell>
          <cell r="M4965" t="str">
            <v>N/A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1</v>
          </cell>
          <cell r="U4965" t="str">
            <v>N/A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</row>
        <row r="4966">
          <cell r="D4966">
            <v>304019</v>
          </cell>
          <cell r="E4966" t="str">
            <v>Pantar NHS</v>
          </cell>
          <cell r="F4966">
            <v>1</v>
          </cell>
          <cell r="G4966">
            <v>1</v>
          </cell>
          <cell r="H4966">
            <v>1</v>
          </cell>
          <cell r="I4966">
            <v>0</v>
          </cell>
          <cell r="J4966">
            <v>1</v>
          </cell>
          <cell r="K4966">
            <v>0</v>
          </cell>
          <cell r="L4966">
            <v>0</v>
          </cell>
          <cell r="M4966">
            <v>0</v>
          </cell>
          <cell r="N4966">
            <v>1</v>
          </cell>
          <cell r="O4966" t="str">
            <v>09/23/2019</v>
          </cell>
          <cell r="P4966" t="str">
            <v>09/23/2019</v>
          </cell>
          <cell r="Q4966">
            <v>0</v>
          </cell>
          <cell r="R4966">
            <v>1</v>
          </cell>
          <cell r="S4966">
            <v>0</v>
          </cell>
          <cell r="T4966">
            <v>0</v>
          </cell>
          <cell r="U4966">
            <v>0</v>
          </cell>
          <cell r="V4966">
            <v>1</v>
          </cell>
          <cell r="W4966">
            <v>4</v>
          </cell>
          <cell r="X4966">
            <v>0</v>
          </cell>
          <cell r="Y4966">
            <v>0</v>
          </cell>
        </row>
        <row r="4967">
          <cell r="D4967">
            <v>304163</v>
          </cell>
          <cell r="E4967" t="str">
            <v>Labo National High School</v>
          </cell>
          <cell r="F4967">
            <v>1</v>
          </cell>
          <cell r="G4967">
            <v>0</v>
          </cell>
          <cell r="H4967">
            <v>0</v>
          </cell>
          <cell r="I4967">
            <v>0</v>
          </cell>
          <cell r="J4967">
            <v>0</v>
          </cell>
          <cell r="K4967">
            <v>1</v>
          </cell>
          <cell r="L4967">
            <v>1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1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</row>
        <row r="4968">
          <cell r="D4968">
            <v>304164</v>
          </cell>
          <cell r="E4968" t="str">
            <v>Jose Lim Ho National High School</v>
          </cell>
          <cell r="F4968">
            <v>1</v>
          </cell>
          <cell r="G4968">
            <v>0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 t="str">
            <v>NONE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1</v>
          </cell>
          <cell r="U4968" t="str">
            <v>NONE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</row>
        <row r="4969">
          <cell r="D4969">
            <v>304161</v>
          </cell>
          <cell r="E4969" t="str">
            <v>Labinay National High School</v>
          </cell>
          <cell r="F4969">
            <v>0</v>
          </cell>
          <cell r="G4969">
            <v>0</v>
          </cell>
          <cell r="H4969">
            <v>1</v>
          </cell>
          <cell r="I4969">
            <v>0</v>
          </cell>
          <cell r="J4969">
            <v>0</v>
          </cell>
          <cell r="K4969">
            <v>1</v>
          </cell>
          <cell r="L4969">
            <v>0</v>
          </cell>
          <cell r="M4969">
            <v>0</v>
          </cell>
          <cell r="N4969">
            <v>1</v>
          </cell>
          <cell r="O4969">
            <v>43475</v>
          </cell>
          <cell r="P4969">
            <v>0</v>
          </cell>
          <cell r="Q4969">
            <v>0</v>
          </cell>
          <cell r="R4969">
            <v>0</v>
          </cell>
          <cell r="S4969">
            <v>1</v>
          </cell>
          <cell r="T4969">
            <v>0</v>
          </cell>
          <cell r="U4969">
            <v>0</v>
          </cell>
          <cell r="V4969">
            <v>1</v>
          </cell>
          <cell r="W4969">
            <v>2</v>
          </cell>
          <cell r="X4969">
            <v>2</v>
          </cell>
          <cell r="Y4969">
            <v>2</v>
          </cell>
        </row>
        <row r="4970">
          <cell r="D4970">
            <v>304166</v>
          </cell>
          <cell r="E4970" t="str">
            <v>Montol National High School</v>
          </cell>
          <cell r="F4970">
            <v>0</v>
          </cell>
          <cell r="G4970">
            <v>0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</row>
        <row r="4971">
          <cell r="D4971">
            <v>304093</v>
          </cell>
          <cell r="E4971" t="str">
            <v>Talisayan NHS</v>
          </cell>
          <cell r="F4971">
            <v>1</v>
          </cell>
          <cell r="G4971">
            <v>1</v>
          </cell>
          <cell r="H4971">
            <v>1</v>
          </cell>
          <cell r="I4971">
            <v>0</v>
          </cell>
          <cell r="J4971">
            <v>1</v>
          </cell>
          <cell r="K4971">
            <v>0</v>
          </cell>
          <cell r="L4971">
            <v>0</v>
          </cell>
          <cell r="M4971">
            <v>0</v>
          </cell>
          <cell r="N4971">
            <v>1</v>
          </cell>
          <cell r="O4971">
            <v>43473</v>
          </cell>
          <cell r="P4971">
            <v>43474</v>
          </cell>
          <cell r="Q4971">
            <v>0</v>
          </cell>
          <cell r="R4971">
            <v>1</v>
          </cell>
          <cell r="S4971">
            <v>0</v>
          </cell>
          <cell r="T4971">
            <v>0</v>
          </cell>
          <cell r="U4971">
            <v>0</v>
          </cell>
          <cell r="V4971">
            <v>1</v>
          </cell>
          <cell r="W4971">
            <v>0</v>
          </cell>
          <cell r="X4971">
            <v>0</v>
          </cell>
          <cell r="Y4971">
            <v>0</v>
          </cell>
        </row>
        <row r="4972">
          <cell r="D4972">
            <v>304167</v>
          </cell>
          <cell r="E4972" t="str">
            <v>Ozamiz City National High School</v>
          </cell>
          <cell r="F4972">
            <v>1</v>
          </cell>
          <cell r="G4972">
            <v>1</v>
          </cell>
          <cell r="H4972">
            <v>1</v>
          </cell>
          <cell r="I4972">
            <v>0</v>
          </cell>
          <cell r="J4972">
            <v>1</v>
          </cell>
          <cell r="K4972">
            <v>0</v>
          </cell>
          <cell r="L4972">
            <v>0</v>
          </cell>
          <cell r="M4972">
            <v>0</v>
          </cell>
          <cell r="N4972">
            <v>1</v>
          </cell>
          <cell r="O4972">
            <v>0</v>
          </cell>
          <cell r="P4972">
            <v>0</v>
          </cell>
          <cell r="Q4972">
            <v>0</v>
          </cell>
          <cell r="R4972">
            <v>1</v>
          </cell>
          <cell r="S4972">
            <v>0</v>
          </cell>
          <cell r="T4972">
            <v>0</v>
          </cell>
          <cell r="U4972">
            <v>0</v>
          </cell>
          <cell r="V4972">
            <v>1</v>
          </cell>
          <cell r="W4972">
            <v>7</v>
          </cell>
          <cell r="X4972">
            <v>4</v>
          </cell>
          <cell r="Y4972">
            <v>7</v>
          </cell>
        </row>
        <row r="4973">
          <cell r="D4973">
            <v>304165</v>
          </cell>
          <cell r="E4973" t="str">
            <v>San Antonio National High School</v>
          </cell>
          <cell r="F4973">
            <v>1</v>
          </cell>
          <cell r="G4973">
            <v>1</v>
          </cell>
          <cell r="H4973">
            <v>0</v>
          </cell>
          <cell r="I4973">
            <v>0</v>
          </cell>
          <cell r="J4973">
            <v>1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 t="str">
            <v>10/31/2019</v>
          </cell>
          <cell r="P4973">
            <v>0</v>
          </cell>
          <cell r="Q4973">
            <v>0</v>
          </cell>
          <cell r="R4973">
            <v>1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</row>
        <row r="4974">
          <cell r="D4974">
            <v>304168</v>
          </cell>
          <cell r="E4974" t="str">
            <v>Ozamiz City School of Arts and Trades</v>
          </cell>
          <cell r="F4974">
            <v>1</v>
          </cell>
          <cell r="G4974">
            <v>0</v>
          </cell>
          <cell r="H4974">
            <v>1</v>
          </cell>
          <cell r="I4974">
            <v>0</v>
          </cell>
          <cell r="J4974">
            <v>0</v>
          </cell>
          <cell r="K4974">
            <v>0</v>
          </cell>
          <cell r="L4974">
            <v>1</v>
          </cell>
          <cell r="M4974" t="str">
            <v>Whenever there is a reported case</v>
          </cell>
          <cell r="N4974">
            <v>1</v>
          </cell>
          <cell r="O4974" t="str">
            <v>2018-2019</v>
          </cell>
          <cell r="P4974" t="str">
            <v>2018-2019</v>
          </cell>
          <cell r="Q4974">
            <v>0</v>
          </cell>
          <cell r="R4974">
            <v>0</v>
          </cell>
          <cell r="S4974">
            <v>0</v>
          </cell>
          <cell r="T4974">
            <v>1</v>
          </cell>
          <cell r="U4974" t="str">
            <v>Whenever there is a reported case</v>
          </cell>
          <cell r="V4974">
            <v>1</v>
          </cell>
          <cell r="W4974">
            <v>0</v>
          </cell>
          <cell r="X4974">
            <v>0</v>
          </cell>
          <cell r="Y4974">
            <v>0</v>
          </cell>
        </row>
        <row r="4975">
          <cell r="D4975">
            <v>304083</v>
          </cell>
          <cell r="E4975" t="str">
            <v>Malagana NHS</v>
          </cell>
          <cell r="F4975">
            <v>1</v>
          </cell>
          <cell r="G4975">
            <v>1</v>
          </cell>
          <cell r="H4975">
            <v>1</v>
          </cell>
          <cell r="I4975">
            <v>1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N4975">
            <v>1</v>
          </cell>
          <cell r="O4975">
            <v>0</v>
          </cell>
          <cell r="P4975">
            <v>0</v>
          </cell>
          <cell r="Q4975">
            <v>1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1</v>
          </cell>
          <cell r="W4975">
            <v>3</v>
          </cell>
          <cell r="X4975">
            <v>3</v>
          </cell>
          <cell r="Y4975">
            <v>3</v>
          </cell>
        </row>
        <row r="4976">
          <cell r="D4976">
            <v>304162</v>
          </cell>
          <cell r="E4976" t="str">
            <v>Tabid National High School</v>
          </cell>
          <cell r="F4976">
            <v>1</v>
          </cell>
          <cell r="G4976">
            <v>0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1</v>
          </cell>
          <cell r="M4976" t="str">
            <v>n/a</v>
          </cell>
          <cell r="N4976">
            <v>0</v>
          </cell>
          <cell r="O4976" t="str">
            <v>n/a</v>
          </cell>
          <cell r="P4976" t="str">
            <v>n/a</v>
          </cell>
          <cell r="Q4976">
            <v>0</v>
          </cell>
          <cell r="R4976">
            <v>0</v>
          </cell>
          <cell r="S4976">
            <v>0</v>
          </cell>
          <cell r="T4976">
            <v>1</v>
          </cell>
          <cell r="U4976" t="str">
            <v>n/a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</row>
        <row r="4977">
          <cell r="D4977">
            <v>304169</v>
          </cell>
          <cell r="E4977" t="str">
            <v>Pulot National High School</v>
          </cell>
          <cell r="F4977">
            <v>1</v>
          </cell>
          <cell r="G4977">
            <v>1</v>
          </cell>
          <cell r="H4977">
            <v>1</v>
          </cell>
          <cell r="I4977">
            <v>0</v>
          </cell>
          <cell r="J4977">
            <v>1</v>
          </cell>
          <cell r="K4977">
            <v>0</v>
          </cell>
          <cell r="L4977">
            <v>0</v>
          </cell>
          <cell r="M4977">
            <v>0</v>
          </cell>
          <cell r="N4977">
            <v>1</v>
          </cell>
          <cell r="O4977">
            <v>0</v>
          </cell>
          <cell r="P4977">
            <v>43605</v>
          </cell>
          <cell r="Q4977">
            <v>0</v>
          </cell>
          <cell r="R4977">
            <v>1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</row>
        <row r="4978">
          <cell r="D4978">
            <v>304016</v>
          </cell>
          <cell r="E4978" t="str">
            <v>Nunungan NHS</v>
          </cell>
          <cell r="F4978">
            <v>0</v>
          </cell>
          <cell r="G4978">
            <v>0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</row>
        <row r="4979">
          <cell r="D4979">
            <v>303962</v>
          </cell>
          <cell r="E4979" t="str">
            <v>Kimanait NHS</v>
          </cell>
          <cell r="F4979">
            <v>1</v>
          </cell>
          <cell r="G4979">
            <v>1</v>
          </cell>
          <cell r="H4979">
            <v>1</v>
          </cell>
          <cell r="I4979">
            <v>1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1</v>
          </cell>
          <cell r="O4979" t="str">
            <v>AUGUST 30, 2019</v>
          </cell>
          <cell r="P4979" t="str">
            <v>AUGUST 30, 2019</v>
          </cell>
          <cell r="Q4979">
            <v>1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</row>
        <row r="4980">
          <cell r="D4980">
            <v>501209</v>
          </cell>
          <cell r="E4980" t="str">
            <v>Marcelino C. Regis Integrated School</v>
          </cell>
          <cell r="F4980">
            <v>1</v>
          </cell>
          <cell r="G4980">
            <v>1</v>
          </cell>
          <cell r="H4980">
            <v>1</v>
          </cell>
          <cell r="I4980">
            <v>0</v>
          </cell>
          <cell r="J4980">
            <v>1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 t="str">
            <v>N/A</v>
          </cell>
          <cell r="P4980" t="str">
            <v>N/A</v>
          </cell>
          <cell r="Q4980">
            <v>0</v>
          </cell>
          <cell r="R4980">
            <v>0</v>
          </cell>
          <cell r="S4980">
            <v>0</v>
          </cell>
          <cell r="T4980">
            <v>1</v>
          </cell>
          <cell r="U4980" t="str">
            <v>N/A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</row>
        <row r="4981">
          <cell r="D4981">
            <v>500703</v>
          </cell>
          <cell r="E4981" t="str">
            <v>Dagatkidavao Integrated School</v>
          </cell>
          <cell r="F4981">
            <v>1</v>
          </cell>
          <cell r="G4981">
            <v>0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 t="str">
            <v>not applicable</v>
          </cell>
          <cell r="P4981" t="str">
            <v>not applicable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</row>
        <row r="4982">
          <cell r="D4982">
            <v>303957</v>
          </cell>
          <cell r="E4982" t="str">
            <v>Kalabugao NHS</v>
          </cell>
          <cell r="F4982">
            <v>1</v>
          </cell>
          <cell r="G4982">
            <v>1</v>
          </cell>
          <cell r="H4982">
            <v>1</v>
          </cell>
          <cell r="I4982">
            <v>0</v>
          </cell>
          <cell r="J4982">
            <v>0</v>
          </cell>
          <cell r="K4982">
            <v>1</v>
          </cell>
          <cell r="L4982">
            <v>0</v>
          </cell>
          <cell r="M4982">
            <v>0</v>
          </cell>
          <cell r="N4982">
            <v>1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1</v>
          </cell>
          <cell r="T4982">
            <v>0</v>
          </cell>
          <cell r="U4982">
            <v>0</v>
          </cell>
          <cell r="V4982">
            <v>1</v>
          </cell>
          <cell r="W4982">
            <v>0</v>
          </cell>
          <cell r="X4982">
            <v>0</v>
          </cell>
          <cell r="Y4982">
            <v>0</v>
          </cell>
        </row>
        <row r="4983">
          <cell r="D4983">
            <v>304088</v>
          </cell>
          <cell r="E4983" t="str">
            <v>Mat-i (Naawan) NHS</v>
          </cell>
          <cell r="F4983">
            <v>1</v>
          </cell>
          <cell r="G4983">
            <v>1</v>
          </cell>
          <cell r="H4983">
            <v>1</v>
          </cell>
          <cell r="I4983">
            <v>1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1</v>
          </cell>
          <cell r="O4983">
            <v>43525</v>
          </cell>
          <cell r="P4983">
            <v>43678</v>
          </cell>
          <cell r="Q4983">
            <v>1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1</v>
          </cell>
          <cell r="W4983">
            <v>2</v>
          </cell>
          <cell r="X4983">
            <v>1</v>
          </cell>
          <cell r="Y4983">
            <v>0</v>
          </cell>
        </row>
        <row r="4984">
          <cell r="D4984">
            <v>303998</v>
          </cell>
          <cell r="E4984" t="str">
            <v>Baloi National High School</v>
          </cell>
          <cell r="F4984">
            <v>1</v>
          </cell>
          <cell r="G4984">
            <v>1</v>
          </cell>
          <cell r="H4984">
            <v>1</v>
          </cell>
          <cell r="I4984">
            <v>0</v>
          </cell>
          <cell r="J4984">
            <v>1</v>
          </cell>
          <cell r="K4984">
            <v>0</v>
          </cell>
          <cell r="L4984">
            <v>0</v>
          </cell>
          <cell r="M4984">
            <v>0</v>
          </cell>
          <cell r="N4984">
            <v>1</v>
          </cell>
          <cell r="O4984">
            <v>43695</v>
          </cell>
          <cell r="P4984">
            <v>43682</v>
          </cell>
          <cell r="Q4984">
            <v>1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1</v>
          </cell>
          <cell r="W4984">
            <v>2</v>
          </cell>
          <cell r="X4984">
            <v>1</v>
          </cell>
          <cell r="Y4984">
            <v>2</v>
          </cell>
        </row>
        <row r="4985">
          <cell r="D4985">
            <v>500687</v>
          </cell>
          <cell r="E4985" t="str">
            <v>Dalama Integrated School</v>
          </cell>
          <cell r="F4985">
            <v>1</v>
          </cell>
          <cell r="G4985">
            <v>1</v>
          </cell>
          <cell r="H4985">
            <v>1</v>
          </cell>
          <cell r="I4985">
            <v>0</v>
          </cell>
          <cell r="J4985">
            <v>0</v>
          </cell>
          <cell r="K4985">
            <v>1</v>
          </cell>
          <cell r="L4985">
            <v>0</v>
          </cell>
          <cell r="M4985">
            <v>0</v>
          </cell>
          <cell r="N4985">
            <v>1</v>
          </cell>
          <cell r="O4985">
            <v>43561</v>
          </cell>
          <cell r="P4985">
            <v>43561</v>
          </cell>
          <cell r="Q4985">
            <v>0</v>
          </cell>
          <cell r="R4985">
            <v>0</v>
          </cell>
          <cell r="S4985">
            <v>1</v>
          </cell>
          <cell r="T4985">
            <v>0</v>
          </cell>
          <cell r="U4985">
            <v>0</v>
          </cell>
          <cell r="V4985">
            <v>1</v>
          </cell>
          <cell r="W4985">
            <v>0</v>
          </cell>
          <cell r="X4985">
            <v>0</v>
          </cell>
          <cell r="Y4985">
            <v>0</v>
          </cell>
        </row>
        <row r="4986">
          <cell r="D4986">
            <v>315307</v>
          </cell>
          <cell r="E4986" t="str">
            <v>Manticao NHS</v>
          </cell>
          <cell r="F4986">
            <v>1</v>
          </cell>
          <cell r="G4986">
            <v>0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</row>
        <row r="4987">
          <cell r="D4987">
            <v>304057</v>
          </cell>
          <cell r="E4987" t="str">
            <v>Talairon NHS</v>
          </cell>
          <cell r="F4987">
            <v>1</v>
          </cell>
          <cell r="G4987">
            <v>1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</row>
        <row r="4988">
          <cell r="D4988">
            <v>323302</v>
          </cell>
          <cell r="E4988" t="str">
            <v>Simasay NHS</v>
          </cell>
          <cell r="F4988">
            <v>0</v>
          </cell>
          <cell r="G4988">
            <v>0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</row>
        <row r="4989">
          <cell r="D4989">
            <v>304086</v>
          </cell>
          <cell r="E4989" t="str">
            <v>Matangad NHS</v>
          </cell>
          <cell r="F4989">
            <v>0</v>
          </cell>
          <cell r="G4989">
            <v>0</v>
          </cell>
          <cell r="H4989">
            <v>1</v>
          </cell>
          <cell r="I4989">
            <v>0</v>
          </cell>
          <cell r="J4989">
            <v>0</v>
          </cell>
          <cell r="K4989">
            <v>0</v>
          </cell>
          <cell r="L4989">
            <v>0</v>
          </cell>
          <cell r="M4989">
            <v>0</v>
          </cell>
          <cell r="N4989">
            <v>1</v>
          </cell>
          <cell r="O4989">
            <v>0</v>
          </cell>
          <cell r="P4989" t="str">
            <v>Not yet</v>
          </cell>
          <cell r="Q4989">
            <v>0</v>
          </cell>
          <cell r="R4989">
            <v>0</v>
          </cell>
          <cell r="S4989">
            <v>0</v>
          </cell>
          <cell r="T4989">
            <v>1</v>
          </cell>
          <cell r="U4989" t="str">
            <v>None</v>
          </cell>
          <cell r="V4989">
            <v>0</v>
          </cell>
          <cell r="W4989">
            <v>1</v>
          </cell>
          <cell r="X4989">
            <v>1</v>
          </cell>
          <cell r="Y4989">
            <v>0</v>
          </cell>
        </row>
        <row r="4990">
          <cell r="D4990">
            <v>304011</v>
          </cell>
          <cell r="E4990" t="str">
            <v>Marcela T. Mabanta NHS</v>
          </cell>
          <cell r="F4990">
            <v>1</v>
          </cell>
          <cell r="G4990">
            <v>0</v>
          </cell>
          <cell r="H4990">
            <v>1</v>
          </cell>
          <cell r="I4990">
            <v>0</v>
          </cell>
          <cell r="J4990">
            <v>1</v>
          </cell>
          <cell r="K4990">
            <v>0</v>
          </cell>
          <cell r="L4990">
            <v>0</v>
          </cell>
          <cell r="M4990">
            <v>0</v>
          </cell>
          <cell r="N4990">
            <v>1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</row>
        <row r="4991">
          <cell r="D4991">
            <v>303975</v>
          </cell>
          <cell r="E4991" t="str">
            <v>New Nongnongan NHS</v>
          </cell>
          <cell r="F4991">
            <v>1</v>
          </cell>
          <cell r="G4991">
            <v>1</v>
          </cell>
          <cell r="H4991">
            <v>1</v>
          </cell>
          <cell r="I4991">
            <v>0</v>
          </cell>
          <cell r="J4991">
            <v>0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1</v>
          </cell>
          <cell r="S4991">
            <v>0</v>
          </cell>
          <cell r="T4991">
            <v>0</v>
          </cell>
          <cell r="U4991">
            <v>0</v>
          </cell>
          <cell r="V4991">
            <v>1</v>
          </cell>
          <cell r="W4991">
            <v>0</v>
          </cell>
          <cell r="X4991">
            <v>0</v>
          </cell>
          <cell r="Y4991">
            <v>0</v>
          </cell>
        </row>
        <row r="4992">
          <cell r="D4992">
            <v>500401</v>
          </cell>
          <cell r="E4992" t="str">
            <v>Mobod IS</v>
          </cell>
          <cell r="F4992">
            <v>1</v>
          </cell>
          <cell r="G4992">
            <v>0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</row>
        <row r="4993">
          <cell r="D4993">
            <v>304080</v>
          </cell>
          <cell r="E4993" t="str">
            <v>Looc NHS</v>
          </cell>
          <cell r="F4993">
            <v>1</v>
          </cell>
          <cell r="G4993">
            <v>1</v>
          </cell>
          <cell r="H4993">
            <v>1</v>
          </cell>
          <cell r="I4993">
            <v>0</v>
          </cell>
          <cell r="J4993">
            <v>1</v>
          </cell>
          <cell r="K4993">
            <v>0</v>
          </cell>
          <cell r="L4993">
            <v>0</v>
          </cell>
          <cell r="M4993">
            <v>0</v>
          </cell>
          <cell r="N4993">
            <v>1</v>
          </cell>
          <cell r="O4993" t="str">
            <v>Sept 19, 2019</v>
          </cell>
          <cell r="P4993" t="str">
            <v>Sept 11, 2019</v>
          </cell>
          <cell r="Q4993">
            <v>0</v>
          </cell>
          <cell r="R4993">
            <v>1</v>
          </cell>
          <cell r="S4993">
            <v>0</v>
          </cell>
          <cell r="T4993">
            <v>0</v>
          </cell>
          <cell r="U4993">
            <v>0</v>
          </cell>
          <cell r="V4993">
            <v>1</v>
          </cell>
          <cell r="W4993">
            <v>2</v>
          </cell>
          <cell r="X4993">
            <v>0</v>
          </cell>
          <cell r="Y4993">
            <v>0</v>
          </cell>
        </row>
        <row r="4994">
          <cell r="D4994">
            <v>500753</v>
          </cell>
          <cell r="E4994" t="str">
            <v>Maquilao Integrated School</v>
          </cell>
          <cell r="F4994">
            <v>1</v>
          </cell>
          <cell r="G4994">
            <v>0</v>
          </cell>
          <cell r="H4994">
            <v>1</v>
          </cell>
          <cell r="I4994">
            <v>0</v>
          </cell>
          <cell r="J4994">
            <v>1</v>
          </cell>
          <cell r="K4994">
            <v>0</v>
          </cell>
          <cell r="L4994">
            <v>0</v>
          </cell>
          <cell r="M4994">
            <v>0</v>
          </cell>
          <cell r="N4994">
            <v>1</v>
          </cell>
          <cell r="O4994" t="str">
            <v>July 6,2019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3</v>
          </cell>
          <cell r="X4994">
            <v>0</v>
          </cell>
          <cell r="Y4994">
            <v>0</v>
          </cell>
        </row>
        <row r="4995">
          <cell r="D4995">
            <v>304077</v>
          </cell>
          <cell r="E4995" t="str">
            <v>Kinoguitan Nat'l Agricultural HS</v>
          </cell>
          <cell r="F4995">
            <v>0</v>
          </cell>
          <cell r="G4995">
            <v>0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43659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</row>
        <row r="4996">
          <cell r="D4996">
            <v>500690</v>
          </cell>
          <cell r="E4996" t="str">
            <v>Sultan Ali Dimaporo Memorial IS</v>
          </cell>
          <cell r="F4996">
            <v>1</v>
          </cell>
          <cell r="G4996">
            <v>0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</row>
        <row r="4997">
          <cell r="D4997">
            <v>341230</v>
          </cell>
          <cell r="E4997" t="str">
            <v>Maputi Senior High School</v>
          </cell>
          <cell r="F4997">
            <v>1</v>
          </cell>
          <cell r="G4997">
            <v>1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</row>
        <row r="4998">
          <cell r="D4998">
            <v>341231</v>
          </cell>
          <cell r="E4998" t="str">
            <v>Tagoloan Senior High School</v>
          </cell>
          <cell r="F4998">
            <v>1</v>
          </cell>
          <cell r="G4998">
            <v>1</v>
          </cell>
          <cell r="H4998">
            <v>1</v>
          </cell>
          <cell r="I4998">
            <v>0</v>
          </cell>
          <cell r="J4998">
            <v>1</v>
          </cell>
          <cell r="K4998">
            <v>0</v>
          </cell>
          <cell r="L4998">
            <v>0</v>
          </cell>
          <cell r="M4998">
            <v>0</v>
          </cell>
          <cell r="N4998">
            <v>1</v>
          </cell>
          <cell r="O4998">
            <v>43468</v>
          </cell>
          <cell r="P4998">
            <v>43619</v>
          </cell>
          <cell r="Q4998">
            <v>0</v>
          </cell>
          <cell r="R4998">
            <v>0</v>
          </cell>
          <cell r="S4998">
            <v>0</v>
          </cell>
          <cell r="T4998">
            <v>1</v>
          </cell>
          <cell r="U4998" t="str">
            <v>as the need arises</v>
          </cell>
          <cell r="V4998">
            <v>1</v>
          </cell>
          <cell r="W4998">
            <v>5</v>
          </cell>
          <cell r="X4998">
            <v>1</v>
          </cell>
          <cell r="Y4998">
            <v>1</v>
          </cell>
        </row>
        <row r="4999">
          <cell r="D4999">
            <v>304098</v>
          </cell>
          <cell r="E4999" t="str">
            <v>San Juan National High School</v>
          </cell>
          <cell r="F4999">
            <v>1</v>
          </cell>
          <cell r="G4999">
            <v>0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1</v>
          </cell>
          <cell r="W4999">
            <v>0</v>
          </cell>
          <cell r="X4999">
            <v>0</v>
          </cell>
          <cell r="Y4999">
            <v>0</v>
          </cell>
        </row>
        <row r="5000">
          <cell r="D5000">
            <v>304045</v>
          </cell>
          <cell r="E5000" t="str">
            <v>Misamis Occidental NHS</v>
          </cell>
          <cell r="F5000">
            <v>1</v>
          </cell>
          <cell r="G5000">
            <v>0</v>
          </cell>
          <cell r="H5000">
            <v>1</v>
          </cell>
          <cell r="I5000">
            <v>0</v>
          </cell>
          <cell r="J5000">
            <v>0</v>
          </cell>
          <cell r="K5000">
            <v>0</v>
          </cell>
          <cell r="L5000">
            <v>1</v>
          </cell>
          <cell r="M5000" t="str">
            <v>As the need arises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1</v>
          </cell>
          <cell r="U5000" t="str">
            <v>If there's a report</v>
          </cell>
          <cell r="V5000">
            <v>1</v>
          </cell>
          <cell r="W5000">
            <v>0</v>
          </cell>
          <cell r="X5000">
            <v>0</v>
          </cell>
          <cell r="Y5000">
            <v>0</v>
          </cell>
        </row>
        <row r="5001">
          <cell r="D5001">
            <v>304020</v>
          </cell>
          <cell r="E5001" t="str">
            <v>Geronima Cabrera NHS (Riverside NHS)</v>
          </cell>
          <cell r="F5001">
            <v>1</v>
          </cell>
          <cell r="G5001">
            <v>1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</row>
        <row r="5002">
          <cell r="D5002">
            <v>303963</v>
          </cell>
          <cell r="E5002" t="str">
            <v>Kitaotao NHS</v>
          </cell>
          <cell r="F5002">
            <v>0</v>
          </cell>
          <cell r="G5002">
            <v>0</v>
          </cell>
          <cell r="H5002">
            <v>1</v>
          </cell>
          <cell r="I5002">
            <v>0</v>
          </cell>
          <cell r="J5002">
            <v>0</v>
          </cell>
          <cell r="K5002">
            <v>1</v>
          </cell>
          <cell r="L5002">
            <v>0</v>
          </cell>
          <cell r="M5002">
            <v>0</v>
          </cell>
          <cell r="N5002">
            <v>1</v>
          </cell>
          <cell r="O5002">
            <v>0</v>
          </cell>
          <cell r="P5002">
            <v>43534</v>
          </cell>
          <cell r="Q5002">
            <v>0</v>
          </cell>
          <cell r="R5002">
            <v>0</v>
          </cell>
          <cell r="S5002">
            <v>0</v>
          </cell>
          <cell r="T5002">
            <v>1</v>
          </cell>
          <cell r="U5002" t="str">
            <v>when need arises</v>
          </cell>
          <cell r="V5002">
            <v>1</v>
          </cell>
          <cell r="W5002">
            <v>5</v>
          </cell>
          <cell r="X5002">
            <v>5</v>
          </cell>
          <cell r="Y5002">
            <v>5</v>
          </cell>
        </row>
        <row r="5003">
          <cell r="D5003">
            <v>360847</v>
          </cell>
          <cell r="E5003" t="str">
            <v>Lugait Senior High School</v>
          </cell>
          <cell r="F5003">
            <v>1</v>
          </cell>
          <cell r="G5003">
            <v>0</v>
          </cell>
          <cell r="H5003">
            <v>1</v>
          </cell>
          <cell r="I5003">
            <v>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1</v>
          </cell>
          <cell r="O5003">
            <v>43647</v>
          </cell>
          <cell r="P5003">
            <v>0</v>
          </cell>
          <cell r="Q5003">
            <v>1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2</v>
          </cell>
          <cell r="X5003">
            <v>0</v>
          </cell>
          <cell r="Y5003">
            <v>0</v>
          </cell>
        </row>
        <row r="5004">
          <cell r="D5004">
            <v>304059</v>
          </cell>
          <cell r="E5004" t="str">
            <v>Alubijid NCHS</v>
          </cell>
          <cell r="F5004">
            <v>1</v>
          </cell>
          <cell r="G5004">
            <v>1</v>
          </cell>
          <cell r="H5004">
            <v>1</v>
          </cell>
          <cell r="I5004">
            <v>0</v>
          </cell>
          <cell r="J5004">
            <v>0</v>
          </cell>
          <cell r="K5004">
            <v>1</v>
          </cell>
          <cell r="L5004">
            <v>0</v>
          </cell>
          <cell r="M5004">
            <v>0</v>
          </cell>
          <cell r="N5004">
            <v>1</v>
          </cell>
          <cell r="O5004">
            <v>0</v>
          </cell>
          <cell r="P5004">
            <v>0</v>
          </cell>
          <cell r="Q5004">
            <v>0</v>
          </cell>
          <cell r="R5004">
            <v>1</v>
          </cell>
          <cell r="S5004">
            <v>0</v>
          </cell>
          <cell r="T5004">
            <v>0</v>
          </cell>
          <cell r="U5004">
            <v>0</v>
          </cell>
          <cell r="V5004">
            <v>1</v>
          </cell>
          <cell r="W5004">
            <v>0</v>
          </cell>
          <cell r="X5004">
            <v>0</v>
          </cell>
          <cell r="Y5004">
            <v>0</v>
          </cell>
        </row>
        <row r="5005">
          <cell r="D5005">
            <v>304018</v>
          </cell>
          <cell r="E5005" t="str">
            <v>Pantao Ragat Agro-Ind. HS</v>
          </cell>
          <cell r="F5005">
            <v>1</v>
          </cell>
          <cell r="G5005">
            <v>0</v>
          </cell>
          <cell r="H5005">
            <v>1</v>
          </cell>
          <cell r="I5005">
            <v>0</v>
          </cell>
          <cell r="J5005">
            <v>1</v>
          </cell>
          <cell r="K5005">
            <v>0</v>
          </cell>
          <cell r="L5005">
            <v>1</v>
          </cell>
          <cell r="M5005">
            <v>9192019</v>
          </cell>
          <cell r="N5005">
            <v>1</v>
          </cell>
          <cell r="O5005" t="str">
            <v>09/19/2019</v>
          </cell>
          <cell r="P5005" t="str">
            <v>09/19/2019</v>
          </cell>
          <cell r="Q5005">
            <v>0</v>
          </cell>
          <cell r="R5005">
            <v>1</v>
          </cell>
          <cell r="S5005">
            <v>0</v>
          </cell>
          <cell r="T5005">
            <v>0</v>
          </cell>
          <cell r="U5005">
            <v>0</v>
          </cell>
          <cell r="V5005">
            <v>1</v>
          </cell>
          <cell r="W5005">
            <v>0</v>
          </cell>
          <cell r="X5005">
            <v>0</v>
          </cell>
          <cell r="Y5005">
            <v>0</v>
          </cell>
        </row>
        <row r="5006">
          <cell r="D5006">
            <v>304047</v>
          </cell>
          <cell r="E5006" t="str">
            <v>Oroquieta City National High School - Villaflor Campus</v>
          </cell>
          <cell r="F5006">
            <v>1</v>
          </cell>
          <cell r="G5006">
            <v>1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</row>
        <row r="5007">
          <cell r="D5007">
            <v>304044</v>
          </cell>
          <cell r="E5007" t="str">
            <v>Misamis Occidental Science and Technology High School</v>
          </cell>
          <cell r="F5007">
            <v>1</v>
          </cell>
          <cell r="G5007">
            <v>1</v>
          </cell>
          <cell r="H5007">
            <v>1</v>
          </cell>
          <cell r="I5007">
            <v>0</v>
          </cell>
          <cell r="J5007">
            <v>1</v>
          </cell>
          <cell r="K5007">
            <v>0</v>
          </cell>
          <cell r="L5007">
            <v>0</v>
          </cell>
          <cell r="M5007">
            <v>0</v>
          </cell>
          <cell r="N5007">
            <v>1</v>
          </cell>
          <cell r="O5007" t="str">
            <v>Sept. 13, 2019</v>
          </cell>
          <cell r="P5007">
            <v>0</v>
          </cell>
          <cell r="Q5007">
            <v>1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1</v>
          </cell>
          <cell r="W5007">
            <v>3</v>
          </cell>
          <cell r="X5007">
            <v>1</v>
          </cell>
          <cell r="Y5007">
            <v>1</v>
          </cell>
        </row>
        <row r="5008">
          <cell r="D5008">
            <v>303973</v>
          </cell>
          <cell r="E5008" t="str">
            <v>Managok NHS</v>
          </cell>
          <cell r="F5008">
            <v>1</v>
          </cell>
          <cell r="G5008">
            <v>1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1</v>
          </cell>
          <cell r="O5008">
            <v>0</v>
          </cell>
          <cell r="P5008">
            <v>0</v>
          </cell>
          <cell r="Q5008">
            <v>0</v>
          </cell>
          <cell r="R5008">
            <v>1</v>
          </cell>
          <cell r="S5008">
            <v>0</v>
          </cell>
          <cell r="T5008">
            <v>0</v>
          </cell>
          <cell r="U5008">
            <v>0</v>
          </cell>
          <cell r="V5008">
            <v>1</v>
          </cell>
          <cell r="W5008">
            <v>0</v>
          </cell>
          <cell r="X5008">
            <v>0</v>
          </cell>
          <cell r="Y5008">
            <v>0</v>
          </cell>
        </row>
        <row r="5009">
          <cell r="D5009">
            <v>314916</v>
          </cell>
          <cell r="E5009" t="str">
            <v>Malaybalay City NHS</v>
          </cell>
          <cell r="F5009">
            <v>1</v>
          </cell>
          <cell r="G5009">
            <v>0</v>
          </cell>
          <cell r="H5009">
            <v>1</v>
          </cell>
          <cell r="I5009">
            <v>1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  <cell r="N5009">
            <v>1</v>
          </cell>
          <cell r="O5009">
            <v>43475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3</v>
          </cell>
          <cell r="X5009">
            <v>0</v>
          </cell>
          <cell r="Y5009">
            <v>0</v>
          </cell>
        </row>
        <row r="5010">
          <cell r="D5010">
            <v>304061</v>
          </cell>
          <cell r="E5010" t="str">
            <v>Baliwagan NHS</v>
          </cell>
          <cell r="F5010">
            <v>1</v>
          </cell>
          <cell r="G5010">
            <v>1</v>
          </cell>
          <cell r="H5010">
            <v>1</v>
          </cell>
          <cell r="I5010">
            <v>1</v>
          </cell>
          <cell r="J5010">
            <v>0</v>
          </cell>
          <cell r="K5010">
            <v>0</v>
          </cell>
          <cell r="L5010">
            <v>1</v>
          </cell>
          <cell r="M5010" t="str">
            <v>as need arises</v>
          </cell>
          <cell r="N5010">
            <v>1</v>
          </cell>
          <cell r="O5010" t="str">
            <v>every Monday</v>
          </cell>
          <cell r="P5010">
            <v>43378</v>
          </cell>
          <cell r="Q5010">
            <v>1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1</v>
          </cell>
          <cell r="W5010">
            <v>0</v>
          </cell>
          <cell r="X5010">
            <v>0</v>
          </cell>
          <cell r="Y5010">
            <v>0</v>
          </cell>
        </row>
        <row r="5011">
          <cell r="D5011">
            <v>304062</v>
          </cell>
          <cell r="E5011" t="str">
            <v>Binuangan NHS</v>
          </cell>
          <cell r="F5011">
            <v>1</v>
          </cell>
          <cell r="G5011">
            <v>1</v>
          </cell>
          <cell r="H5011">
            <v>1</v>
          </cell>
          <cell r="I5011">
            <v>0</v>
          </cell>
          <cell r="J5011">
            <v>1</v>
          </cell>
          <cell r="K5011">
            <v>0</v>
          </cell>
          <cell r="L5011">
            <v>0</v>
          </cell>
          <cell r="M5011">
            <v>0</v>
          </cell>
          <cell r="N5011">
            <v>1</v>
          </cell>
          <cell r="O5011">
            <v>43637</v>
          </cell>
          <cell r="P5011">
            <v>43640</v>
          </cell>
          <cell r="Q5011">
            <v>0</v>
          </cell>
          <cell r="R5011">
            <v>0</v>
          </cell>
          <cell r="S5011">
            <v>0</v>
          </cell>
          <cell r="T5011">
            <v>1</v>
          </cell>
          <cell r="U5011" t="str">
            <v>as yhe need arises</v>
          </cell>
          <cell r="V5011">
            <v>1</v>
          </cell>
          <cell r="W5011">
            <v>0</v>
          </cell>
          <cell r="X5011">
            <v>0</v>
          </cell>
          <cell r="Y5011">
            <v>0</v>
          </cell>
        </row>
        <row r="5012">
          <cell r="D5012">
            <v>315306</v>
          </cell>
          <cell r="E5012" t="str">
            <v>Rosario NHS</v>
          </cell>
          <cell r="F5012">
            <v>1</v>
          </cell>
          <cell r="G5012">
            <v>1</v>
          </cell>
          <cell r="H5012">
            <v>1</v>
          </cell>
          <cell r="I5012">
            <v>0</v>
          </cell>
          <cell r="J5012">
            <v>1</v>
          </cell>
          <cell r="K5012">
            <v>0</v>
          </cell>
          <cell r="L5012">
            <v>0</v>
          </cell>
          <cell r="M5012">
            <v>0</v>
          </cell>
          <cell r="N5012">
            <v>1</v>
          </cell>
          <cell r="O5012">
            <v>43677</v>
          </cell>
          <cell r="P5012">
            <v>43683</v>
          </cell>
          <cell r="Q5012">
            <v>1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1</v>
          </cell>
          <cell r="W5012">
            <v>0</v>
          </cell>
          <cell r="X5012">
            <v>0</v>
          </cell>
          <cell r="Y5012">
            <v>0</v>
          </cell>
        </row>
        <row r="5013">
          <cell r="D5013">
            <v>304056</v>
          </cell>
          <cell r="E5013" t="str">
            <v>Sumirap NHS</v>
          </cell>
          <cell r="F5013">
            <v>1</v>
          </cell>
          <cell r="G5013">
            <v>1</v>
          </cell>
          <cell r="H5013">
            <v>1</v>
          </cell>
          <cell r="I5013">
            <v>0</v>
          </cell>
          <cell r="J5013">
            <v>1</v>
          </cell>
          <cell r="K5013">
            <v>0</v>
          </cell>
          <cell r="L5013">
            <v>0</v>
          </cell>
          <cell r="M5013">
            <v>0</v>
          </cell>
          <cell r="N5013">
            <v>1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</row>
        <row r="5014">
          <cell r="D5014">
            <v>304064</v>
          </cell>
          <cell r="E5014" t="str">
            <v>Cabalantian NHS</v>
          </cell>
          <cell r="F5014">
            <v>1</v>
          </cell>
          <cell r="G5014">
            <v>1</v>
          </cell>
          <cell r="H5014">
            <v>1</v>
          </cell>
          <cell r="I5014">
            <v>0</v>
          </cell>
          <cell r="J5014">
            <v>1</v>
          </cell>
          <cell r="K5014">
            <v>0</v>
          </cell>
          <cell r="L5014">
            <v>0</v>
          </cell>
          <cell r="M5014">
            <v>0</v>
          </cell>
          <cell r="N5014">
            <v>1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 t="str">
            <v>weekly</v>
          </cell>
          <cell r="V5014">
            <v>1</v>
          </cell>
          <cell r="W5014">
            <v>0</v>
          </cell>
          <cell r="X5014">
            <v>0</v>
          </cell>
          <cell r="Y5014">
            <v>0</v>
          </cell>
        </row>
        <row r="5015">
          <cell r="D5015">
            <v>304022</v>
          </cell>
          <cell r="E5015" t="str">
            <v>Andres Bersales, Sr. Nat'l. HS (Pandanan NHS)</v>
          </cell>
          <cell r="F5015">
            <v>0</v>
          </cell>
          <cell r="G5015">
            <v>0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</row>
        <row r="5016">
          <cell r="D5016">
            <v>325501</v>
          </cell>
          <cell r="E5016" t="str">
            <v>Managok NHS - Annex Lalawan</v>
          </cell>
          <cell r="F5016">
            <v>1</v>
          </cell>
          <cell r="G5016">
            <v>1</v>
          </cell>
          <cell r="H5016">
            <v>1</v>
          </cell>
          <cell r="I5016">
            <v>1</v>
          </cell>
          <cell r="J5016">
            <v>0</v>
          </cell>
          <cell r="K5016">
            <v>0</v>
          </cell>
          <cell r="L5016">
            <v>0</v>
          </cell>
          <cell r="M5016">
            <v>0</v>
          </cell>
          <cell r="N5016">
            <v>1</v>
          </cell>
          <cell r="O5016">
            <v>43617</v>
          </cell>
          <cell r="P5016">
            <v>0</v>
          </cell>
          <cell r="Q5016">
            <v>1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1</v>
          </cell>
          <cell r="W5016">
            <v>0</v>
          </cell>
          <cell r="X5016">
            <v>0</v>
          </cell>
          <cell r="Y5016">
            <v>0</v>
          </cell>
        </row>
        <row r="5017">
          <cell r="D5017">
            <v>315301</v>
          </cell>
          <cell r="E5017" t="str">
            <v>Bagocboc NHS</v>
          </cell>
          <cell r="F5017">
            <v>1</v>
          </cell>
          <cell r="G5017">
            <v>0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</row>
        <row r="5018">
          <cell r="D5018">
            <v>304096</v>
          </cell>
          <cell r="E5018" t="str">
            <v>Salay NHS</v>
          </cell>
          <cell r="F5018">
            <v>1</v>
          </cell>
          <cell r="G5018">
            <v>1</v>
          </cell>
          <cell r="H5018">
            <v>1</v>
          </cell>
          <cell r="I5018">
            <v>0</v>
          </cell>
          <cell r="J5018">
            <v>1</v>
          </cell>
          <cell r="K5018">
            <v>0</v>
          </cell>
          <cell r="L5018">
            <v>0</v>
          </cell>
          <cell r="M5018">
            <v>0</v>
          </cell>
          <cell r="N5018">
            <v>1</v>
          </cell>
          <cell r="O5018">
            <v>0</v>
          </cell>
          <cell r="P5018">
            <v>0</v>
          </cell>
          <cell r="Q5018">
            <v>0</v>
          </cell>
          <cell r="R5018">
            <v>1</v>
          </cell>
          <cell r="S5018">
            <v>0</v>
          </cell>
          <cell r="T5018">
            <v>0</v>
          </cell>
          <cell r="U5018">
            <v>0</v>
          </cell>
          <cell r="V5018">
            <v>1</v>
          </cell>
          <cell r="W5018">
            <v>0</v>
          </cell>
          <cell r="X5018">
            <v>0</v>
          </cell>
          <cell r="Y5018">
            <v>0</v>
          </cell>
        </row>
        <row r="5019">
          <cell r="D5019">
            <v>304081</v>
          </cell>
          <cell r="E5019" t="str">
            <v>Lourdes Alubijid NHS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</row>
        <row r="5020">
          <cell r="D5020">
            <v>315304</v>
          </cell>
          <cell r="E5020" t="str">
            <v>Lumbo NHS</v>
          </cell>
          <cell r="F5020">
            <v>1</v>
          </cell>
          <cell r="G5020">
            <v>1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>
            <v>1</v>
          </cell>
          <cell r="M5020" t="str">
            <v>AS THE PROBLEM ARISES</v>
          </cell>
          <cell r="N5020">
            <v>1</v>
          </cell>
          <cell r="O5020" t="str">
            <v>8/20/2018</v>
          </cell>
          <cell r="P5020" t="str">
            <v>8/17/2018</v>
          </cell>
          <cell r="Q5020">
            <v>0</v>
          </cell>
          <cell r="R5020">
            <v>0</v>
          </cell>
          <cell r="S5020">
            <v>0</v>
          </cell>
          <cell r="T5020">
            <v>1</v>
          </cell>
          <cell r="U5020" t="str">
            <v>NONE</v>
          </cell>
          <cell r="V5020">
            <v>1</v>
          </cell>
          <cell r="W5020">
            <v>0</v>
          </cell>
          <cell r="X5020">
            <v>0</v>
          </cell>
          <cell r="Y5020">
            <v>0</v>
          </cell>
        </row>
        <row r="5021">
          <cell r="D5021">
            <v>341228</v>
          </cell>
          <cell r="E5021" t="str">
            <v>Mantangale Senior High School</v>
          </cell>
          <cell r="F5021">
            <v>1</v>
          </cell>
          <cell r="G5021">
            <v>0</v>
          </cell>
          <cell r="H5021">
            <v>1</v>
          </cell>
          <cell r="I5021">
            <v>0</v>
          </cell>
          <cell r="J5021">
            <v>1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1</v>
          </cell>
          <cell r="S5021">
            <v>0</v>
          </cell>
          <cell r="T5021">
            <v>0</v>
          </cell>
          <cell r="U5021">
            <v>0</v>
          </cell>
          <cell r="V5021">
            <v>1</v>
          </cell>
          <cell r="W5021">
            <v>0</v>
          </cell>
          <cell r="X5021">
            <v>0</v>
          </cell>
          <cell r="Y5021">
            <v>0</v>
          </cell>
        </row>
        <row r="5022">
          <cell r="D5022">
            <v>304101</v>
          </cell>
          <cell r="E5022" t="str">
            <v>Sugbongcogon NHS</v>
          </cell>
          <cell r="F5022">
            <v>1</v>
          </cell>
          <cell r="G5022">
            <v>1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</row>
        <row r="5023">
          <cell r="D5023">
            <v>303950</v>
          </cell>
          <cell r="E5023" t="str">
            <v>Bukidnon NHS</v>
          </cell>
          <cell r="F5023">
            <v>1</v>
          </cell>
          <cell r="G5023">
            <v>1</v>
          </cell>
          <cell r="H5023">
            <v>1</v>
          </cell>
          <cell r="I5023">
            <v>1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1</v>
          </cell>
          <cell r="O5023" t="str">
            <v>July, 2019</v>
          </cell>
          <cell r="P5023" t="str">
            <v>June, 2019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1</v>
          </cell>
          <cell r="W5023">
            <v>2</v>
          </cell>
          <cell r="X5023">
            <v>0</v>
          </cell>
          <cell r="Y5023">
            <v>2</v>
          </cell>
        </row>
        <row r="5024">
          <cell r="D5024">
            <v>314910</v>
          </cell>
          <cell r="E5024" t="str">
            <v>Miaray National High School</v>
          </cell>
          <cell r="F5024">
            <v>1</v>
          </cell>
          <cell r="G5024">
            <v>1</v>
          </cell>
          <cell r="H5024">
            <v>1</v>
          </cell>
          <cell r="I5024">
            <v>0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N5024">
            <v>1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1</v>
          </cell>
          <cell r="T5024">
            <v>0</v>
          </cell>
          <cell r="U5024">
            <v>0</v>
          </cell>
          <cell r="V5024">
            <v>1</v>
          </cell>
          <cell r="W5024">
            <v>0</v>
          </cell>
          <cell r="X5024">
            <v>0</v>
          </cell>
          <cell r="Y5024">
            <v>2</v>
          </cell>
        </row>
        <row r="5025">
          <cell r="D5025">
            <v>304145</v>
          </cell>
          <cell r="E5025" t="str">
            <v>Iligan City NHS</v>
          </cell>
          <cell r="F5025">
            <v>1</v>
          </cell>
          <cell r="G5025">
            <v>1</v>
          </cell>
          <cell r="H5025">
            <v>0</v>
          </cell>
          <cell r="I5025">
            <v>1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1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</row>
        <row r="5026">
          <cell r="D5026">
            <v>304005</v>
          </cell>
          <cell r="E5026" t="str">
            <v>Lanao del Norte NCHS</v>
          </cell>
          <cell r="F5026">
            <v>1</v>
          </cell>
          <cell r="G5026">
            <v>1</v>
          </cell>
          <cell r="H5026">
            <v>1</v>
          </cell>
          <cell r="I5026">
            <v>0</v>
          </cell>
          <cell r="J5026">
            <v>1</v>
          </cell>
          <cell r="K5026">
            <v>0</v>
          </cell>
          <cell r="L5026">
            <v>0</v>
          </cell>
          <cell r="M5026">
            <v>0</v>
          </cell>
          <cell r="N5026">
            <v>1</v>
          </cell>
          <cell r="O5026">
            <v>0</v>
          </cell>
          <cell r="P5026">
            <v>0</v>
          </cell>
          <cell r="Q5026">
            <v>0</v>
          </cell>
          <cell r="R5026">
            <v>1</v>
          </cell>
          <cell r="S5026">
            <v>0</v>
          </cell>
          <cell r="T5026">
            <v>0</v>
          </cell>
          <cell r="U5026">
            <v>0</v>
          </cell>
          <cell r="V5026">
            <v>1</v>
          </cell>
          <cell r="W5026">
            <v>43647</v>
          </cell>
          <cell r="X5026">
            <v>0</v>
          </cell>
          <cell r="Y5026">
            <v>0</v>
          </cell>
        </row>
        <row r="5027">
          <cell r="D5027">
            <v>325504</v>
          </cell>
          <cell r="E5027" t="str">
            <v>Bukidnon NHS - Annex Dalwangan</v>
          </cell>
          <cell r="F5027">
            <v>0</v>
          </cell>
          <cell r="G5027">
            <v>0</v>
          </cell>
          <cell r="H5027">
            <v>1</v>
          </cell>
          <cell r="I5027">
            <v>0</v>
          </cell>
          <cell r="J5027">
            <v>1</v>
          </cell>
          <cell r="K5027">
            <v>0</v>
          </cell>
          <cell r="L5027">
            <v>0</v>
          </cell>
          <cell r="M5027">
            <v>0</v>
          </cell>
          <cell r="N5027">
            <v>1</v>
          </cell>
          <cell r="O5027" t="str">
            <v>AUGUST 13, 2019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1</v>
          </cell>
          <cell r="W5027">
            <v>0</v>
          </cell>
          <cell r="X5027">
            <v>0</v>
          </cell>
          <cell r="Y5027">
            <v>0</v>
          </cell>
        </row>
        <row r="5028">
          <cell r="D5028">
            <v>304069</v>
          </cell>
          <cell r="E5028" t="str">
            <v>Dr. Gerardo Sabal MNHS</v>
          </cell>
          <cell r="F5028">
            <v>1</v>
          </cell>
          <cell r="G5028">
            <v>0</v>
          </cell>
          <cell r="H5028">
            <v>1</v>
          </cell>
          <cell r="I5028">
            <v>0</v>
          </cell>
          <cell r="J5028">
            <v>0</v>
          </cell>
          <cell r="K5028">
            <v>1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 t="str">
            <v>June</v>
          </cell>
          <cell r="Q5028">
            <v>0</v>
          </cell>
          <cell r="R5028">
            <v>0</v>
          </cell>
          <cell r="S5028">
            <v>1</v>
          </cell>
          <cell r="T5028">
            <v>0</v>
          </cell>
          <cell r="U5028">
            <v>0</v>
          </cell>
          <cell r="V5028">
            <v>1</v>
          </cell>
          <cell r="W5028">
            <v>2</v>
          </cell>
          <cell r="X5028">
            <v>2</v>
          </cell>
          <cell r="Y5028">
            <v>0</v>
          </cell>
        </row>
        <row r="5029">
          <cell r="D5029">
            <v>341234</v>
          </cell>
          <cell r="E5029" t="str">
            <v>Lagonglong Senior High School</v>
          </cell>
          <cell r="F5029">
            <v>0</v>
          </cell>
          <cell r="G5029">
            <v>0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</row>
        <row r="5030">
          <cell r="D5030">
            <v>314922</v>
          </cell>
          <cell r="E5030" t="str">
            <v>San Nicolas National High School</v>
          </cell>
          <cell r="F5030">
            <v>1</v>
          </cell>
          <cell r="G5030">
            <v>1</v>
          </cell>
          <cell r="H5030">
            <v>1</v>
          </cell>
          <cell r="I5030">
            <v>0</v>
          </cell>
          <cell r="J5030">
            <v>0</v>
          </cell>
          <cell r="K5030">
            <v>0</v>
          </cell>
          <cell r="L5030">
            <v>1</v>
          </cell>
          <cell r="M5030" t="str">
            <v>weekly</v>
          </cell>
          <cell r="N5030">
            <v>1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1</v>
          </cell>
          <cell r="U5030" t="str">
            <v>weekly</v>
          </cell>
          <cell r="V5030">
            <v>1</v>
          </cell>
          <cell r="W5030">
            <v>0</v>
          </cell>
          <cell r="X5030">
            <v>0</v>
          </cell>
          <cell r="Y5030">
            <v>0</v>
          </cell>
        </row>
        <row r="5031">
          <cell r="D5031">
            <v>303960</v>
          </cell>
          <cell r="E5031" t="str">
            <v>KIBAWE NATIONAL HIGH SCHOOL</v>
          </cell>
          <cell r="F5031">
            <v>1</v>
          </cell>
          <cell r="G5031">
            <v>1</v>
          </cell>
          <cell r="H5031">
            <v>1</v>
          </cell>
          <cell r="I5031">
            <v>0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  <cell r="N5031">
            <v>1</v>
          </cell>
          <cell r="O5031" t="str">
            <v>JUNE 19,2019</v>
          </cell>
          <cell r="P5031" t="str">
            <v>AUGUST 15,2019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1</v>
          </cell>
          <cell r="W5031">
            <v>2</v>
          </cell>
          <cell r="X5031">
            <v>2</v>
          </cell>
          <cell r="Y5031">
            <v>2</v>
          </cell>
        </row>
        <row r="5032">
          <cell r="D5032">
            <v>314924</v>
          </cell>
          <cell r="E5032" t="str">
            <v>Sumilao NHS - Vista Villa Annex</v>
          </cell>
          <cell r="F5032">
            <v>1</v>
          </cell>
          <cell r="G5032">
            <v>1</v>
          </cell>
          <cell r="H5032">
            <v>1</v>
          </cell>
          <cell r="I5032">
            <v>0</v>
          </cell>
          <cell r="J5032">
            <v>0</v>
          </cell>
          <cell r="K5032">
            <v>1</v>
          </cell>
          <cell r="L5032">
            <v>0</v>
          </cell>
          <cell r="M5032">
            <v>0</v>
          </cell>
          <cell r="N5032">
            <v>1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1</v>
          </cell>
          <cell r="T5032">
            <v>0</v>
          </cell>
          <cell r="U5032">
            <v>0</v>
          </cell>
          <cell r="V5032">
            <v>1</v>
          </cell>
          <cell r="W5032">
            <v>0</v>
          </cell>
          <cell r="X5032">
            <v>0</v>
          </cell>
          <cell r="Y5032">
            <v>0</v>
          </cell>
        </row>
        <row r="5033">
          <cell r="D5033">
            <v>304094</v>
          </cell>
          <cell r="E5033" t="str">
            <v>Opol NSTS</v>
          </cell>
          <cell r="F5033">
            <v>1</v>
          </cell>
          <cell r="G5033">
            <v>1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0</v>
          </cell>
          <cell r="M5033" t="str">
            <v>N/A</v>
          </cell>
          <cell r="N5033">
            <v>0</v>
          </cell>
          <cell r="O5033" t="str">
            <v>N/A</v>
          </cell>
          <cell r="P5033" t="str">
            <v>N/A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 t="str">
            <v>NONE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</row>
        <row r="5034">
          <cell r="D5034">
            <v>315315</v>
          </cell>
          <cell r="E5034" t="str">
            <v>Tambobong-Balacanas NHS</v>
          </cell>
          <cell r="F5034">
            <v>0</v>
          </cell>
          <cell r="G5034">
            <v>0</v>
          </cell>
          <cell r="H5034">
            <v>1</v>
          </cell>
          <cell r="I5034">
            <v>0</v>
          </cell>
          <cell r="J5034">
            <v>0</v>
          </cell>
          <cell r="K5034">
            <v>1</v>
          </cell>
          <cell r="L5034">
            <v>0</v>
          </cell>
          <cell r="M5034">
            <v>0</v>
          </cell>
          <cell r="N5034">
            <v>0</v>
          </cell>
          <cell r="O5034" t="str">
            <v>n/a</v>
          </cell>
          <cell r="P5034" t="str">
            <v>no record</v>
          </cell>
          <cell r="Q5034">
            <v>0</v>
          </cell>
          <cell r="R5034">
            <v>0</v>
          </cell>
          <cell r="S5034">
            <v>0</v>
          </cell>
          <cell r="T5034">
            <v>1</v>
          </cell>
          <cell r="U5034" t="str">
            <v>no record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</row>
        <row r="5035">
          <cell r="D5035">
            <v>314905</v>
          </cell>
          <cell r="E5035" t="str">
            <v>ST. PETER NATIONAL HIGH SCHOOL</v>
          </cell>
          <cell r="F5035">
            <v>0</v>
          </cell>
          <cell r="G5035">
            <v>0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</row>
        <row r="5036">
          <cell r="D5036">
            <v>500251</v>
          </cell>
          <cell r="E5036" t="str">
            <v>Lantad IS</v>
          </cell>
          <cell r="F5036">
            <v>1</v>
          </cell>
          <cell r="G5036">
            <v>1</v>
          </cell>
          <cell r="H5036">
            <v>1</v>
          </cell>
          <cell r="I5036">
            <v>0</v>
          </cell>
          <cell r="J5036">
            <v>0</v>
          </cell>
          <cell r="K5036">
            <v>1</v>
          </cell>
          <cell r="L5036">
            <v>0</v>
          </cell>
          <cell r="M5036">
            <v>0</v>
          </cell>
          <cell r="N5036">
            <v>1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1</v>
          </cell>
          <cell r="T5036">
            <v>0</v>
          </cell>
          <cell r="U5036">
            <v>0</v>
          </cell>
          <cell r="V5036">
            <v>1</v>
          </cell>
          <cell r="W5036">
            <v>0</v>
          </cell>
          <cell r="X5036">
            <v>0</v>
          </cell>
          <cell r="Y5036">
            <v>0</v>
          </cell>
        </row>
        <row r="5037">
          <cell r="D5037">
            <v>360848</v>
          </cell>
          <cell r="E5037" t="str">
            <v>Esperanza Senior High School</v>
          </cell>
          <cell r="F5037">
            <v>1</v>
          </cell>
          <cell r="G5037">
            <v>0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 t="str">
            <v>n/a</v>
          </cell>
          <cell r="P5037" t="str">
            <v>n/a</v>
          </cell>
          <cell r="Q5037">
            <v>0</v>
          </cell>
          <cell r="R5037">
            <v>0</v>
          </cell>
          <cell r="S5037">
            <v>0</v>
          </cell>
          <cell r="T5037">
            <v>1</v>
          </cell>
          <cell r="U5037" t="str">
            <v>n/a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</row>
        <row r="5038">
          <cell r="D5038">
            <v>303984</v>
          </cell>
          <cell r="E5038" t="str">
            <v>Silae NHS</v>
          </cell>
          <cell r="F5038">
            <v>1</v>
          </cell>
          <cell r="G5038">
            <v>0</v>
          </cell>
          <cell r="H5038">
            <v>0</v>
          </cell>
          <cell r="I5038">
            <v>0</v>
          </cell>
          <cell r="J5038">
            <v>0</v>
          </cell>
          <cell r="K5038">
            <v>1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1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</row>
        <row r="5039">
          <cell r="D5039">
            <v>314912</v>
          </cell>
          <cell r="E5039" t="str">
            <v>Quezon National High School</v>
          </cell>
          <cell r="F5039">
            <v>1</v>
          </cell>
          <cell r="G5039">
            <v>1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 t="str">
            <v>N/A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 t="str">
            <v>none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</row>
        <row r="5040">
          <cell r="D5040">
            <v>500689</v>
          </cell>
          <cell r="E5040" t="str">
            <v>Lala Proper ES</v>
          </cell>
          <cell r="F5040">
            <v>1</v>
          </cell>
          <cell r="G5040">
            <v>1</v>
          </cell>
          <cell r="H5040">
            <v>1</v>
          </cell>
          <cell r="I5040">
            <v>0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1</v>
          </cell>
          <cell r="O5040" t="str">
            <v>SEPTEMBER 16, 2019</v>
          </cell>
          <cell r="P5040" t="str">
            <v>SEPTEMBER 17, 2019</v>
          </cell>
          <cell r="Q5040">
            <v>1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</row>
        <row r="5041">
          <cell r="D5041">
            <v>314923</v>
          </cell>
          <cell r="E5041" t="str">
            <v>Impasugong NHS-Kapitan Bayong Annex</v>
          </cell>
          <cell r="F5041">
            <v>0</v>
          </cell>
          <cell r="G5041">
            <v>0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</row>
        <row r="5042">
          <cell r="D5042">
            <v>303968</v>
          </cell>
          <cell r="E5042" t="str">
            <v>Libona NHS</v>
          </cell>
          <cell r="F5042">
            <v>1</v>
          </cell>
          <cell r="G5042">
            <v>1</v>
          </cell>
          <cell r="H5042">
            <v>1</v>
          </cell>
          <cell r="I5042">
            <v>0</v>
          </cell>
          <cell r="J5042">
            <v>1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</row>
        <row r="5043">
          <cell r="D5043">
            <v>304072</v>
          </cell>
          <cell r="E5043" t="str">
            <v>Initao NCHS</v>
          </cell>
          <cell r="F5043">
            <v>1</v>
          </cell>
          <cell r="G5043">
            <v>1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</row>
        <row r="5044">
          <cell r="D5044">
            <v>303999</v>
          </cell>
          <cell r="E5044" t="str">
            <v>Bansarvil NHS</v>
          </cell>
          <cell r="F5044">
            <v>1</v>
          </cell>
          <cell r="G5044">
            <v>1</v>
          </cell>
          <cell r="H5044">
            <v>0</v>
          </cell>
          <cell r="I5044">
            <v>0</v>
          </cell>
          <cell r="J5044">
            <v>0</v>
          </cell>
          <cell r="K5044">
            <v>1</v>
          </cell>
          <cell r="L5044">
            <v>0</v>
          </cell>
          <cell r="M5044">
            <v>0</v>
          </cell>
          <cell r="N5044">
            <v>1</v>
          </cell>
          <cell r="O5044">
            <v>43670</v>
          </cell>
          <cell r="P5044">
            <v>43676</v>
          </cell>
          <cell r="Q5044">
            <v>0</v>
          </cell>
          <cell r="R5044">
            <v>1</v>
          </cell>
          <cell r="S5044">
            <v>0</v>
          </cell>
          <cell r="T5044">
            <v>0</v>
          </cell>
          <cell r="U5044">
            <v>0</v>
          </cell>
          <cell r="V5044">
            <v>1</v>
          </cell>
          <cell r="W5044">
            <v>0</v>
          </cell>
          <cell r="X5044">
            <v>0</v>
          </cell>
          <cell r="Y5044">
            <v>0</v>
          </cell>
        </row>
        <row r="5045">
          <cell r="D5045">
            <v>304002</v>
          </cell>
          <cell r="E5045" t="str">
            <v>Arsenio A. Quibranza NHS (LNNAIHS)</v>
          </cell>
          <cell r="F5045">
            <v>1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</row>
        <row r="5046">
          <cell r="D5046">
            <v>500691</v>
          </cell>
          <cell r="E5046" t="str">
            <v>Sultan Naga Dimaporo Memorial Integrated School</v>
          </cell>
          <cell r="F5046">
            <v>1</v>
          </cell>
          <cell r="G5046">
            <v>1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1</v>
          </cell>
          <cell r="M5046" t="str">
            <v>NONE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1</v>
          </cell>
          <cell r="U5046" t="str">
            <v>NONE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</row>
        <row r="5047">
          <cell r="D5047">
            <v>303992</v>
          </cell>
          <cell r="E5047" t="str">
            <v>Lawigan-Bura National High School</v>
          </cell>
          <cell r="F5047">
            <v>1</v>
          </cell>
          <cell r="G5047">
            <v>1</v>
          </cell>
          <cell r="H5047">
            <v>1</v>
          </cell>
          <cell r="I5047">
            <v>0</v>
          </cell>
          <cell r="J5047">
            <v>0</v>
          </cell>
          <cell r="K5047">
            <v>1</v>
          </cell>
          <cell r="L5047">
            <v>0</v>
          </cell>
          <cell r="M5047">
            <v>0</v>
          </cell>
          <cell r="N5047">
            <v>1</v>
          </cell>
          <cell r="O5047" t="str">
            <v>7/19/19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1</v>
          </cell>
          <cell r="U5047" t="str">
            <v>As need arises</v>
          </cell>
          <cell r="V5047">
            <v>1</v>
          </cell>
          <cell r="W5047">
            <v>0</v>
          </cell>
          <cell r="X5047">
            <v>0</v>
          </cell>
          <cell r="Y5047">
            <v>0</v>
          </cell>
        </row>
        <row r="5048">
          <cell r="D5048">
            <v>314908</v>
          </cell>
          <cell r="E5048" t="str">
            <v>Cabulohan-Paradise NHS - Townsite Annex</v>
          </cell>
          <cell r="F5048">
            <v>0</v>
          </cell>
          <cell r="G5048">
            <v>0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0</v>
          </cell>
          <cell r="M5048" t="str">
            <v>none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 t="str">
            <v>none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</row>
        <row r="5049">
          <cell r="D5049">
            <v>304052</v>
          </cell>
          <cell r="E5049" t="str">
            <v>Senote NHS</v>
          </cell>
          <cell r="F5049">
            <v>1</v>
          </cell>
          <cell r="G5049">
            <v>1</v>
          </cell>
          <cell r="H5049">
            <v>1</v>
          </cell>
          <cell r="I5049">
            <v>0</v>
          </cell>
          <cell r="J5049">
            <v>1</v>
          </cell>
          <cell r="K5049">
            <v>0</v>
          </cell>
          <cell r="L5049">
            <v>0</v>
          </cell>
          <cell r="M5049">
            <v>0</v>
          </cell>
          <cell r="N5049">
            <v>1</v>
          </cell>
          <cell r="O5049" t="str">
            <v>August 5, 2019</v>
          </cell>
          <cell r="P5049">
            <v>0</v>
          </cell>
          <cell r="Q5049">
            <v>0</v>
          </cell>
          <cell r="R5049">
            <v>1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</row>
        <row r="5050">
          <cell r="D5050">
            <v>315102</v>
          </cell>
          <cell r="E5050" t="str">
            <v>Lanao del Norte Provincial Science and Technology HS (former Malingao NHS (Annex New Pualas NHS)</v>
          </cell>
          <cell r="F5050">
            <v>1</v>
          </cell>
          <cell r="G5050">
            <v>1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1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</row>
        <row r="5051">
          <cell r="D5051">
            <v>341232</v>
          </cell>
          <cell r="E5051" t="str">
            <v>Villanueva Senior High School</v>
          </cell>
          <cell r="F5051">
            <v>1</v>
          </cell>
          <cell r="G5051">
            <v>1</v>
          </cell>
          <cell r="H5051">
            <v>0</v>
          </cell>
          <cell r="I5051">
            <v>0</v>
          </cell>
          <cell r="J5051">
            <v>1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 t="str">
            <v>7/31/19</v>
          </cell>
          <cell r="Q5051">
            <v>1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</row>
        <row r="5052">
          <cell r="D5052">
            <v>501030</v>
          </cell>
          <cell r="E5052" t="str">
            <v>Samburon Integrated School</v>
          </cell>
          <cell r="F5052">
            <v>0</v>
          </cell>
          <cell r="G5052">
            <v>0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 t="str">
            <v>N/A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</row>
        <row r="5053">
          <cell r="D5053">
            <v>304054</v>
          </cell>
          <cell r="E5053" t="str">
            <v>Caniangan NHS</v>
          </cell>
          <cell r="F5053">
            <v>1</v>
          </cell>
          <cell r="G5053">
            <v>0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 t="str">
            <v>NEVER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</row>
        <row r="5054">
          <cell r="D5054">
            <v>304007</v>
          </cell>
          <cell r="E5054" t="str">
            <v>Liangan NHS</v>
          </cell>
          <cell r="F5054">
            <v>1</v>
          </cell>
          <cell r="G5054">
            <v>0</v>
          </cell>
          <cell r="H5054">
            <v>1</v>
          </cell>
          <cell r="I5054">
            <v>0</v>
          </cell>
          <cell r="J5054">
            <v>1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</row>
        <row r="5055">
          <cell r="D5055">
            <v>315309</v>
          </cell>
          <cell r="E5055" t="str">
            <v>Aposkahoy NHS</v>
          </cell>
          <cell r="F5055">
            <v>1</v>
          </cell>
          <cell r="G5055">
            <v>1</v>
          </cell>
          <cell r="H5055">
            <v>1</v>
          </cell>
          <cell r="I5055">
            <v>0</v>
          </cell>
          <cell r="J5055">
            <v>1</v>
          </cell>
          <cell r="K5055">
            <v>0</v>
          </cell>
          <cell r="L5055">
            <v>0</v>
          </cell>
          <cell r="M5055">
            <v>0</v>
          </cell>
          <cell r="N5055">
            <v>1</v>
          </cell>
          <cell r="O5055">
            <v>43610</v>
          </cell>
          <cell r="P5055">
            <v>43607</v>
          </cell>
          <cell r="Q5055">
            <v>0</v>
          </cell>
          <cell r="R5055">
            <v>1</v>
          </cell>
          <cell r="S5055">
            <v>0</v>
          </cell>
          <cell r="T5055">
            <v>0</v>
          </cell>
          <cell r="U5055">
            <v>0</v>
          </cell>
          <cell r="V5055">
            <v>1</v>
          </cell>
          <cell r="W5055">
            <v>3</v>
          </cell>
          <cell r="X5055">
            <v>8</v>
          </cell>
          <cell r="Y5055">
            <v>8</v>
          </cell>
        </row>
        <row r="5056">
          <cell r="D5056">
            <v>314927</v>
          </cell>
          <cell r="E5056" t="str">
            <v>Kiara National High School</v>
          </cell>
          <cell r="F5056">
            <v>1</v>
          </cell>
          <cell r="G5056">
            <v>1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</row>
        <row r="5057">
          <cell r="D5057">
            <v>341235</v>
          </cell>
          <cell r="E5057" t="str">
            <v>Sta. Ines Senior High School</v>
          </cell>
          <cell r="F5057">
            <v>0</v>
          </cell>
          <cell r="G5057">
            <v>0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</row>
        <row r="5058">
          <cell r="D5058">
            <v>304078</v>
          </cell>
          <cell r="E5058" t="str">
            <v>Laguindingan NHS</v>
          </cell>
          <cell r="F5058">
            <v>1</v>
          </cell>
          <cell r="G5058">
            <v>1</v>
          </cell>
          <cell r="H5058">
            <v>1</v>
          </cell>
          <cell r="I5058">
            <v>0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1</v>
          </cell>
          <cell r="O5058">
            <v>43621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1</v>
          </cell>
          <cell r="U5058" t="str">
            <v>During School Days</v>
          </cell>
          <cell r="V5058">
            <v>1</v>
          </cell>
          <cell r="W5058">
            <v>0</v>
          </cell>
          <cell r="X5058">
            <v>0</v>
          </cell>
          <cell r="Y5058">
            <v>0</v>
          </cell>
        </row>
        <row r="5059">
          <cell r="D5059">
            <v>303961</v>
          </cell>
          <cell r="E5059" t="str">
            <v>Kiburiao National High School</v>
          </cell>
          <cell r="F5059">
            <v>1</v>
          </cell>
          <cell r="G5059">
            <v>0</v>
          </cell>
          <cell r="H5059">
            <v>1</v>
          </cell>
          <cell r="I5059">
            <v>1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1</v>
          </cell>
          <cell r="O5059">
            <v>43734</v>
          </cell>
          <cell r="P5059">
            <v>43742</v>
          </cell>
          <cell r="Q5059">
            <v>1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1</v>
          </cell>
          <cell r="X5059">
            <v>1</v>
          </cell>
          <cell r="Y5059">
            <v>0</v>
          </cell>
        </row>
        <row r="5060">
          <cell r="D5060">
            <v>304000</v>
          </cell>
          <cell r="E5060" t="str">
            <v>Binuni-Demologan NHS</v>
          </cell>
          <cell r="F5060">
            <v>1</v>
          </cell>
          <cell r="G5060">
            <v>1</v>
          </cell>
          <cell r="H5060">
            <v>1</v>
          </cell>
          <cell r="I5060">
            <v>0</v>
          </cell>
          <cell r="J5060">
            <v>1</v>
          </cell>
          <cell r="K5060">
            <v>0</v>
          </cell>
          <cell r="L5060">
            <v>0</v>
          </cell>
          <cell r="M5060">
            <v>0</v>
          </cell>
          <cell r="N5060">
            <v>1</v>
          </cell>
          <cell r="O5060">
            <v>0</v>
          </cell>
          <cell r="P5060">
            <v>0</v>
          </cell>
          <cell r="Q5060">
            <v>0</v>
          </cell>
          <cell r="R5060">
            <v>1</v>
          </cell>
          <cell r="S5060">
            <v>0</v>
          </cell>
          <cell r="T5060">
            <v>0</v>
          </cell>
          <cell r="U5060">
            <v>0</v>
          </cell>
          <cell r="V5060">
            <v>1</v>
          </cell>
          <cell r="W5060">
            <v>1</v>
          </cell>
          <cell r="X5060">
            <v>1</v>
          </cell>
          <cell r="Y5060">
            <v>1</v>
          </cell>
        </row>
        <row r="5061">
          <cell r="D5061">
            <v>304156</v>
          </cell>
          <cell r="E5061" t="str">
            <v>Suarez National High School</v>
          </cell>
          <cell r="F5061">
            <v>1</v>
          </cell>
          <cell r="G5061">
            <v>1</v>
          </cell>
          <cell r="H5061">
            <v>1</v>
          </cell>
          <cell r="I5061">
            <v>0</v>
          </cell>
          <cell r="J5061">
            <v>1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1</v>
          </cell>
          <cell r="S5061">
            <v>0</v>
          </cell>
          <cell r="T5061">
            <v>0</v>
          </cell>
          <cell r="U5061">
            <v>0</v>
          </cell>
          <cell r="V5061">
            <v>1</v>
          </cell>
          <cell r="W5061">
            <v>0</v>
          </cell>
          <cell r="X5061">
            <v>0</v>
          </cell>
          <cell r="Y5061">
            <v>0</v>
          </cell>
        </row>
        <row r="5062">
          <cell r="D5062">
            <v>303995</v>
          </cell>
          <cell r="E5062" t="str">
            <v>Eulalio U. Pabillore National High Sschool</v>
          </cell>
          <cell r="F5062">
            <v>1</v>
          </cell>
          <cell r="G5062">
            <v>1</v>
          </cell>
          <cell r="H5062">
            <v>1</v>
          </cell>
          <cell r="I5062">
            <v>0</v>
          </cell>
          <cell r="J5062">
            <v>0</v>
          </cell>
          <cell r="K5062">
            <v>1</v>
          </cell>
          <cell r="L5062">
            <v>0</v>
          </cell>
          <cell r="M5062">
            <v>0</v>
          </cell>
          <cell r="N5062">
            <v>1</v>
          </cell>
          <cell r="O5062">
            <v>43647</v>
          </cell>
          <cell r="P5062">
            <v>43647</v>
          </cell>
          <cell r="Q5062">
            <v>0</v>
          </cell>
          <cell r="R5062">
            <v>0</v>
          </cell>
          <cell r="S5062">
            <v>1</v>
          </cell>
          <cell r="T5062">
            <v>0</v>
          </cell>
          <cell r="U5062">
            <v>0</v>
          </cell>
          <cell r="V5062">
            <v>1</v>
          </cell>
          <cell r="W5062">
            <v>0</v>
          </cell>
          <cell r="X5062">
            <v>0</v>
          </cell>
          <cell r="Y5062">
            <v>0</v>
          </cell>
        </row>
        <row r="5063">
          <cell r="D5063">
            <v>304029</v>
          </cell>
          <cell r="E5063" t="str">
            <v>Bunga NHS</v>
          </cell>
          <cell r="F5063">
            <v>1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1</v>
          </cell>
          <cell r="L5063">
            <v>0</v>
          </cell>
          <cell r="M5063">
            <v>0</v>
          </cell>
          <cell r="N5063">
            <v>1</v>
          </cell>
          <cell r="O5063">
            <v>0</v>
          </cell>
          <cell r="P5063" t="str">
            <v>August 26,2019</v>
          </cell>
          <cell r="Q5063">
            <v>1</v>
          </cell>
          <cell r="R5063">
            <v>0</v>
          </cell>
          <cell r="S5063">
            <v>0</v>
          </cell>
          <cell r="T5063">
            <v>1</v>
          </cell>
          <cell r="U5063">
            <v>0</v>
          </cell>
          <cell r="V5063">
            <v>1</v>
          </cell>
          <cell r="W5063">
            <v>0</v>
          </cell>
          <cell r="X5063">
            <v>0</v>
          </cell>
          <cell r="Y5063">
            <v>0</v>
          </cell>
        </row>
        <row r="5064">
          <cell r="D5064">
            <v>304073</v>
          </cell>
          <cell r="E5064" t="str">
            <v>Jasaan NHS</v>
          </cell>
          <cell r="F5064">
            <v>1</v>
          </cell>
          <cell r="G5064">
            <v>1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</row>
        <row r="5065">
          <cell r="D5065">
            <v>304074</v>
          </cell>
          <cell r="E5065" t="str">
            <v>Kalingagan NHS</v>
          </cell>
          <cell r="F5065">
            <v>1</v>
          </cell>
          <cell r="G5065">
            <v>0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</row>
        <row r="5066">
          <cell r="D5066">
            <v>304152</v>
          </cell>
          <cell r="E5066" t="str">
            <v>Maria Cristina National High School</v>
          </cell>
          <cell r="F5066">
            <v>0</v>
          </cell>
          <cell r="G5066">
            <v>0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</row>
        <row r="5067">
          <cell r="D5067">
            <v>304099</v>
          </cell>
          <cell r="E5067" t="str">
            <v>Sta. Ana NHS</v>
          </cell>
          <cell r="F5067">
            <v>1</v>
          </cell>
          <cell r="G5067">
            <v>1</v>
          </cell>
          <cell r="H5067">
            <v>1</v>
          </cell>
          <cell r="I5067">
            <v>0</v>
          </cell>
          <cell r="J5067">
            <v>1</v>
          </cell>
          <cell r="K5067">
            <v>0</v>
          </cell>
          <cell r="L5067">
            <v>0</v>
          </cell>
          <cell r="M5067">
            <v>0</v>
          </cell>
          <cell r="N5067">
            <v>1</v>
          </cell>
          <cell r="O5067">
            <v>43534</v>
          </cell>
          <cell r="P5067">
            <v>43619</v>
          </cell>
          <cell r="Q5067">
            <v>0</v>
          </cell>
          <cell r="R5067">
            <v>1</v>
          </cell>
          <cell r="S5067">
            <v>0</v>
          </cell>
          <cell r="T5067">
            <v>0</v>
          </cell>
          <cell r="U5067">
            <v>0</v>
          </cell>
          <cell r="V5067">
            <v>1</v>
          </cell>
          <cell r="W5067">
            <v>0</v>
          </cell>
          <cell r="X5067">
            <v>0</v>
          </cell>
          <cell r="Y5067">
            <v>0</v>
          </cell>
        </row>
        <row r="5068">
          <cell r="D5068">
            <v>500704</v>
          </cell>
          <cell r="E5068" t="str">
            <v>LOURDES INTEGRATED SCHOOL</v>
          </cell>
          <cell r="F5068">
            <v>0</v>
          </cell>
          <cell r="G5068">
            <v>0</v>
          </cell>
          <cell r="H5068">
            <v>1</v>
          </cell>
          <cell r="I5068">
            <v>0</v>
          </cell>
          <cell r="J5068">
            <v>0</v>
          </cell>
          <cell r="K5068">
            <v>1</v>
          </cell>
          <cell r="L5068">
            <v>0</v>
          </cell>
          <cell r="M5068">
            <v>0</v>
          </cell>
          <cell r="N5068">
            <v>1</v>
          </cell>
          <cell r="O5068">
            <v>0</v>
          </cell>
          <cell r="P5068">
            <v>0</v>
          </cell>
          <cell r="Q5068">
            <v>0</v>
          </cell>
          <cell r="R5068">
            <v>1</v>
          </cell>
          <cell r="S5068">
            <v>0</v>
          </cell>
          <cell r="T5068">
            <v>0</v>
          </cell>
          <cell r="U5068">
            <v>0</v>
          </cell>
          <cell r="V5068">
            <v>1</v>
          </cell>
          <cell r="W5068">
            <v>0</v>
          </cell>
          <cell r="X5068">
            <v>0</v>
          </cell>
          <cell r="Y5068">
            <v>0</v>
          </cell>
        </row>
        <row r="5069">
          <cell r="D5069">
            <v>304071</v>
          </cell>
          <cell r="E5069" t="str">
            <v>Hinaplanan NHS</v>
          </cell>
          <cell r="F5069">
            <v>0</v>
          </cell>
          <cell r="G5069">
            <v>0</v>
          </cell>
          <cell r="H5069">
            <v>1</v>
          </cell>
          <cell r="I5069">
            <v>0</v>
          </cell>
          <cell r="J5069">
            <v>0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 t="str">
            <v>NONE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1</v>
          </cell>
          <cell r="U5069" t="str">
            <v>NONE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</row>
        <row r="5070">
          <cell r="D5070">
            <v>304063</v>
          </cell>
          <cell r="E5070" t="str">
            <v>Bobontugan NHS</v>
          </cell>
          <cell r="F5070">
            <v>1</v>
          </cell>
          <cell r="G5070">
            <v>1</v>
          </cell>
          <cell r="H5070">
            <v>0</v>
          </cell>
          <cell r="I5070">
            <v>0</v>
          </cell>
          <cell r="J5070">
            <v>1</v>
          </cell>
          <cell r="K5070">
            <v>0</v>
          </cell>
          <cell r="L5070">
            <v>0</v>
          </cell>
          <cell r="M5070">
            <v>0</v>
          </cell>
          <cell r="N5070">
            <v>1</v>
          </cell>
          <cell r="O5070">
            <v>43630</v>
          </cell>
          <cell r="P5070">
            <v>43634</v>
          </cell>
          <cell r="Q5070">
            <v>0</v>
          </cell>
          <cell r="R5070">
            <v>1</v>
          </cell>
          <cell r="S5070">
            <v>0</v>
          </cell>
          <cell r="T5070">
            <v>0</v>
          </cell>
          <cell r="U5070">
            <v>0</v>
          </cell>
          <cell r="V5070">
            <v>1</v>
          </cell>
          <cell r="W5070">
            <v>5</v>
          </cell>
          <cell r="X5070">
            <v>0</v>
          </cell>
          <cell r="Y5070">
            <v>0</v>
          </cell>
        </row>
        <row r="5071">
          <cell r="D5071">
            <v>315305</v>
          </cell>
          <cell r="E5071" t="str">
            <v>MOLUGAN NATIONAL HIGH SCHOOL</v>
          </cell>
          <cell r="F5071">
            <v>1</v>
          </cell>
          <cell r="G5071">
            <v>1</v>
          </cell>
          <cell r="H5071">
            <v>1</v>
          </cell>
          <cell r="I5071">
            <v>1</v>
          </cell>
          <cell r="J5071">
            <v>0</v>
          </cell>
          <cell r="K5071">
            <v>0</v>
          </cell>
          <cell r="L5071">
            <v>0</v>
          </cell>
          <cell r="M5071">
            <v>0</v>
          </cell>
          <cell r="N5071">
            <v>1</v>
          </cell>
          <cell r="O5071">
            <v>43476</v>
          </cell>
          <cell r="P5071">
            <v>0</v>
          </cell>
          <cell r="Q5071">
            <v>1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1</v>
          </cell>
          <cell r="W5071">
            <v>1</v>
          </cell>
          <cell r="X5071">
            <v>0</v>
          </cell>
          <cell r="Y5071">
            <v>0</v>
          </cell>
        </row>
        <row r="5072">
          <cell r="D5072">
            <v>314913</v>
          </cell>
          <cell r="E5072" t="str">
            <v>Don Carlos NHS</v>
          </cell>
          <cell r="F5072">
            <v>1</v>
          </cell>
          <cell r="G5072">
            <v>1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</row>
        <row r="5073">
          <cell r="D5073">
            <v>500686</v>
          </cell>
          <cell r="E5073" t="str">
            <v>Sto. Niño Integrated School</v>
          </cell>
          <cell r="F5073">
            <v>1</v>
          </cell>
          <cell r="G5073">
            <v>1</v>
          </cell>
          <cell r="H5073">
            <v>1</v>
          </cell>
          <cell r="I5073">
            <v>0</v>
          </cell>
          <cell r="J5073">
            <v>0</v>
          </cell>
          <cell r="K5073">
            <v>1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</row>
        <row r="5074">
          <cell r="D5074">
            <v>500696</v>
          </cell>
          <cell r="E5074" t="str">
            <v>Francisco Laya Memorial Integrated School</v>
          </cell>
          <cell r="F5074">
            <v>1</v>
          </cell>
          <cell r="G5074">
            <v>1</v>
          </cell>
          <cell r="H5074">
            <v>1</v>
          </cell>
          <cell r="I5074">
            <v>0</v>
          </cell>
          <cell r="J5074">
            <v>0</v>
          </cell>
          <cell r="K5074">
            <v>1</v>
          </cell>
          <cell r="L5074">
            <v>0</v>
          </cell>
          <cell r="M5074">
            <v>0</v>
          </cell>
          <cell r="N5074">
            <v>1</v>
          </cell>
          <cell r="O5074" t="str">
            <v>Sept 4,2019</v>
          </cell>
          <cell r="P5074" t="str">
            <v>Jan 20, 2019</v>
          </cell>
          <cell r="Q5074">
            <v>0</v>
          </cell>
          <cell r="R5074">
            <v>0</v>
          </cell>
          <cell r="S5074">
            <v>1</v>
          </cell>
          <cell r="T5074">
            <v>0</v>
          </cell>
          <cell r="U5074">
            <v>0</v>
          </cell>
          <cell r="V5074">
            <v>1</v>
          </cell>
          <cell r="W5074">
            <v>0</v>
          </cell>
          <cell r="X5074">
            <v>0</v>
          </cell>
          <cell r="Y5074">
            <v>0</v>
          </cell>
        </row>
        <row r="5075">
          <cell r="D5075">
            <v>315110</v>
          </cell>
          <cell r="E5075" t="str">
            <v>SERGIO P. CERUJALES, JR. NHS</v>
          </cell>
          <cell r="F5075">
            <v>1</v>
          </cell>
          <cell r="G5075">
            <v>1</v>
          </cell>
          <cell r="H5075">
            <v>1</v>
          </cell>
          <cell r="I5075">
            <v>0</v>
          </cell>
          <cell r="J5075">
            <v>1</v>
          </cell>
          <cell r="K5075">
            <v>0</v>
          </cell>
          <cell r="L5075">
            <v>0</v>
          </cell>
          <cell r="M5075">
            <v>0</v>
          </cell>
          <cell r="N5075">
            <v>1</v>
          </cell>
          <cell r="O5075">
            <v>0</v>
          </cell>
          <cell r="P5075">
            <v>43752</v>
          </cell>
          <cell r="Q5075">
            <v>1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1</v>
          </cell>
          <cell r="W5075">
            <v>1</v>
          </cell>
          <cell r="X5075">
            <v>1</v>
          </cell>
          <cell r="Y5075">
            <v>1</v>
          </cell>
        </row>
        <row r="5076">
          <cell r="D5076">
            <v>315104</v>
          </cell>
          <cell r="E5076" t="str">
            <v>Poonapiagapo NHS(Annex Matungao NHS)</v>
          </cell>
          <cell r="F5076">
            <v>1</v>
          </cell>
          <cell r="G5076">
            <v>1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 t="str">
            <v>N/A</v>
          </cell>
          <cell r="P5076" t="str">
            <v>N/A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</row>
        <row r="5077">
          <cell r="D5077">
            <v>304015</v>
          </cell>
          <cell r="E5077" t="str">
            <v>Teofila C. Quibranza NHS (New Pualas NHS)</v>
          </cell>
          <cell r="F5077">
            <v>0</v>
          </cell>
          <cell r="G5077">
            <v>1</v>
          </cell>
          <cell r="H5077">
            <v>1</v>
          </cell>
          <cell r="I5077">
            <v>0</v>
          </cell>
          <cell r="J5077">
            <v>0</v>
          </cell>
          <cell r="K5077">
            <v>1</v>
          </cell>
          <cell r="L5077">
            <v>0</v>
          </cell>
          <cell r="M5077">
            <v>0</v>
          </cell>
          <cell r="N5077">
            <v>1</v>
          </cell>
          <cell r="O5077">
            <v>0</v>
          </cell>
          <cell r="P5077">
            <v>43586</v>
          </cell>
          <cell r="Q5077">
            <v>0</v>
          </cell>
          <cell r="R5077">
            <v>0</v>
          </cell>
          <cell r="S5077">
            <v>1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</row>
        <row r="5078">
          <cell r="D5078">
            <v>315001</v>
          </cell>
          <cell r="E5078" t="str">
            <v>Maac National High School</v>
          </cell>
          <cell r="F5078">
            <v>1</v>
          </cell>
          <cell r="G5078">
            <v>0</v>
          </cell>
          <cell r="H5078">
            <v>1</v>
          </cell>
          <cell r="I5078">
            <v>0</v>
          </cell>
          <cell r="J5078">
            <v>0</v>
          </cell>
          <cell r="K5078">
            <v>1</v>
          </cell>
          <cell r="L5078">
            <v>0</v>
          </cell>
          <cell r="M5078">
            <v>0</v>
          </cell>
          <cell r="N5078">
            <v>1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1</v>
          </cell>
          <cell r="T5078">
            <v>0</v>
          </cell>
          <cell r="U5078">
            <v>0</v>
          </cell>
          <cell r="V5078">
            <v>0</v>
          </cell>
          <cell r="W5078">
            <v>8</v>
          </cell>
          <cell r="X5078">
            <v>6</v>
          </cell>
          <cell r="Y5078">
            <v>6</v>
          </cell>
        </row>
        <row r="5079">
          <cell r="D5079">
            <v>500248</v>
          </cell>
          <cell r="E5079" t="str">
            <v>Pagayawan IS</v>
          </cell>
          <cell r="F5079">
            <v>1</v>
          </cell>
          <cell r="G5079">
            <v>0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 t="str">
            <v>N/A</v>
          </cell>
          <cell r="Q5079">
            <v>0</v>
          </cell>
          <cell r="R5079">
            <v>0</v>
          </cell>
          <cell r="S5079">
            <v>0</v>
          </cell>
          <cell r="T5079">
            <v>1</v>
          </cell>
          <cell r="U5079" t="str">
            <v>N/A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</row>
        <row r="5080">
          <cell r="D5080">
            <v>314903</v>
          </cell>
          <cell r="E5080" t="str">
            <v>San Vicente National High School</v>
          </cell>
          <cell r="F5080">
            <v>1</v>
          </cell>
          <cell r="G5080">
            <v>0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1</v>
          </cell>
          <cell r="T5080">
            <v>0</v>
          </cell>
          <cell r="U5080">
            <v>0</v>
          </cell>
          <cell r="V5080">
            <v>1</v>
          </cell>
          <cell r="W5080">
            <v>1</v>
          </cell>
          <cell r="X5080">
            <v>0</v>
          </cell>
          <cell r="Y5080">
            <v>0</v>
          </cell>
        </row>
        <row r="5081">
          <cell r="D5081">
            <v>315317</v>
          </cell>
          <cell r="E5081" t="str">
            <v>Kalacapan NHS</v>
          </cell>
          <cell r="F5081">
            <v>1</v>
          </cell>
          <cell r="G5081">
            <v>1</v>
          </cell>
          <cell r="H5081">
            <v>1</v>
          </cell>
          <cell r="I5081">
            <v>0</v>
          </cell>
          <cell r="J5081">
            <v>1</v>
          </cell>
          <cell r="K5081">
            <v>0</v>
          </cell>
          <cell r="L5081">
            <v>0</v>
          </cell>
          <cell r="M5081">
            <v>0</v>
          </cell>
          <cell r="N5081">
            <v>1</v>
          </cell>
          <cell r="O5081" t="str">
            <v>08-22-2019</v>
          </cell>
          <cell r="P5081" t="str">
            <v>10-23-2019</v>
          </cell>
          <cell r="Q5081">
            <v>1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1</v>
          </cell>
          <cell r="W5081">
            <v>3</v>
          </cell>
          <cell r="X5081">
            <v>0</v>
          </cell>
          <cell r="Y5081">
            <v>0</v>
          </cell>
        </row>
        <row r="5082">
          <cell r="D5082">
            <v>304010</v>
          </cell>
          <cell r="E5082" t="str">
            <v>Maigo NHS</v>
          </cell>
          <cell r="F5082">
            <v>1</v>
          </cell>
          <cell r="G5082">
            <v>1</v>
          </cell>
          <cell r="H5082">
            <v>1</v>
          </cell>
          <cell r="I5082">
            <v>0</v>
          </cell>
          <cell r="J5082">
            <v>1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43700</v>
          </cell>
          <cell r="P5082">
            <v>0</v>
          </cell>
          <cell r="Q5082">
            <v>1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1</v>
          </cell>
          <cell r="W5082">
            <v>2</v>
          </cell>
          <cell r="X5082">
            <v>1</v>
          </cell>
          <cell r="Y5082">
            <v>0</v>
          </cell>
        </row>
        <row r="5083">
          <cell r="D5083">
            <v>315318</v>
          </cell>
          <cell r="E5083" t="str">
            <v>Hinigdaan NHS</v>
          </cell>
          <cell r="F5083">
            <v>0</v>
          </cell>
          <cell r="G5083">
            <v>0</v>
          </cell>
          <cell r="H5083">
            <v>1</v>
          </cell>
          <cell r="I5083">
            <v>0</v>
          </cell>
          <cell r="J5083">
            <v>0</v>
          </cell>
          <cell r="K5083">
            <v>1</v>
          </cell>
          <cell r="L5083">
            <v>0</v>
          </cell>
          <cell r="M5083">
            <v>0</v>
          </cell>
          <cell r="N5083">
            <v>1</v>
          </cell>
          <cell r="O5083" t="str">
            <v>JULY 11,2019</v>
          </cell>
          <cell r="P5083" t="str">
            <v>JULY 11,2019</v>
          </cell>
          <cell r="Q5083">
            <v>0</v>
          </cell>
          <cell r="R5083">
            <v>0</v>
          </cell>
          <cell r="S5083">
            <v>1</v>
          </cell>
          <cell r="T5083">
            <v>0</v>
          </cell>
          <cell r="U5083">
            <v>0</v>
          </cell>
          <cell r="V5083">
            <v>1</v>
          </cell>
          <cell r="W5083">
            <v>0</v>
          </cell>
          <cell r="X5083">
            <v>0</v>
          </cell>
          <cell r="Y5083">
            <v>0</v>
          </cell>
        </row>
        <row r="5084">
          <cell r="D5084">
            <v>315106</v>
          </cell>
          <cell r="E5084" t="str">
            <v>Sultan Dimasangcay Mananggolo IS (Delabayan ES)</v>
          </cell>
          <cell r="F5084">
            <v>1</v>
          </cell>
          <cell r="G5084">
            <v>1</v>
          </cell>
          <cell r="H5084">
            <v>1</v>
          </cell>
          <cell r="I5084">
            <v>0</v>
          </cell>
          <cell r="J5084">
            <v>1</v>
          </cell>
          <cell r="K5084">
            <v>0</v>
          </cell>
          <cell r="L5084">
            <v>0</v>
          </cell>
          <cell r="M5084">
            <v>0</v>
          </cell>
          <cell r="N5084">
            <v>1</v>
          </cell>
          <cell r="O5084">
            <v>43642</v>
          </cell>
          <cell r="P5084">
            <v>43642</v>
          </cell>
          <cell r="Q5084">
            <v>0</v>
          </cell>
          <cell r="R5084">
            <v>1</v>
          </cell>
          <cell r="S5084">
            <v>0</v>
          </cell>
          <cell r="T5084">
            <v>0</v>
          </cell>
          <cell r="U5084">
            <v>0</v>
          </cell>
          <cell r="V5084">
            <v>1</v>
          </cell>
          <cell r="W5084">
            <v>0</v>
          </cell>
          <cell r="X5084">
            <v>0</v>
          </cell>
          <cell r="Y5084">
            <v>0</v>
          </cell>
        </row>
        <row r="5085">
          <cell r="D5085">
            <v>315003</v>
          </cell>
          <cell r="E5085" t="str">
            <v>Mahinog National High School II</v>
          </cell>
          <cell r="F5085">
            <v>1</v>
          </cell>
          <cell r="G5085">
            <v>1</v>
          </cell>
          <cell r="H5085">
            <v>1</v>
          </cell>
          <cell r="I5085">
            <v>0</v>
          </cell>
          <cell r="J5085">
            <v>0</v>
          </cell>
          <cell r="K5085">
            <v>1</v>
          </cell>
          <cell r="L5085">
            <v>0</v>
          </cell>
          <cell r="M5085">
            <v>0</v>
          </cell>
          <cell r="N5085">
            <v>1</v>
          </cell>
          <cell r="O5085">
            <v>43374</v>
          </cell>
          <cell r="P5085">
            <v>0</v>
          </cell>
          <cell r="Q5085">
            <v>0</v>
          </cell>
          <cell r="R5085">
            <v>1</v>
          </cell>
          <cell r="S5085">
            <v>0</v>
          </cell>
          <cell r="T5085">
            <v>0</v>
          </cell>
          <cell r="U5085">
            <v>0</v>
          </cell>
          <cell r="V5085">
            <v>1</v>
          </cell>
          <cell r="W5085">
            <v>0</v>
          </cell>
          <cell r="X5085">
            <v>0</v>
          </cell>
          <cell r="Y5085">
            <v>0</v>
          </cell>
        </row>
        <row r="5086">
          <cell r="D5086">
            <v>315103</v>
          </cell>
          <cell r="E5086" t="str">
            <v>Tangcal NHS (Annex Magsaysay NHS)</v>
          </cell>
          <cell r="F5086">
            <v>1</v>
          </cell>
          <cell r="G5086">
            <v>1</v>
          </cell>
          <cell r="H5086">
            <v>1</v>
          </cell>
          <cell r="I5086">
            <v>0</v>
          </cell>
          <cell r="J5086">
            <v>1</v>
          </cell>
          <cell r="K5086">
            <v>0</v>
          </cell>
          <cell r="L5086">
            <v>0</v>
          </cell>
          <cell r="M5086">
            <v>0</v>
          </cell>
          <cell r="N5086">
            <v>1</v>
          </cell>
          <cell r="O5086">
            <v>43718</v>
          </cell>
          <cell r="P5086">
            <v>43718</v>
          </cell>
          <cell r="Q5086">
            <v>0</v>
          </cell>
          <cell r="R5086">
            <v>1</v>
          </cell>
          <cell r="S5086">
            <v>0</v>
          </cell>
          <cell r="T5086">
            <v>0</v>
          </cell>
          <cell r="U5086">
            <v>0</v>
          </cell>
          <cell r="V5086">
            <v>1</v>
          </cell>
          <cell r="W5086">
            <v>0</v>
          </cell>
          <cell r="X5086">
            <v>0</v>
          </cell>
          <cell r="Y5086">
            <v>0</v>
          </cell>
        </row>
        <row r="5087">
          <cell r="D5087">
            <v>304004</v>
          </cell>
          <cell r="E5087" t="str">
            <v>Lala NHS</v>
          </cell>
          <cell r="F5087">
            <v>1</v>
          </cell>
          <cell r="G5087">
            <v>1</v>
          </cell>
          <cell r="H5087">
            <v>1</v>
          </cell>
          <cell r="I5087">
            <v>0</v>
          </cell>
          <cell r="J5087">
            <v>0</v>
          </cell>
          <cell r="K5087">
            <v>1</v>
          </cell>
          <cell r="L5087">
            <v>0</v>
          </cell>
          <cell r="M5087">
            <v>0</v>
          </cell>
          <cell r="N5087">
            <v>1</v>
          </cell>
          <cell r="O5087">
            <v>43647</v>
          </cell>
          <cell r="P5087">
            <v>0</v>
          </cell>
          <cell r="Q5087">
            <v>0</v>
          </cell>
          <cell r="R5087">
            <v>1</v>
          </cell>
          <cell r="S5087">
            <v>0</v>
          </cell>
          <cell r="T5087">
            <v>0</v>
          </cell>
          <cell r="U5087">
            <v>0</v>
          </cell>
          <cell r="V5087">
            <v>1</v>
          </cell>
          <cell r="W5087">
            <v>0</v>
          </cell>
          <cell r="X5087">
            <v>0</v>
          </cell>
          <cell r="Y5087">
            <v>0</v>
          </cell>
        </row>
        <row r="5088">
          <cell r="D5088">
            <v>304065</v>
          </cell>
          <cell r="E5088" t="str">
            <v>Cogon NHS</v>
          </cell>
          <cell r="F5088">
            <v>1</v>
          </cell>
          <cell r="G5088">
            <v>0</v>
          </cell>
          <cell r="H5088">
            <v>0</v>
          </cell>
          <cell r="I5088">
            <v>0</v>
          </cell>
          <cell r="J5088">
            <v>1</v>
          </cell>
          <cell r="K5088">
            <v>0</v>
          </cell>
          <cell r="L5088">
            <v>0</v>
          </cell>
          <cell r="M5088">
            <v>0</v>
          </cell>
          <cell r="N5088">
            <v>1</v>
          </cell>
          <cell r="O5088">
            <v>0</v>
          </cell>
          <cell r="P5088">
            <v>43248</v>
          </cell>
          <cell r="Q5088">
            <v>0</v>
          </cell>
          <cell r="R5088">
            <v>1</v>
          </cell>
          <cell r="S5088">
            <v>0</v>
          </cell>
          <cell r="T5088">
            <v>0</v>
          </cell>
          <cell r="U5088">
            <v>0</v>
          </cell>
          <cell r="V5088">
            <v>1</v>
          </cell>
          <cell r="W5088">
            <v>0</v>
          </cell>
          <cell r="X5088">
            <v>0</v>
          </cell>
          <cell r="Y5088">
            <v>0</v>
          </cell>
        </row>
        <row r="5089">
          <cell r="D5089">
            <v>304017</v>
          </cell>
          <cell r="E5089" t="str">
            <v>Panoloon NHS</v>
          </cell>
          <cell r="F5089">
            <v>1</v>
          </cell>
          <cell r="G5089">
            <v>1</v>
          </cell>
          <cell r="H5089">
            <v>1</v>
          </cell>
          <cell r="I5089">
            <v>0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1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</row>
        <row r="5090">
          <cell r="D5090">
            <v>500688</v>
          </cell>
          <cell r="E5090" t="str">
            <v>Taguitic Integrated School</v>
          </cell>
          <cell r="F5090">
            <v>1</v>
          </cell>
          <cell r="G5090">
            <v>1</v>
          </cell>
          <cell r="H5090">
            <v>1</v>
          </cell>
          <cell r="I5090">
            <v>0</v>
          </cell>
          <cell r="J5090">
            <v>0</v>
          </cell>
          <cell r="K5090">
            <v>1</v>
          </cell>
          <cell r="L5090">
            <v>0</v>
          </cell>
          <cell r="M5090">
            <v>0</v>
          </cell>
          <cell r="N5090">
            <v>1</v>
          </cell>
          <cell r="O5090">
            <v>43620</v>
          </cell>
          <cell r="P5090">
            <v>0</v>
          </cell>
          <cell r="Q5090">
            <v>0</v>
          </cell>
          <cell r="R5090">
            <v>0</v>
          </cell>
          <cell r="S5090">
            <v>1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</row>
        <row r="5091">
          <cell r="D5091">
            <v>500705</v>
          </cell>
          <cell r="E5091" t="str">
            <v>Mt. Nebo Integrated School</v>
          </cell>
          <cell r="F5091">
            <v>1</v>
          </cell>
          <cell r="G5091">
            <v>1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 t="str">
            <v>NONE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</row>
        <row r="5092">
          <cell r="D5092">
            <v>341233</v>
          </cell>
          <cell r="E5092" t="str">
            <v>Kinoguitan Senior High School</v>
          </cell>
          <cell r="F5092">
            <v>1</v>
          </cell>
          <cell r="G5092">
            <v>0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</row>
        <row r="5093">
          <cell r="D5093">
            <v>341227</v>
          </cell>
          <cell r="E5093" t="str">
            <v>Balingasag Senior High School</v>
          </cell>
          <cell r="F5093">
            <v>1</v>
          </cell>
          <cell r="G5093">
            <v>0</v>
          </cell>
          <cell r="H5093">
            <v>1</v>
          </cell>
          <cell r="I5093">
            <v>0</v>
          </cell>
          <cell r="J5093">
            <v>1</v>
          </cell>
          <cell r="K5093">
            <v>0</v>
          </cell>
          <cell r="L5093">
            <v>0</v>
          </cell>
          <cell r="M5093">
            <v>0</v>
          </cell>
          <cell r="N5093">
            <v>1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5</v>
          </cell>
          <cell r="X5093">
            <v>3</v>
          </cell>
          <cell r="Y5093">
            <v>3</v>
          </cell>
        </row>
        <row r="5094">
          <cell r="D5094">
            <v>500249</v>
          </cell>
          <cell r="E5094" t="str">
            <v>Carusa Integrated School</v>
          </cell>
          <cell r="F5094">
            <v>1</v>
          </cell>
          <cell r="G5094">
            <v>1</v>
          </cell>
          <cell r="H5094">
            <v>1</v>
          </cell>
          <cell r="I5094">
            <v>0</v>
          </cell>
          <cell r="J5094">
            <v>0</v>
          </cell>
          <cell r="K5094">
            <v>0</v>
          </cell>
          <cell r="L5094">
            <v>1</v>
          </cell>
          <cell r="M5094" t="str">
            <v>REGULARLY</v>
          </cell>
          <cell r="N5094">
            <v>1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1</v>
          </cell>
          <cell r="U5094" t="str">
            <v>REGULARLY</v>
          </cell>
          <cell r="V5094">
            <v>1</v>
          </cell>
          <cell r="W5094">
            <v>0</v>
          </cell>
          <cell r="X5094">
            <v>0</v>
          </cell>
          <cell r="Y5094">
            <v>0</v>
          </cell>
        </row>
        <row r="5095">
          <cell r="D5095">
            <v>304003</v>
          </cell>
          <cell r="E5095" t="str">
            <v>Kapatagan NHS</v>
          </cell>
          <cell r="F5095">
            <v>1</v>
          </cell>
          <cell r="G5095">
            <v>1</v>
          </cell>
          <cell r="H5095">
            <v>1</v>
          </cell>
          <cell r="I5095">
            <v>0</v>
          </cell>
          <cell r="J5095">
            <v>0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 t="str">
            <v>JULY,2018</v>
          </cell>
          <cell r="P5095" t="str">
            <v>JUNE 7,2019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1</v>
          </cell>
          <cell r="W5095">
            <v>0</v>
          </cell>
          <cell r="X5095">
            <v>0</v>
          </cell>
          <cell r="Y5095">
            <v>0</v>
          </cell>
        </row>
        <row r="5096">
          <cell r="D5096">
            <v>304006</v>
          </cell>
          <cell r="E5096" t="str">
            <v>Placida Mequiabas Mem. NHS (Lapinig NHS)</v>
          </cell>
          <cell r="F5096">
            <v>1</v>
          </cell>
          <cell r="G5096">
            <v>1</v>
          </cell>
          <cell r="H5096">
            <v>1</v>
          </cell>
          <cell r="I5096">
            <v>0</v>
          </cell>
          <cell r="J5096">
            <v>1</v>
          </cell>
          <cell r="K5096">
            <v>0</v>
          </cell>
          <cell r="L5096">
            <v>0</v>
          </cell>
          <cell r="M5096">
            <v>0</v>
          </cell>
          <cell r="N5096">
            <v>1</v>
          </cell>
          <cell r="O5096">
            <v>43661</v>
          </cell>
          <cell r="P5096">
            <v>43636</v>
          </cell>
          <cell r="Q5096">
            <v>0</v>
          </cell>
          <cell r="R5096">
            <v>1</v>
          </cell>
          <cell r="S5096">
            <v>0</v>
          </cell>
          <cell r="T5096">
            <v>0</v>
          </cell>
          <cell r="U5096">
            <v>0</v>
          </cell>
          <cell r="V5096">
            <v>1</v>
          </cell>
          <cell r="W5096">
            <v>0</v>
          </cell>
          <cell r="X5096">
            <v>0</v>
          </cell>
          <cell r="Y5096">
            <v>0</v>
          </cell>
        </row>
        <row r="5097">
          <cell r="D5097">
            <v>314909</v>
          </cell>
          <cell r="E5097" t="str">
            <v>Guinuyoran National High School</v>
          </cell>
          <cell r="F5097">
            <v>1</v>
          </cell>
          <cell r="G5097">
            <v>1</v>
          </cell>
          <cell r="H5097">
            <v>1</v>
          </cell>
          <cell r="I5097">
            <v>0</v>
          </cell>
          <cell r="J5097">
            <v>1</v>
          </cell>
          <cell r="K5097">
            <v>0</v>
          </cell>
          <cell r="L5097">
            <v>0</v>
          </cell>
          <cell r="M5097">
            <v>0</v>
          </cell>
          <cell r="N5097">
            <v>1</v>
          </cell>
          <cell r="O5097" t="str">
            <v>JULY 21, 2019</v>
          </cell>
          <cell r="P5097" t="str">
            <v>JUNE 3, 2019</v>
          </cell>
          <cell r="Q5097">
            <v>1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1</v>
          </cell>
          <cell r="W5097">
            <v>0</v>
          </cell>
          <cell r="X5097">
            <v>0</v>
          </cell>
          <cell r="Y5097">
            <v>0</v>
          </cell>
        </row>
        <row r="5098">
          <cell r="D5098">
            <v>500698</v>
          </cell>
          <cell r="E5098" t="str">
            <v>Del Carmen Integrated School</v>
          </cell>
          <cell r="F5098">
            <v>1</v>
          </cell>
          <cell r="G5098">
            <v>0</v>
          </cell>
          <cell r="H5098">
            <v>1</v>
          </cell>
          <cell r="I5098">
            <v>0</v>
          </cell>
          <cell r="J5098">
            <v>1</v>
          </cell>
          <cell r="K5098">
            <v>0</v>
          </cell>
          <cell r="L5098">
            <v>0</v>
          </cell>
          <cell r="M5098">
            <v>0</v>
          </cell>
          <cell r="N5098">
            <v>1</v>
          </cell>
          <cell r="O5098">
            <v>0</v>
          </cell>
          <cell r="P5098">
            <v>0</v>
          </cell>
          <cell r="Q5098">
            <v>0</v>
          </cell>
          <cell r="R5098">
            <v>1</v>
          </cell>
          <cell r="S5098">
            <v>0</v>
          </cell>
          <cell r="T5098">
            <v>0</v>
          </cell>
          <cell r="U5098">
            <v>0</v>
          </cell>
          <cell r="V5098">
            <v>1</v>
          </cell>
          <cell r="W5098">
            <v>0</v>
          </cell>
          <cell r="X5098">
            <v>0</v>
          </cell>
          <cell r="Y5098">
            <v>0</v>
          </cell>
        </row>
        <row r="5099">
          <cell r="D5099">
            <v>303990</v>
          </cell>
          <cell r="E5099" t="str">
            <v>Camiguin NHS</v>
          </cell>
          <cell r="F5099">
            <v>1</v>
          </cell>
          <cell r="G5099">
            <v>1</v>
          </cell>
          <cell r="H5099">
            <v>1</v>
          </cell>
          <cell r="I5099">
            <v>1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N5099">
            <v>1</v>
          </cell>
          <cell r="O5099">
            <v>0</v>
          </cell>
          <cell r="P5099">
            <v>0</v>
          </cell>
          <cell r="Q5099">
            <v>1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1</v>
          </cell>
          <cell r="W5099">
            <v>0</v>
          </cell>
          <cell r="X5099">
            <v>0</v>
          </cell>
          <cell r="Y5099">
            <v>0</v>
          </cell>
        </row>
        <row r="5100">
          <cell r="D5100">
            <v>303953</v>
          </cell>
          <cell r="E5100" t="str">
            <v>Dangcagan NHS</v>
          </cell>
          <cell r="F5100">
            <v>1</v>
          </cell>
          <cell r="G5100">
            <v>0</v>
          </cell>
          <cell r="H5100">
            <v>1</v>
          </cell>
          <cell r="I5100">
            <v>0</v>
          </cell>
          <cell r="J5100">
            <v>1</v>
          </cell>
          <cell r="K5100">
            <v>0</v>
          </cell>
          <cell r="L5100">
            <v>0</v>
          </cell>
          <cell r="M5100">
            <v>0</v>
          </cell>
          <cell r="N5100">
            <v>1</v>
          </cell>
          <cell r="O5100" t="str">
            <v>FIRST QUARTER</v>
          </cell>
          <cell r="P5100">
            <v>0</v>
          </cell>
          <cell r="Q5100">
            <v>1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1</v>
          </cell>
          <cell r="W5100">
            <v>0</v>
          </cell>
          <cell r="X5100">
            <v>0</v>
          </cell>
          <cell r="Y5100">
            <v>0</v>
          </cell>
        </row>
        <row r="5101">
          <cell r="D5101">
            <v>314929</v>
          </cell>
          <cell r="E5101" t="str">
            <v>Macapari NHS</v>
          </cell>
          <cell r="F5101">
            <v>0</v>
          </cell>
          <cell r="G5101">
            <v>0</v>
          </cell>
          <cell r="H5101">
            <v>1</v>
          </cell>
          <cell r="I5101">
            <v>1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1</v>
          </cell>
          <cell r="O5101">
            <v>0</v>
          </cell>
          <cell r="P5101">
            <v>0</v>
          </cell>
          <cell r="Q5101">
            <v>1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1</v>
          </cell>
          <cell r="W5101">
            <v>0</v>
          </cell>
          <cell r="X5101">
            <v>0</v>
          </cell>
          <cell r="Y5101">
            <v>0</v>
          </cell>
        </row>
        <row r="5102">
          <cell r="D5102">
            <v>304155</v>
          </cell>
          <cell r="E5102" t="str">
            <v>Rogongon Agricultural High School</v>
          </cell>
          <cell r="F5102">
            <v>1</v>
          </cell>
          <cell r="G5102">
            <v>0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</row>
        <row r="5103">
          <cell r="D5103">
            <v>304091</v>
          </cell>
          <cell r="E5103" t="str">
            <v>Mis. Or. Gen. CHS</v>
          </cell>
          <cell r="F5103">
            <v>1</v>
          </cell>
          <cell r="G5103">
            <v>0</v>
          </cell>
          <cell r="H5103">
            <v>1</v>
          </cell>
          <cell r="I5103">
            <v>0</v>
          </cell>
          <cell r="J5103">
            <v>0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1</v>
          </cell>
          <cell r="U5103" t="str">
            <v>n/a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</row>
        <row r="5104">
          <cell r="D5104">
            <v>315302</v>
          </cell>
          <cell r="E5104" t="str">
            <v>Danao NHS</v>
          </cell>
          <cell r="F5104">
            <v>0</v>
          </cell>
          <cell r="G5104">
            <v>0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1</v>
          </cell>
          <cell r="M5104" t="str">
            <v>N/A</v>
          </cell>
          <cell r="N5104">
            <v>0</v>
          </cell>
          <cell r="O5104" t="str">
            <v>N/A</v>
          </cell>
          <cell r="P5104" t="str">
            <v>N/A</v>
          </cell>
          <cell r="Q5104">
            <v>0</v>
          </cell>
          <cell r="R5104">
            <v>0</v>
          </cell>
          <cell r="S5104">
            <v>0</v>
          </cell>
          <cell r="T5104">
            <v>1</v>
          </cell>
          <cell r="U5104" t="str">
            <v>N/A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</row>
        <row r="5105">
          <cell r="D5105">
            <v>304008</v>
          </cell>
          <cell r="E5105" t="str">
            <v>Linamon NHS</v>
          </cell>
          <cell r="F5105">
            <v>1</v>
          </cell>
          <cell r="G5105">
            <v>1</v>
          </cell>
          <cell r="H5105">
            <v>1</v>
          </cell>
          <cell r="I5105">
            <v>0</v>
          </cell>
          <cell r="J5105">
            <v>1</v>
          </cell>
          <cell r="K5105">
            <v>0</v>
          </cell>
          <cell r="L5105">
            <v>0</v>
          </cell>
          <cell r="M5105">
            <v>0</v>
          </cell>
          <cell r="N5105">
            <v>1</v>
          </cell>
          <cell r="O5105">
            <v>0</v>
          </cell>
          <cell r="P5105">
            <v>43694</v>
          </cell>
          <cell r="Q5105">
            <v>0</v>
          </cell>
          <cell r="R5105">
            <v>1</v>
          </cell>
          <cell r="S5105">
            <v>0</v>
          </cell>
          <cell r="T5105">
            <v>0</v>
          </cell>
          <cell r="U5105">
            <v>0</v>
          </cell>
          <cell r="V5105">
            <v>1</v>
          </cell>
          <cell r="W5105">
            <v>0</v>
          </cell>
          <cell r="X5105">
            <v>0</v>
          </cell>
          <cell r="Y5105">
            <v>0</v>
          </cell>
        </row>
        <row r="5106">
          <cell r="D5106">
            <v>303976</v>
          </cell>
          <cell r="E5106" t="str">
            <v>Old Damulog NHS</v>
          </cell>
          <cell r="F5106">
            <v>1</v>
          </cell>
          <cell r="G5106">
            <v>0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14</v>
          </cell>
          <cell r="X5106">
            <v>7</v>
          </cell>
          <cell r="Y5106">
            <v>0</v>
          </cell>
        </row>
        <row r="5107">
          <cell r="D5107">
            <v>303948</v>
          </cell>
          <cell r="E5107" t="str">
            <v>Bocboc NHS</v>
          </cell>
          <cell r="F5107">
            <v>1</v>
          </cell>
          <cell r="G5107">
            <v>1</v>
          </cell>
          <cell r="H5107">
            <v>1</v>
          </cell>
          <cell r="I5107">
            <v>0</v>
          </cell>
          <cell r="J5107">
            <v>1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 t="str">
            <v>N/A</v>
          </cell>
          <cell r="Q5107">
            <v>0</v>
          </cell>
          <cell r="R5107">
            <v>1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</row>
        <row r="5108">
          <cell r="D5108">
            <v>304087</v>
          </cell>
          <cell r="E5108" t="str">
            <v>Mat-i (Claveria) NHS</v>
          </cell>
          <cell r="F5108">
            <v>1</v>
          </cell>
          <cell r="G5108">
            <v>0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1</v>
          </cell>
          <cell r="M5108" t="str">
            <v>N/A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</row>
        <row r="5109">
          <cell r="D5109">
            <v>303970</v>
          </cell>
          <cell r="E5109" t="str">
            <v>Lurugan National High School</v>
          </cell>
          <cell r="F5109">
            <v>1</v>
          </cell>
          <cell r="G5109">
            <v>0</v>
          </cell>
          <cell r="H5109">
            <v>1</v>
          </cell>
          <cell r="I5109">
            <v>0</v>
          </cell>
          <cell r="J5109">
            <v>0</v>
          </cell>
          <cell r="K5109">
            <v>1</v>
          </cell>
          <cell r="L5109">
            <v>0</v>
          </cell>
          <cell r="M5109">
            <v>0</v>
          </cell>
          <cell r="N5109">
            <v>1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1</v>
          </cell>
          <cell r="T5109">
            <v>0</v>
          </cell>
          <cell r="U5109">
            <v>0</v>
          </cell>
          <cell r="V5109">
            <v>1</v>
          </cell>
          <cell r="W5109">
            <v>0</v>
          </cell>
          <cell r="X5109">
            <v>0</v>
          </cell>
          <cell r="Y5109">
            <v>0</v>
          </cell>
        </row>
        <row r="5110">
          <cell r="D5110">
            <v>304149</v>
          </cell>
          <cell r="E5110" t="str">
            <v>Iligan City East High School - Hinaplanon Annex</v>
          </cell>
          <cell r="F5110">
            <v>1</v>
          </cell>
          <cell r="G5110">
            <v>1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</row>
        <row r="5111">
          <cell r="D5111">
            <v>500702</v>
          </cell>
          <cell r="E5111" t="str">
            <v>Banlag IS</v>
          </cell>
          <cell r="F5111">
            <v>1</v>
          </cell>
          <cell r="G5111">
            <v>1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</row>
        <row r="5112">
          <cell r="D5112">
            <v>304111</v>
          </cell>
          <cell r="E5112" t="str">
            <v>CAGAYAN DE ORO NATIONAL HIGH SCHOOL</v>
          </cell>
          <cell r="F5112">
            <v>1</v>
          </cell>
          <cell r="G5112">
            <v>1</v>
          </cell>
          <cell r="H5112">
            <v>1</v>
          </cell>
          <cell r="I5112">
            <v>1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1</v>
          </cell>
          <cell r="S5112">
            <v>0</v>
          </cell>
          <cell r="T5112">
            <v>0</v>
          </cell>
          <cell r="U5112">
            <v>0</v>
          </cell>
          <cell r="V5112">
            <v>1</v>
          </cell>
          <cell r="W5112">
            <v>0</v>
          </cell>
          <cell r="X5112">
            <v>0</v>
          </cell>
          <cell r="Y5112">
            <v>0</v>
          </cell>
        </row>
        <row r="5113">
          <cell r="D5113">
            <v>314928</v>
          </cell>
          <cell r="E5113" t="str">
            <v>Dologon NHS (San Roque Annex)</v>
          </cell>
          <cell r="F5113">
            <v>1</v>
          </cell>
          <cell r="G5113">
            <v>1</v>
          </cell>
          <cell r="H5113">
            <v>1</v>
          </cell>
          <cell r="I5113">
            <v>0</v>
          </cell>
          <cell r="J5113">
            <v>1</v>
          </cell>
          <cell r="K5113">
            <v>0</v>
          </cell>
          <cell r="L5113">
            <v>0</v>
          </cell>
          <cell r="M5113">
            <v>0</v>
          </cell>
          <cell r="N5113">
            <v>1</v>
          </cell>
          <cell r="O5113">
            <v>0</v>
          </cell>
          <cell r="P5113">
            <v>43708</v>
          </cell>
          <cell r="Q5113">
            <v>0</v>
          </cell>
          <cell r="R5113">
            <v>1</v>
          </cell>
          <cell r="S5113">
            <v>0</v>
          </cell>
          <cell r="T5113">
            <v>0</v>
          </cell>
          <cell r="U5113">
            <v>0</v>
          </cell>
          <cell r="V5113">
            <v>1</v>
          </cell>
          <cell r="W5113">
            <v>2</v>
          </cell>
          <cell r="X5113">
            <v>0</v>
          </cell>
          <cell r="Y5113">
            <v>2</v>
          </cell>
        </row>
        <row r="5114">
          <cell r="D5114">
            <v>315603</v>
          </cell>
          <cell r="E5114" t="str">
            <v>Iligan City NHS - Tambacan HS Annex</v>
          </cell>
          <cell r="F5114">
            <v>1</v>
          </cell>
          <cell r="G5114">
            <v>1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1</v>
          </cell>
          <cell r="M5114" t="str">
            <v>NONE</v>
          </cell>
          <cell r="N5114">
            <v>0</v>
          </cell>
          <cell r="O5114" t="str">
            <v>NONE</v>
          </cell>
          <cell r="P5114" t="str">
            <v>NONE</v>
          </cell>
          <cell r="Q5114">
            <v>0</v>
          </cell>
          <cell r="R5114">
            <v>0</v>
          </cell>
          <cell r="S5114">
            <v>0</v>
          </cell>
          <cell r="T5114">
            <v>1</v>
          </cell>
          <cell r="U5114" t="str">
            <v>NONE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</row>
        <row r="5115">
          <cell r="D5115">
            <v>314915</v>
          </cell>
          <cell r="E5115" t="str">
            <v>Kalasungay NHS</v>
          </cell>
          <cell r="F5115">
            <v>1</v>
          </cell>
          <cell r="G5115">
            <v>1</v>
          </cell>
          <cell r="H5115">
            <v>1</v>
          </cell>
          <cell r="I5115">
            <v>1</v>
          </cell>
          <cell r="J5115">
            <v>0</v>
          </cell>
          <cell r="K5115">
            <v>0</v>
          </cell>
          <cell r="L5115">
            <v>0</v>
          </cell>
          <cell r="M5115">
            <v>0</v>
          </cell>
          <cell r="N5115">
            <v>1</v>
          </cell>
          <cell r="O5115" t="str">
            <v>09/27/2019</v>
          </cell>
          <cell r="P5115" t="str">
            <v>August 5, 2019</v>
          </cell>
          <cell r="Q5115">
            <v>1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1</v>
          </cell>
          <cell r="W5115">
            <v>1</v>
          </cell>
          <cell r="X5115">
            <v>0</v>
          </cell>
          <cell r="Y5115">
            <v>0</v>
          </cell>
        </row>
        <row r="5116">
          <cell r="D5116">
            <v>314904</v>
          </cell>
          <cell r="E5116" t="str">
            <v>Malaybalay City National Science HS</v>
          </cell>
          <cell r="F5116">
            <v>1</v>
          </cell>
          <cell r="G5116">
            <v>1</v>
          </cell>
          <cell r="H5116">
            <v>1</v>
          </cell>
          <cell r="I5116">
            <v>0</v>
          </cell>
          <cell r="J5116">
            <v>0</v>
          </cell>
          <cell r="K5116">
            <v>1</v>
          </cell>
          <cell r="L5116">
            <v>0</v>
          </cell>
          <cell r="M5116">
            <v>0</v>
          </cell>
          <cell r="N5116">
            <v>1</v>
          </cell>
          <cell r="O5116">
            <v>43719</v>
          </cell>
          <cell r="P5116">
            <v>0</v>
          </cell>
          <cell r="Q5116">
            <v>0</v>
          </cell>
          <cell r="R5116">
            <v>1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1</v>
          </cell>
          <cell r="X5116">
            <v>0</v>
          </cell>
          <cell r="Y5116">
            <v>0</v>
          </cell>
        </row>
        <row r="5117">
          <cell r="D5117">
            <v>304001</v>
          </cell>
          <cell r="E5117" t="str">
            <v>Diosdado Yap Sr. National High School</v>
          </cell>
          <cell r="F5117">
            <v>1</v>
          </cell>
          <cell r="G5117">
            <v>1</v>
          </cell>
          <cell r="H5117">
            <v>1</v>
          </cell>
          <cell r="I5117">
            <v>0</v>
          </cell>
          <cell r="J5117">
            <v>0</v>
          </cell>
          <cell r="K5117">
            <v>1</v>
          </cell>
          <cell r="L5117">
            <v>0</v>
          </cell>
          <cell r="M5117">
            <v>0</v>
          </cell>
          <cell r="N5117">
            <v>0</v>
          </cell>
          <cell r="O5117" t="str">
            <v>June 10, 2019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</row>
        <row r="5118">
          <cell r="D5118">
            <v>303982</v>
          </cell>
          <cell r="E5118" t="str">
            <v>San Martin Agro-Industrial NHS</v>
          </cell>
          <cell r="F5118">
            <v>1</v>
          </cell>
          <cell r="G5118">
            <v>1</v>
          </cell>
          <cell r="H5118">
            <v>1</v>
          </cell>
          <cell r="I5118">
            <v>0</v>
          </cell>
          <cell r="J5118">
            <v>1</v>
          </cell>
          <cell r="K5118">
            <v>0</v>
          </cell>
          <cell r="L5118">
            <v>0</v>
          </cell>
          <cell r="M5118">
            <v>0</v>
          </cell>
          <cell r="N5118">
            <v>1</v>
          </cell>
          <cell r="O5118">
            <v>0</v>
          </cell>
          <cell r="P5118">
            <v>43740</v>
          </cell>
          <cell r="Q5118">
            <v>1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1</v>
          </cell>
          <cell r="W5118">
            <v>2</v>
          </cell>
          <cell r="X5118">
            <v>2</v>
          </cell>
          <cell r="Y5118">
            <v>2</v>
          </cell>
        </row>
        <row r="5119">
          <cell r="D5119">
            <v>303985</v>
          </cell>
          <cell r="E5119" t="str">
            <v>Sinuda National High School</v>
          </cell>
          <cell r="F5119">
            <v>1</v>
          </cell>
          <cell r="G5119">
            <v>0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6</v>
          </cell>
          <cell r="X5119">
            <v>0</v>
          </cell>
          <cell r="Y5119">
            <v>3</v>
          </cell>
        </row>
        <row r="5120">
          <cell r="D5120">
            <v>303969</v>
          </cell>
          <cell r="E5120" t="str">
            <v>Kinawe National High School</v>
          </cell>
          <cell r="F5120">
            <v>1</v>
          </cell>
          <cell r="G5120">
            <v>1</v>
          </cell>
          <cell r="H5120">
            <v>1</v>
          </cell>
          <cell r="I5120">
            <v>0</v>
          </cell>
          <cell r="J5120">
            <v>0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</row>
        <row r="5121">
          <cell r="D5121">
            <v>304097</v>
          </cell>
          <cell r="E5121" t="str">
            <v>San Isidro NHS</v>
          </cell>
          <cell r="F5121">
            <v>1</v>
          </cell>
          <cell r="G5121">
            <v>1</v>
          </cell>
          <cell r="H5121">
            <v>1</v>
          </cell>
          <cell r="I5121">
            <v>1</v>
          </cell>
          <cell r="J5121">
            <v>0</v>
          </cell>
          <cell r="K5121">
            <v>0</v>
          </cell>
          <cell r="L5121">
            <v>0</v>
          </cell>
          <cell r="M5121">
            <v>0</v>
          </cell>
          <cell r="N5121">
            <v>1</v>
          </cell>
          <cell r="O5121">
            <v>43623</v>
          </cell>
          <cell r="P5121">
            <v>43710</v>
          </cell>
          <cell r="Q5121">
            <v>1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3</v>
          </cell>
          <cell r="X5121">
            <v>0</v>
          </cell>
          <cell r="Y5121">
            <v>0</v>
          </cell>
        </row>
        <row r="5122">
          <cell r="D5122">
            <v>314906</v>
          </cell>
          <cell r="E5122" t="str">
            <v>Lilingayon National High School</v>
          </cell>
          <cell r="F5122">
            <v>1</v>
          </cell>
          <cell r="G5122">
            <v>0</v>
          </cell>
          <cell r="H5122">
            <v>1</v>
          </cell>
          <cell r="I5122">
            <v>0</v>
          </cell>
          <cell r="J5122">
            <v>1</v>
          </cell>
          <cell r="K5122">
            <v>0</v>
          </cell>
          <cell r="L5122">
            <v>1</v>
          </cell>
          <cell r="M5122" t="str">
            <v>When problem arise.</v>
          </cell>
          <cell r="N5122">
            <v>1</v>
          </cell>
          <cell r="O5122" t="str">
            <v>07/25/2019</v>
          </cell>
          <cell r="P5122">
            <v>43383</v>
          </cell>
          <cell r="Q5122">
            <v>0</v>
          </cell>
          <cell r="R5122">
            <v>1</v>
          </cell>
          <cell r="S5122">
            <v>0</v>
          </cell>
          <cell r="T5122">
            <v>0</v>
          </cell>
          <cell r="U5122">
            <v>0</v>
          </cell>
          <cell r="V5122">
            <v>1</v>
          </cell>
          <cell r="W5122">
            <v>5</v>
          </cell>
          <cell r="X5122">
            <v>5</v>
          </cell>
          <cell r="Y5122">
            <v>5</v>
          </cell>
        </row>
        <row r="5123">
          <cell r="D5123">
            <v>303965</v>
          </cell>
          <cell r="E5123" t="str">
            <v>KUYA NATIONAL HIGH SCHOOL</v>
          </cell>
          <cell r="F5123">
            <v>1</v>
          </cell>
          <cell r="G5123">
            <v>1</v>
          </cell>
          <cell r="H5123">
            <v>1</v>
          </cell>
          <cell r="I5123">
            <v>0</v>
          </cell>
          <cell r="J5123">
            <v>1</v>
          </cell>
          <cell r="K5123">
            <v>0</v>
          </cell>
          <cell r="L5123">
            <v>0</v>
          </cell>
          <cell r="M5123">
            <v>0</v>
          </cell>
          <cell r="N5123">
            <v>1</v>
          </cell>
          <cell r="O5123">
            <v>43525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</row>
        <row r="5124">
          <cell r="D5124">
            <v>304089</v>
          </cell>
          <cell r="E5124" t="str">
            <v>Medina NCHS</v>
          </cell>
          <cell r="F5124">
            <v>1</v>
          </cell>
          <cell r="G5124">
            <v>1</v>
          </cell>
          <cell r="H5124">
            <v>1</v>
          </cell>
          <cell r="I5124">
            <v>0</v>
          </cell>
          <cell r="J5124">
            <v>1</v>
          </cell>
          <cell r="K5124">
            <v>0</v>
          </cell>
          <cell r="L5124">
            <v>0</v>
          </cell>
          <cell r="M5124">
            <v>0</v>
          </cell>
          <cell r="N5124">
            <v>1</v>
          </cell>
          <cell r="O5124" t="str">
            <v>June 5,2019</v>
          </cell>
          <cell r="P5124" t="str">
            <v>September 28,2019</v>
          </cell>
          <cell r="Q5124">
            <v>0</v>
          </cell>
          <cell r="R5124">
            <v>1</v>
          </cell>
          <cell r="S5124">
            <v>0</v>
          </cell>
          <cell r="T5124">
            <v>0</v>
          </cell>
          <cell r="U5124">
            <v>0</v>
          </cell>
          <cell r="V5124">
            <v>1</v>
          </cell>
          <cell r="W5124">
            <v>0</v>
          </cell>
          <cell r="X5124">
            <v>0</v>
          </cell>
          <cell r="Y5124">
            <v>0</v>
          </cell>
        </row>
        <row r="5125">
          <cell r="D5125">
            <v>304014</v>
          </cell>
          <cell r="E5125" t="str">
            <v>Munai NHS</v>
          </cell>
          <cell r="F5125">
            <v>1</v>
          </cell>
          <cell r="G5125">
            <v>0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</row>
        <row r="5126">
          <cell r="D5126">
            <v>314911</v>
          </cell>
          <cell r="E5126" t="str">
            <v>Bukidnon NSHI - San Miguel Annex</v>
          </cell>
          <cell r="F5126">
            <v>1</v>
          </cell>
          <cell r="G5126">
            <v>1</v>
          </cell>
          <cell r="H5126">
            <v>1</v>
          </cell>
          <cell r="I5126">
            <v>0</v>
          </cell>
          <cell r="J5126">
            <v>1</v>
          </cell>
          <cell r="K5126">
            <v>0</v>
          </cell>
          <cell r="L5126">
            <v>0</v>
          </cell>
          <cell r="M5126">
            <v>0</v>
          </cell>
          <cell r="N5126">
            <v>1</v>
          </cell>
          <cell r="O5126">
            <v>43663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</row>
        <row r="5127">
          <cell r="D5127">
            <v>323802</v>
          </cell>
          <cell r="E5127" t="str">
            <v>Catumbalon National High School</v>
          </cell>
          <cell r="F5127">
            <v>0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</row>
        <row r="5128">
          <cell r="D5128">
            <v>304051</v>
          </cell>
          <cell r="E5128" t="str">
            <v>Sapang Dalaga National High School</v>
          </cell>
          <cell r="F5128">
            <v>0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</row>
        <row r="5129">
          <cell r="D5129">
            <v>304013</v>
          </cell>
          <cell r="E5129" t="str">
            <v>Diego H. Patigayon NHS (Mukas NHS)</v>
          </cell>
          <cell r="F5129">
            <v>1</v>
          </cell>
          <cell r="G5129">
            <v>1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</row>
        <row r="5130">
          <cell r="D5130">
            <v>323801</v>
          </cell>
          <cell r="E5130" t="str">
            <v>Tongantongan National High School</v>
          </cell>
          <cell r="F5130">
            <v>0</v>
          </cell>
          <cell r="G5130">
            <v>0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</row>
        <row r="5131">
          <cell r="D5131">
            <v>304120</v>
          </cell>
          <cell r="E5131" t="str">
            <v>Macabalan National High School</v>
          </cell>
          <cell r="F5131">
            <v>1</v>
          </cell>
          <cell r="G5131">
            <v>0</v>
          </cell>
          <cell r="H5131">
            <v>1</v>
          </cell>
          <cell r="I5131">
            <v>1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2</v>
          </cell>
          <cell r="X5131">
            <v>2</v>
          </cell>
          <cell r="Y5131">
            <v>2</v>
          </cell>
        </row>
        <row r="5132">
          <cell r="D5132">
            <v>303946</v>
          </cell>
          <cell r="E5132" t="str">
            <v>Bangcud National High School</v>
          </cell>
          <cell r="F5132">
            <v>1</v>
          </cell>
          <cell r="G5132">
            <v>0</v>
          </cell>
          <cell r="H5132">
            <v>1</v>
          </cell>
          <cell r="I5132">
            <v>0</v>
          </cell>
          <cell r="J5132">
            <v>1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1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</row>
        <row r="5133">
          <cell r="D5133">
            <v>304079</v>
          </cell>
          <cell r="E5133" t="str">
            <v>Libertad NHS</v>
          </cell>
          <cell r="F5133">
            <v>1</v>
          </cell>
          <cell r="G5133">
            <v>0</v>
          </cell>
          <cell r="H5133">
            <v>0</v>
          </cell>
          <cell r="I5133">
            <v>1</v>
          </cell>
          <cell r="J5133">
            <v>0</v>
          </cell>
          <cell r="K5133">
            <v>0</v>
          </cell>
          <cell r="L5133">
            <v>0</v>
          </cell>
          <cell r="M5133">
            <v>0</v>
          </cell>
          <cell r="N5133">
            <v>1</v>
          </cell>
          <cell r="O5133">
            <v>0</v>
          </cell>
          <cell r="P5133" t="str">
            <v>09/28/2019</v>
          </cell>
          <cell r="Q5133">
            <v>1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1</v>
          </cell>
          <cell r="W5133">
            <v>5</v>
          </cell>
          <cell r="X5133">
            <v>0</v>
          </cell>
          <cell r="Y5133">
            <v>0</v>
          </cell>
        </row>
        <row r="5134">
          <cell r="D5134">
            <v>314920</v>
          </cell>
          <cell r="E5134" t="str">
            <v>Managok NHS - Miglamin Annex</v>
          </cell>
          <cell r="F5134">
            <v>0</v>
          </cell>
          <cell r="G5134">
            <v>0</v>
          </cell>
          <cell r="H5134">
            <v>0</v>
          </cell>
          <cell r="I5134">
            <v>0</v>
          </cell>
          <cell r="J5134">
            <v>1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 t="str">
            <v>06/21/2019</v>
          </cell>
          <cell r="P5134" t="str">
            <v>10/18/2019</v>
          </cell>
          <cell r="Q5134">
            <v>0</v>
          </cell>
          <cell r="R5134">
            <v>1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</row>
        <row r="5135">
          <cell r="D5135">
            <v>315404</v>
          </cell>
          <cell r="E5135" t="str">
            <v>Camaman-an National High School</v>
          </cell>
          <cell r="F5135">
            <v>0</v>
          </cell>
          <cell r="G5135">
            <v>0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1</v>
          </cell>
          <cell r="M5135" t="str">
            <v>n/a</v>
          </cell>
          <cell r="N5135">
            <v>0</v>
          </cell>
          <cell r="O5135" t="str">
            <v>n/a</v>
          </cell>
          <cell r="P5135" t="str">
            <v>n/a</v>
          </cell>
          <cell r="Q5135">
            <v>0</v>
          </cell>
          <cell r="R5135">
            <v>0</v>
          </cell>
          <cell r="S5135">
            <v>0</v>
          </cell>
          <cell r="T5135">
            <v>1</v>
          </cell>
          <cell r="U5135" t="str">
            <v>n/a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</row>
        <row r="5136">
          <cell r="D5136">
            <v>500245</v>
          </cell>
          <cell r="E5136" t="str">
            <v>Can-ayan IS</v>
          </cell>
          <cell r="F5136">
            <v>1</v>
          </cell>
          <cell r="G5136">
            <v>0</v>
          </cell>
          <cell r="H5136">
            <v>1</v>
          </cell>
          <cell r="I5136">
            <v>0</v>
          </cell>
          <cell r="J5136">
            <v>1</v>
          </cell>
          <cell r="K5136">
            <v>0</v>
          </cell>
          <cell r="L5136">
            <v>0</v>
          </cell>
          <cell r="M5136">
            <v>0</v>
          </cell>
          <cell r="N5136">
            <v>1</v>
          </cell>
          <cell r="O5136">
            <v>43633</v>
          </cell>
          <cell r="P5136">
            <v>43745</v>
          </cell>
          <cell r="Q5136">
            <v>1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1</v>
          </cell>
          <cell r="W5136">
            <v>5</v>
          </cell>
          <cell r="X5136">
            <v>2</v>
          </cell>
          <cell r="Y5136">
            <v>2</v>
          </cell>
        </row>
        <row r="5137">
          <cell r="D5137">
            <v>304009</v>
          </cell>
          <cell r="E5137" t="str">
            <v>Magsaysay NHS</v>
          </cell>
          <cell r="F5137">
            <v>1</v>
          </cell>
          <cell r="G5137">
            <v>1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N5137">
            <v>1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1</v>
          </cell>
          <cell r="W5137">
            <v>0</v>
          </cell>
          <cell r="X5137">
            <v>0</v>
          </cell>
          <cell r="Y5137">
            <v>0</v>
          </cell>
        </row>
        <row r="5138">
          <cell r="D5138">
            <v>304038</v>
          </cell>
          <cell r="E5138" t="str">
            <v>Katipunan NHS</v>
          </cell>
          <cell r="F5138">
            <v>1</v>
          </cell>
          <cell r="G5138">
            <v>1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</row>
        <row r="5139">
          <cell r="D5139">
            <v>323803</v>
          </cell>
          <cell r="E5139" t="str">
            <v>Concepcion National High School</v>
          </cell>
          <cell r="F5139">
            <v>1</v>
          </cell>
          <cell r="G5139">
            <v>1</v>
          </cell>
          <cell r="H5139">
            <v>1</v>
          </cell>
          <cell r="I5139">
            <v>0</v>
          </cell>
          <cell r="J5139">
            <v>0</v>
          </cell>
          <cell r="K5139">
            <v>1</v>
          </cell>
          <cell r="L5139">
            <v>0</v>
          </cell>
          <cell r="M5139">
            <v>0</v>
          </cell>
          <cell r="N5139">
            <v>1</v>
          </cell>
          <cell r="O5139">
            <v>0</v>
          </cell>
          <cell r="P5139" t="str">
            <v>N/A</v>
          </cell>
          <cell r="Q5139">
            <v>0</v>
          </cell>
          <cell r="R5139">
            <v>1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</row>
        <row r="5140">
          <cell r="D5140">
            <v>304106</v>
          </cell>
          <cell r="E5140" t="str">
            <v>Bayabas National High School</v>
          </cell>
          <cell r="F5140">
            <v>1</v>
          </cell>
          <cell r="G5140">
            <v>1</v>
          </cell>
          <cell r="H5140">
            <v>1</v>
          </cell>
          <cell r="I5140">
            <v>0</v>
          </cell>
          <cell r="J5140">
            <v>0</v>
          </cell>
          <cell r="K5140">
            <v>0</v>
          </cell>
          <cell r="L5140">
            <v>1</v>
          </cell>
          <cell r="M5140" t="str">
            <v>AS NEEDED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1</v>
          </cell>
          <cell r="U5140" t="str">
            <v>AS CALLED FOR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</row>
        <row r="5141">
          <cell r="D5141">
            <v>304129</v>
          </cell>
          <cell r="E5141" t="str">
            <v>Bal-ason NHS</v>
          </cell>
          <cell r="F5141">
            <v>1</v>
          </cell>
          <cell r="G5141">
            <v>0</v>
          </cell>
          <cell r="H5141">
            <v>1</v>
          </cell>
          <cell r="I5141">
            <v>0</v>
          </cell>
          <cell r="J5141">
            <v>1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 t="str">
            <v>2 0 1 8</v>
          </cell>
          <cell r="P5141" t="str">
            <v>2 0 1 8</v>
          </cell>
          <cell r="Q5141">
            <v>0</v>
          </cell>
          <cell r="R5141">
            <v>0</v>
          </cell>
          <cell r="S5141">
            <v>1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</row>
        <row r="5142">
          <cell r="D5142">
            <v>303974</v>
          </cell>
          <cell r="E5142" t="str">
            <v>Manolo Fortich NHS</v>
          </cell>
          <cell r="F5142">
            <v>0</v>
          </cell>
          <cell r="G5142">
            <v>0</v>
          </cell>
          <cell r="H5142">
            <v>1</v>
          </cell>
          <cell r="I5142">
            <v>0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</row>
        <row r="5143">
          <cell r="D5143">
            <v>304113</v>
          </cell>
          <cell r="E5143" t="str">
            <v>Angeles Sisters National High School</v>
          </cell>
          <cell r="F5143">
            <v>0</v>
          </cell>
          <cell r="G5143">
            <v>0</v>
          </cell>
          <cell r="H5143">
            <v>0</v>
          </cell>
          <cell r="I5143">
            <v>0</v>
          </cell>
          <cell r="J5143">
            <v>1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43672</v>
          </cell>
          <cell r="P5143">
            <v>0</v>
          </cell>
          <cell r="Q5143">
            <v>0</v>
          </cell>
          <cell r="R5143">
            <v>1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</row>
        <row r="5144">
          <cell r="D5144">
            <v>325505</v>
          </cell>
          <cell r="E5144" t="str">
            <v>Apo Macote NHS</v>
          </cell>
          <cell r="F5144">
            <v>1</v>
          </cell>
          <cell r="G5144">
            <v>0</v>
          </cell>
          <cell r="H5144">
            <v>1</v>
          </cell>
          <cell r="I5144">
            <v>0</v>
          </cell>
          <cell r="J5144">
            <v>1</v>
          </cell>
          <cell r="K5144">
            <v>0</v>
          </cell>
          <cell r="L5144">
            <v>0</v>
          </cell>
          <cell r="M5144">
            <v>0</v>
          </cell>
          <cell r="N5144">
            <v>1</v>
          </cell>
          <cell r="O5144">
            <v>43768</v>
          </cell>
          <cell r="P5144">
            <v>43767</v>
          </cell>
          <cell r="Q5144">
            <v>0</v>
          </cell>
          <cell r="R5144">
            <v>1</v>
          </cell>
          <cell r="S5144">
            <v>0</v>
          </cell>
          <cell r="T5144">
            <v>0</v>
          </cell>
          <cell r="U5144">
            <v>0</v>
          </cell>
          <cell r="V5144">
            <v>1</v>
          </cell>
          <cell r="W5144">
            <v>0</v>
          </cell>
          <cell r="X5144">
            <v>0</v>
          </cell>
          <cell r="Y5144">
            <v>0</v>
          </cell>
        </row>
        <row r="5145">
          <cell r="D5145">
            <v>304119</v>
          </cell>
          <cell r="E5145" t="str">
            <v>Lumbia National High School</v>
          </cell>
          <cell r="F5145">
            <v>1</v>
          </cell>
          <cell r="G5145">
            <v>1</v>
          </cell>
          <cell r="H5145">
            <v>1</v>
          </cell>
          <cell r="I5145">
            <v>0</v>
          </cell>
          <cell r="J5145">
            <v>1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 t="str">
            <v>07-30-2019</v>
          </cell>
          <cell r="P5145">
            <v>43344</v>
          </cell>
          <cell r="Q5145">
            <v>0</v>
          </cell>
          <cell r="R5145">
            <v>1</v>
          </cell>
          <cell r="S5145">
            <v>0</v>
          </cell>
          <cell r="T5145">
            <v>0</v>
          </cell>
          <cell r="U5145">
            <v>0</v>
          </cell>
          <cell r="V5145">
            <v>1</v>
          </cell>
          <cell r="W5145">
            <v>0</v>
          </cell>
          <cell r="X5145">
            <v>0</v>
          </cell>
          <cell r="Y5145">
            <v>0</v>
          </cell>
        </row>
        <row r="5146">
          <cell r="D5146">
            <v>304118</v>
          </cell>
          <cell r="E5146" t="str">
            <v>Lapasan National High School</v>
          </cell>
          <cell r="F5146">
            <v>0</v>
          </cell>
          <cell r="G5146">
            <v>0</v>
          </cell>
          <cell r="H5146">
            <v>1</v>
          </cell>
          <cell r="I5146">
            <v>0</v>
          </cell>
          <cell r="J5146">
            <v>1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</row>
        <row r="5147">
          <cell r="D5147">
            <v>304154</v>
          </cell>
          <cell r="E5147" t="str">
            <v>Esperidion F. Encabo I MHS (Pugaan NHS)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</row>
        <row r="5148">
          <cell r="D5148">
            <v>315504</v>
          </cell>
          <cell r="E5148" t="str">
            <v>Gingoog City CNHS - PUNDASAN NHS Annex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</row>
        <row r="5149">
          <cell r="D5149">
            <v>304147</v>
          </cell>
          <cell r="E5149" t="str">
            <v>KIWALAN NATIONAL HIGH SCHOOL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</row>
        <row r="5150">
          <cell r="D5150">
            <v>304127</v>
          </cell>
          <cell r="E5150" t="str">
            <v>Tagpangi National High School</v>
          </cell>
          <cell r="F5150">
            <v>1</v>
          </cell>
          <cell r="G5150">
            <v>1</v>
          </cell>
          <cell r="H5150">
            <v>1</v>
          </cell>
          <cell r="I5150">
            <v>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1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5</v>
          </cell>
          <cell r="X5150">
            <v>0</v>
          </cell>
          <cell r="Y5150">
            <v>0</v>
          </cell>
        </row>
        <row r="5151">
          <cell r="D5151">
            <v>304107</v>
          </cell>
          <cell r="E5151" t="str">
            <v>Bugo National High School</v>
          </cell>
          <cell r="F5151">
            <v>0</v>
          </cell>
          <cell r="G5151">
            <v>0</v>
          </cell>
          <cell r="H5151">
            <v>1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1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</row>
        <row r="5152">
          <cell r="D5152">
            <v>315406</v>
          </cell>
          <cell r="E5152" t="str">
            <v>Taglimao NHS-Tumpagon Annex</v>
          </cell>
          <cell r="F5152">
            <v>1</v>
          </cell>
          <cell r="G5152">
            <v>1</v>
          </cell>
          <cell r="H5152">
            <v>1</v>
          </cell>
          <cell r="I5152">
            <v>0</v>
          </cell>
          <cell r="J5152">
            <v>1</v>
          </cell>
          <cell r="K5152">
            <v>0</v>
          </cell>
          <cell r="L5152">
            <v>0</v>
          </cell>
          <cell r="M5152">
            <v>0</v>
          </cell>
          <cell r="N5152">
            <v>1</v>
          </cell>
          <cell r="O5152" t="str">
            <v>JUNE 10, 2019</v>
          </cell>
          <cell r="P5152">
            <v>0</v>
          </cell>
          <cell r="Q5152">
            <v>0</v>
          </cell>
          <cell r="R5152">
            <v>1</v>
          </cell>
          <cell r="S5152">
            <v>0</v>
          </cell>
          <cell r="T5152">
            <v>0</v>
          </cell>
          <cell r="U5152">
            <v>0</v>
          </cell>
          <cell r="V5152">
            <v>1</v>
          </cell>
          <cell r="W5152">
            <v>0</v>
          </cell>
          <cell r="X5152">
            <v>0</v>
          </cell>
          <cell r="Y5152">
            <v>0</v>
          </cell>
        </row>
        <row r="5153">
          <cell r="D5153">
            <v>304159</v>
          </cell>
          <cell r="E5153" t="str">
            <v>Tubaran NHS</v>
          </cell>
          <cell r="F5153">
            <v>1</v>
          </cell>
          <cell r="G5153">
            <v>1</v>
          </cell>
          <cell r="H5153">
            <v>1</v>
          </cell>
          <cell r="I5153">
            <v>0</v>
          </cell>
          <cell r="J5153">
            <v>0</v>
          </cell>
          <cell r="K5153">
            <v>1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</row>
        <row r="5154">
          <cell r="D5154">
            <v>303989</v>
          </cell>
          <cell r="E5154" t="str">
            <v>Bonbon NHS</v>
          </cell>
          <cell r="F5154">
            <v>1</v>
          </cell>
          <cell r="G5154">
            <v>0</v>
          </cell>
          <cell r="H5154">
            <v>1</v>
          </cell>
          <cell r="I5154">
            <v>0</v>
          </cell>
          <cell r="J5154">
            <v>1</v>
          </cell>
          <cell r="K5154">
            <v>0</v>
          </cell>
          <cell r="L5154">
            <v>0</v>
          </cell>
          <cell r="M5154">
            <v>0</v>
          </cell>
          <cell r="N5154">
            <v>1</v>
          </cell>
          <cell r="O5154">
            <v>43544</v>
          </cell>
          <cell r="P5154">
            <v>0</v>
          </cell>
          <cell r="Q5154">
            <v>0</v>
          </cell>
          <cell r="R5154">
            <v>1</v>
          </cell>
          <cell r="S5154">
            <v>0</v>
          </cell>
          <cell r="T5154">
            <v>0</v>
          </cell>
          <cell r="U5154">
            <v>0</v>
          </cell>
          <cell r="V5154">
            <v>1</v>
          </cell>
          <cell r="W5154">
            <v>0</v>
          </cell>
          <cell r="X5154">
            <v>0</v>
          </cell>
          <cell r="Y5154">
            <v>0</v>
          </cell>
        </row>
        <row r="5155">
          <cell r="D5155">
            <v>304124</v>
          </cell>
          <cell r="E5155" t="str">
            <v>Puntod National High School</v>
          </cell>
          <cell r="F5155">
            <v>1</v>
          </cell>
          <cell r="G5155">
            <v>1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</row>
        <row r="5156">
          <cell r="D5156">
            <v>304122</v>
          </cell>
          <cell r="E5156" t="str">
            <v>Mambuaya NHS-Bayanga Annex</v>
          </cell>
          <cell r="F5156">
            <v>1</v>
          </cell>
          <cell r="G5156">
            <v>0</v>
          </cell>
          <cell r="H5156">
            <v>1</v>
          </cell>
          <cell r="I5156">
            <v>0</v>
          </cell>
          <cell r="J5156">
            <v>0</v>
          </cell>
          <cell r="K5156">
            <v>0</v>
          </cell>
          <cell r="L5156">
            <v>1</v>
          </cell>
          <cell r="M5156" t="str">
            <v>as need arises</v>
          </cell>
          <cell r="N5156">
            <v>0</v>
          </cell>
          <cell r="O5156">
            <v>0</v>
          </cell>
          <cell r="P5156" t="str">
            <v>none</v>
          </cell>
          <cell r="Q5156">
            <v>0</v>
          </cell>
          <cell r="R5156">
            <v>0</v>
          </cell>
          <cell r="S5156">
            <v>0</v>
          </cell>
          <cell r="T5156">
            <v>1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</row>
        <row r="5157">
          <cell r="D5157">
            <v>304114</v>
          </cell>
          <cell r="E5157" t="str">
            <v>Gusa Regional Science High School-X</v>
          </cell>
          <cell r="F5157">
            <v>1</v>
          </cell>
          <cell r="G5157">
            <v>1</v>
          </cell>
          <cell r="H5157">
            <v>1</v>
          </cell>
          <cell r="I5157">
            <v>1</v>
          </cell>
          <cell r="J5157">
            <v>0</v>
          </cell>
          <cell r="K5157">
            <v>0</v>
          </cell>
          <cell r="L5157">
            <v>0</v>
          </cell>
          <cell r="M5157">
            <v>0</v>
          </cell>
          <cell r="N5157">
            <v>1</v>
          </cell>
          <cell r="O5157">
            <v>0</v>
          </cell>
          <cell r="P5157">
            <v>0</v>
          </cell>
          <cell r="Q5157">
            <v>1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1</v>
          </cell>
          <cell r="W5157">
            <v>0</v>
          </cell>
          <cell r="X5157">
            <v>0</v>
          </cell>
          <cell r="Y5157">
            <v>0</v>
          </cell>
        </row>
        <row r="5158">
          <cell r="D5158">
            <v>315204</v>
          </cell>
          <cell r="E5158" t="str">
            <v>Ignacio Tan MIS</v>
          </cell>
          <cell r="F5158">
            <v>1</v>
          </cell>
          <cell r="G5158">
            <v>0</v>
          </cell>
          <cell r="H5158">
            <v>1</v>
          </cell>
          <cell r="I5158">
            <v>0</v>
          </cell>
          <cell r="J5158">
            <v>1</v>
          </cell>
          <cell r="K5158">
            <v>0</v>
          </cell>
          <cell r="L5158">
            <v>0</v>
          </cell>
          <cell r="M5158">
            <v>0</v>
          </cell>
          <cell r="N5158">
            <v>1</v>
          </cell>
          <cell r="O5158" t="str">
            <v>OCT. 28, 2019</v>
          </cell>
          <cell r="P5158" t="str">
            <v>OCT. 28, 2019</v>
          </cell>
          <cell r="Q5158">
            <v>0</v>
          </cell>
          <cell r="R5158">
            <v>1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3</v>
          </cell>
          <cell r="X5158">
            <v>0</v>
          </cell>
          <cell r="Y5158">
            <v>0</v>
          </cell>
        </row>
        <row r="5159">
          <cell r="D5159">
            <v>315401</v>
          </cell>
          <cell r="E5159" t="str">
            <v>Balubal National High School</v>
          </cell>
          <cell r="F5159">
            <v>0</v>
          </cell>
          <cell r="G5159">
            <v>0</v>
          </cell>
          <cell r="H5159">
            <v>1</v>
          </cell>
          <cell r="I5159">
            <v>1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1</v>
          </cell>
          <cell r="O5159" t="str">
            <v>JUNE 7, 2019</v>
          </cell>
          <cell r="P5159" t="str">
            <v>NONE</v>
          </cell>
          <cell r="Q5159">
            <v>1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3</v>
          </cell>
          <cell r="X5159">
            <v>0</v>
          </cell>
          <cell r="Y5159">
            <v>0</v>
          </cell>
        </row>
        <row r="5160">
          <cell r="D5160">
            <v>315411</v>
          </cell>
          <cell r="E5160" t="str">
            <v>Kauswagan National High School</v>
          </cell>
          <cell r="F5160">
            <v>1</v>
          </cell>
          <cell r="G5160">
            <v>1</v>
          </cell>
          <cell r="H5160">
            <v>1</v>
          </cell>
          <cell r="I5160">
            <v>0</v>
          </cell>
          <cell r="J5160">
            <v>0</v>
          </cell>
          <cell r="K5160">
            <v>1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</row>
        <row r="5161">
          <cell r="D5161">
            <v>500683</v>
          </cell>
          <cell r="E5161" t="str">
            <v>Alangilan Integrated School</v>
          </cell>
          <cell r="F5161">
            <v>1</v>
          </cell>
          <cell r="G5161">
            <v>1</v>
          </cell>
          <cell r="H5161">
            <v>1</v>
          </cell>
          <cell r="I5161">
            <v>0</v>
          </cell>
          <cell r="J5161">
            <v>1</v>
          </cell>
          <cell r="K5161">
            <v>0</v>
          </cell>
          <cell r="L5161">
            <v>0</v>
          </cell>
          <cell r="M5161">
            <v>0</v>
          </cell>
          <cell r="N5161">
            <v>1</v>
          </cell>
          <cell r="O5161" t="str">
            <v>August 17, 2018</v>
          </cell>
          <cell r="P5161" t="str">
            <v>No violators found</v>
          </cell>
          <cell r="Q5161">
            <v>0</v>
          </cell>
          <cell r="R5161">
            <v>1</v>
          </cell>
          <cell r="S5161">
            <v>0</v>
          </cell>
          <cell r="T5161">
            <v>0</v>
          </cell>
          <cell r="U5161">
            <v>0</v>
          </cell>
          <cell r="V5161">
            <v>1</v>
          </cell>
          <cell r="W5161">
            <v>0</v>
          </cell>
          <cell r="X5161">
            <v>0</v>
          </cell>
          <cell r="Y5161">
            <v>0</v>
          </cell>
        </row>
        <row r="5162">
          <cell r="D5162">
            <v>325503</v>
          </cell>
          <cell r="E5162" t="str">
            <v>Bukidnon NHS - Annex Imbayao</v>
          </cell>
          <cell r="F5162">
            <v>0</v>
          </cell>
          <cell r="G5162">
            <v>0</v>
          </cell>
          <cell r="H5162">
            <v>1</v>
          </cell>
          <cell r="I5162">
            <v>0</v>
          </cell>
          <cell r="J5162">
            <v>1</v>
          </cell>
          <cell r="K5162">
            <v>0</v>
          </cell>
          <cell r="L5162">
            <v>0</v>
          </cell>
          <cell r="M5162">
            <v>0</v>
          </cell>
          <cell r="N5162">
            <v>1</v>
          </cell>
          <cell r="O5162">
            <v>0</v>
          </cell>
          <cell r="P5162">
            <v>0</v>
          </cell>
          <cell r="Q5162">
            <v>0</v>
          </cell>
          <cell r="R5162">
            <v>1</v>
          </cell>
          <cell r="S5162">
            <v>0</v>
          </cell>
          <cell r="T5162">
            <v>0</v>
          </cell>
          <cell r="U5162">
            <v>0</v>
          </cell>
          <cell r="V5162">
            <v>1</v>
          </cell>
          <cell r="W5162">
            <v>0</v>
          </cell>
          <cell r="X5162">
            <v>0</v>
          </cell>
          <cell r="Y5162">
            <v>0</v>
          </cell>
        </row>
        <row r="5163">
          <cell r="D5163">
            <v>304133</v>
          </cell>
          <cell r="E5163" t="str">
            <v>Malibud National High School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</row>
        <row r="5164">
          <cell r="D5164">
            <v>304157</v>
          </cell>
          <cell r="E5164" t="str">
            <v>Tomas Cabili National High School</v>
          </cell>
          <cell r="F5164">
            <v>1</v>
          </cell>
          <cell r="G5164">
            <v>0</v>
          </cell>
          <cell r="H5164">
            <v>0</v>
          </cell>
          <cell r="I5164">
            <v>1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1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</row>
        <row r="5165">
          <cell r="D5165">
            <v>315412</v>
          </cell>
          <cell r="E5165" t="str">
            <v>Bonbon National High School</v>
          </cell>
          <cell r="F5165">
            <v>1</v>
          </cell>
          <cell r="G5165">
            <v>1</v>
          </cell>
          <cell r="H5165">
            <v>1</v>
          </cell>
          <cell r="I5165">
            <v>0</v>
          </cell>
          <cell r="J5165">
            <v>1</v>
          </cell>
          <cell r="K5165">
            <v>0</v>
          </cell>
          <cell r="L5165">
            <v>0</v>
          </cell>
          <cell r="M5165">
            <v>0</v>
          </cell>
          <cell r="N5165">
            <v>1</v>
          </cell>
          <cell r="O5165">
            <v>0</v>
          </cell>
          <cell r="P5165">
            <v>0</v>
          </cell>
          <cell r="Q5165">
            <v>1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1</v>
          </cell>
          <cell r="W5165">
            <v>2</v>
          </cell>
          <cell r="X5165">
            <v>2</v>
          </cell>
          <cell r="Y5165">
            <v>0</v>
          </cell>
        </row>
        <row r="5166">
          <cell r="D5166">
            <v>304108</v>
          </cell>
          <cell r="E5166" t="str">
            <v>Bulua National High School</v>
          </cell>
          <cell r="F5166">
            <v>1</v>
          </cell>
          <cell r="G5166">
            <v>1</v>
          </cell>
          <cell r="H5166">
            <v>1</v>
          </cell>
          <cell r="I5166">
            <v>0</v>
          </cell>
          <cell r="J5166">
            <v>1</v>
          </cell>
          <cell r="K5166">
            <v>0</v>
          </cell>
          <cell r="L5166">
            <v>0</v>
          </cell>
          <cell r="M5166">
            <v>0</v>
          </cell>
          <cell r="N5166">
            <v>1</v>
          </cell>
          <cell r="O5166">
            <v>43661</v>
          </cell>
          <cell r="P5166">
            <v>43623</v>
          </cell>
          <cell r="Q5166">
            <v>0</v>
          </cell>
          <cell r="R5166">
            <v>1</v>
          </cell>
          <cell r="S5166">
            <v>0</v>
          </cell>
          <cell r="T5166">
            <v>0</v>
          </cell>
          <cell r="U5166">
            <v>0</v>
          </cell>
          <cell r="V5166">
            <v>1</v>
          </cell>
          <cell r="W5166">
            <v>1</v>
          </cell>
          <cell r="X5166">
            <v>1</v>
          </cell>
          <cell r="Y5166">
            <v>1</v>
          </cell>
        </row>
        <row r="5167">
          <cell r="D5167">
            <v>304116</v>
          </cell>
          <cell r="E5167" t="str">
            <v>Indahag National High School</v>
          </cell>
          <cell r="F5167">
            <v>1</v>
          </cell>
          <cell r="G5167">
            <v>1</v>
          </cell>
          <cell r="H5167">
            <v>1</v>
          </cell>
          <cell r="I5167">
            <v>0</v>
          </cell>
          <cell r="J5167">
            <v>1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43641</v>
          </cell>
          <cell r="P5167">
            <v>43641</v>
          </cell>
          <cell r="Q5167">
            <v>0</v>
          </cell>
          <cell r="R5167">
            <v>1</v>
          </cell>
          <cell r="S5167">
            <v>0</v>
          </cell>
          <cell r="T5167">
            <v>0</v>
          </cell>
          <cell r="U5167">
            <v>0</v>
          </cell>
          <cell r="V5167">
            <v>1</v>
          </cell>
          <cell r="W5167">
            <v>4</v>
          </cell>
          <cell r="X5167">
            <v>4</v>
          </cell>
          <cell r="Y5167">
            <v>0</v>
          </cell>
        </row>
        <row r="5168">
          <cell r="D5168">
            <v>304112</v>
          </cell>
          <cell r="E5168" t="str">
            <v>Carmen National High School</v>
          </cell>
          <cell r="F5168">
            <v>1</v>
          </cell>
          <cell r="G5168">
            <v>0</v>
          </cell>
          <cell r="H5168">
            <v>1</v>
          </cell>
          <cell r="I5168">
            <v>0</v>
          </cell>
          <cell r="J5168">
            <v>1</v>
          </cell>
          <cell r="K5168">
            <v>0</v>
          </cell>
          <cell r="L5168">
            <v>0</v>
          </cell>
          <cell r="M5168">
            <v>0</v>
          </cell>
          <cell r="N5168">
            <v>1</v>
          </cell>
          <cell r="O5168">
            <v>43739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1</v>
          </cell>
          <cell r="X5168">
            <v>1</v>
          </cell>
          <cell r="Y5168">
            <v>1</v>
          </cell>
        </row>
        <row r="5169">
          <cell r="D5169">
            <v>314902</v>
          </cell>
          <cell r="E5169" t="str">
            <v>Langcataon NHS</v>
          </cell>
          <cell r="F5169">
            <v>1</v>
          </cell>
          <cell r="G5169">
            <v>0</v>
          </cell>
          <cell r="H5169">
            <v>0</v>
          </cell>
          <cell r="I5169">
            <v>0</v>
          </cell>
          <cell r="J5169">
            <v>1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</row>
        <row r="5170">
          <cell r="D5170">
            <v>304110</v>
          </cell>
          <cell r="E5170" t="str">
            <v>Pedro "Oloy" N. Roa, Sr. National High School</v>
          </cell>
          <cell r="F5170">
            <v>0</v>
          </cell>
          <cell r="G5170">
            <v>0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</row>
        <row r="5171">
          <cell r="D5171">
            <v>315402</v>
          </cell>
          <cell r="E5171" t="str">
            <v>Puerto National High School</v>
          </cell>
          <cell r="F5171">
            <v>1</v>
          </cell>
          <cell r="G5171">
            <v>1</v>
          </cell>
          <cell r="H5171">
            <v>1</v>
          </cell>
          <cell r="I5171">
            <v>0</v>
          </cell>
          <cell r="J5171">
            <v>1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 t="str">
            <v>N/A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1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</row>
        <row r="5172">
          <cell r="D5172">
            <v>304142</v>
          </cell>
          <cell r="E5172" t="str">
            <v>KABACSANAN NATIONAL HIGH SCHOOL</v>
          </cell>
          <cell r="F5172">
            <v>1</v>
          </cell>
          <cell r="G5172">
            <v>0</v>
          </cell>
          <cell r="H5172">
            <v>1</v>
          </cell>
          <cell r="I5172">
            <v>0</v>
          </cell>
          <cell r="J5172">
            <v>1</v>
          </cell>
          <cell r="K5172">
            <v>0</v>
          </cell>
          <cell r="L5172">
            <v>0</v>
          </cell>
          <cell r="M5172">
            <v>0</v>
          </cell>
          <cell r="N5172">
            <v>1</v>
          </cell>
          <cell r="O5172">
            <v>43686</v>
          </cell>
          <cell r="P5172">
            <v>0</v>
          </cell>
          <cell r="Q5172">
            <v>1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1</v>
          </cell>
          <cell r="W5172">
            <v>0</v>
          </cell>
          <cell r="X5172">
            <v>0</v>
          </cell>
          <cell r="Y5172">
            <v>0</v>
          </cell>
        </row>
        <row r="5173">
          <cell r="D5173">
            <v>315403</v>
          </cell>
          <cell r="E5173" t="str">
            <v>Cagayan de Oro NHS - Balulang Annex</v>
          </cell>
          <cell r="F5173">
            <v>1</v>
          </cell>
          <cell r="G5173">
            <v>0</v>
          </cell>
          <cell r="H5173">
            <v>1</v>
          </cell>
          <cell r="I5173">
            <v>0</v>
          </cell>
          <cell r="J5173">
            <v>1</v>
          </cell>
          <cell r="K5173">
            <v>0</v>
          </cell>
          <cell r="L5173">
            <v>0</v>
          </cell>
          <cell r="M5173">
            <v>0</v>
          </cell>
          <cell r="N5173">
            <v>1</v>
          </cell>
          <cell r="O5173">
            <v>43676</v>
          </cell>
          <cell r="P5173">
            <v>43586</v>
          </cell>
          <cell r="Q5173">
            <v>0</v>
          </cell>
          <cell r="R5173">
            <v>0</v>
          </cell>
          <cell r="S5173">
            <v>1</v>
          </cell>
          <cell r="T5173">
            <v>0</v>
          </cell>
          <cell r="U5173">
            <v>0</v>
          </cell>
          <cell r="V5173">
            <v>1</v>
          </cell>
          <cell r="W5173">
            <v>0</v>
          </cell>
          <cell r="X5173">
            <v>0</v>
          </cell>
          <cell r="Y5173">
            <v>0</v>
          </cell>
        </row>
        <row r="5174">
          <cell r="D5174">
            <v>304128</v>
          </cell>
          <cell r="E5174" t="str">
            <v>Tagpangi NHS-Tuburan Annex</v>
          </cell>
          <cell r="F5174">
            <v>1</v>
          </cell>
          <cell r="G5174">
            <v>0</v>
          </cell>
          <cell r="H5174">
            <v>1</v>
          </cell>
          <cell r="I5174">
            <v>0</v>
          </cell>
          <cell r="J5174">
            <v>0</v>
          </cell>
          <cell r="K5174">
            <v>1</v>
          </cell>
          <cell r="L5174">
            <v>0</v>
          </cell>
          <cell r="M5174">
            <v>0</v>
          </cell>
          <cell r="N5174">
            <v>0</v>
          </cell>
          <cell r="O5174">
            <v>43313</v>
          </cell>
          <cell r="P5174">
            <v>43647</v>
          </cell>
          <cell r="Q5174">
            <v>0</v>
          </cell>
          <cell r="R5174">
            <v>0</v>
          </cell>
          <cell r="S5174">
            <v>1</v>
          </cell>
          <cell r="T5174">
            <v>0</v>
          </cell>
          <cell r="U5174">
            <v>0</v>
          </cell>
          <cell r="V5174">
            <v>0</v>
          </cell>
          <cell r="W5174">
            <v>2</v>
          </cell>
          <cell r="X5174">
            <v>0</v>
          </cell>
          <cell r="Y5174">
            <v>0</v>
          </cell>
        </row>
        <row r="5175">
          <cell r="D5175">
            <v>304048</v>
          </cell>
          <cell r="E5175" t="str">
            <v>Panaon NHS</v>
          </cell>
          <cell r="F5175">
            <v>1</v>
          </cell>
          <cell r="G5175">
            <v>1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1</v>
          </cell>
          <cell r="W5175">
            <v>0</v>
          </cell>
          <cell r="X5175">
            <v>0</v>
          </cell>
          <cell r="Y5175">
            <v>0</v>
          </cell>
        </row>
        <row r="5176">
          <cell r="D5176">
            <v>315408</v>
          </cell>
          <cell r="E5176" t="str">
            <v>Gusa NHS - FS Catanico Annex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</row>
        <row r="5177">
          <cell r="D5177">
            <v>304123</v>
          </cell>
          <cell r="E5177" t="str">
            <v>Tignapoloan NHS</v>
          </cell>
          <cell r="F5177">
            <v>1</v>
          </cell>
          <cell r="G5177">
            <v>1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1</v>
          </cell>
          <cell r="X5177">
            <v>1</v>
          </cell>
          <cell r="Y5177">
            <v>1</v>
          </cell>
        </row>
        <row r="5178">
          <cell r="D5178">
            <v>304023</v>
          </cell>
          <cell r="E5178" t="str">
            <v>Salvador NHS (Salvador Trade HS)</v>
          </cell>
          <cell r="F5178">
            <v>1</v>
          </cell>
          <cell r="G5178">
            <v>1</v>
          </cell>
          <cell r="H5178">
            <v>1</v>
          </cell>
          <cell r="I5178">
            <v>0</v>
          </cell>
          <cell r="J5178">
            <v>0</v>
          </cell>
          <cell r="K5178">
            <v>1</v>
          </cell>
          <cell r="L5178">
            <v>0</v>
          </cell>
          <cell r="M5178">
            <v>0</v>
          </cell>
          <cell r="N5178">
            <v>1</v>
          </cell>
          <cell r="O5178" t="str">
            <v>MAY 20, 2019</v>
          </cell>
          <cell r="P5178">
            <v>0</v>
          </cell>
          <cell r="Q5178">
            <v>0</v>
          </cell>
          <cell r="R5178">
            <v>0</v>
          </cell>
          <cell r="S5178">
            <v>1</v>
          </cell>
          <cell r="T5178">
            <v>0</v>
          </cell>
          <cell r="U5178">
            <v>0</v>
          </cell>
          <cell r="V5178">
            <v>1</v>
          </cell>
          <cell r="W5178">
            <v>0</v>
          </cell>
          <cell r="X5178">
            <v>0</v>
          </cell>
          <cell r="Y5178">
            <v>0</v>
          </cell>
        </row>
        <row r="5179">
          <cell r="D5179">
            <v>500684</v>
          </cell>
          <cell r="E5179" t="str">
            <v>Bugang Integrated School</v>
          </cell>
          <cell r="F5179">
            <v>1</v>
          </cell>
          <cell r="G5179">
            <v>1</v>
          </cell>
          <cell r="H5179">
            <v>1</v>
          </cell>
          <cell r="I5179">
            <v>0</v>
          </cell>
          <cell r="J5179">
            <v>1</v>
          </cell>
          <cell r="K5179">
            <v>0</v>
          </cell>
          <cell r="L5179">
            <v>0</v>
          </cell>
          <cell r="M5179">
            <v>0</v>
          </cell>
          <cell r="N5179">
            <v>1</v>
          </cell>
          <cell r="O5179">
            <v>0</v>
          </cell>
          <cell r="P5179">
            <v>0</v>
          </cell>
          <cell r="Q5179">
            <v>0</v>
          </cell>
          <cell r="R5179">
            <v>1</v>
          </cell>
          <cell r="S5179">
            <v>0</v>
          </cell>
          <cell r="T5179">
            <v>0</v>
          </cell>
          <cell r="U5179">
            <v>0</v>
          </cell>
          <cell r="V5179">
            <v>1</v>
          </cell>
          <cell r="W5179">
            <v>0</v>
          </cell>
          <cell r="X5179">
            <v>0</v>
          </cell>
          <cell r="Y5179">
            <v>0</v>
          </cell>
        </row>
        <row r="5180">
          <cell r="D5180">
            <v>304012</v>
          </cell>
          <cell r="E5180" t="str">
            <v>MATUNGAO NATIONAL HIGH SCHOOL</v>
          </cell>
          <cell r="F5180">
            <v>1</v>
          </cell>
          <cell r="G5180">
            <v>0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</row>
        <row r="5181">
          <cell r="D5181">
            <v>304104</v>
          </cell>
          <cell r="E5181" t="str">
            <v>Agusan National High School</v>
          </cell>
          <cell r="F5181">
            <v>1</v>
          </cell>
          <cell r="G5181">
            <v>1</v>
          </cell>
          <cell r="H5181">
            <v>1</v>
          </cell>
          <cell r="I5181">
            <v>0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1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1</v>
          </cell>
          <cell r="W5181">
            <v>0</v>
          </cell>
          <cell r="X5181">
            <v>0</v>
          </cell>
          <cell r="Y5181">
            <v>0</v>
          </cell>
        </row>
        <row r="5182">
          <cell r="D5182">
            <v>304135</v>
          </cell>
          <cell r="E5182" t="str">
            <v>Mimbunga National High School</v>
          </cell>
          <cell r="F5182">
            <v>1</v>
          </cell>
          <cell r="G5182">
            <v>1</v>
          </cell>
          <cell r="H5182">
            <v>1</v>
          </cell>
          <cell r="I5182">
            <v>0</v>
          </cell>
          <cell r="J5182">
            <v>1</v>
          </cell>
          <cell r="K5182">
            <v>0</v>
          </cell>
          <cell r="L5182">
            <v>0</v>
          </cell>
          <cell r="M5182">
            <v>0</v>
          </cell>
          <cell r="N5182">
            <v>1</v>
          </cell>
          <cell r="O5182">
            <v>43619</v>
          </cell>
          <cell r="P5182">
            <v>43595</v>
          </cell>
          <cell r="Q5182">
            <v>0</v>
          </cell>
          <cell r="R5182">
            <v>1</v>
          </cell>
          <cell r="S5182">
            <v>0</v>
          </cell>
          <cell r="T5182">
            <v>0</v>
          </cell>
          <cell r="U5182">
            <v>0</v>
          </cell>
          <cell r="V5182">
            <v>1</v>
          </cell>
          <cell r="W5182">
            <v>0</v>
          </cell>
          <cell r="X5182">
            <v>0</v>
          </cell>
          <cell r="Y5182">
            <v>0</v>
          </cell>
        </row>
        <row r="5183">
          <cell r="D5183">
            <v>304095</v>
          </cell>
          <cell r="E5183" t="str">
            <v>Portulin NHS</v>
          </cell>
          <cell r="F5183">
            <v>1</v>
          </cell>
          <cell r="G5183">
            <v>1</v>
          </cell>
          <cell r="H5183">
            <v>1</v>
          </cell>
          <cell r="I5183">
            <v>0</v>
          </cell>
          <cell r="J5183">
            <v>0</v>
          </cell>
          <cell r="K5183">
            <v>1</v>
          </cell>
          <cell r="L5183">
            <v>0</v>
          </cell>
          <cell r="M5183">
            <v>0</v>
          </cell>
          <cell r="N5183">
            <v>1</v>
          </cell>
          <cell r="O5183">
            <v>0</v>
          </cell>
          <cell r="P5183">
            <v>0</v>
          </cell>
          <cell r="Q5183">
            <v>0</v>
          </cell>
          <cell r="R5183">
            <v>1</v>
          </cell>
          <cell r="S5183">
            <v>0</v>
          </cell>
          <cell r="T5183">
            <v>1</v>
          </cell>
          <cell r="U5183">
            <v>0</v>
          </cell>
          <cell r="V5183">
            <v>1</v>
          </cell>
          <cell r="W5183">
            <v>2</v>
          </cell>
          <cell r="X5183">
            <v>1</v>
          </cell>
          <cell r="Y5183">
            <v>1</v>
          </cell>
        </row>
        <row r="5184">
          <cell r="D5184">
            <v>315409</v>
          </cell>
          <cell r="E5184" t="str">
            <v>Iponan NHS - San Simon Annex</v>
          </cell>
          <cell r="F5184">
            <v>0</v>
          </cell>
          <cell r="G5184">
            <v>0</v>
          </cell>
          <cell r="H5184">
            <v>1</v>
          </cell>
          <cell r="I5184">
            <v>0</v>
          </cell>
          <cell r="J5184">
            <v>1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</row>
        <row r="5185">
          <cell r="D5185">
            <v>303993</v>
          </cell>
          <cell r="E5185" t="str">
            <v>Sixto A. Abao NHS</v>
          </cell>
          <cell r="F5185">
            <v>0</v>
          </cell>
          <cell r="G5185">
            <v>0</v>
          </cell>
          <cell r="H5185">
            <v>1</v>
          </cell>
          <cell r="I5185">
            <v>1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N5185">
            <v>1</v>
          </cell>
          <cell r="O5185">
            <v>0</v>
          </cell>
          <cell r="P5185">
            <v>43677</v>
          </cell>
          <cell r="Q5185">
            <v>0</v>
          </cell>
          <cell r="R5185">
            <v>1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</row>
        <row r="5186">
          <cell r="D5186">
            <v>315501</v>
          </cell>
          <cell r="E5186" t="str">
            <v>EUREKA NATIONAL HIGH SCHOOL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</row>
        <row r="5187">
          <cell r="D5187">
            <v>304136</v>
          </cell>
          <cell r="E5187" t="str">
            <v>Jacinto D. Malimas Sr. National High School</v>
          </cell>
          <cell r="F5187">
            <v>1</v>
          </cell>
          <cell r="G5187">
            <v>1</v>
          </cell>
          <cell r="H5187">
            <v>1</v>
          </cell>
          <cell r="I5187">
            <v>0</v>
          </cell>
          <cell r="J5187">
            <v>1</v>
          </cell>
          <cell r="K5187">
            <v>0</v>
          </cell>
          <cell r="L5187">
            <v>0</v>
          </cell>
          <cell r="M5187">
            <v>0</v>
          </cell>
          <cell r="N5187">
            <v>1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1</v>
          </cell>
          <cell r="W5187">
            <v>0</v>
          </cell>
          <cell r="X5187">
            <v>0</v>
          </cell>
          <cell r="Y5187">
            <v>0</v>
          </cell>
        </row>
        <row r="5188">
          <cell r="D5188">
            <v>315502</v>
          </cell>
          <cell r="E5188" t="str">
            <v>Odiongan NHS - Talisay NHS Annex</v>
          </cell>
          <cell r="F5188">
            <v>1</v>
          </cell>
          <cell r="G5188">
            <v>0</v>
          </cell>
          <cell r="H5188">
            <v>1</v>
          </cell>
          <cell r="I5188">
            <v>0</v>
          </cell>
          <cell r="J5188">
            <v>1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</row>
        <row r="5189">
          <cell r="D5189">
            <v>315506</v>
          </cell>
          <cell r="E5189" t="str">
            <v>Kisandi National High School</v>
          </cell>
          <cell r="F5189">
            <v>1</v>
          </cell>
          <cell r="G5189">
            <v>1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</row>
        <row r="5190">
          <cell r="D5190">
            <v>304134</v>
          </cell>
          <cell r="E5190" t="str">
            <v>Malinao National High School</v>
          </cell>
          <cell r="F5190">
            <v>1</v>
          </cell>
          <cell r="G5190">
            <v>1</v>
          </cell>
          <cell r="H5190">
            <v>1</v>
          </cell>
          <cell r="I5190">
            <v>0</v>
          </cell>
          <cell r="J5190">
            <v>1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</row>
        <row r="5191">
          <cell r="D5191">
            <v>500409</v>
          </cell>
          <cell r="E5191" t="str">
            <v>Busdi IS</v>
          </cell>
          <cell r="F5191">
            <v>1</v>
          </cell>
          <cell r="G5191">
            <v>1</v>
          </cell>
          <cell r="H5191">
            <v>1</v>
          </cell>
          <cell r="I5191">
            <v>1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  <cell r="N5191">
            <v>1</v>
          </cell>
          <cell r="O5191">
            <v>0</v>
          </cell>
          <cell r="P5191">
            <v>0</v>
          </cell>
          <cell r="Q5191">
            <v>1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1</v>
          </cell>
          <cell r="W5191">
            <v>0</v>
          </cell>
          <cell r="X5191">
            <v>0</v>
          </cell>
          <cell r="Y5191">
            <v>0</v>
          </cell>
        </row>
        <row r="5192">
          <cell r="D5192">
            <v>304139</v>
          </cell>
          <cell r="E5192" t="str">
            <v>Acelo C. Badelles, Sr. MNHS - Abuno HS Annex</v>
          </cell>
          <cell r="F5192">
            <v>0</v>
          </cell>
          <cell r="G5192">
            <v>0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</row>
        <row r="5193">
          <cell r="D5193">
            <v>304040</v>
          </cell>
          <cell r="E5193" t="str">
            <v>LOOC NATIONAL HIGH SCHOOL</v>
          </cell>
          <cell r="F5193">
            <v>1</v>
          </cell>
          <cell r="G5193">
            <v>1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1</v>
          </cell>
          <cell r="M5193" t="str">
            <v>As Need Arises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1</v>
          </cell>
          <cell r="U5193" t="str">
            <v>As Need Arises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</row>
        <row r="5194">
          <cell r="D5194">
            <v>304131</v>
          </cell>
          <cell r="E5194" t="str">
            <v>Gingoog City CNHS - BACKKISMI NHS Annex</v>
          </cell>
          <cell r="F5194">
            <v>1</v>
          </cell>
          <cell r="G5194">
            <v>0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</row>
        <row r="5195">
          <cell r="D5195">
            <v>303967</v>
          </cell>
          <cell r="E5195" t="str">
            <v>Lantapan National High School</v>
          </cell>
          <cell r="F5195">
            <v>1</v>
          </cell>
          <cell r="G5195">
            <v>1</v>
          </cell>
          <cell r="H5195">
            <v>1</v>
          </cell>
          <cell r="I5195">
            <v>0</v>
          </cell>
          <cell r="J5195">
            <v>1</v>
          </cell>
          <cell r="K5195">
            <v>0</v>
          </cell>
          <cell r="L5195">
            <v>0</v>
          </cell>
          <cell r="M5195">
            <v>0</v>
          </cell>
          <cell r="N5195">
            <v>1</v>
          </cell>
          <cell r="O5195" t="str">
            <v>9/13/19</v>
          </cell>
          <cell r="P5195" t="str">
            <v>10/18/19</v>
          </cell>
          <cell r="Q5195">
            <v>0</v>
          </cell>
          <cell r="R5195">
            <v>1</v>
          </cell>
          <cell r="S5195">
            <v>0</v>
          </cell>
          <cell r="T5195">
            <v>0</v>
          </cell>
          <cell r="U5195">
            <v>0</v>
          </cell>
          <cell r="V5195">
            <v>1</v>
          </cell>
          <cell r="W5195">
            <v>2</v>
          </cell>
          <cell r="X5195">
            <v>0</v>
          </cell>
          <cell r="Y5195">
            <v>0</v>
          </cell>
        </row>
        <row r="5196">
          <cell r="D5196">
            <v>304021</v>
          </cell>
          <cell r="E5196" t="str">
            <v>Tagoloan NHS</v>
          </cell>
          <cell r="F5196">
            <v>1</v>
          </cell>
          <cell r="G5196">
            <v>1</v>
          </cell>
          <cell r="H5196">
            <v>1</v>
          </cell>
          <cell r="I5196">
            <v>0</v>
          </cell>
          <cell r="J5196">
            <v>0</v>
          </cell>
          <cell r="K5196">
            <v>0</v>
          </cell>
          <cell r="L5196">
            <v>0</v>
          </cell>
          <cell r="M5196">
            <v>0</v>
          </cell>
          <cell r="N5196">
            <v>1</v>
          </cell>
          <cell r="O5196">
            <v>43672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1</v>
          </cell>
          <cell r="W5196">
            <v>0</v>
          </cell>
          <cell r="X5196">
            <v>0</v>
          </cell>
          <cell r="Y5196">
            <v>0</v>
          </cell>
        </row>
        <row r="5197">
          <cell r="D5197">
            <v>304121</v>
          </cell>
          <cell r="E5197" t="str">
            <v>Mambuaya National High School</v>
          </cell>
          <cell r="F5197">
            <v>1</v>
          </cell>
          <cell r="G5197">
            <v>0</v>
          </cell>
          <cell r="H5197">
            <v>1</v>
          </cell>
          <cell r="I5197">
            <v>0</v>
          </cell>
          <cell r="J5197">
            <v>0</v>
          </cell>
          <cell r="K5197">
            <v>0</v>
          </cell>
          <cell r="L5197">
            <v>1</v>
          </cell>
          <cell r="M5197" t="str">
            <v>AS NEEDED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</row>
        <row r="5198">
          <cell r="D5198">
            <v>304115</v>
          </cell>
          <cell r="E5198" t="str">
            <v>Gusa NHS-Cugman Annex</v>
          </cell>
          <cell r="F5198">
            <v>1</v>
          </cell>
          <cell r="G5198">
            <v>1</v>
          </cell>
          <cell r="H5198">
            <v>1</v>
          </cell>
          <cell r="I5198">
            <v>0</v>
          </cell>
          <cell r="J5198">
            <v>1</v>
          </cell>
          <cell r="K5198">
            <v>0</v>
          </cell>
          <cell r="L5198">
            <v>0</v>
          </cell>
          <cell r="M5198">
            <v>0</v>
          </cell>
          <cell r="N5198">
            <v>1</v>
          </cell>
          <cell r="O5198">
            <v>43489</v>
          </cell>
          <cell r="P5198" t="str">
            <v>OCT. 2, 2019</v>
          </cell>
          <cell r="Q5198">
            <v>0</v>
          </cell>
          <cell r="R5198">
            <v>0</v>
          </cell>
          <cell r="S5198">
            <v>0</v>
          </cell>
          <cell r="T5198">
            <v>1</v>
          </cell>
          <cell r="U5198" t="str">
            <v>BRGY. CPC</v>
          </cell>
          <cell r="V5198">
            <v>1</v>
          </cell>
          <cell r="W5198">
            <v>2</v>
          </cell>
          <cell r="X5198">
            <v>1</v>
          </cell>
          <cell r="Y5198">
            <v>1</v>
          </cell>
        </row>
        <row r="5199">
          <cell r="D5199">
            <v>305578</v>
          </cell>
          <cell r="E5199" t="str">
            <v>Pisaan National High School</v>
          </cell>
          <cell r="F5199">
            <v>1</v>
          </cell>
          <cell r="G5199">
            <v>1</v>
          </cell>
          <cell r="H5199">
            <v>1</v>
          </cell>
          <cell r="I5199">
            <v>0</v>
          </cell>
          <cell r="J5199">
            <v>1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1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1</v>
          </cell>
          <cell r="X5199">
            <v>1</v>
          </cell>
          <cell r="Y5199">
            <v>1</v>
          </cell>
        </row>
        <row r="5200">
          <cell r="D5200">
            <v>304033</v>
          </cell>
          <cell r="E5200" t="str">
            <v>Concepcion NHS</v>
          </cell>
          <cell r="F5200">
            <v>0</v>
          </cell>
          <cell r="G5200">
            <v>0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</row>
        <row r="5201">
          <cell r="D5201">
            <v>303986</v>
          </cell>
          <cell r="E5201" t="str">
            <v>Sumilao NHS</v>
          </cell>
          <cell r="F5201">
            <v>1</v>
          </cell>
          <cell r="G5201">
            <v>0</v>
          </cell>
          <cell r="H5201">
            <v>1</v>
          </cell>
          <cell r="I5201">
            <v>0</v>
          </cell>
          <cell r="J5201">
            <v>0</v>
          </cell>
          <cell r="K5201">
            <v>1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1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</row>
        <row r="5202">
          <cell r="D5202">
            <v>304066</v>
          </cell>
          <cell r="E5202" t="str">
            <v>Consuelo NHS</v>
          </cell>
          <cell r="F5202">
            <v>1</v>
          </cell>
          <cell r="G5202">
            <v>1</v>
          </cell>
          <cell r="H5202">
            <v>1</v>
          </cell>
          <cell r="I5202">
            <v>0</v>
          </cell>
          <cell r="J5202">
            <v>0</v>
          </cell>
          <cell r="K5202">
            <v>1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1</v>
          </cell>
          <cell r="S5202">
            <v>0</v>
          </cell>
          <cell r="T5202">
            <v>0</v>
          </cell>
          <cell r="U5202">
            <v>0</v>
          </cell>
          <cell r="V5202">
            <v>1</v>
          </cell>
          <cell r="W5202">
            <v>2</v>
          </cell>
          <cell r="X5202">
            <v>0</v>
          </cell>
          <cell r="Y5202">
            <v>0</v>
          </cell>
        </row>
        <row r="5203">
          <cell r="D5203">
            <v>315410</v>
          </cell>
          <cell r="E5203" t="str">
            <v>Macasandig National High School</v>
          </cell>
          <cell r="F5203">
            <v>1</v>
          </cell>
          <cell r="G5203">
            <v>1</v>
          </cell>
          <cell r="H5203">
            <v>1</v>
          </cell>
          <cell r="I5203">
            <v>1</v>
          </cell>
          <cell r="J5203">
            <v>0</v>
          </cell>
          <cell r="K5203">
            <v>0</v>
          </cell>
          <cell r="L5203">
            <v>0</v>
          </cell>
          <cell r="M5203">
            <v>0</v>
          </cell>
          <cell r="N5203">
            <v>1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1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</row>
        <row r="5204">
          <cell r="D5204">
            <v>304032</v>
          </cell>
          <cell r="E5204" t="str">
            <v>Congressman Hilarion J. Ramiro Jr. Memorial National High School</v>
          </cell>
          <cell r="F5204">
            <v>1</v>
          </cell>
          <cell r="G5204">
            <v>1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</row>
        <row r="5205">
          <cell r="D5205">
            <v>304109</v>
          </cell>
          <cell r="E5205" t="str">
            <v>Canitoan National High School</v>
          </cell>
          <cell r="F5205">
            <v>1</v>
          </cell>
          <cell r="G5205">
            <v>0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2</v>
          </cell>
          <cell r="X5205">
            <v>0</v>
          </cell>
          <cell r="Y5205">
            <v>0</v>
          </cell>
        </row>
        <row r="5206">
          <cell r="D5206">
            <v>304126</v>
          </cell>
          <cell r="E5206" t="str">
            <v>Taglimao NHS-Besigan Annex</v>
          </cell>
          <cell r="F5206">
            <v>0</v>
          </cell>
          <cell r="G5206">
            <v>0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</row>
        <row r="5207">
          <cell r="D5207">
            <v>500800</v>
          </cell>
          <cell r="E5207" t="str">
            <v>Dukdokaan Integrated School - Elem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</row>
        <row r="5208">
          <cell r="D5208">
            <v>314925</v>
          </cell>
          <cell r="E5208" t="str">
            <v>Baungon NHS - Danatag Annex</v>
          </cell>
          <cell r="F5208">
            <v>1</v>
          </cell>
          <cell r="G5208">
            <v>0</v>
          </cell>
          <cell r="H5208">
            <v>1</v>
          </cell>
          <cell r="I5208">
            <v>0</v>
          </cell>
          <cell r="J5208">
            <v>1</v>
          </cell>
          <cell r="K5208">
            <v>0</v>
          </cell>
          <cell r="L5208">
            <v>0</v>
          </cell>
          <cell r="M5208">
            <v>0</v>
          </cell>
          <cell r="N5208">
            <v>1</v>
          </cell>
          <cell r="O5208" t="str">
            <v>07-15-19</v>
          </cell>
          <cell r="P5208">
            <v>0</v>
          </cell>
          <cell r="Q5208">
            <v>1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1</v>
          </cell>
          <cell r="W5208">
            <v>0</v>
          </cell>
          <cell r="X5208">
            <v>0</v>
          </cell>
          <cell r="Y5208">
            <v>0</v>
          </cell>
        </row>
        <row r="5209">
          <cell r="D5209">
            <v>314918</v>
          </cell>
          <cell r="E5209" t="str">
            <v>KUYA NHS ANNEX- LA ROXAS</v>
          </cell>
          <cell r="F5209">
            <v>1</v>
          </cell>
          <cell r="G5209">
            <v>0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1</v>
          </cell>
          <cell r="M5209" t="str">
            <v>it depends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</row>
        <row r="5210">
          <cell r="D5210">
            <v>304058</v>
          </cell>
          <cell r="E5210" t="str">
            <v>Tudela National Comprehensive High School</v>
          </cell>
          <cell r="F5210">
            <v>0</v>
          </cell>
          <cell r="G5210">
            <v>0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</row>
        <row r="5211">
          <cell r="D5211">
            <v>304076</v>
          </cell>
          <cell r="E5211" t="str">
            <v>Kibungsod NHS</v>
          </cell>
          <cell r="F5211">
            <v>1</v>
          </cell>
          <cell r="G5211">
            <v>0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 t="str">
            <v>n/a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</row>
        <row r="5212">
          <cell r="D5212">
            <v>303981</v>
          </cell>
          <cell r="E5212" t="str">
            <v>San Luis NHS</v>
          </cell>
          <cell r="F5212">
            <v>1</v>
          </cell>
          <cell r="G5212">
            <v>1</v>
          </cell>
          <cell r="H5212">
            <v>1</v>
          </cell>
          <cell r="I5212">
            <v>0</v>
          </cell>
          <cell r="J5212">
            <v>0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</row>
        <row r="5213">
          <cell r="D5213">
            <v>304153</v>
          </cell>
          <cell r="E5213" t="str">
            <v>Ditucalan National High School</v>
          </cell>
          <cell r="F5213">
            <v>0</v>
          </cell>
          <cell r="G5213">
            <v>0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</row>
        <row r="5214">
          <cell r="D5214">
            <v>303979</v>
          </cell>
          <cell r="E5214" t="str">
            <v>Salawagan NHS</v>
          </cell>
          <cell r="F5214">
            <v>1</v>
          </cell>
          <cell r="G5214">
            <v>0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</row>
        <row r="5215">
          <cell r="D5215">
            <v>341061</v>
          </cell>
          <cell r="E5215" t="str">
            <v>SHS within Casisang CS</v>
          </cell>
          <cell r="F5215">
            <v>1</v>
          </cell>
          <cell r="G5215">
            <v>0</v>
          </cell>
          <cell r="H5215">
            <v>1</v>
          </cell>
          <cell r="I5215">
            <v>1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1</v>
          </cell>
          <cell r="O5215">
            <v>43564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3</v>
          </cell>
          <cell r="X5215">
            <v>1</v>
          </cell>
          <cell r="Y5215">
            <v>1</v>
          </cell>
        </row>
        <row r="5216">
          <cell r="D5216">
            <v>304146</v>
          </cell>
          <cell r="E5216" t="str">
            <v>Iligan City East National HS (Sta. Filomena)</v>
          </cell>
          <cell r="F5216">
            <v>1</v>
          </cell>
          <cell r="G5216">
            <v>1</v>
          </cell>
          <cell r="H5216">
            <v>1</v>
          </cell>
          <cell r="I5216">
            <v>0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1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1</v>
          </cell>
          <cell r="W5216">
            <v>0</v>
          </cell>
          <cell r="X5216">
            <v>0</v>
          </cell>
          <cell r="Y5216">
            <v>0</v>
          </cell>
        </row>
        <row r="5217">
          <cell r="D5217">
            <v>304105</v>
          </cell>
          <cell r="E5217" t="str">
            <v>Tablon National High School</v>
          </cell>
          <cell r="F5217">
            <v>0</v>
          </cell>
          <cell r="G5217">
            <v>0</v>
          </cell>
          <cell r="H5217">
            <v>1</v>
          </cell>
          <cell r="I5217">
            <v>1</v>
          </cell>
          <cell r="J5217">
            <v>0</v>
          </cell>
          <cell r="K5217">
            <v>0</v>
          </cell>
          <cell r="L5217">
            <v>0</v>
          </cell>
          <cell r="M5217">
            <v>43647</v>
          </cell>
          <cell r="N5217">
            <v>0</v>
          </cell>
          <cell r="O5217">
            <v>0</v>
          </cell>
          <cell r="P5217">
            <v>0</v>
          </cell>
          <cell r="Q5217">
            <v>1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10</v>
          </cell>
          <cell r="X5217">
            <v>0</v>
          </cell>
          <cell r="Y5217">
            <v>0</v>
          </cell>
        </row>
        <row r="5218">
          <cell r="D5218">
            <v>304117</v>
          </cell>
          <cell r="E5218" t="str">
            <v>Iponan National High School</v>
          </cell>
          <cell r="F5218">
            <v>0</v>
          </cell>
          <cell r="G5218">
            <v>0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</row>
        <row r="5219">
          <cell r="D5219">
            <v>304031</v>
          </cell>
          <cell r="E5219" t="str">
            <v>Clarin NHS</v>
          </cell>
          <cell r="F5219">
            <v>1</v>
          </cell>
          <cell r="G5219">
            <v>1</v>
          </cell>
          <cell r="H5219">
            <v>0</v>
          </cell>
          <cell r="I5219">
            <v>0</v>
          </cell>
          <cell r="J5219">
            <v>1</v>
          </cell>
          <cell r="K5219">
            <v>0</v>
          </cell>
          <cell r="L5219">
            <v>0</v>
          </cell>
          <cell r="M5219">
            <v>0</v>
          </cell>
          <cell r="N5219">
            <v>1</v>
          </cell>
          <cell r="O5219">
            <v>0</v>
          </cell>
          <cell r="P5219">
            <v>0</v>
          </cell>
          <cell r="Q5219">
            <v>0</v>
          </cell>
          <cell r="R5219">
            <v>1</v>
          </cell>
          <cell r="S5219">
            <v>0</v>
          </cell>
          <cell r="T5219">
            <v>0</v>
          </cell>
          <cell r="U5219">
            <v>0</v>
          </cell>
          <cell r="V5219">
            <v>1</v>
          </cell>
          <cell r="W5219">
            <v>3</v>
          </cell>
          <cell r="X5219">
            <v>1</v>
          </cell>
          <cell r="Y5219">
            <v>3</v>
          </cell>
        </row>
        <row r="5220">
          <cell r="D5220">
            <v>314931</v>
          </cell>
          <cell r="E5220" t="str">
            <v>Kitaotao National High School - Digongan Annex</v>
          </cell>
          <cell r="F5220">
            <v>0</v>
          </cell>
          <cell r="G5220">
            <v>0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</row>
        <row r="5221">
          <cell r="D5221">
            <v>304160</v>
          </cell>
          <cell r="E5221" t="str">
            <v>Tubaran NHS - Digkilaan HS Annex</v>
          </cell>
          <cell r="F5221">
            <v>1</v>
          </cell>
          <cell r="G5221">
            <v>1</v>
          </cell>
          <cell r="H5221">
            <v>1</v>
          </cell>
          <cell r="I5221">
            <v>0</v>
          </cell>
          <cell r="J5221">
            <v>1</v>
          </cell>
          <cell r="K5221">
            <v>0</v>
          </cell>
          <cell r="L5221">
            <v>0</v>
          </cell>
          <cell r="M5221">
            <v>0</v>
          </cell>
          <cell r="N5221">
            <v>1</v>
          </cell>
          <cell r="O5221">
            <v>43622</v>
          </cell>
          <cell r="P5221">
            <v>43622</v>
          </cell>
          <cell r="Q5221">
            <v>0</v>
          </cell>
          <cell r="R5221">
            <v>1</v>
          </cell>
          <cell r="S5221">
            <v>0</v>
          </cell>
          <cell r="T5221">
            <v>0</v>
          </cell>
          <cell r="U5221">
            <v>0</v>
          </cell>
          <cell r="V5221">
            <v>1</v>
          </cell>
          <cell r="W5221">
            <v>2</v>
          </cell>
          <cell r="X5221">
            <v>2</v>
          </cell>
          <cell r="Y5221">
            <v>2</v>
          </cell>
        </row>
        <row r="5222">
          <cell r="D5222">
            <v>303977</v>
          </cell>
          <cell r="E5222" t="str">
            <v>Old Nongnongan NHS</v>
          </cell>
          <cell r="F5222">
            <v>1</v>
          </cell>
          <cell r="G5222">
            <v>0</v>
          </cell>
          <cell r="H5222">
            <v>1</v>
          </cell>
          <cell r="I5222">
            <v>0</v>
          </cell>
          <cell r="J5222">
            <v>0</v>
          </cell>
          <cell r="K5222">
            <v>1</v>
          </cell>
          <cell r="L5222">
            <v>0</v>
          </cell>
          <cell r="M5222">
            <v>0</v>
          </cell>
          <cell r="N5222">
            <v>1</v>
          </cell>
          <cell r="O5222">
            <v>0</v>
          </cell>
          <cell r="P5222">
            <v>0</v>
          </cell>
          <cell r="Q5222">
            <v>0</v>
          </cell>
          <cell r="R5222">
            <v>1</v>
          </cell>
          <cell r="S5222">
            <v>0</v>
          </cell>
          <cell r="T5222">
            <v>0</v>
          </cell>
          <cell r="U5222">
            <v>0</v>
          </cell>
          <cell r="V5222">
            <v>1</v>
          </cell>
          <cell r="W5222">
            <v>0</v>
          </cell>
          <cell r="X5222">
            <v>0</v>
          </cell>
          <cell r="Y5222">
            <v>0</v>
          </cell>
        </row>
        <row r="5223">
          <cell r="D5223">
            <v>304158</v>
          </cell>
          <cell r="E5223" t="str">
            <v>Tomas Cabili NHS - Annex</v>
          </cell>
          <cell r="F5223">
            <v>0</v>
          </cell>
          <cell r="G5223">
            <v>0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</row>
        <row r="5224">
          <cell r="D5224">
            <v>500685</v>
          </cell>
          <cell r="E5224" t="str">
            <v>Kuguita IS</v>
          </cell>
          <cell r="F5224">
            <v>1</v>
          </cell>
          <cell r="G5224">
            <v>0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</row>
        <row r="5225">
          <cell r="D5225">
            <v>315609</v>
          </cell>
          <cell r="E5225" t="str">
            <v>Kalubihon High School</v>
          </cell>
          <cell r="F5225">
            <v>0</v>
          </cell>
          <cell r="G5225">
            <v>0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</row>
        <row r="5226">
          <cell r="D5226">
            <v>315405</v>
          </cell>
          <cell r="E5226" t="str">
            <v>Mambuaya NHS-Dansolihon Annex</v>
          </cell>
          <cell r="F5226">
            <v>0</v>
          </cell>
          <cell r="G5226">
            <v>0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1</v>
          </cell>
          <cell r="U5226" t="str">
            <v>n/a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</row>
        <row r="5227">
          <cell r="D5227">
            <v>315201</v>
          </cell>
          <cell r="E5227" t="str">
            <v>Upper Usugan National Comprehensive High School</v>
          </cell>
          <cell r="F5227">
            <v>1</v>
          </cell>
          <cell r="G5227">
            <v>1</v>
          </cell>
          <cell r="H5227">
            <v>1</v>
          </cell>
          <cell r="I5227">
            <v>0</v>
          </cell>
          <cell r="J5227">
            <v>1</v>
          </cell>
          <cell r="K5227">
            <v>0</v>
          </cell>
          <cell r="L5227">
            <v>0</v>
          </cell>
          <cell r="M5227">
            <v>0</v>
          </cell>
          <cell r="N5227">
            <v>1</v>
          </cell>
          <cell r="O5227">
            <v>0</v>
          </cell>
          <cell r="P5227">
            <v>43755</v>
          </cell>
          <cell r="Q5227">
            <v>1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1</v>
          </cell>
          <cell r="W5227">
            <v>0</v>
          </cell>
          <cell r="X5227">
            <v>0</v>
          </cell>
          <cell r="Y5227">
            <v>0</v>
          </cell>
        </row>
        <row r="5228">
          <cell r="D5228">
            <v>303978</v>
          </cell>
          <cell r="E5228" t="str">
            <v>Pangantucan NHS</v>
          </cell>
          <cell r="F5228">
            <v>1</v>
          </cell>
          <cell r="G5228">
            <v>1</v>
          </cell>
          <cell r="H5228">
            <v>1</v>
          </cell>
          <cell r="I5228">
            <v>0</v>
          </cell>
          <cell r="J5228">
            <v>1</v>
          </cell>
          <cell r="K5228">
            <v>0</v>
          </cell>
          <cell r="L5228">
            <v>0</v>
          </cell>
          <cell r="M5228">
            <v>0</v>
          </cell>
          <cell r="N5228">
            <v>1</v>
          </cell>
          <cell r="O5228">
            <v>0</v>
          </cell>
          <cell r="P5228">
            <v>43640</v>
          </cell>
          <cell r="Q5228">
            <v>1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1</v>
          </cell>
          <cell r="W5228">
            <v>3</v>
          </cell>
          <cell r="X5228">
            <v>2</v>
          </cell>
          <cell r="Y5228">
            <v>2</v>
          </cell>
        </row>
        <row r="5229">
          <cell r="D5229">
            <v>314914</v>
          </cell>
          <cell r="E5229" t="str">
            <v>Casisang NHS</v>
          </cell>
          <cell r="F5229">
            <v>1</v>
          </cell>
          <cell r="G5229">
            <v>0</v>
          </cell>
          <cell r="H5229">
            <v>1</v>
          </cell>
          <cell r="I5229">
            <v>0</v>
          </cell>
          <cell r="J5229">
            <v>1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1</v>
          </cell>
          <cell r="S5229">
            <v>0</v>
          </cell>
          <cell r="T5229">
            <v>0</v>
          </cell>
          <cell r="U5229">
            <v>0</v>
          </cell>
          <cell r="V5229">
            <v>1</v>
          </cell>
          <cell r="W5229">
            <v>0</v>
          </cell>
          <cell r="X5229">
            <v>0</v>
          </cell>
          <cell r="Y5229">
            <v>0</v>
          </cell>
        </row>
        <row r="5230">
          <cell r="D5230">
            <v>303966</v>
          </cell>
          <cell r="E5230" t="str">
            <v>Lampanusan NHS</v>
          </cell>
          <cell r="F5230">
            <v>1</v>
          </cell>
          <cell r="G5230">
            <v>1</v>
          </cell>
          <cell r="H5230">
            <v>1</v>
          </cell>
          <cell r="I5230">
            <v>0</v>
          </cell>
          <cell r="J5230">
            <v>0</v>
          </cell>
          <cell r="K5230">
            <v>1</v>
          </cell>
          <cell r="L5230">
            <v>1</v>
          </cell>
          <cell r="M5230" t="str">
            <v>N/A</v>
          </cell>
          <cell r="N5230">
            <v>1</v>
          </cell>
          <cell r="O5230">
            <v>43622</v>
          </cell>
          <cell r="P5230" t="str">
            <v>N/A</v>
          </cell>
          <cell r="Q5230">
            <v>0</v>
          </cell>
          <cell r="R5230">
            <v>0</v>
          </cell>
          <cell r="S5230">
            <v>0</v>
          </cell>
          <cell r="T5230">
            <v>1</v>
          </cell>
          <cell r="U5230" t="str">
            <v>N/A</v>
          </cell>
          <cell r="V5230">
            <v>1</v>
          </cell>
          <cell r="W5230">
            <v>2</v>
          </cell>
          <cell r="X5230">
            <v>2</v>
          </cell>
          <cell r="Y5230">
            <v>2</v>
          </cell>
        </row>
        <row r="5231">
          <cell r="D5231">
            <v>304137</v>
          </cell>
          <cell r="E5231" t="str">
            <v>San Luis National High School</v>
          </cell>
          <cell r="F5231">
            <v>0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</row>
        <row r="5232">
          <cell r="D5232">
            <v>315505</v>
          </cell>
          <cell r="E5232" t="str">
            <v>Gingoog City CNHS - Anakan NHS Annex</v>
          </cell>
          <cell r="F5232">
            <v>1</v>
          </cell>
          <cell r="G5232">
            <v>0</v>
          </cell>
          <cell r="H5232">
            <v>1</v>
          </cell>
          <cell r="I5232">
            <v>0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1</v>
          </cell>
          <cell r="O5232">
            <v>43252</v>
          </cell>
          <cell r="P5232">
            <v>43252</v>
          </cell>
          <cell r="Q5232">
            <v>0</v>
          </cell>
          <cell r="R5232">
            <v>0</v>
          </cell>
          <cell r="S5232">
            <v>1</v>
          </cell>
          <cell r="T5232">
            <v>0</v>
          </cell>
          <cell r="U5232">
            <v>0</v>
          </cell>
          <cell r="V5232">
            <v>1</v>
          </cell>
          <cell r="W5232">
            <v>0</v>
          </cell>
          <cell r="X5232">
            <v>0</v>
          </cell>
          <cell r="Y5232">
            <v>0</v>
          </cell>
        </row>
        <row r="5233">
          <cell r="D5233">
            <v>315208</v>
          </cell>
          <cell r="E5233" t="str">
            <v>Aquino IS</v>
          </cell>
          <cell r="F5233">
            <v>1</v>
          </cell>
          <cell r="G5233">
            <v>0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</row>
        <row r="5234">
          <cell r="D5234">
            <v>303954</v>
          </cell>
          <cell r="E5234" t="str">
            <v>Dologon NHS</v>
          </cell>
          <cell r="F5234">
            <v>0</v>
          </cell>
          <cell r="G5234">
            <v>0</v>
          </cell>
          <cell r="H5234">
            <v>1</v>
          </cell>
          <cell r="I5234">
            <v>0</v>
          </cell>
          <cell r="J5234">
            <v>0</v>
          </cell>
          <cell r="K5234">
            <v>1</v>
          </cell>
          <cell r="L5234">
            <v>0</v>
          </cell>
          <cell r="M5234">
            <v>0</v>
          </cell>
          <cell r="N5234">
            <v>1</v>
          </cell>
          <cell r="O5234">
            <v>43687</v>
          </cell>
          <cell r="P5234">
            <v>43656</v>
          </cell>
          <cell r="Q5234">
            <v>0</v>
          </cell>
          <cell r="R5234">
            <v>1</v>
          </cell>
          <cell r="S5234">
            <v>0</v>
          </cell>
          <cell r="T5234">
            <v>0</v>
          </cell>
          <cell r="U5234">
            <v>0</v>
          </cell>
          <cell r="V5234">
            <v>1</v>
          </cell>
          <cell r="W5234">
            <v>1</v>
          </cell>
          <cell r="X5234">
            <v>1</v>
          </cell>
          <cell r="Y5234">
            <v>1</v>
          </cell>
        </row>
        <row r="5235">
          <cell r="D5235">
            <v>304125</v>
          </cell>
          <cell r="E5235" t="str">
            <v>Taglimao National High School</v>
          </cell>
          <cell r="F5235">
            <v>1</v>
          </cell>
          <cell r="G5235">
            <v>1</v>
          </cell>
          <cell r="H5235">
            <v>1</v>
          </cell>
          <cell r="I5235">
            <v>1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N5235">
            <v>1</v>
          </cell>
          <cell r="O5235">
            <v>43646</v>
          </cell>
          <cell r="P5235">
            <v>43646</v>
          </cell>
          <cell r="Q5235">
            <v>1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1</v>
          </cell>
          <cell r="W5235">
            <v>0</v>
          </cell>
          <cell r="X5235">
            <v>0</v>
          </cell>
          <cell r="Y5235">
            <v>0</v>
          </cell>
        </row>
        <row r="5236">
          <cell r="D5236">
            <v>304053</v>
          </cell>
          <cell r="E5236" t="str">
            <v>Silangit NHS</v>
          </cell>
          <cell r="F5236">
            <v>0</v>
          </cell>
          <cell r="G5236">
            <v>0</v>
          </cell>
          <cell r="H5236">
            <v>1</v>
          </cell>
          <cell r="I5236">
            <v>0</v>
          </cell>
          <cell r="J5236">
            <v>1</v>
          </cell>
          <cell r="K5236">
            <v>0</v>
          </cell>
          <cell r="L5236">
            <v>0</v>
          </cell>
          <cell r="M5236">
            <v>0</v>
          </cell>
          <cell r="N5236">
            <v>1</v>
          </cell>
          <cell r="O5236">
            <v>0</v>
          </cell>
          <cell r="P5236">
            <v>43619</v>
          </cell>
          <cell r="Q5236">
            <v>0</v>
          </cell>
          <cell r="R5236">
            <v>1</v>
          </cell>
          <cell r="S5236">
            <v>0</v>
          </cell>
          <cell r="T5236">
            <v>0</v>
          </cell>
          <cell r="U5236">
            <v>0</v>
          </cell>
          <cell r="V5236">
            <v>1</v>
          </cell>
          <cell r="W5236">
            <v>0</v>
          </cell>
          <cell r="X5236">
            <v>0</v>
          </cell>
          <cell r="Y5236">
            <v>0</v>
          </cell>
        </row>
        <row r="5237">
          <cell r="D5237">
            <v>303949</v>
          </cell>
          <cell r="E5237" t="str">
            <v>Bugcaon NHS</v>
          </cell>
          <cell r="F5237">
            <v>0</v>
          </cell>
          <cell r="G5237">
            <v>0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</row>
        <row r="5238">
          <cell r="D5238">
            <v>304150</v>
          </cell>
          <cell r="E5238" t="str">
            <v>Iligan City NSOF</v>
          </cell>
          <cell r="F5238">
            <v>1</v>
          </cell>
          <cell r="G5238">
            <v>0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</row>
        <row r="5239">
          <cell r="D5239">
            <v>304148</v>
          </cell>
          <cell r="E5239" t="str">
            <v>Iligan City East HS - Santiago HS Annex</v>
          </cell>
          <cell r="F5239">
            <v>1</v>
          </cell>
          <cell r="G5239">
            <v>1</v>
          </cell>
          <cell r="H5239">
            <v>1</v>
          </cell>
          <cell r="I5239">
            <v>0</v>
          </cell>
          <cell r="J5239">
            <v>1</v>
          </cell>
          <cell r="K5239">
            <v>0</v>
          </cell>
          <cell r="L5239">
            <v>0</v>
          </cell>
          <cell r="M5239">
            <v>0</v>
          </cell>
          <cell r="N5239">
            <v>1</v>
          </cell>
          <cell r="O5239">
            <v>0</v>
          </cell>
          <cell r="P5239">
            <v>0</v>
          </cell>
          <cell r="Q5239">
            <v>0</v>
          </cell>
          <cell r="R5239">
            <v>1</v>
          </cell>
          <cell r="S5239">
            <v>0</v>
          </cell>
          <cell r="T5239">
            <v>0</v>
          </cell>
          <cell r="U5239">
            <v>0</v>
          </cell>
          <cell r="V5239">
            <v>1</v>
          </cell>
          <cell r="W5239">
            <v>0</v>
          </cell>
          <cell r="X5239">
            <v>0</v>
          </cell>
          <cell r="Y5239">
            <v>0</v>
          </cell>
        </row>
        <row r="5240">
          <cell r="D5240">
            <v>303958</v>
          </cell>
          <cell r="E5240" t="str">
            <v>Kalilangan National High School</v>
          </cell>
          <cell r="F5240">
            <v>1</v>
          </cell>
          <cell r="G5240">
            <v>1</v>
          </cell>
          <cell r="H5240">
            <v>1</v>
          </cell>
          <cell r="I5240">
            <v>0</v>
          </cell>
          <cell r="J5240">
            <v>1</v>
          </cell>
          <cell r="K5240">
            <v>0</v>
          </cell>
          <cell r="L5240">
            <v>0</v>
          </cell>
          <cell r="M5240">
            <v>0</v>
          </cell>
          <cell r="N5240">
            <v>1</v>
          </cell>
          <cell r="O5240">
            <v>43615</v>
          </cell>
          <cell r="P5240">
            <v>0</v>
          </cell>
          <cell r="Q5240">
            <v>0</v>
          </cell>
          <cell r="R5240">
            <v>1</v>
          </cell>
          <cell r="S5240">
            <v>0</v>
          </cell>
          <cell r="T5240">
            <v>0</v>
          </cell>
          <cell r="U5240">
            <v>0</v>
          </cell>
          <cell r="V5240">
            <v>1</v>
          </cell>
          <cell r="W5240">
            <v>5</v>
          </cell>
          <cell r="X5240">
            <v>2</v>
          </cell>
          <cell r="Y5240">
            <v>2</v>
          </cell>
        </row>
        <row r="5241">
          <cell r="D5241">
            <v>304034</v>
          </cell>
          <cell r="E5241" t="str">
            <v>Diwat National High School</v>
          </cell>
          <cell r="F5241">
            <v>1</v>
          </cell>
          <cell r="G5241">
            <v>1</v>
          </cell>
          <cell r="H5241">
            <v>1</v>
          </cell>
          <cell r="I5241">
            <v>0</v>
          </cell>
          <cell r="J5241">
            <v>0</v>
          </cell>
          <cell r="K5241">
            <v>1</v>
          </cell>
          <cell r="L5241">
            <v>0</v>
          </cell>
          <cell r="M5241">
            <v>0</v>
          </cell>
          <cell r="N5241">
            <v>1</v>
          </cell>
          <cell r="O5241" t="str">
            <v>06/24/2019</v>
          </cell>
          <cell r="P5241" t="str">
            <v>11/15/2019</v>
          </cell>
          <cell r="Q5241">
            <v>1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1</v>
          </cell>
          <cell r="W5241">
            <v>0</v>
          </cell>
          <cell r="X5241">
            <v>0</v>
          </cell>
          <cell r="Y5241">
            <v>0</v>
          </cell>
        </row>
        <row r="5242">
          <cell r="D5242">
            <v>304140</v>
          </cell>
          <cell r="E5242" t="str">
            <v>Bunawan Agri. HS</v>
          </cell>
          <cell r="F5242">
            <v>1</v>
          </cell>
          <cell r="G5242">
            <v>1</v>
          </cell>
          <cell r="H5242">
            <v>1</v>
          </cell>
          <cell r="I5242">
            <v>0</v>
          </cell>
          <cell r="J5242">
            <v>1</v>
          </cell>
          <cell r="K5242">
            <v>0</v>
          </cell>
          <cell r="L5242">
            <v>0</v>
          </cell>
          <cell r="M5242">
            <v>0</v>
          </cell>
          <cell r="N5242">
            <v>1</v>
          </cell>
          <cell r="O5242">
            <v>0</v>
          </cell>
          <cell r="P5242">
            <v>43671</v>
          </cell>
          <cell r="Q5242">
            <v>0</v>
          </cell>
          <cell r="R5242">
            <v>1</v>
          </cell>
          <cell r="S5242">
            <v>0</v>
          </cell>
          <cell r="T5242">
            <v>0</v>
          </cell>
          <cell r="U5242">
            <v>0</v>
          </cell>
          <cell r="V5242">
            <v>1</v>
          </cell>
          <cell r="W5242">
            <v>7</v>
          </cell>
          <cell r="X5242">
            <v>0</v>
          </cell>
          <cell r="Y5242">
            <v>0</v>
          </cell>
        </row>
        <row r="5243">
          <cell r="D5243">
            <v>314926</v>
          </cell>
          <cell r="E5243" t="str">
            <v>San Andres NHS - Cabadiangan Annex</v>
          </cell>
          <cell r="F5243">
            <v>1</v>
          </cell>
          <cell r="G5243">
            <v>1</v>
          </cell>
          <cell r="H5243">
            <v>1</v>
          </cell>
          <cell r="I5243">
            <v>0</v>
          </cell>
          <cell r="J5243">
            <v>1</v>
          </cell>
          <cell r="K5243">
            <v>0</v>
          </cell>
          <cell r="L5243">
            <v>0</v>
          </cell>
          <cell r="M5243">
            <v>0</v>
          </cell>
          <cell r="N5243">
            <v>1</v>
          </cell>
          <cell r="O5243" t="str">
            <v>SEPTEMBER 10, 2019</v>
          </cell>
          <cell r="P5243" t="str">
            <v>N/A</v>
          </cell>
          <cell r="Q5243">
            <v>0</v>
          </cell>
          <cell r="R5243">
            <v>0</v>
          </cell>
          <cell r="S5243">
            <v>0</v>
          </cell>
          <cell r="T5243">
            <v>1</v>
          </cell>
          <cell r="U5243" t="str">
            <v>N/A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</row>
        <row r="5244">
          <cell r="D5244">
            <v>303997</v>
          </cell>
          <cell r="E5244" t="str">
            <v>Yumbing National High School</v>
          </cell>
          <cell r="F5244">
            <v>1</v>
          </cell>
          <cell r="G5244">
            <v>1</v>
          </cell>
          <cell r="H5244">
            <v>1</v>
          </cell>
          <cell r="I5244">
            <v>0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1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</row>
        <row r="5245">
          <cell r="D5245">
            <v>303983</v>
          </cell>
          <cell r="E5245" t="str">
            <v>Sankanan NHS</v>
          </cell>
          <cell r="F5245">
            <v>1</v>
          </cell>
          <cell r="G5245">
            <v>1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 t="str">
            <v>N/A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</row>
        <row r="5246">
          <cell r="D5246">
            <v>303952</v>
          </cell>
          <cell r="E5246" t="str">
            <v>Cabulohan-Paradise NHS</v>
          </cell>
          <cell r="F5246">
            <v>1</v>
          </cell>
          <cell r="G5246">
            <v>1</v>
          </cell>
          <cell r="H5246">
            <v>1</v>
          </cell>
          <cell r="I5246">
            <v>0</v>
          </cell>
          <cell r="J5246">
            <v>0</v>
          </cell>
          <cell r="K5246">
            <v>1</v>
          </cell>
          <cell r="L5246">
            <v>0</v>
          </cell>
          <cell r="M5246">
            <v>0</v>
          </cell>
          <cell r="N5246">
            <v>1</v>
          </cell>
          <cell r="O5246">
            <v>0</v>
          </cell>
          <cell r="P5246">
            <v>0</v>
          </cell>
          <cell r="Q5246">
            <v>0</v>
          </cell>
          <cell r="R5246">
            <v>1</v>
          </cell>
          <cell r="S5246">
            <v>0</v>
          </cell>
          <cell r="T5246">
            <v>0</v>
          </cell>
          <cell r="U5246">
            <v>0</v>
          </cell>
          <cell r="V5246">
            <v>1</v>
          </cell>
          <cell r="W5246">
            <v>1</v>
          </cell>
          <cell r="X5246">
            <v>0</v>
          </cell>
          <cell r="Y5246">
            <v>0</v>
          </cell>
        </row>
        <row r="5247">
          <cell r="D5247">
            <v>304039</v>
          </cell>
          <cell r="E5247" t="str">
            <v>Colambutan Bajo NHS</v>
          </cell>
          <cell r="F5247">
            <v>1</v>
          </cell>
          <cell r="G5247">
            <v>1</v>
          </cell>
          <cell r="H5247">
            <v>1</v>
          </cell>
          <cell r="I5247">
            <v>0</v>
          </cell>
          <cell r="J5247">
            <v>0</v>
          </cell>
          <cell r="K5247">
            <v>1</v>
          </cell>
          <cell r="L5247">
            <v>0</v>
          </cell>
          <cell r="M5247">
            <v>0</v>
          </cell>
          <cell r="N5247">
            <v>1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1</v>
          </cell>
          <cell r="T5247">
            <v>0</v>
          </cell>
          <cell r="U5247">
            <v>0</v>
          </cell>
          <cell r="V5247">
            <v>1</v>
          </cell>
          <cell r="W5247">
            <v>0</v>
          </cell>
          <cell r="X5247">
            <v>0</v>
          </cell>
          <cell r="Y5247">
            <v>0</v>
          </cell>
        </row>
        <row r="5248">
          <cell r="D5248">
            <v>304055</v>
          </cell>
          <cell r="E5248" t="str">
            <v>Sinonoc NHS</v>
          </cell>
          <cell r="F5248">
            <v>1</v>
          </cell>
          <cell r="G5248">
            <v>1</v>
          </cell>
          <cell r="H5248">
            <v>0</v>
          </cell>
          <cell r="I5248">
            <v>0</v>
          </cell>
          <cell r="J5248">
            <v>0</v>
          </cell>
          <cell r="K5248">
            <v>1</v>
          </cell>
          <cell r="L5248">
            <v>0</v>
          </cell>
          <cell r="M5248">
            <v>0</v>
          </cell>
          <cell r="N5248">
            <v>1</v>
          </cell>
          <cell r="O5248">
            <v>43672</v>
          </cell>
          <cell r="P5248">
            <v>43700</v>
          </cell>
          <cell r="Q5248">
            <v>0</v>
          </cell>
          <cell r="R5248">
            <v>0</v>
          </cell>
          <cell r="S5248">
            <v>1</v>
          </cell>
          <cell r="T5248">
            <v>0</v>
          </cell>
          <cell r="U5248">
            <v>0</v>
          </cell>
          <cell r="V5248">
            <v>1</v>
          </cell>
          <cell r="W5248">
            <v>1</v>
          </cell>
          <cell r="X5248">
            <v>0</v>
          </cell>
          <cell r="Y5248">
            <v>0</v>
          </cell>
        </row>
        <row r="5249">
          <cell r="D5249">
            <v>303944</v>
          </cell>
          <cell r="E5249" t="str">
            <v>Alae NHS</v>
          </cell>
          <cell r="F5249">
            <v>1</v>
          </cell>
          <cell r="G5249">
            <v>1</v>
          </cell>
          <cell r="H5249">
            <v>1</v>
          </cell>
          <cell r="I5249">
            <v>0</v>
          </cell>
          <cell r="J5249">
            <v>0</v>
          </cell>
          <cell r="K5249">
            <v>1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1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2</v>
          </cell>
          <cell r="X5249">
            <v>2</v>
          </cell>
          <cell r="Y5249">
            <v>2</v>
          </cell>
        </row>
        <row r="5250">
          <cell r="D5250">
            <v>303971</v>
          </cell>
          <cell r="E5250" t="str">
            <v>Malinao National High School</v>
          </cell>
          <cell r="F5250">
            <v>1</v>
          </cell>
          <cell r="G5250">
            <v>0</v>
          </cell>
          <cell r="H5250">
            <v>1</v>
          </cell>
          <cell r="I5250">
            <v>0</v>
          </cell>
          <cell r="J5250">
            <v>0</v>
          </cell>
          <cell r="K5250">
            <v>0</v>
          </cell>
          <cell r="L5250">
            <v>0</v>
          </cell>
          <cell r="M5250">
            <v>0</v>
          </cell>
          <cell r="N5250">
            <v>1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</row>
        <row r="5251">
          <cell r="D5251">
            <v>303980</v>
          </cell>
          <cell r="E5251" t="str">
            <v>San Andres National High School</v>
          </cell>
          <cell r="F5251">
            <v>1</v>
          </cell>
          <cell r="G5251">
            <v>1</v>
          </cell>
          <cell r="H5251">
            <v>1</v>
          </cell>
          <cell r="I5251">
            <v>0</v>
          </cell>
          <cell r="J5251">
            <v>0</v>
          </cell>
          <cell r="K5251">
            <v>1</v>
          </cell>
          <cell r="L5251">
            <v>0</v>
          </cell>
          <cell r="M5251">
            <v>0</v>
          </cell>
          <cell r="N5251">
            <v>1</v>
          </cell>
          <cell r="O5251">
            <v>43647</v>
          </cell>
          <cell r="P5251">
            <v>0</v>
          </cell>
          <cell r="Q5251">
            <v>0</v>
          </cell>
          <cell r="R5251">
            <v>0</v>
          </cell>
          <cell r="S5251">
            <v>1</v>
          </cell>
          <cell r="T5251">
            <v>0</v>
          </cell>
          <cell r="U5251">
            <v>0</v>
          </cell>
          <cell r="V5251">
            <v>1</v>
          </cell>
          <cell r="W5251">
            <v>10</v>
          </cell>
          <cell r="X5251">
            <v>4</v>
          </cell>
          <cell r="Y5251">
            <v>4</v>
          </cell>
        </row>
        <row r="5252">
          <cell r="D5252">
            <v>304042</v>
          </cell>
          <cell r="E5252" t="str">
            <v>Roque L. SU MNHS (Mabini NHS)</v>
          </cell>
          <cell r="F5252">
            <v>1</v>
          </cell>
          <cell r="G5252">
            <v>1</v>
          </cell>
          <cell r="H5252">
            <v>1</v>
          </cell>
          <cell r="I5252">
            <v>0</v>
          </cell>
          <cell r="J5252">
            <v>1</v>
          </cell>
          <cell r="K5252">
            <v>0</v>
          </cell>
          <cell r="L5252">
            <v>0</v>
          </cell>
          <cell r="M5252">
            <v>0</v>
          </cell>
          <cell r="N5252">
            <v>1</v>
          </cell>
          <cell r="O5252">
            <v>43742</v>
          </cell>
          <cell r="P5252">
            <v>43745</v>
          </cell>
          <cell r="Q5252">
            <v>0</v>
          </cell>
          <cell r="R5252">
            <v>1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3</v>
          </cell>
          <cell r="X5252">
            <v>3</v>
          </cell>
          <cell r="Y5252">
            <v>3</v>
          </cell>
        </row>
        <row r="5253">
          <cell r="D5253">
            <v>314901</v>
          </cell>
          <cell r="E5253" t="str">
            <v>Dalirig NHS</v>
          </cell>
          <cell r="F5253">
            <v>0</v>
          </cell>
          <cell r="G5253">
            <v>0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</row>
        <row r="5254">
          <cell r="D5254">
            <v>303987</v>
          </cell>
          <cell r="E5254" t="str">
            <v>Talakag NHS</v>
          </cell>
          <cell r="F5254">
            <v>1</v>
          </cell>
          <cell r="G5254">
            <v>1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</row>
        <row r="5255">
          <cell r="D5255">
            <v>315606</v>
          </cell>
          <cell r="E5255" t="str">
            <v>Tubaran NHS (Lanipao Annex)</v>
          </cell>
          <cell r="F5255">
            <v>0</v>
          </cell>
          <cell r="G5255">
            <v>0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</row>
        <row r="5256">
          <cell r="D5256">
            <v>314921</v>
          </cell>
          <cell r="E5256" t="str">
            <v>Dologon NHS - Kiharong Annex</v>
          </cell>
          <cell r="F5256">
            <v>1</v>
          </cell>
          <cell r="G5256">
            <v>0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</row>
        <row r="5257">
          <cell r="D5257">
            <v>303994</v>
          </cell>
          <cell r="E5257" t="str">
            <v>Mambajao NHS</v>
          </cell>
          <cell r="F5257">
            <v>1</v>
          </cell>
          <cell r="G5257">
            <v>1</v>
          </cell>
          <cell r="H5257">
            <v>1</v>
          </cell>
          <cell r="I5257">
            <v>0</v>
          </cell>
          <cell r="J5257">
            <v>0</v>
          </cell>
          <cell r="K5257">
            <v>1</v>
          </cell>
          <cell r="L5257">
            <v>0</v>
          </cell>
          <cell r="M5257">
            <v>0</v>
          </cell>
          <cell r="N5257">
            <v>1</v>
          </cell>
          <cell r="O5257">
            <v>43647</v>
          </cell>
          <cell r="P5257">
            <v>43647</v>
          </cell>
          <cell r="Q5257">
            <v>1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2</v>
          </cell>
          <cell r="X5257">
            <v>0</v>
          </cell>
          <cell r="Y5257">
            <v>0</v>
          </cell>
        </row>
        <row r="5258">
          <cell r="D5258">
            <v>314907</v>
          </cell>
          <cell r="E5258" t="str">
            <v>Little Baguio National High School</v>
          </cell>
          <cell r="F5258">
            <v>1</v>
          </cell>
          <cell r="G5258">
            <v>1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</row>
        <row r="5259">
          <cell r="D5259">
            <v>303947</v>
          </cell>
          <cell r="E5259" t="str">
            <v>Baungon National High School</v>
          </cell>
          <cell r="F5259">
            <v>1</v>
          </cell>
          <cell r="G5259">
            <v>0</v>
          </cell>
          <cell r="H5259">
            <v>1</v>
          </cell>
          <cell r="I5259">
            <v>0</v>
          </cell>
          <cell r="J5259">
            <v>1</v>
          </cell>
          <cell r="K5259">
            <v>0</v>
          </cell>
          <cell r="L5259">
            <v>0</v>
          </cell>
          <cell r="M5259">
            <v>0</v>
          </cell>
          <cell r="N5259">
            <v>1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1</v>
          </cell>
          <cell r="T5259">
            <v>0</v>
          </cell>
          <cell r="U5259">
            <v>0</v>
          </cell>
          <cell r="V5259">
            <v>0</v>
          </cell>
          <cell r="W5259">
            <v>3</v>
          </cell>
          <cell r="X5259">
            <v>0</v>
          </cell>
          <cell r="Y5259">
            <v>0</v>
          </cell>
        </row>
        <row r="5260">
          <cell r="D5260">
            <v>303964</v>
          </cell>
          <cell r="E5260" t="str">
            <v>Kitubo National High School</v>
          </cell>
          <cell r="F5260">
            <v>0</v>
          </cell>
          <cell r="G5260">
            <v>0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</row>
        <row r="5261">
          <cell r="D5261">
            <v>304026</v>
          </cell>
          <cell r="E5261" t="str">
            <v>Banglay NHS</v>
          </cell>
          <cell r="F5261">
            <v>0</v>
          </cell>
          <cell r="G5261">
            <v>0</v>
          </cell>
          <cell r="H5261">
            <v>1</v>
          </cell>
          <cell r="I5261">
            <v>0</v>
          </cell>
          <cell r="J5261">
            <v>1</v>
          </cell>
          <cell r="K5261">
            <v>0</v>
          </cell>
          <cell r="L5261">
            <v>0</v>
          </cell>
          <cell r="M5261">
            <v>0</v>
          </cell>
          <cell r="N5261">
            <v>1</v>
          </cell>
          <cell r="O5261">
            <v>43784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1</v>
          </cell>
          <cell r="X5261">
            <v>1</v>
          </cell>
          <cell r="Y5261">
            <v>1</v>
          </cell>
        </row>
        <row r="5262">
          <cell r="D5262">
            <v>303959</v>
          </cell>
          <cell r="E5262" t="str">
            <v>Kibatang National High School</v>
          </cell>
          <cell r="F5262">
            <v>1</v>
          </cell>
          <cell r="G5262">
            <v>1</v>
          </cell>
          <cell r="H5262">
            <v>1</v>
          </cell>
          <cell r="I5262">
            <v>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1</v>
          </cell>
          <cell r="O5262">
            <v>0</v>
          </cell>
          <cell r="P5262">
            <v>0</v>
          </cell>
          <cell r="Q5262">
            <v>1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1</v>
          </cell>
          <cell r="W5262">
            <v>0</v>
          </cell>
          <cell r="X5262">
            <v>0</v>
          </cell>
          <cell r="Y5262">
            <v>0</v>
          </cell>
        </row>
        <row r="5263">
          <cell r="D5263">
            <v>303991</v>
          </cell>
          <cell r="E5263" t="str">
            <v>Guinsiliban National High School</v>
          </cell>
          <cell r="F5263">
            <v>1</v>
          </cell>
          <cell r="G5263">
            <v>1</v>
          </cell>
          <cell r="H5263">
            <v>1</v>
          </cell>
          <cell r="I5263">
            <v>1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N5263">
            <v>1</v>
          </cell>
          <cell r="O5263">
            <v>43594</v>
          </cell>
          <cell r="P5263">
            <v>43594</v>
          </cell>
          <cell r="Q5263">
            <v>1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1</v>
          </cell>
          <cell r="W5263">
            <v>0</v>
          </cell>
          <cell r="X5263">
            <v>0</v>
          </cell>
          <cell r="Y5263">
            <v>0</v>
          </cell>
        </row>
        <row r="5264">
          <cell r="D5264">
            <v>303996</v>
          </cell>
          <cell r="E5264" t="str">
            <v>Tupsan NHS</v>
          </cell>
          <cell r="F5264">
            <v>1</v>
          </cell>
          <cell r="G5264">
            <v>1</v>
          </cell>
          <cell r="H5264">
            <v>1</v>
          </cell>
          <cell r="I5264">
            <v>0</v>
          </cell>
          <cell r="J5264">
            <v>0</v>
          </cell>
          <cell r="K5264">
            <v>1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1</v>
          </cell>
          <cell r="R5264">
            <v>0</v>
          </cell>
          <cell r="S5264">
            <v>0</v>
          </cell>
          <cell r="T5264">
            <v>1</v>
          </cell>
          <cell r="U5264" t="str">
            <v>August, 2019</v>
          </cell>
          <cell r="V5264">
            <v>1</v>
          </cell>
          <cell r="W5264">
            <v>1</v>
          </cell>
          <cell r="X5264">
            <v>0</v>
          </cell>
          <cell r="Y5264">
            <v>0</v>
          </cell>
        </row>
        <row r="5265">
          <cell r="D5265">
            <v>304037</v>
          </cell>
          <cell r="E5265" t="str">
            <v>Jimenez NCHS</v>
          </cell>
          <cell r="F5265">
            <v>0</v>
          </cell>
          <cell r="G5265">
            <v>0</v>
          </cell>
          <cell r="H5265">
            <v>1</v>
          </cell>
          <cell r="I5265">
            <v>0</v>
          </cell>
          <cell r="J5265">
            <v>1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1</v>
          </cell>
          <cell r="U5265" t="str">
            <v>to be conducted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</row>
        <row r="5266">
          <cell r="D5266">
            <v>304024</v>
          </cell>
          <cell r="E5266" t="str">
            <v>Aloran Trade HS</v>
          </cell>
          <cell r="F5266">
            <v>1</v>
          </cell>
          <cell r="G5266">
            <v>1</v>
          </cell>
          <cell r="H5266">
            <v>1</v>
          </cell>
          <cell r="I5266">
            <v>0</v>
          </cell>
          <cell r="J5266">
            <v>0</v>
          </cell>
          <cell r="K5266">
            <v>1</v>
          </cell>
          <cell r="L5266">
            <v>0</v>
          </cell>
          <cell r="M5266">
            <v>0</v>
          </cell>
          <cell r="N5266">
            <v>1</v>
          </cell>
          <cell r="O5266" t="str">
            <v>October 18, 2019</v>
          </cell>
          <cell r="P5266">
            <v>0</v>
          </cell>
          <cell r="Q5266">
            <v>0</v>
          </cell>
          <cell r="R5266">
            <v>0</v>
          </cell>
          <cell r="S5266">
            <v>1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</row>
        <row r="5267">
          <cell r="D5267">
            <v>303951</v>
          </cell>
          <cell r="E5267" t="str">
            <v>Bukidnon NSHI</v>
          </cell>
          <cell r="F5267">
            <v>1</v>
          </cell>
          <cell r="G5267">
            <v>1</v>
          </cell>
          <cell r="H5267">
            <v>1</v>
          </cell>
          <cell r="I5267">
            <v>0</v>
          </cell>
          <cell r="J5267">
            <v>1</v>
          </cell>
          <cell r="K5267">
            <v>0</v>
          </cell>
          <cell r="L5267">
            <v>0</v>
          </cell>
          <cell r="M5267">
            <v>0</v>
          </cell>
          <cell r="N5267">
            <v>1</v>
          </cell>
          <cell r="O5267">
            <v>0</v>
          </cell>
          <cell r="P5267">
            <v>0</v>
          </cell>
          <cell r="Q5267">
            <v>1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1</v>
          </cell>
          <cell r="W5267">
            <v>0</v>
          </cell>
          <cell r="X5267">
            <v>0</v>
          </cell>
          <cell r="Y5267">
            <v>0</v>
          </cell>
        </row>
        <row r="5268">
          <cell r="D5268">
            <v>304151</v>
          </cell>
          <cell r="E5268" t="str">
            <v>Mainit High School</v>
          </cell>
          <cell r="F5268">
            <v>0</v>
          </cell>
          <cell r="G5268">
            <v>0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</row>
        <row r="5269">
          <cell r="D5269">
            <v>304143</v>
          </cell>
          <cell r="E5269" t="str">
            <v>Dalipuga National High School</v>
          </cell>
          <cell r="F5269">
            <v>1</v>
          </cell>
          <cell r="G5269">
            <v>1</v>
          </cell>
          <cell r="H5269">
            <v>1</v>
          </cell>
          <cell r="I5269">
            <v>0</v>
          </cell>
          <cell r="J5269">
            <v>1</v>
          </cell>
          <cell r="K5269">
            <v>0</v>
          </cell>
          <cell r="L5269">
            <v>0</v>
          </cell>
          <cell r="M5269">
            <v>0</v>
          </cell>
          <cell r="N5269">
            <v>1</v>
          </cell>
          <cell r="O5269">
            <v>43770</v>
          </cell>
          <cell r="P5269">
            <v>0</v>
          </cell>
          <cell r="Q5269">
            <v>0</v>
          </cell>
          <cell r="R5269">
            <v>1</v>
          </cell>
          <cell r="S5269">
            <v>0</v>
          </cell>
          <cell r="T5269">
            <v>0</v>
          </cell>
          <cell r="U5269">
            <v>0</v>
          </cell>
          <cell r="V5269">
            <v>1</v>
          </cell>
          <cell r="W5269">
            <v>216</v>
          </cell>
          <cell r="X5269">
            <v>216</v>
          </cell>
          <cell r="Y5269">
            <v>216</v>
          </cell>
        </row>
        <row r="5270">
          <cell r="D5270">
            <v>315211</v>
          </cell>
          <cell r="E5270" t="str">
            <v>Lampasan Integrated School</v>
          </cell>
          <cell r="F5270">
            <v>1</v>
          </cell>
          <cell r="G5270">
            <v>1</v>
          </cell>
          <cell r="H5270">
            <v>1</v>
          </cell>
          <cell r="I5270">
            <v>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43627</v>
          </cell>
          <cell r="P5270">
            <v>0</v>
          </cell>
          <cell r="Q5270">
            <v>1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1</v>
          </cell>
          <cell r="W5270">
            <v>0</v>
          </cell>
          <cell r="X5270">
            <v>0</v>
          </cell>
          <cell r="Y5270">
            <v>0</v>
          </cell>
        </row>
        <row r="5271">
          <cell r="D5271">
            <v>304138</v>
          </cell>
          <cell r="E5271" t="str">
            <v>Acelo C. Badelles, Sr. MHS (Tipanoy NHS)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</row>
        <row r="5272">
          <cell r="D5272">
            <v>314919</v>
          </cell>
          <cell r="E5272" t="str">
            <v>Tikalaan National High School</v>
          </cell>
          <cell r="F5272">
            <v>1</v>
          </cell>
          <cell r="G5272">
            <v>0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</row>
        <row r="5273">
          <cell r="D5273">
            <v>314930</v>
          </cell>
          <cell r="E5273" t="str">
            <v>Apyao National High School</v>
          </cell>
          <cell r="F5273">
            <v>1</v>
          </cell>
          <cell r="G5273">
            <v>1</v>
          </cell>
          <cell r="H5273">
            <v>0</v>
          </cell>
          <cell r="I5273">
            <v>0</v>
          </cell>
          <cell r="J5273">
            <v>1</v>
          </cell>
          <cell r="K5273">
            <v>1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1</v>
          </cell>
          <cell r="S5273">
            <v>0</v>
          </cell>
          <cell r="T5273">
            <v>0</v>
          </cell>
          <cell r="U5273">
            <v>0</v>
          </cell>
          <cell r="V5273">
            <v>1</v>
          </cell>
          <cell r="W5273">
            <v>0</v>
          </cell>
          <cell r="X5273">
            <v>0</v>
          </cell>
          <cell r="Y5273">
            <v>0</v>
          </cell>
        </row>
        <row r="5274">
          <cell r="D5274">
            <v>304025</v>
          </cell>
          <cell r="E5274" t="str">
            <v>Baliangao SOF</v>
          </cell>
          <cell r="F5274">
            <v>1</v>
          </cell>
          <cell r="G5274">
            <v>1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1</v>
          </cell>
          <cell r="M5274" t="str">
            <v>N/A</v>
          </cell>
          <cell r="N5274">
            <v>0</v>
          </cell>
          <cell r="O5274" t="str">
            <v>N/A</v>
          </cell>
          <cell r="P5274" t="str">
            <v>N/A</v>
          </cell>
          <cell r="Q5274">
            <v>0</v>
          </cell>
          <cell r="R5274">
            <v>0</v>
          </cell>
          <cell r="S5274">
            <v>0</v>
          </cell>
          <cell r="T5274">
            <v>1</v>
          </cell>
          <cell r="U5274" t="str">
            <v>N/A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</row>
        <row r="5275">
          <cell r="D5275">
            <v>304046</v>
          </cell>
          <cell r="E5275" t="str">
            <v>Nueva Vista National High School</v>
          </cell>
          <cell r="F5275">
            <v>1</v>
          </cell>
          <cell r="G5275">
            <v>0</v>
          </cell>
          <cell r="H5275">
            <v>1</v>
          </cell>
          <cell r="I5275">
            <v>0</v>
          </cell>
          <cell r="J5275">
            <v>0</v>
          </cell>
          <cell r="K5275">
            <v>1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</row>
        <row r="5276">
          <cell r="D5276">
            <v>304028</v>
          </cell>
          <cell r="E5276" t="str">
            <v>Bonifacio NHS</v>
          </cell>
          <cell r="F5276">
            <v>1</v>
          </cell>
          <cell r="G5276">
            <v>1</v>
          </cell>
          <cell r="H5276">
            <v>1</v>
          </cell>
          <cell r="I5276">
            <v>0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N5276">
            <v>1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1</v>
          </cell>
          <cell r="W5276">
            <v>0</v>
          </cell>
          <cell r="X5276">
            <v>0</v>
          </cell>
          <cell r="Y5276">
            <v>0</v>
          </cell>
        </row>
        <row r="5277">
          <cell r="D5277">
            <v>304035</v>
          </cell>
          <cell r="E5277" t="str">
            <v>Don Victoriano NHS</v>
          </cell>
          <cell r="F5277">
            <v>1</v>
          </cell>
          <cell r="G5277">
            <v>0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</row>
        <row r="5278">
          <cell r="D5278">
            <v>315407</v>
          </cell>
          <cell r="E5278" t="str">
            <v>East Gusa National High School</v>
          </cell>
          <cell r="F5278">
            <v>1</v>
          </cell>
          <cell r="G5278">
            <v>0</v>
          </cell>
          <cell r="H5278">
            <v>1</v>
          </cell>
          <cell r="I5278">
            <v>0</v>
          </cell>
          <cell r="J5278">
            <v>1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 t="str">
            <v>n/a</v>
          </cell>
          <cell r="P5278" t="str">
            <v>n/a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</row>
        <row r="5279">
          <cell r="D5279">
            <v>304043</v>
          </cell>
          <cell r="E5279" t="str">
            <v>Macalibre Alto NHS</v>
          </cell>
          <cell r="F5279">
            <v>1</v>
          </cell>
          <cell r="G5279">
            <v>0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 t="str">
            <v>n/a</v>
          </cell>
          <cell r="P5279" t="str">
            <v>n/a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</row>
        <row r="5280">
          <cell r="D5280">
            <v>303945</v>
          </cell>
          <cell r="E5280" t="str">
            <v>Bacusanon National High School</v>
          </cell>
          <cell r="F5280">
            <v>0</v>
          </cell>
          <cell r="G5280">
            <v>0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</row>
        <row r="5281">
          <cell r="D5281">
            <v>304050</v>
          </cell>
          <cell r="E5281" t="str">
            <v>Santa Maria NHS</v>
          </cell>
          <cell r="F5281">
            <v>1</v>
          </cell>
          <cell r="G5281">
            <v>1</v>
          </cell>
          <cell r="H5281">
            <v>1</v>
          </cell>
          <cell r="I5281">
            <v>0</v>
          </cell>
          <cell r="J5281">
            <v>0</v>
          </cell>
          <cell r="K5281">
            <v>1</v>
          </cell>
          <cell r="L5281">
            <v>0</v>
          </cell>
          <cell r="M5281">
            <v>0</v>
          </cell>
          <cell r="N5281">
            <v>1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</row>
        <row r="5282">
          <cell r="D5282">
            <v>303956</v>
          </cell>
          <cell r="E5282" t="str">
            <v>Impasugong NHS</v>
          </cell>
          <cell r="F5282">
            <v>0</v>
          </cell>
          <cell r="G5282">
            <v>0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</row>
        <row r="5283">
          <cell r="D5283">
            <v>304144</v>
          </cell>
          <cell r="E5283" t="str">
            <v>Dalipuga NHS - Hindang NHS Annex</v>
          </cell>
          <cell r="F5283">
            <v>0</v>
          </cell>
          <cell r="G5283">
            <v>0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</row>
        <row r="5284">
          <cell r="D5284">
            <v>303955</v>
          </cell>
          <cell r="E5284" t="str">
            <v>Halapitan National High School</v>
          </cell>
          <cell r="F5284">
            <v>1</v>
          </cell>
          <cell r="G5284">
            <v>1</v>
          </cell>
          <cell r="H5284">
            <v>0</v>
          </cell>
          <cell r="I5284">
            <v>0</v>
          </cell>
          <cell r="J5284">
            <v>0</v>
          </cell>
          <cell r="K5284">
            <v>1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43617</v>
          </cell>
          <cell r="Q5284">
            <v>0</v>
          </cell>
          <cell r="R5284">
            <v>0</v>
          </cell>
          <cell r="S5284">
            <v>1</v>
          </cell>
          <cell r="T5284">
            <v>0</v>
          </cell>
          <cell r="U5284">
            <v>0</v>
          </cell>
          <cell r="V5284">
            <v>1</v>
          </cell>
          <cell r="W5284">
            <v>2</v>
          </cell>
          <cell r="X5284">
            <v>0</v>
          </cell>
          <cell r="Y5284">
            <v>0</v>
          </cell>
        </row>
        <row r="5285">
          <cell r="D5285">
            <v>303972</v>
          </cell>
          <cell r="E5285" t="str">
            <v>Malitbog Nat. Agr'I. HS</v>
          </cell>
          <cell r="F5285">
            <v>1</v>
          </cell>
          <cell r="G5285">
            <v>1</v>
          </cell>
          <cell r="H5285">
            <v>0</v>
          </cell>
          <cell r="I5285">
            <v>0</v>
          </cell>
          <cell r="J5285">
            <v>1</v>
          </cell>
          <cell r="K5285">
            <v>0</v>
          </cell>
          <cell r="L5285">
            <v>0</v>
          </cell>
          <cell r="M5285">
            <v>0</v>
          </cell>
          <cell r="N5285">
            <v>1</v>
          </cell>
          <cell r="O5285" t="str">
            <v>8/20/2019</v>
          </cell>
          <cell r="P5285">
            <v>43534</v>
          </cell>
          <cell r="Q5285">
            <v>0</v>
          </cell>
          <cell r="R5285">
            <v>1</v>
          </cell>
          <cell r="S5285">
            <v>0</v>
          </cell>
          <cell r="T5285">
            <v>0</v>
          </cell>
          <cell r="U5285">
            <v>0</v>
          </cell>
          <cell r="V5285">
            <v>1</v>
          </cell>
          <cell r="W5285">
            <v>3</v>
          </cell>
          <cell r="X5285">
            <v>0</v>
          </cell>
          <cell r="Y5285">
            <v>0</v>
          </cell>
        </row>
        <row r="5286">
          <cell r="D5286">
            <v>315207</v>
          </cell>
          <cell r="E5286" t="str">
            <v>Sibugon IS</v>
          </cell>
          <cell r="F5286">
            <v>0</v>
          </cell>
          <cell r="G5286">
            <v>0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</row>
        <row r="5287">
          <cell r="D5287">
            <v>304027</v>
          </cell>
          <cell r="E5287" t="str">
            <v>Bongabong NHS</v>
          </cell>
          <cell r="F5287">
            <v>1</v>
          </cell>
          <cell r="G5287">
            <v>1</v>
          </cell>
          <cell r="H5287">
            <v>1</v>
          </cell>
          <cell r="I5287">
            <v>0</v>
          </cell>
          <cell r="J5287">
            <v>0</v>
          </cell>
          <cell r="K5287">
            <v>1</v>
          </cell>
          <cell r="L5287">
            <v>0</v>
          </cell>
          <cell r="M5287">
            <v>0</v>
          </cell>
          <cell r="N5287">
            <v>0</v>
          </cell>
          <cell r="O5287">
            <v>43556</v>
          </cell>
          <cell r="P5287">
            <v>43556</v>
          </cell>
          <cell r="Q5287">
            <v>0</v>
          </cell>
          <cell r="R5287">
            <v>0</v>
          </cell>
          <cell r="S5287">
            <v>1</v>
          </cell>
          <cell r="T5287">
            <v>0</v>
          </cell>
          <cell r="U5287">
            <v>0</v>
          </cell>
          <cell r="V5287">
            <v>1</v>
          </cell>
          <cell r="W5287">
            <v>0</v>
          </cell>
          <cell r="X5287">
            <v>0</v>
          </cell>
          <cell r="Y5287">
            <v>0</v>
          </cell>
        </row>
        <row r="5288">
          <cell r="D5288">
            <v>315203</v>
          </cell>
          <cell r="E5288" t="str">
            <v>Carmen IS</v>
          </cell>
          <cell r="F5288">
            <v>1</v>
          </cell>
          <cell r="G5288">
            <v>1</v>
          </cell>
          <cell r="H5288">
            <v>1</v>
          </cell>
          <cell r="I5288">
            <v>0</v>
          </cell>
          <cell r="J5288">
            <v>0</v>
          </cell>
          <cell r="K5288">
            <v>1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1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</row>
        <row r="5289">
          <cell r="D5289">
            <v>304132</v>
          </cell>
          <cell r="E5289" t="str">
            <v>Kalipay National High School</v>
          </cell>
          <cell r="F5289">
            <v>1</v>
          </cell>
          <cell r="G5289">
            <v>0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</row>
        <row r="5290">
          <cell r="D5290">
            <v>323301</v>
          </cell>
          <cell r="E5290" t="str">
            <v>Mayor Alfonso Tan High School</v>
          </cell>
          <cell r="F5290">
            <v>0</v>
          </cell>
          <cell r="G5290">
            <v>0</v>
          </cell>
          <cell r="H5290">
            <v>1</v>
          </cell>
          <cell r="I5290">
            <v>0</v>
          </cell>
          <cell r="J5290">
            <v>1</v>
          </cell>
          <cell r="K5290">
            <v>0</v>
          </cell>
          <cell r="L5290">
            <v>0</v>
          </cell>
          <cell r="M5290">
            <v>0</v>
          </cell>
          <cell r="N5290">
            <v>1</v>
          </cell>
          <cell r="O5290">
            <v>0</v>
          </cell>
          <cell r="P5290">
            <v>0</v>
          </cell>
          <cell r="Q5290">
            <v>1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1</v>
          </cell>
          <cell r="W5290">
            <v>0</v>
          </cell>
          <cell r="X5290">
            <v>0</v>
          </cell>
          <cell r="Y5290">
            <v>0</v>
          </cell>
        </row>
        <row r="5291">
          <cell r="D5291">
            <v>303988</v>
          </cell>
          <cell r="E5291" t="str">
            <v>Valencia NHS</v>
          </cell>
          <cell r="F5291">
            <v>1</v>
          </cell>
          <cell r="G5291">
            <v>1</v>
          </cell>
          <cell r="H5291">
            <v>1</v>
          </cell>
          <cell r="I5291">
            <v>0</v>
          </cell>
          <cell r="J5291">
            <v>1</v>
          </cell>
          <cell r="K5291">
            <v>0</v>
          </cell>
          <cell r="L5291">
            <v>0</v>
          </cell>
          <cell r="M5291">
            <v>0</v>
          </cell>
          <cell r="N5291">
            <v>1</v>
          </cell>
          <cell r="O5291">
            <v>0</v>
          </cell>
          <cell r="P5291">
            <v>43739</v>
          </cell>
          <cell r="Q5291">
            <v>0</v>
          </cell>
          <cell r="R5291">
            <v>1</v>
          </cell>
          <cell r="S5291">
            <v>0</v>
          </cell>
          <cell r="T5291">
            <v>0</v>
          </cell>
          <cell r="U5291">
            <v>0</v>
          </cell>
          <cell r="V5291">
            <v>1</v>
          </cell>
          <cell r="W5291">
            <v>0</v>
          </cell>
          <cell r="X5291">
            <v>0</v>
          </cell>
          <cell r="Y5291">
            <v>0</v>
          </cell>
        </row>
        <row r="5292">
          <cell r="D5292">
            <v>315503</v>
          </cell>
          <cell r="E5292" t="str">
            <v>Gingoog City CNHS - LURISA NHS Annex</v>
          </cell>
          <cell r="F5292">
            <v>0</v>
          </cell>
          <cell r="G5292">
            <v>0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</row>
        <row r="5293">
          <cell r="D5293">
            <v>304030</v>
          </cell>
          <cell r="E5293" t="str">
            <v>Calamba CNHS</v>
          </cell>
          <cell r="F5293">
            <v>1</v>
          </cell>
          <cell r="G5293">
            <v>1</v>
          </cell>
          <cell r="H5293">
            <v>1</v>
          </cell>
          <cell r="I5293">
            <v>0</v>
          </cell>
          <cell r="J5293">
            <v>0</v>
          </cell>
          <cell r="K5293">
            <v>0</v>
          </cell>
          <cell r="L5293">
            <v>1</v>
          </cell>
          <cell r="M5293" t="str">
            <v>NOT YET</v>
          </cell>
          <cell r="N5293">
            <v>0</v>
          </cell>
          <cell r="O5293" t="str">
            <v>NOT YET</v>
          </cell>
          <cell r="P5293" t="str">
            <v>NOT YET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</row>
        <row r="5294">
          <cell r="D5294">
            <v>304130</v>
          </cell>
          <cell r="E5294" t="str">
            <v>Gingoog City CNHS</v>
          </cell>
          <cell r="F5294">
            <v>1</v>
          </cell>
          <cell r="G5294">
            <v>1</v>
          </cell>
          <cell r="H5294">
            <v>1</v>
          </cell>
          <cell r="I5294">
            <v>1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1</v>
          </cell>
          <cell r="O5294">
            <v>0</v>
          </cell>
          <cell r="P5294">
            <v>0</v>
          </cell>
          <cell r="Q5294">
            <v>1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1</v>
          </cell>
          <cell r="W5294">
            <v>3</v>
          </cell>
          <cell r="X5294">
            <v>0</v>
          </cell>
          <cell r="Y5294">
            <v>0</v>
          </cell>
        </row>
        <row r="5295">
          <cell r="D5295">
            <v>315507</v>
          </cell>
          <cell r="E5295" t="str">
            <v>Lunao National High School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</row>
        <row r="5296">
          <cell r="D5296">
            <v>304041</v>
          </cell>
          <cell r="E5296" t="str">
            <v>Lorenzo Tan NHS</v>
          </cell>
          <cell r="F5296">
            <v>0</v>
          </cell>
          <cell r="G5296">
            <v>0</v>
          </cell>
          <cell r="H5296">
            <v>1</v>
          </cell>
          <cell r="I5296">
            <v>0</v>
          </cell>
          <cell r="J5296">
            <v>1</v>
          </cell>
          <cell r="K5296">
            <v>0</v>
          </cell>
          <cell r="L5296">
            <v>0</v>
          </cell>
          <cell r="M5296">
            <v>0</v>
          </cell>
          <cell r="N5296">
            <v>1</v>
          </cell>
          <cell r="O5296" t="str">
            <v>Sept. 2019</v>
          </cell>
          <cell r="P5296">
            <v>0</v>
          </cell>
          <cell r="Q5296">
            <v>0</v>
          </cell>
          <cell r="R5296">
            <v>0</v>
          </cell>
          <cell r="S5296">
            <v>1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</row>
        <row r="5297">
          <cell r="D5297">
            <v>305579</v>
          </cell>
          <cell r="E5297" t="str">
            <v>Kanao-Kanao National High School</v>
          </cell>
          <cell r="F5297">
            <v>1</v>
          </cell>
          <cell r="G5297">
            <v>1</v>
          </cell>
          <cell r="H5297">
            <v>0</v>
          </cell>
          <cell r="I5297">
            <v>1</v>
          </cell>
          <cell r="J5297">
            <v>0</v>
          </cell>
          <cell r="K5297">
            <v>0</v>
          </cell>
          <cell r="L5297">
            <v>0</v>
          </cell>
          <cell r="M5297">
            <v>0</v>
          </cell>
          <cell r="N5297">
            <v>1</v>
          </cell>
          <cell r="O5297">
            <v>0</v>
          </cell>
          <cell r="P5297">
            <v>0</v>
          </cell>
          <cell r="Q5297">
            <v>0</v>
          </cell>
          <cell r="R5297">
            <v>1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2</v>
          </cell>
          <cell r="X5297">
            <v>2</v>
          </cell>
          <cell r="Y5297">
            <v>2</v>
          </cell>
        </row>
        <row r="5298">
          <cell r="D5298">
            <v>304205</v>
          </cell>
          <cell r="E5298" t="str">
            <v>Nabunturan NCHS</v>
          </cell>
          <cell r="F5298">
            <v>1</v>
          </cell>
          <cell r="G5298">
            <v>1</v>
          </cell>
          <cell r="H5298">
            <v>1</v>
          </cell>
          <cell r="I5298">
            <v>0</v>
          </cell>
          <cell r="J5298">
            <v>1</v>
          </cell>
          <cell r="K5298">
            <v>0</v>
          </cell>
          <cell r="L5298">
            <v>1</v>
          </cell>
          <cell r="M5298" t="str">
            <v>as needed</v>
          </cell>
          <cell r="N5298">
            <v>1</v>
          </cell>
          <cell r="O5298">
            <v>43661</v>
          </cell>
          <cell r="P5298">
            <v>43661</v>
          </cell>
          <cell r="Q5298">
            <v>0</v>
          </cell>
          <cell r="R5298">
            <v>1</v>
          </cell>
          <cell r="S5298">
            <v>0</v>
          </cell>
          <cell r="T5298">
            <v>1</v>
          </cell>
          <cell r="U5298" t="str">
            <v>as needed</v>
          </cell>
          <cell r="V5298">
            <v>1</v>
          </cell>
          <cell r="W5298">
            <v>6</v>
          </cell>
          <cell r="X5298">
            <v>2</v>
          </cell>
          <cell r="Y5298">
            <v>2</v>
          </cell>
        </row>
        <row r="5299">
          <cell r="D5299">
            <v>304184</v>
          </cell>
          <cell r="E5299" t="str">
            <v>Consuelo M. Valderrama NHS</v>
          </cell>
          <cell r="F5299">
            <v>1</v>
          </cell>
          <cell r="G5299">
            <v>0</v>
          </cell>
          <cell r="H5299">
            <v>1</v>
          </cell>
          <cell r="I5299">
            <v>0</v>
          </cell>
          <cell r="J5299">
            <v>0</v>
          </cell>
          <cell r="K5299">
            <v>1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1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</row>
        <row r="5300">
          <cell r="D5300">
            <v>304199</v>
          </cell>
          <cell r="E5300" t="str">
            <v>Monkayo NHS</v>
          </cell>
          <cell r="F5300">
            <v>1</v>
          </cell>
          <cell r="G5300">
            <v>1</v>
          </cell>
          <cell r="H5300">
            <v>1</v>
          </cell>
          <cell r="I5300">
            <v>1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1</v>
          </cell>
          <cell r="O5300" t="str">
            <v>09/30/2019</v>
          </cell>
          <cell r="P5300">
            <v>43779</v>
          </cell>
          <cell r="Q5300">
            <v>1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1</v>
          </cell>
          <cell r="W5300">
            <v>5</v>
          </cell>
          <cell r="X5300">
            <v>0</v>
          </cell>
          <cell r="Y5300">
            <v>0</v>
          </cell>
        </row>
        <row r="5301">
          <cell r="D5301">
            <v>304177</v>
          </cell>
          <cell r="E5301" t="str">
            <v>Bantacan NHS</v>
          </cell>
          <cell r="F5301">
            <v>1</v>
          </cell>
          <cell r="G5301">
            <v>1</v>
          </cell>
          <cell r="H5301">
            <v>1</v>
          </cell>
          <cell r="I5301">
            <v>0</v>
          </cell>
          <cell r="J5301">
            <v>1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43687</v>
          </cell>
          <cell r="Q5301">
            <v>0</v>
          </cell>
          <cell r="R5301">
            <v>1</v>
          </cell>
          <cell r="S5301">
            <v>0</v>
          </cell>
          <cell r="T5301">
            <v>0</v>
          </cell>
          <cell r="U5301">
            <v>0</v>
          </cell>
          <cell r="V5301">
            <v>1</v>
          </cell>
          <cell r="W5301">
            <v>2</v>
          </cell>
          <cell r="X5301">
            <v>0</v>
          </cell>
          <cell r="Y5301">
            <v>0</v>
          </cell>
        </row>
        <row r="5302">
          <cell r="D5302">
            <v>315820</v>
          </cell>
          <cell r="E5302" t="str">
            <v>Corazon C. Aquino NHS</v>
          </cell>
          <cell r="F5302">
            <v>1</v>
          </cell>
          <cell r="G5302">
            <v>0</v>
          </cell>
          <cell r="H5302">
            <v>1</v>
          </cell>
          <cell r="I5302">
            <v>0</v>
          </cell>
          <cell r="J5302">
            <v>1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1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</row>
        <row r="5303">
          <cell r="D5303">
            <v>304201</v>
          </cell>
          <cell r="E5303" t="str">
            <v>Pasian NHS</v>
          </cell>
          <cell r="F5303">
            <v>1</v>
          </cell>
          <cell r="G5303">
            <v>1</v>
          </cell>
          <cell r="H5303">
            <v>1</v>
          </cell>
          <cell r="I5303">
            <v>0</v>
          </cell>
          <cell r="J5303">
            <v>0</v>
          </cell>
          <cell r="K5303">
            <v>1</v>
          </cell>
          <cell r="L5303">
            <v>0</v>
          </cell>
          <cell r="M5303">
            <v>0</v>
          </cell>
          <cell r="N5303">
            <v>1</v>
          </cell>
          <cell r="O5303">
            <v>43629</v>
          </cell>
          <cell r="P5303">
            <v>43629</v>
          </cell>
          <cell r="Q5303">
            <v>0</v>
          </cell>
          <cell r="R5303">
            <v>0</v>
          </cell>
          <cell r="S5303">
            <v>1</v>
          </cell>
          <cell r="T5303">
            <v>0</v>
          </cell>
          <cell r="U5303">
            <v>0</v>
          </cell>
          <cell r="V5303">
            <v>1</v>
          </cell>
          <cell r="W5303">
            <v>2</v>
          </cell>
          <cell r="X5303">
            <v>2</v>
          </cell>
          <cell r="Y5303">
            <v>1</v>
          </cell>
        </row>
        <row r="5304">
          <cell r="D5304">
            <v>304211</v>
          </cell>
          <cell r="E5304" t="str">
            <v>Tambongon NHS</v>
          </cell>
          <cell r="F5304">
            <v>1</v>
          </cell>
          <cell r="G5304">
            <v>1</v>
          </cell>
          <cell r="H5304">
            <v>1</v>
          </cell>
          <cell r="I5304">
            <v>0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1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</row>
        <row r="5305">
          <cell r="D5305">
            <v>304172</v>
          </cell>
          <cell r="E5305" t="str">
            <v>Andili NHS</v>
          </cell>
          <cell r="F5305">
            <v>1</v>
          </cell>
          <cell r="G5305">
            <v>1</v>
          </cell>
          <cell r="H5305">
            <v>1</v>
          </cell>
          <cell r="I5305">
            <v>0</v>
          </cell>
          <cell r="J5305">
            <v>0</v>
          </cell>
          <cell r="K5305">
            <v>1</v>
          </cell>
          <cell r="L5305">
            <v>1</v>
          </cell>
          <cell r="M5305" t="str">
            <v>as need arises</v>
          </cell>
          <cell r="N5305">
            <v>0</v>
          </cell>
          <cell r="O5305" t="str">
            <v>2017-2018</v>
          </cell>
          <cell r="P5305" t="str">
            <v>2017-2018</v>
          </cell>
          <cell r="Q5305">
            <v>0</v>
          </cell>
          <cell r="R5305">
            <v>0</v>
          </cell>
          <cell r="S5305">
            <v>1</v>
          </cell>
          <cell r="T5305">
            <v>0</v>
          </cell>
          <cell r="U5305">
            <v>0</v>
          </cell>
          <cell r="V5305">
            <v>1</v>
          </cell>
          <cell r="W5305">
            <v>0</v>
          </cell>
          <cell r="X5305">
            <v>0</v>
          </cell>
          <cell r="Y5305">
            <v>0</v>
          </cell>
        </row>
        <row r="5306">
          <cell r="D5306">
            <v>304202</v>
          </cell>
          <cell r="E5306" t="str">
            <v>Montevista NHS</v>
          </cell>
          <cell r="F5306">
            <v>1</v>
          </cell>
          <cell r="G5306">
            <v>0</v>
          </cell>
          <cell r="H5306">
            <v>1</v>
          </cell>
          <cell r="I5306">
            <v>0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43586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</row>
        <row r="5307">
          <cell r="D5307">
            <v>304193</v>
          </cell>
          <cell r="E5307" t="str">
            <v>Atty. Orlando S. Rimando NHS</v>
          </cell>
          <cell r="F5307">
            <v>1</v>
          </cell>
          <cell r="G5307">
            <v>1</v>
          </cell>
          <cell r="H5307">
            <v>1</v>
          </cell>
          <cell r="I5307">
            <v>1</v>
          </cell>
          <cell r="J5307">
            <v>0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1</v>
          </cell>
          <cell r="W5307">
            <v>0</v>
          </cell>
          <cell r="X5307">
            <v>0</v>
          </cell>
          <cell r="Y5307">
            <v>0</v>
          </cell>
        </row>
        <row r="5308">
          <cell r="D5308">
            <v>304203</v>
          </cell>
          <cell r="E5308" t="str">
            <v>Montevista NHS - Annex (DNAS Campus)</v>
          </cell>
          <cell r="F5308">
            <v>1</v>
          </cell>
          <cell r="G5308">
            <v>1</v>
          </cell>
          <cell r="H5308">
            <v>1</v>
          </cell>
          <cell r="I5308">
            <v>0</v>
          </cell>
          <cell r="J5308">
            <v>0</v>
          </cell>
          <cell r="K5308">
            <v>1</v>
          </cell>
          <cell r="L5308">
            <v>0</v>
          </cell>
          <cell r="M5308">
            <v>0</v>
          </cell>
          <cell r="N5308">
            <v>1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1</v>
          </cell>
          <cell r="T5308">
            <v>0</v>
          </cell>
          <cell r="U5308">
            <v>0</v>
          </cell>
          <cell r="V5308">
            <v>1</v>
          </cell>
          <cell r="W5308">
            <v>0</v>
          </cell>
          <cell r="X5308">
            <v>0</v>
          </cell>
          <cell r="Y5308">
            <v>0</v>
          </cell>
        </row>
        <row r="5309">
          <cell r="D5309">
            <v>315803</v>
          </cell>
          <cell r="E5309" t="str">
            <v>Tuboran NHS</v>
          </cell>
          <cell r="F5309">
            <v>0</v>
          </cell>
          <cell r="G5309">
            <v>0</v>
          </cell>
          <cell r="H5309">
            <v>1</v>
          </cell>
          <cell r="I5309">
            <v>0</v>
          </cell>
          <cell r="J5309">
            <v>0</v>
          </cell>
          <cell r="K5309">
            <v>1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1</v>
          </cell>
          <cell r="U5309" t="str">
            <v>NONE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</row>
        <row r="5310">
          <cell r="D5310">
            <v>304206</v>
          </cell>
          <cell r="E5310" t="str">
            <v>New Bataan NHS</v>
          </cell>
          <cell r="F5310">
            <v>1</v>
          </cell>
          <cell r="G5310">
            <v>1</v>
          </cell>
          <cell r="H5310">
            <v>1</v>
          </cell>
          <cell r="I5310">
            <v>0</v>
          </cell>
          <cell r="J5310">
            <v>0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43711</v>
          </cell>
          <cell r="P5310">
            <v>43622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1</v>
          </cell>
          <cell r="W5310">
            <v>2</v>
          </cell>
          <cell r="X5310">
            <v>0</v>
          </cell>
          <cell r="Y5310">
            <v>0</v>
          </cell>
        </row>
        <row r="5311">
          <cell r="D5311">
            <v>315815</v>
          </cell>
          <cell r="E5311" t="str">
            <v>New Albay NHS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 t="str">
            <v>none</v>
          </cell>
          <cell r="P5311" t="str">
            <v>March 16, 2017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1</v>
          </cell>
          <cell r="W5311">
            <v>0</v>
          </cell>
          <cell r="X5311">
            <v>0</v>
          </cell>
          <cell r="Y5311">
            <v>0</v>
          </cell>
        </row>
        <row r="5312">
          <cell r="D5312">
            <v>304181</v>
          </cell>
          <cell r="E5312" t="str">
            <v>Compostela NHS</v>
          </cell>
          <cell r="F5312">
            <v>1</v>
          </cell>
          <cell r="G5312">
            <v>1</v>
          </cell>
          <cell r="H5312">
            <v>1</v>
          </cell>
          <cell r="I5312">
            <v>0</v>
          </cell>
          <cell r="J5312">
            <v>0</v>
          </cell>
          <cell r="K5312">
            <v>1</v>
          </cell>
          <cell r="L5312">
            <v>0</v>
          </cell>
          <cell r="M5312">
            <v>0</v>
          </cell>
          <cell r="N5312">
            <v>1</v>
          </cell>
          <cell r="O5312" t="str">
            <v>OCTOBER 14,2019</v>
          </cell>
          <cell r="P5312" t="str">
            <v>OCTOBER 15,2019</v>
          </cell>
          <cell r="Q5312">
            <v>0</v>
          </cell>
          <cell r="R5312">
            <v>0</v>
          </cell>
          <cell r="S5312">
            <v>1</v>
          </cell>
          <cell r="T5312">
            <v>0</v>
          </cell>
          <cell r="U5312">
            <v>0</v>
          </cell>
          <cell r="V5312">
            <v>1</v>
          </cell>
          <cell r="W5312">
            <v>10</v>
          </cell>
          <cell r="X5312">
            <v>10</v>
          </cell>
          <cell r="Y5312">
            <v>10</v>
          </cell>
        </row>
        <row r="5313">
          <cell r="D5313">
            <v>315807</v>
          </cell>
          <cell r="E5313" t="str">
            <v>Magnaga NHS</v>
          </cell>
          <cell r="F5313">
            <v>1</v>
          </cell>
          <cell r="G5313">
            <v>1</v>
          </cell>
          <cell r="H5313">
            <v>1</v>
          </cell>
          <cell r="I5313">
            <v>0</v>
          </cell>
          <cell r="J5313">
            <v>1</v>
          </cell>
          <cell r="K5313">
            <v>0</v>
          </cell>
          <cell r="L5313">
            <v>0</v>
          </cell>
          <cell r="M5313">
            <v>0</v>
          </cell>
          <cell r="N5313">
            <v>1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1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</row>
        <row r="5314">
          <cell r="D5314">
            <v>304173</v>
          </cell>
          <cell r="E5314" t="str">
            <v>Anibongan NHS</v>
          </cell>
          <cell r="F5314">
            <v>1</v>
          </cell>
          <cell r="G5314">
            <v>0</v>
          </cell>
          <cell r="H5314">
            <v>1</v>
          </cell>
          <cell r="I5314">
            <v>0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1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</row>
        <row r="5315">
          <cell r="D5315">
            <v>304191</v>
          </cell>
          <cell r="E5315" t="str">
            <v>Lorenzo S. Sarmiento Sr. NHS</v>
          </cell>
          <cell r="F5315">
            <v>1</v>
          </cell>
          <cell r="G5315">
            <v>1</v>
          </cell>
          <cell r="H5315">
            <v>1</v>
          </cell>
          <cell r="I5315">
            <v>1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1</v>
          </cell>
          <cell r="O5315" t="str">
            <v>JUNE 21,2019</v>
          </cell>
          <cell r="P5315" t="str">
            <v>JUNE 21,2019</v>
          </cell>
          <cell r="Q5315">
            <v>1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1</v>
          </cell>
          <cell r="W5315">
            <v>0</v>
          </cell>
          <cell r="X5315">
            <v>0</v>
          </cell>
          <cell r="Y5315">
            <v>0</v>
          </cell>
        </row>
        <row r="5316">
          <cell r="D5316">
            <v>301294</v>
          </cell>
          <cell r="E5316" t="str">
            <v>Libaylibay NHS</v>
          </cell>
          <cell r="F5316">
            <v>1</v>
          </cell>
          <cell r="G5316">
            <v>1</v>
          </cell>
          <cell r="H5316">
            <v>1</v>
          </cell>
          <cell r="I5316">
            <v>0</v>
          </cell>
          <cell r="J5316">
            <v>1</v>
          </cell>
          <cell r="K5316">
            <v>0</v>
          </cell>
          <cell r="L5316">
            <v>0</v>
          </cell>
          <cell r="M5316">
            <v>0</v>
          </cell>
          <cell r="N5316">
            <v>1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</row>
        <row r="5317">
          <cell r="D5317">
            <v>304182</v>
          </cell>
          <cell r="E5317" t="str">
            <v>Mangayon NHS</v>
          </cell>
          <cell r="F5317">
            <v>1</v>
          </cell>
          <cell r="G5317">
            <v>1</v>
          </cell>
          <cell r="H5317">
            <v>1</v>
          </cell>
          <cell r="I5317">
            <v>0</v>
          </cell>
          <cell r="J5317">
            <v>0</v>
          </cell>
          <cell r="K5317">
            <v>1</v>
          </cell>
          <cell r="L5317">
            <v>0</v>
          </cell>
          <cell r="M5317">
            <v>0</v>
          </cell>
          <cell r="N5317">
            <v>1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</row>
        <row r="5318">
          <cell r="D5318">
            <v>304192</v>
          </cell>
          <cell r="E5318" t="str">
            <v>Mabini NHS</v>
          </cell>
          <cell r="F5318">
            <v>1</v>
          </cell>
          <cell r="G5318">
            <v>1</v>
          </cell>
          <cell r="H5318">
            <v>1</v>
          </cell>
          <cell r="I5318">
            <v>0</v>
          </cell>
          <cell r="J5318">
            <v>1</v>
          </cell>
          <cell r="K5318">
            <v>0</v>
          </cell>
          <cell r="L5318">
            <v>0</v>
          </cell>
          <cell r="M5318">
            <v>0</v>
          </cell>
          <cell r="N5318">
            <v>1</v>
          </cell>
          <cell r="O5318">
            <v>43699</v>
          </cell>
          <cell r="P5318">
            <v>43651</v>
          </cell>
          <cell r="Q5318">
            <v>0</v>
          </cell>
          <cell r="R5318">
            <v>1</v>
          </cell>
          <cell r="S5318">
            <v>0</v>
          </cell>
          <cell r="T5318">
            <v>0</v>
          </cell>
          <cell r="U5318">
            <v>0</v>
          </cell>
          <cell r="V5318">
            <v>1</v>
          </cell>
          <cell r="W5318">
            <v>3</v>
          </cell>
          <cell r="X5318">
            <v>0</v>
          </cell>
          <cell r="Y5318">
            <v>0</v>
          </cell>
        </row>
        <row r="5319">
          <cell r="D5319">
            <v>315816</v>
          </cell>
          <cell r="E5319" t="str">
            <v>Napnapan NHS</v>
          </cell>
          <cell r="F5319">
            <v>1</v>
          </cell>
          <cell r="G5319">
            <v>0</v>
          </cell>
          <cell r="H5319">
            <v>1</v>
          </cell>
          <cell r="I5319">
            <v>0</v>
          </cell>
          <cell r="J5319">
            <v>0</v>
          </cell>
          <cell r="K5319">
            <v>1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 t="str">
            <v>N/A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</row>
        <row r="5320">
          <cell r="D5320">
            <v>315814</v>
          </cell>
          <cell r="E5320" t="str">
            <v>Andap NHS</v>
          </cell>
          <cell r="F5320">
            <v>1</v>
          </cell>
          <cell r="G5320">
            <v>0</v>
          </cell>
          <cell r="H5320">
            <v>0</v>
          </cell>
          <cell r="I5320">
            <v>0</v>
          </cell>
          <cell r="J5320">
            <v>1</v>
          </cell>
          <cell r="K5320">
            <v>0</v>
          </cell>
          <cell r="L5320">
            <v>0</v>
          </cell>
          <cell r="M5320">
            <v>0</v>
          </cell>
          <cell r="N5320">
            <v>1</v>
          </cell>
          <cell r="O5320">
            <v>43658</v>
          </cell>
          <cell r="P5320" t="str">
            <v>JUNE</v>
          </cell>
          <cell r="Q5320">
            <v>0</v>
          </cell>
          <cell r="R5320">
            <v>0</v>
          </cell>
          <cell r="S5320">
            <v>0</v>
          </cell>
          <cell r="T5320">
            <v>1</v>
          </cell>
          <cell r="U5320" t="str">
            <v>specify</v>
          </cell>
          <cell r="V5320">
            <v>1</v>
          </cell>
          <cell r="W5320">
            <v>0</v>
          </cell>
          <cell r="X5320">
            <v>0</v>
          </cell>
          <cell r="Y5320">
            <v>0</v>
          </cell>
        </row>
        <row r="5321">
          <cell r="D5321">
            <v>300640</v>
          </cell>
          <cell r="E5321" t="str">
            <v>Camansi NHS</v>
          </cell>
          <cell r="F5321">
            <v>1</v>
          </cell>
          <cell r="G5321">
            <v>1</v>
          </cell>
          <cell r="H5321">
            <v>1</v>
          </cell>
          <cell r="I5321">
            <v>0</v>
          </cell>
          <cell r="J5321">
            <v>0</v>
          </cell>
          <cell r="K5321">
            <v>1</v>
          </cell>
          <cell r="L5321">
            <v>0</v>
          </cell>
          <cell r="M5321">
            <v>0</v>
          </cell>
          <cell r="N5321">
            <v>1</v>
          </cell>
          <cell r="O5321">
            <v>43617</v>
          </cell>
          <cell r="P5321">
            <v>0</v>
          </cell>
          <cell r="Q5321">
            <v>0</v>
          </cell>
          <cell r="R5321">
            <v>0</v>
          </cell>
          <cell r="S5321">
            <v>1</v>
          </cell>
          <cell r="T5321">
            <v>0</v>
          </cell>
          <cell r="U5321">
            <v>0</v>
          </cell>
          <cell r="V5321">
            <v>0</v>
          </cell>
          <cell r="W5321">
            <v>0</v>
          </cell>
          <cell r="X5321">
            <v>0</v>
          </cell>
          <cell r="Y5321">
            <v>0</v>
          </cell>
        </row>
        <row r="5322">
          <cell r="D5322">
            <v>304204</v>
          </cell>
          <cell r="E5322" t="str">
            <v>Mayaon NHS</v>
          </cell>
          <cell r="F5322">
            <v>1</v>
          </cell>
          <cell r="G5322">
            <v>0</v>
          </cell>
          <cell r="H5322">
            <v>1</v>
          </cell>
          <cell r="I5322">
            <v>0</v>
          </cell>
          <cell r="J5322">
            <v>1</v>
          </cell>
          <cell r="K5322">
            <v>0</v>
          </cell>
          <cell r="L5322">
            <v>0</v>
          </cell>
          <cell r="M5322">
            <v>0</v>
          </cell>
          <cell r="N5322">
            <v>1</v>
          </cell>
          <cell r="O5322">
            <v>43731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1</v>
          </cell>
          <cell r="U5322" t="str">
            <v>NONE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</row>
        <row r="5323">
          <cell r="D5323">
            <v>304209</v>
          </cell>
          <cell r="E5323" t="str">
            <v>Tagugpo NHS</v>
          </cell>
          <cell r="F5323">
            <v>1</v>
          </cell>
          <cell r="G5323">
            <v>1</v>
          </cell>
          <cell r="H5323">
            <v>0</v>
          </cell>
          <cell r="I5323">
            <v>0</v>
          </cell>
          <cell r="J5323">
            <v>0</v>
          </cell>
          <cell r="K5323">
            <v>1</v>
          </cell>
          <cell r="L5323">
            <v>0</v>
          </cell>
          <cell r="M5323">
            <v>0</v>
          </cell>
          <cell r="N5323">
            <v>0</v>
          </cell>
          <cell r="O5323" t="str">
            <v>N/A</v>
          </cell>
          <cell r="P5323" t="str">
            <v>N/A</v>
          </cell>
          <cell r="Q5323">
            <v>0</v>
          </cell>
          <cell r="R5323">
            <v>0</v>
          </cell>
          <cell r="S5323">
            <v>0</v>
          </cell>
          <cell r="T5323">
            <v>1</v>
          </cell>
          <cell r="U5323" t="str">
            <v>N/A</v>
          </cell>
          <cell r="V5323">
            <v>0</v>
          </cell>
          <cell r="W5323">
            <v>2</v>
          </cell>
          <cell r="X5323">
            <v>0</v>
          </cell>
          <cell r="Y5323">
            <v>0</v>
          </cell>
        </row>
        <row r="5324">
          <cell r="D5324">
            <v>304186</v>
          </cell>
          <cell r="E5324" t="str">
            <v>Elizalde NHS</v>
          </cell>
          <cell r="F5324">
            <v>1</v>
          </cell>
          <cell r="G5324">
            <v>0</v>
          </cell>
          <cell r="H5324">
            <v>1</v>
          </cell>
          <cell r="I5324">
            <v>0</v>
          </cell>
          <cell r="J5324">
            <v>0</v>
          </cell>
          <cell r="K5324">
            <v>0</v>
          </cell>
          <cell r="L5324">
            <v>1</v>
          </cell>
          <cell r="M5324" t="str">
            <v>as need arises</v>
          </cell>
          <cell r="N5324">
            <v>0</v>
          </cell>
          <cell r="O5324" t="str">
            <v>n/a</v>
          </cell>
          <cell r="P5324" t="str">
            <v>n/a</v>
          </cell>
          <cell r="Q5324">
            <v>0</v>
          </cell>
          <cell r="R5324">
            <v>0</v>
          </cell>
          <cell r="S5324">
            <v>0</v>
          </cell>
          <cell r="T5324">
            <v>1</v>
          </cell>
          <cell r="U5324" t="str">
            <v>as need arises</v>
          </cell>
          <cell r="V5324">
            <v>0</v>
          </cell>
          <cell r="W5324">
            <v>4</v>
          </cell>
          <cell r="X5324">
            <v>4</v>
          </cell>
          <cell r="Y5324">
            <v>4</v>
          </cell>
        </row>
        <row r="5325">
          <cell r="D5325">
            <v>304198</v>
          </cell>
          <cell r="E5325" t="str">
            <v>Maragusan NHS</v>
          </cell>
          <cell r="F5325">
            <v>1</v>
          </cell>
          <cell r="G5325">
            <v>1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1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2</v>
          </cell>
          <cell r="X5325">
            <v>1</v>
          </cell>
          <cell r="Y5325">
            <v>0</v>
          </cell>
        </row>
        <row r="5326">
          <cell r="D5326">
            <v>301526</v>
          </cell>
          <cell r="E5326" t="str">
            <v>Pangi NHS</v>
          </cell>
          <cell r="F5326">
            <v>1</v>
          </cell>
          <cell r="G5326">
            <v>0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</row>
        <row r="5327">
          <cell r="D5327">
            <v>304187</v>
          </cell>
          <cell r="E5327" t="str">
            <v>Gabi NHS</v>
          </cell>
          <cell r="F5327">
            <v>1</v>
          </cell>
          <cell r="G5327">
            <v>1</v>
          </cell>
          <cell r="H5327">
            <v>1</v>
          </cell>
          <cell r="I5327">
            <v>1</v>
          </cell>
          <cell r="J5327">
            <v>0</v>
          </cell>
          <cell r="K5327">
            <v>0</v>
          </cell>
          <cell r="L5327">
            <v>0</v>
          </cell>
          <cell r="M5327">
            <v>0</v>
          </cell>
          <cell r="N5327">
            <v>1</v>
          </cell>
          <cell r="O5327" t="str">
            <v>08/19/2019</v>
          </cell>
          <cell r="P5327" t="str">
            <v>08/09/2019</v>
          </cell>
          <cell r="Q5327">
            <v>0</v>
          </cell>
          <cell r="R5327">
            <v>1</v>
          </cell>
          <cell r="S5327">
            <v>0</v>
          </cell>
          <cell r="T5327">
            <v>0</v>
          </cell>
          <cell r="U5327">
            <v>0</v>
          </cell>
          <cell r="V5327">
            <v>1</v>
          </cell>
          <cell r="W5327">
            <v>0</v>
          </cell>
          <cell r="X5327">
            <v>0</v>
          </cell>
          <cell r="Y5327">
            <v>0</v>
          </cell>
        </row>
        <row r="5328">
          <cell r="D5328">
            <v>315802</v>
          </cell>
          <cell r="E5328" t="str">
            <v>Nuevo Iloco NHS</v>
          </cell>
          <cell r="F5328">
            <v>1</v>
          </cell>
          <cell r="G5328">
            <v>1</v>
          </cell>
          <cell r="H5328">
            <v>1</v>
          </cell>
          <cell r="I5328">
            <v>0</v>
          </cell>
          <cell r="J5328">
            <v>1</v>
          </cell>
          <cell r="K5328">
            <v>0</v>
          </cell>
          <cell r="L5328">
            <v>0</v>
          </cell>
          <cell r="M5328">
            <v>0</v>
          </cell>
          <cell r="N5328">
            <v>1</v>
          </cell>
          <cell r="O5328" t="str">
            <v xml:space="preserve">MAY , 2019 </v>
          </cell>
          <cell r="P5328">
            <v>0</v>
          </cell>
          <cell r="Q5328">
            <v>0</v>
          </cell>
          <cell r="R5328">
            <v>1</v>
          </cell>
          <cell r="S5328">
            <v>0</v>
          </cell>
          <cell r="T5328">
            <v>0</v>
          </cell>
          <cell r="U5328">
            <v>0</v>
          </cell>
          <cell r="V5328">
            <v>1</v>
          </cell>
          <cell r="W5328">
            <v>0</v>
          </cell>
          <cell r="X5328">
            <v>0</v>
          </cell>
          <cell r="Y5328">
            <v>0</v>
          </cell>
        </row>
        <row r="5329">
          <cell r="D5329">
            <v>315811</v>
          </cell>
          <cell r="E5329" t="str">
            <v>New Leyte NHS</v>
          </cell>
          <cell r="F5329">
            <v>1</v>
          </cell>
          <cell r="G5329">
            <v>1</v>
          </cell>
          <cell r="H5329">
            <v>0</v>
          </cell>
          <cell r="I5329">
            <v>0</v>
          </cell>
          <cell r="J5329">
            <v>1</v>
          </cell>
          <cell r="K5329">
            <v>0</v>
          </cell>
          <cell r="L5329">
            <v>0</v>
          </cell>
          <cell r="M5329">
            <v>0</v>
          </cell>
          <cell r="N5329">
            <v>1</v>
          </cell>
          <cell r="O5329">
            <v>0</v>
          </cell>
          <cell r="P5329">
            <v>0</v>
          </cell>
          <cell r="Q5329">
            <v>0</v>
          </cell>
          <cell r="R5329">
            <v>1</v>
          </cell>
          <cell r="S5329">
            <v>0</v>
          </cell>
          <cell r="T5329">
            <v>0</v>
          </cell>
          <cell r="U5329">
            <v>0</v>
          </cell>
          <cell r="V5329">
            <v>1</v>
          </cell>
          <cell r="W5329">
            <v>1</v>
          </cell>
          <cell r="X5329">
            <v>0</v>
          </cell>
          <cell r="Y5329">
            <v>0</v>
          </cell>
        </row>
        <row r="5330">
          <cell r="D5330">
            <v>304180</v>
          </cell>
          <cell r="E5330" t="str">
            <v>Camanlangan NHS</v>
          </cell>
          <cell r="F5330">
            <v>0</v>
          </cell>
          <cell r="G5330">
            <v>0</v>
          </cell>
          <cell r="H5330">
            <v>1</v>
          </cell>
          <cell r="I5330">
            <v>0</v>
          </cell>
          <cell r="J5330">
            <v>1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1</v>
          </cell>
          <cell r="U5330" t="str">
            <v>none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</row>
        <row r="5331">
          <cell r="D5331">
            <v>300927</v>
          </cell>
          <cell r="E5331" t="str">
            <v>Diosdado Macapagal NHS</v>
          </cell>
          <cell r="F5331">
            <v>1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 t="str">
            <v>N/A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 t="str">
            <v>N/A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</row>
        <row r="5332">
          <cell r="D5332">
            <v>304208</v>
          </cell>
          <cell r="E5332" t="str">
            <v>Pantukan NHS</v>
          </cell>
          <cell r="F5332">
            <v>1</v>
          </cell>
          <cell r="G5332">
            <v>1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1</v>
          </cell>
          <cell r="X5332">
            <v>0</v>
          </cell>
          <cell r="Y5332">
            <v>0</v>
          </cell>
        </row>
        <row r="5333">
          <cell r="D5333">
            <v>304175</v>
          </cell>
          <cell r="E5333" t="str">
            <v>Araibo NHS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</row>
        <row r="5334">
          <cell r="D5334">
            <v>300667</v>
          </cell>
          <cell r="E5334" t="str">
            <v>Depot Ancestral Domain NHS</v>
          </cell>
          <cell r="F5334">
            <v>1</v>
          </cell>
          <cell r="G5334">
            <v>0</v>
          </cell>
          <cell r="H5334">
            <v>1</v>
          </cell>
          <cell r="I5334">
            <v>0</v>
          </cell>
          <cell r="J5334">
            <v>0</v>
          </cell>
          <cell r="K5334">
            <v>1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</row>
        <row r="5335">
          <cell r="D5335">
            <v>315805</v>
          </cell>
          <cell r="E5335" t="str">
            <v>Pindasan NHS</v>
          </cell>
          <cell r="F5335">
            <v>1</v>
          </cell>
          <cell r="G5335">
            <v>1</v>
          </cell>
          <cell r="H5335">
            <v>1</v>
          </cell>
          <cell r="I5335">
            <v>0</v>
          </cell>
          <cell r="J5335">
            <v>1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1</v>
          </cell>
          <cell r="T5335">
            <v>0</v>
          </cell>
          <cell r="U5335">
            <v>0</v>
          </cell>
          <cell r="V5335">
            <v>1</v>
          </cell>
          <cell r="W5335">
            <v>0</v>
          </cell>
          <cell r="X5335">
            <v>0</v>
          </cell>
          <cell r="Y5335">
            <v>0</v>
          </cell>
        </row>
        <row r="5336">
          <cell r="D5336">
            <v>315823</v>
          </cell>
          <cell r="E5336" t="str">
            <v>New Kapatagan NHS</v>
          </cell>
          <cell r="F5336">
            <v>0</v>
          </cell>
          <cell r="G5336">
            <v>0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</row>
        <row r="5337">
          <cell r="D5337">
            <v>301585</v>
          </cell>
          <cell r="E5337" t="str">
            <v>Panibasan NHS</v>
          </cell>
          <cell r="F5337">
            <v>0</v>
          </cell>
          <cell r="G5337">
            <v>0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</row>
        <row r="5338">
          <cell r="D5338">
            <v>304207</v>
          </cell>
          <cell r="E5338" t="str">
            <v>Paloc NHS</v>
          </cell>
          <cell r="F5338">
            <v>1</v>
          </cell>
          <cell r="G5338">
            <v>0</v>
          </cell>
          <cell r="H5338">
            <v>1</v>
          </cell>
          <cell r="I5338">
            <v>0</v>
          </cell>
          <cell r="J5338">
            <v>0</v>
          </cell>
          <cell r="K5338">
            <v>1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</row>
        <row r="5339">
          <cell r="D5339">
            <v>315809</v>
          </cell>
          <cell r="E5339" t="str">
            <v>Union NHS-Mt. Diwata HS Annex</v>
          </cell>
          <cell r="F5339">
            <v>1</v>
          </cell>
          <cell r="G5339">
            <v>1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</row>
        <row r="5340">
          <cell r="D5340">
            <v>304179</v>
          </cell>
          <cell r="E5340" t="str">
            <v>Bongabong NHS</v>
          </cell>
          <cell r="F5340">
            <v>1</v>
          </cell>
          <cell r="G5340">
            <v>1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</row>
        <row r="5341">
          <cell r="D5341">
            <v>301358</v>
          </cell>
          <cell r="E5341" t="str">
            <v>Mabuhay NHS</v>
          </cell>
          <cell r="F5341">
            <v>1</v>
          </cell>
          <cell r="G5341">
            <v>0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1</v>
          </cell>
          <cell r="X5341">
            <v>0</v>
          </cell>
          <cell r="Y5341">
            <v>0</v>
          </cell>
        </row>
        <row r="5342">
          <cell r="D5342">
            <v>304200</v>
          </cell>
          <cell r="E5342" t="str">
            <v>Awao NHS</v>
          </cell>
          <cell r="F5342">
            <v>1</v>
          </cell>
          <cell r="G5342">
            <v>1</v>
          </cell>
          <cell r="H5342">
            <v>1</v>
          </cell>
          <cell r="I5342">
            <v>0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1</v>
          </cell>
          <cell r="W5342">
            <v>0</v>
          </cell>
          <cell r="X5342">
            <v>0</v>
          </cell>
          <cell r="Y5342">
            <v>0</v>
          </cell>
        </row>
        <row r="5343">
          <cell r="D5343">
            <v>304196</v>
          </cell>
          <cell r="E5343" t="str">
            <v>Maparat NHS</v>
          </cell>
          <cell r="F5343">
            <v>1</v>
          </cell>
          <cell r="G5343">
            <v>1</v>
          </cell>
          <cell r="H5343">
            <v>1</v>
          </cell>
          <cell r="I5343">
            <v>0</v>
          </cell>
          <cell r="J5343">
            <v>0</v>
          </cell>
          <cell r="K5343">
            <v>1</v>
          </cell>
          <cell r="L5343">
            <v>0</v>
          </cell>
          <cell r="M5343">
            <v>0</v>
          </cell>
          <cell r="N5343">
            <v>1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1</v>
          </cell>
          <cell r="W5343">
            <v>0</v>
          </cell>
          <cell r="X5343">
            <v>0</v>
          </cell>
          <cell r="Y5343">
            <v>0</v>
          </cell>
        </row>
        <row r="5344">
          <cell r="D5344">
            <v>304210</v>
          </cell>
          <cell r="E5344" t="str">
            <v>Siocon NHS</v>
          </cell>
          <cell r="F5344">
            <v>1</v>
          </cell>
          <cell r="G5344">
            <v>1</v>
          </cell>
          <cell r="H5344">
            <v>1</v>
          </cell>
          <cell r="I5344">
            <v>0</v>
          </cell>
          <cell r="J5344">
            <v>0</v>
          </cell>
          <cell r="K5344">
            <v>1</v>
          </cell>
          <cell r="L5344">
            <v>0</v>
          </cell>
          <cell r="M5344">
            <v>0</v>
          </cell>
          <cell r="N5344">
            <v>1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1</v>
          </cell>
          <cell r="T5344">
            <v>0</v>
          </cell>
          <cell r="U5344">
            <v>0</v>
          </cell>
          <cell r="V5344">
            <v>1</v>
          </cell>
          <cell r="W5344">
            <v>0</v>
          </cell>
          <cell r="X5344">
            <v>0</v>
          </cell>
          <cell r="Y5344">
            <v>0</v>
          </cell>
        </row>
        <row r="5345">
          <cell r="D5345">
            <v>304190</v>
          </cell>
          <cell r="E5345" t="str">
            <v>Kidawa NHS</v>
          </cell>
          <cell r="F5345">
            <v>1</v>
          </cell>
          <cell r="G5345">
            <v>1</v>
          </cell>
          <cell r="H5345">
            <v>1</v>
          </cell>
          <cell r="I5345">
            <v>0</v>
          </cell>
          <cell r="J5345">
            <v>1</v>
          </cell>
          <cell r="K5345">
            <v>0</v>
          </cell>
          <cell r="L5345">
            <v>0</v>
          </cell>
          <cell r="M5345">
            <v>0</v>
          </cell>
          <cell r="N5345">
            <v>1</v>
          </cell>
          <cell r="O5345">
            <v>0</v>
          </cell>
          <cell r="P5345">
            <v>0</v>
          </cell>
          <cell r="Q5345">
            <v>0</v>
          </cell>
          <cell r="R5345">
            <v>1</v>
          </cell>
          <cell r="S5345">
            <v>0</v>
          </cell>
          <cell r="T5345">
            <v>0</v>
          </cell>
          <cell r="U5345">
            <v>0</v>
          </cell>
          <cell r="V5345">
            <v>1</v>
          </cell>
          <cell r="W5345">
            <v>0</v>
          </cell>
          <cell r="X5345">
            <v>0</v>
          </cell>
          <cell r="Y5345">
            <v>0</v>
          </cell>
        </row>
        <row r="5346">
          <cell r="D5346">
            <v>315801</v>
          </cell>
          <cell r="E5346" t="str">
            <v>Casoon NHS</v>
          </cell>
          <cell r="F5346">
            <v>1</v>
          </cell>
          <cell r="G5346">
            <v>1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1</v>
          </cell>
          <cell r="W5346">
            <v>0</v>
          </cell>
          <cell r="X5346">
            <v>0</v>
          </cell>
          <cell r="Y5346">
            <v>0</v>
          </cell>
        </row>
        <row r="5347">
          <cell r="D5347">
            <v>304195</v>
          </cell>
          <cell r="E5347" t="str">
            <v>Manat NHS</v>
          </cell>
          <cell r="F5347">
            <v>1</v>
          </cell>
          <cell r="G5347">
            <v>1</v>
          </cell>
          <cell r="H5347">
            <v>1</v>
          </cell>
          <cell r="I5347">
            <v>0</v>
          </cell>
          <cell r="J5347">
            <v>0</v>
          </cell>
          <cell r="K5347">
            <v>0</v>
          </cell>
          <cell r="L5347">
            <v>1</v>
          </cell>
          <cell r="M5347">
            <v>0</v>
          </cell>
          <cell r="N5347">
            <v>0</v>
          </cell>
          <cell r="O5347">
            <v>0</v>
          </cell>
          <cell r="P5347">
            <v>43107</v>
          </cell>
          <cell r="Q5347">
            <v>0</v>
          </cell>
          <cell r="R5347">
            <v>0</v>
          </cell>
          <cell r="S5347">
            <v>0</v>
          </cell>
          <cell r="T5347">
            <v>1</v>
          </cell>
          <cell r="U5347" t="str">
            <v>twice a month</v>
          </cell>
          <cell r="V5347">
            <v>1</v>
          </cell>
          <cell r="W5347">
            <v>2</v>
          </cell>
          <cell r="X5347">
            <v>2</v>
          </cell>
          <cell r="Y5347">
            <v>1</v>
          </cell>
        </row>
        <row r="5348">
          <cell r="D5348">
            <v>304174</v>
          </cell>
          <cell r="E5348" t="str">
            <v>Anitapan NHS</v>
          </cell>
          <cell r="F5348">
            <v>1</v>
          </cell>
          <cell r="G5348">
            <v>1</v>
          </cell>
          <cell r="H5348">
            <v>1</v>
          </cell>
          <cell r="I5348">
            <v>0</v>
          </cell>
          <cell r="J5348">
            <v>0</v>
          </cell>
          <cell r="K5348">
            <v>1</v>
          </cell>
          <cell r="L5348">
            <v>0</v>
          </cell>
          <cell r="M5348">
            <v>0</v>
          </cell>
          <cell r="N5348">
            <v>1</v>
          </cell>
          <cell r="O5348">
            <v>43657</v>
          </cell>
          <cell r="P5348">
            <v>43682</v>
          </cell>
          <cell r="Q5348">
            <v>0</v>
          </cell>
          <cell r="R5348">
            <v>0</v>
          </cell>
          <cell r="S5348">
            <v>1</v>
          </cell>
          <cell r="T5348">
            <v>0</v>
          </cell>
          <cell r="U5348">
            <v>0</v>
          </cell>
          <cell r="V5348">
            <v>1</v>
          </cell>
          <cell r="W5348">
            <v>2</v>
          </cell>
          <cell r="X5348">
            <v>0</v>
          </cell>
          <cell r="Y5348">
            <v>0</v>
          </cell>
        </row>
        <row r="5349">
          <cell r="D5349">
            <v>304178</v>
          </cell>
          <cell r="E5349" t="str">
            <v>Bayabas NHS</v>
          </cell>
          <cell r="F5349">
            <v>1</v>
          </cell>
          <cell r="G5349">
            <v>1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</row>
        <row r="5350">
          <cell r="D5350">
            <v>304197</v>
          </cell>
          <cell r="E5350" t="str">
            <v>Mapawa NHS</v>
          </cell>
          <cell r="F5350">
            <v>1</v>
          </cell>
          <cell r="G5350">
            <v>1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12</v>
          </cell>
          <cell r="X5350">
            <v>0</v>
          </cell>
          <cell r="Y5350">
            <v>0</v>
          </cell>
        </row>
        <row r="5351">
          <cell r="D5351">
            <v>304188</v>
          </cell>
          <cell r="E5351" t="str">
            <v>Kapatagan NHS</v>
          </cell>
          <cell r="F5351">
            <v>1</v>
          </cell>
          <cell r="G5351">
            <v>0</v>
          </cell>
          <cell r="H5351">
            <v>1</v>
          </cell>
          <cell r="I5351">
            <v>0</v>
          </cell>
          <cell r="J5351">
            <v>1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 t="str">
            <v>10/29/2019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</row>
        <row r="5352">
          <cell r="D5352">
            <v>315806</v>
          </cell>
          <cell r="E5352" t="str">
            <v>Kao NHS</v>
          </cell>
          <cell r="F5352">
            <v>1</v>
          </cell>
          <cell r="G5352">
            <v>1</v>
          </cell>
          <cell r="H5352">
            <v>1</v>
          </cell>
          <cell r="I5352">
            <v>0</v>
          </cell>
          <cell r="J5352">
            <v>1</v>
          </cell>
          <cell r="K5352">
            <v>0</v>
          </cell>
          <cell r="L5352">
            <v>0</v>
          </cell>
          <cell r="M5352">
            <v>0</v>
          </cell>
          <cell r="N5352">
            <v>1</v>
          </cell>
          <cell r="O5352">
            <v>43728</v>
          </cell>
          <cell r="P5352">
            <v>43752</v>
          </cell>
          <cell r="Q5352">
            <v>1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1</v>
          </cell>
          <cell r="W5352">
            <v>3</v>
          </cell>
          <cell r="X5352">
            <v>1</v>
          </cell>
          <cell r="Y5352">
            <v>3</v>
          </cell>
        </row>
        <row r="5353">
          <cell r="D5353">
            <v>304185</v>
          </cell>
          <cell r="E5353" t="str">
            <v>Don Vicente Romualdez NHS</v>
          </cell>
          <cell r="F5353">
            <v>1</v>
          </cell>
          <cell r="G5353">
            <v>1</v>
          </cell>
          <cell r="H5353">
            <v>1</v>
          </cell>
          <cell r="I5353">
            <v>0</v>
          </cell>
          <cell r="J5353">
            <v>0</v>
          </cell>
          <cell r="K5353">
            <v>1</v>
          </cell>
          <cell r="L5353">
            <v>0</v>
          </cell>
          <cell r="M5353">
            <v>0</v>
          </cell>
          <cell r="N5353">
            <v>1</v>
          </cell>
          <cell r="O5353">
            <v>43658</v>
          </cell>
          <cell r="P5353">
            <v>43661</v>
          </cell>
          <cell r="Q5353">
            <v>0</v>
          </cell>
          <cell r="R5353">
            <v>0</v>
          </cell>
          <cell r="S5353">
            <v>1</v>
          </cell>
          <cell r="T5353">
            <v>0</v>
          </cell>
          <cell r="U5353">
            <v>0</v>
          </cell>
          <cell r="V5353">
            <v>1</v>
          </cell>
          <cell r="W5353">
            <v>0</v>
          </cell>
          <cell r="X5353">
            <v>0</v>
          </cell>
          <cell r="Y5353">
            <v>0</v>
          </cell>
        </row>
        <row r="5354">
          <cell r="D5354">
            <v>304183</v>
          </cell>
          <cell r="E5354" t="str">
            <v>San Miguel NHS</v>
          </cell>
          <cell r="F5354">
            <v>1</v>
          </cell>
          <cell r="G5354">
            <v>1</v>
          </cell>
          <cell r="H5354">
            <v>1</v>
          </cell>
          <cell r="I5354">
            <v>0</v>
          </cell>
          <cell r="J5354">
            <v>0</v>
          </cell>
          <cell r="K5354">
            <v>1</v>
          </cell>
          <cell r="L5354">
            <v>0</v>
          </cell>
          <cell r="M5354">
            <v>0</v>
          </cell>
          <cell r="N5354">
            <v>1</v>
          </cell>
          <cell r="O5354">
            <v>0</v>
          </cell>
          <cell r="P5354">
            <v>0</v>
          </cell>
          <cell r="Q5354">
            <v>0</v>
          </cell>
          <cell r="R5354">
            <v>1</v>
          </cell>
          <cell r="S5354">
            <v>0</v>
          </cell>
          <cell r="T5354">
            <v>0</v>
          </cell>
          <cell r="U5354">
            <v>0</v>
          </cell>
          <cell r="V5354">
            <v>1</v>
          </cell>
          <cell r="W5354">
            <v>0</v>
          </cell>
          <cell r="X5354">
            <v>0</v>
          </cell>
          <cell r="Y5354">
            <v>0</v>
          </cell>
        </row>
        <row r="5355">
          <cell r="D5355">
            <v>304189</v>
          </cell>
          <cell r="E5355" t="str">
            <v>Laak NHS</v>
          </cell>
          <cell r="F5355">
            <v>1</v>
          </cell>
          <cell r="G5355">
            <v>1</v>
          </cell>
          <cell r="H5355">
            <v>1</v>
          </cell>
          <cell r="I5355">
            <v>0</v>
          </cell>
          <cell r="J5355">
            <v>1</v>
          </cell>
          <cell r="K5355">
            <v>0</v>
          </cell>
          <cell r="L5355">
            <v>0</v>
          </cell>
          <cell r="M5355">
            <v>0</v>
          </cell>
          <cell r="N5355">
            <v>1</v>
          </cell>
          <cell r="O5355">
            <v>0</v>
          </cell>
          <cell r="P5355">
            <v>0</v>
          </cell>
          <cell r="Q5355">
            <v>0</v>
          </cell>
          <cell r="R5355">
            <v>1</v>
          </cell>
          <cell r="S5355">
            <v>0</v>
          </cell>
          <cell r="T5355">
            <v>0</v>
          </cell>
          <cell r="U5355">
            <v>0</v>
          </cell>
          <cell r="V5355">
            <v>1</v>
          </cell>
          <cell r="W5355">
            <v>0</v>
          </cell>
          <cell r="X5355">
            <v>0</v>
          </cell>
          <cell r="Y5355">
            <v>0</v>
          </cell>
        </row>
        <row r="5356">
          <cell r="D5356">
            <v>304176</v>
          </cell>
          <cell r="E5356" t="str">
            <v>Babag NHS</v>
          </cell>
          <cell r="F5356">
            <v>1</v>
          </cell>
          <cell r="G5356">
            <v>1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5</v>
          </cell>
          <cell r="X5356">
            <v>0</v>
          </cell>
          <cell r="Y5356">
            <v>0</v>
          </cell>
        </row>
        <row r="5357">
          <cell r="D5357">
            <v>304213</v>
          </cell>
          <cell r="E5357" t="str">
            <v>Tupaz NHS</v>
          </cell>
          <cell r="F5357">
            <v>1</v>
          </cell>
          <cell r="G5357">
            <v>0</v>
          </cell>
          <cell r="H5357">
            <v>1</v>
          </cell>
          <cell r="I5357">
            <v>0</v>
          </cell>
          <cell r="J5357">
            <v>0</v>
          </cell>
          <cell r="K5357">
            <v>0</v>
          </cell>
          <cell r="L5357">
            <v>0</v>
          </cell>
          <cell r="M5357">
            <v>0</v>
          </cell>
          <cell r="N5357">
            <v>1</v>
          </cell>
          <cell r="O5357">
            <v>43644</v>
          </cell>
          <cell r="P5357">
            <v>0</v>
          </cell>
          <cell r="Q5357">
            <v>0</v>
          </cell>
          <cell r="R5357">
            <v>1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</row>
        <row r="5358">
          <cell r="D5358">
            <v>304194</v>
          </cell>
          <cell r="E5358" t="str">
            <v>Mainit NHS</v>
          </cell>
          <cell r="F5358">
            <v>1</v>
          </cell>
          <cell r="G5358">
            <v>0</v>
          </cell>
          <cell r="H5358">
            <v>1</v>
          </cell>
          <cell r="I5358">
            <v>0</v>
          </cell>
          <cell r="J5358">
            <v>0</v>
          </cell>
          <cell r="K5358">
            <v>0</v>
          </cell>
          <cell r="L5358">
            <v>0</v>
          </cell>
          <cell r="M5358" t="str">
            <v>none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 t="str">
            <v>none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</row>
        <row r="5359">
          <cell r="D5359">
            <v>315808</v>
          </cell>
          <cell r="E5359" t="str">
            <v>Ulip NHS</v>
          </cell>
          <cell r="F5359">
            <v>1</v>
          </cell>
          <cell r="G5359">
            <v>1</v>
          </cell>
          <cell r="H5359">
            <v>1</v>
          </cell>
          <cell r="I5359">
            <v>0</v>
          </cell>
          <cell r="J5359">
            <v>0</v>
          </cell>
          <cell r="K5359">
            <v>1</v>
          </cell>
          <cell r="L5359">
            <v>1</v>
          </cell>
          <cell r="M5359">
            <v>0</v>
          </cell>
          <cell r="N5359">
            <v>1</v>
          </cell>
          <cell r="O5359">
            <v>0</v>
          </cell>
          <cell r="P5359">
            <v>0</v>
          </cell>
          <cell r="Q5359">
            <v>0</v>
          </cell>
          <cell r="R5359">
            <v>1</v>
          </cell>
          <cell r="S5359">
            <v>0</v>
          </cell>
          <cell r="T5359">
            <v>0</v>
          </cell>
          <cell r="U5359">
            <v>0</v>
          </cell>
          <cell r="V5359">
            <v>1</v>
          </cell>
          <cell r="W5359">
            <v>0</v>
          </cell>
          <cell r="X5359">
            <v>0</v>
          </cell>
          <cell r="Y5359">
            <v>0</v>
          </cell>
        </row>
        <row r="5360">
          <cell r="D5360">
            <v>300577</v>
          </cell>
          <cell r="E5360" t="str">
            <v>Bagong Silang NHS</v>
          </cell>
          <cell r="F5360">
            <v>1</v>
          </cell>
          <cell r="G5360">
            <v>1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</row>
        <row r="5361">
          <cell r="D5361">
            <v>315812</v>
          </cell>
          <cell r="E5361" t="str">
            <v>San Antonio NHS</v>
          </cell>
          <cell r="F5361">
            <v>1</v>
          </cell>
          <cell r="G5361">
            <v>0</v>
          </cell>
          <cell r="H5361">
            <v>1</v>
          </cell>
          <cell r="I5361">
            <v>0</v>
          </cell>
          <cell r="J5361">
            <v>0</v>
          </cell>
          <cell r="K5361">
            <v>0</v>
          </cell>
          <cell r="L5361">
            <v>0</v>
          </cell>
          <cell r="M5361">
            <v>0</v>
          </cell>
          <cell r="N5361">
            <v>1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</row>
        <row r="5362">
          <cell r="D5362">
            <v>315813</v>
          </cell>
          <cell r="E5362" t="str">
            <v>Langgawisan NHS</v>
          </cell>
          <cell r="F5362">
            <v>0</v>
          </cell>
          <cell r="G5362">
            <v>0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1</v>
          </cell>
          <cell r="U5362" t="str">
            <v>NON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</row>
        <row r="5363">
          <cell r="D5363">
            <v>304214</v>
          </cell>
          <cell r="E5363" t="str">
            <v>Union NHS</v>
          </cell>
          <cell r="F5363">
            <v>0</v>
          </cell>
          <cell r="G5363">
            <v>0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</row>
        <row r="5364">
          <cell r="D5364">
            <v>304212</v>
          </cell>
          <cell r="E5364" t="str">
            <v>Tubo-Tubo NHS</v>
          </cell>
          <cell r="F5364">
            <v>1</v>
          </cell>
          <cell r="G5364">
            <v>1</v>
          </cell>
          <cell r="H5364">
            <v>1</v>
          </cell>
          <cell r="I5364">
            <v>0</v>
          </cell>
          <cell r="J5364">
            <v>0</v>
          </cell>
          <cell r="K5364">
            <v>1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1</v>
          </cell>
          <cell r="X5364">
            <v>0</v>
          </cell>
          <cell r="Y5364">
            <v>0</v>
          </cell>
        </row>
        <row r="5365">
          <cell r="D5365">
            <v>315822</v>
          </cell>
          <cell r="E5365" t="str">
            <v>Golden Valley NHS</v>
          </cell>
          <cell r="F5365">
            <v>1</v>
          </cell>
          <cell r="G5365">
            <v>1</v>
          </cell>
          <cell r="H5365">
            <v>1</v>
          </cell>
          <cell r="I5365">
            <v>0</v>
          </cell>
          <cell r="J5365">
            <v>0</v>
          </cell>
          <cell r="K5365">
            <v>1</v>
          </cell>
          <cell r="L5365">
            <v>0</v>
          </cell>
          <cell r="M5365">
            <v>0</v>
          </cell>
          <cell r="N5365">
            <v>1</v>
          </cell>
          <cell r="O5365">
            <v>43327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1</v>
          </cell>
          <cell r="X5365">
            <v>0</v>
          </cell>
          <cell r="Y5365">
            <v>0</v>
          </cell>
        </row>
        <row r="5366">
          <cell r="D5366">
            <v>315818</v>
          </cell>
          <cell r="E5366" t="str">
            <v>New Sibonga NHS</v>
          </cell>
          <cell r="F5366">
            <v>1</v>
          </cell>
          <cell r="G5366">
            <v>1</v>
          </cell>
          <cell r="H5366">
            <v>1</v>
          </cell>
          <cell r="I5366">
            <v>0</v>
          </cell>
          <cell r="J5366">
            <v>1</v>
          </cell>
          <cell r="K5366">
            <v>0</v>
          </cell>
          <cell r="L5366">
            <v>0</v>
          </cell>
          <cell r="M5366">
            <v>0</v>
          </cell>
          <cell r="N5366">
            <v>1</v>
          </cell>
          <cell r="O5366">
            <v>43711</v>
          </cell>
          <cell r="P5366">
            <v>43789</v>
          </cell>
          <cell r="Q5366">
            <v>0</v>
          </cell>
          <cell r="R5366">
            <v>1</v>
          </cell>
          <cell r="S5366">
            <v>0</v>
          </cell>
          <cell r="T5366">
            <v>0</v>
          </cell>
          <cell r="U5366">
            <v>0</v>
          </cell>
          <cell r="V5366">
            <v>1</v>
          </cell>
          <cell r="W5366">
            <v>3</v>
          </cell>
          <cell r="X5366">
            <v>2</v>
          </cell>
          <cell r="Y5366">
            <v>3</v>
          </cell>
        </row>
        <row r="5367">
          <cell r="D5367">
            <v>315804</v>
          </cell>
          <cell r="E5367" t="str">
            <v>Melale NHS</v>
          </cell>
          <cell r="F5367">
            <v>1</v>
          </cell>
          <cell r="G5367">
            <v>1</v>
          </cell>
          <cell r="H5367">
            <v>1</v>
          </cell>
          <cell r="I5367">
            <v>0</v>
          </cell>
          <cell r="J5367">
            <v>1</v>
          </cell>
          <cell r="K5367">
            <v>0</v>
          </cell>
          <cell r="L5367">
            <v>0</v>
          </cell>
          <cell r="M5367">
            <v>0</v>
          </cell>
          <cell r="N5367">
            <v>1</v>
          </cell>
          <cell r="O5367">
            <v>0</v>
          </cell>
          <cell r="P5367">
            <v>0</v>
          </cell>
          <cell r="Q5367">
            <v>0</v>
          </cell>
          <cell r="R5367">
            <v>1</v>
          </cell>
          <cell r="S5367">
            <v>0</v>
          </cell>
          <cell r="T5367">
            <v>0</v>
          </cell>
          <cell r="U5367">
            <v>0</v>
          </cell>
          <cell r="V5367">
            <v>1</v>
          </cell>
          <cell r="W5367">
            <v>0</v>
          </cell>
          <cell r="X5367">
            <v>0</v>
          </cell>
          <cell r="Y5367">
            <v>0</v>
          </cell>
        </row>
        <row r="5368">
          <cell r="D5368">
            <v>315819</v>
          </cell>
          <cell r="E5368" t="str">
            <v>Bango NHS</v>
          </cell>
          <cell r="F5368">
            <v>1</v>
          </cell>
          <cell r="G5368">
            <v>1</v>
          </cell>
          <cell r="H5368">
            <v>1</v>
          </cell>
          <cell r="I5368">
            <v>0</v>
          </cell>
          <cell r="J5368">
            <v>0</v>
          </cell>
          <cell r="K5368">
            <v>1</v>
          </cell>
          <cell r="L5368">
            <v>0</v>
          </cell>
          <cell r="M5368">
            <v>0</v>
          </cell>
          <cell r="N5368">
            <v>1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1</v>
          </cell>
          <cell r="U5368">
            <v>0</v>
          </cell>
          <cell r="V5368">
            <v>1</v>
          </cell>
          <cell r="W5368">
            <v>0</v>
          </cell>
          <cell r="X5368">
            <v>0</v>
          </cell>
          <cell r="Y5368">
            <v>0</v>
          </cell>
        </row>
        <row r="5369">
          <cell r="D5369">
            <v>304221</v>
          </cell>
          <cell r="E5369" t="str">
            <v>Antonio V. Fruto Sr. NHS</v>
          </cell>
          <cell r="F5369">
            <v>1</v>
          </cell>
          <cell r="G5369">
            <v>1</v>
          </cell>
          <cell r="H5369">
            <v>1</v>
          </cell>
          <cell r="I5369">
            <v>0</v>
          </cell>
          <cell r="J5369">
            <v>1</v>
          </cell>
          <cell r="K5369">
            <v>0</v>
          </cell>
          <cell r="L5369">
            <v>0</v>
          </cell>
          <cell r="M5369">
            <v>0</v>
          </cell>
          <cell r="N5369">
            <v>1</v>
          </cell>
          <cell r="O5369">
            <v>43626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1</v>
          </cell>
          <cell r="U5369" t="str">
            <v>as the need arises</v>
          </cell>
          <cell r="V5369">
            <v>1</v>
          </cell>
          <cell r="W5369">
            <v>1</v>
          </cell>
          <cell r="X5369">
            <v>1</v>
          </cell>
          <cell r="Y5369">
            <v>1</v>
          </cell>
        </row>
        <row r="5370">
          <cell r="D5370">
            <v>304254</v>
          </cell>
          <cell r="E5370" t="str">
            <v>Sto Tomas NHS</v>
          </cell>
          <cell r="F5370">
            <v>1</v>
          </cell>
          <cell r="G5370">
            <v>1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</row>
        <row r="5371">
          <cell r="D5371">
            <v>304229</v>
          </cell>
          <cell r="E5371" t="str">
            <v>Dujali National High School</v>
          </cell>
          <cell r="F5371">
            <v>1</v>
          </cell>
          <cell r="G5371">
            <v>1</v>
          </cell>
          <cell r="H5371">
            <v>1</v>
          </cell>
          <cell r="I5371">
            <v>1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1</v>
          </cell>
          <cell r="O5371" t="str">
            <v>10/22/2019</v>
          </cell>
          <cell r="P5371" t="str">
            <v>10/14/2019</v>
          </cell>
          <cell r="Q5371">
            <v>1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1</v>
          </cell>
          <cell r="W5371">
            <v>2</v>
          </cell>
          <cell r="X5371">
            <v>0</v>
          </cell>
          <cell r="Y5371">
            <v>0</v>
          </cell>
        </row>
        <row r="5372">
          <cell r="D5372">
            <v>304256</v>
          </cell>
          <cell r="E5372" t="str">
            <v>Salvacion NHS</v>
          </cell>
          <cell r="F5372">
            <v>1</v>
          </cell>
          <cell r="G5372">
            <v>0</v>
          </cell>
          <cell r="H5372">
            <v>1</v>
          </cell>
          <cell r="I5372">
            <v>0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1</v>
          </cell>
          <cell r="O5372">
            <v>43166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</row>
        <row r="5373">
          <cell r="D5373">
            <v>304230</v>
          </cell>
          <cell r="E5373" t="str">
            <v>Tanglaw NHS</v>
          </cell>
          <cell r="F5373">
            <v>1</v>
          </cell>
          <cell r="G5373">
            <v>1</v>
          </cell>
          <cell r="H5373">
            <v>1</v>
          </cell>
          <cell r="I5373">
            <v>0</v>
          </cell>
          <cell r="J5373">
            <v>1</v>
          </cell>
          <cell r="K5373">
            <v>0</v>
          </cell>
          <cell r="L5373">
            <v>0</v>
          </cell>
          <cell r="M5373">
            <v>0</v>
          </cell>
          <cell r="N5373">
            <v>1</v>
          </cell>
          <cell r="O5373">
            <v>43617</v>
          </cell>
          <cell r="P5373">
            <v>0</v>
          </cell>
          <cell r="Q5373">
            <v>0</v>
          </cell>
          <cell r="R5373">
            <v>1</v>
          </cell>
          <cell r="S5373">
            <v>0</v>
          </cell>
          <cell r="T5373">
            <v>0</v>
          </cell>
          <cell r="U5373">
            <v>0</v>
          </cell>
          <cell r="V5373">
            <v>1</v>
          </cell>
          <cell r="W5373">
            <v>2</v>
          </cell>
          <cell r="X5373">
            <v>0</v>
          </cell>
          <cell r="Y5373">
            <v>0</v>
          </cell>
        </row>
        <row r="5374">
          <cell r="D5374">
            <v>315904</v>
          </cell>
          <cell r="E5374" t="str">
            <v>La Paz National High School</v>
          </cell>
          <cell r="F5374">
            <v>0</v>
          </cell>
          <cell r="G5374">
            <v>0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</row>
        <row r="5375">
          <cell r="D5375">
            <v>304224</v>
          </cell>
          <cell r="E5375" t="str">
            <v>Datu Balong NHS</v>
          </cell>
          <cell r="F5375">
            <v>1</v>
          </cell>
          <cell r="G5375">
            <v>1</v>
          </cell>
          <cell r="H5375">
            <v>1</v>
          </cell>
          <cell r="I5375">
            <v>0</v>
          </cell>
          <cell r="J5375">
            <v>0</v>
          </cell>
          <cell r="K5375">
            <v>1</v>
          </cell>
          <cell r="L5375">
            <v>1</v>
          </cell>
          <cell r="M5375">
            <v>0</v>
          </cell>
          <cell r="N5375">
            <v>1</v>
          </cell>
          <cell r="O5375" t="str">
            <v>JUNE 4, 2019</v>
          </cell>
          <cell r="P5375" t="str">
            <v>OCTOBER 1, 2019</v>
          </cell>
          <cell r="Q5375">
            <v>0</v>
          </cell>
          <cell r="R5375">
            <v>1</v>
          </cell>
          <cell r="S5375">
            <v>0</v>
          </cell>
          <cell r="T5375">
            <v>0</v>
          </cell>
          <cell r="U5375">
            <v>0</v>
          </cell>
          <cell r="V5375">
            <v>1</v>
          </cell>
          <cell r="W5375">
            <v>2</v>
          </cell>
          <cell r="X5375">
            <v>0</v>
          </cell>
          <cell r="Y5375">
            <v>0</v>
          </cell>
        </row>
        <row r="5376">
          <cell r="D5376">
            <v>304219</v>
          </cell>
          <cell r="E5376" t="str">
            <v>Balagunan National High School</v>
          </cell>
          <cell r="F5376">
            <v>1</v>
          </cell>
          <cell r="G5376">
            <v>1</v>
          </cell>
          <cell r="H5376">
            <v>1</v>
          </cell>
          <cell r="I5376">
            <v>0</v>
          </cell>
          <cell r="J5376">
            <v>1</v>
          </cell>
          <cell r="K5376">
            <v>0</v>
          </cell>
          <cell r="L5376">
            <v>0</v>
          </cell>
          <cell r="M5376">
            <v>0</v>
          </cell>
          <cell r="N5376">
            <v>1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1</v>
          </cell>
          <cell r="W5376">
            <v>0</v>
          </cell>
          <cell r="X5376">
            <v>0</v>
          </cell>
          <cell r="Y5376">
            <v>0</v>
          </cell>
        </row>
        <row r="5377">
          <cell r="D5377">
            <v>315901</v>
          </cell>
          <cell r="E5377" t="str">
            <v>Tubod National High School</v>
          </cell>
          <cell r="F5377">
            <v>1</v>
          </cell>
          <cell r="G5377">
            <v>1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1</v>
          </cell>
          <cell r="W5377">
            <v>1</v>
          </cell>
          <cell r="X5377">
            <v>0</v>
          </cell>
          <cell r="Y5377">
            <v>0</v>
          </cell>
        </row>
        <row r="5378">
          <cell r="D5378">
            <v>304240</v>
          </cell>
          <cell r="E5378" t="str">
            <v>Linao National High School</v>
          </cell>
          <cell r="F5378">
            <v>1</v>
          </cell>
          <cell r="G5378">
            <v>1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</row>
        <row r="5379">
          <cell r="D5379">
            <v>304252</v>
          </cell>
          <cell r="E5379" t="str">
            <v>Sonlon NHS</v>
          </cell>
          <cell r="F5379">
            <v>1</v>
          </cell>
          <cell r="G5379">
            <v>1</v>
          </cell>
          <cell r="H5379">
            <v>1</v>
          </cell>
          <cell r="I5379">
            <v>0</v>
          </cell>
          <cell r="J5379">
            <v>0</v>
          </cell>
          <cell r="K5379">
            <v>1</v>
          </cell>
          <cell r="L5379">
            <v>0</v>
          </cell>
          <cell r="M5379">
            <v>0</v>
          </cell>
          <cell r="N5379">
            <v>1</v>
          </cell>
          <cell r="O5379">
            <v>0</v>
          </cell>
          <cell r="P5379">
            <v>0</v>
          </cell>
          <cell r="Q5379">
            <v>0</v>
          </cell>
          <cell r="R5379">
            <v>1</v>
          </cell>
          <cell r="S5379">
            <v>0</v>
          </cell>
          <cell r="T5379">
            <v>0</v>
          </cell>
          <cell r="U5379">
            <v>0</v>
          </cell>
          <cell r="V5379">
            <v>1</v>
          </cell>
          <cell r="W5379">
            <v>3</v>
          </cell>
          <cell r="X5379">
            <v>0</v>
          </cell>
          <cell r="Y5379">
            <v>0</v>
          </cell>
        </row>
        <row r="5380">
          <cell r="D5380">
            <v>341449</v>
          </cell>
          <cell r="E5380" t="str">
            <v>Davao del Norte Regional Sports Academy</v>
          </cell>
          <cell r="F5380">
            <v>0</v>
          </cell>
          <cell r="G5380">
            <v>0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1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1</v>
          </cell>
          <cell r="U5380">
            <v>0</v>
          </cell>
          <cell r="V5380">
            <v>0</v>
          </cell>
          <cell r="W5380">
            <v>1</v>
          </cell>
          <cell r="X5380">
            <v>0</v>
          </cell>
          <cell r="Y5380">
            <v>0</v>
          </cell>
        </row>
        <row r="5381">
          <cell r="D5381">
            <v>304251</v>
          </cell>
          <cell r="E5381" t="str">
            <v>Sawata NHS</v>
          </cell>
          <cell r="F5381">
            <v>0</v>
          </cell>
          <cell r="G5381">
            <v>0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</row>
        <row r="5382">
          <cell r="D5382">
            <v>304241</v>
          </cell>
          <cell r="E5382" t="str">
            <v>Luna National High School</v>
          </cell>
          <cell r="F5382">
            <v>1</v>
          </cell>
          <cell r="G5382">
            <v>1</v>
          </cell>
          <cell r="H5382">
            <v>1</v>
          </cell>
          <cell r="I5382">
            <v>0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1</v>
          </cell>
          <cell r="O5382">
            <v>43617</v>
          </cell>
          <cell r="P5382">
            <v>43678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1</v>
          </cell>
          <cell r="W5382">
            <v>0</v>
          </cell>
          <cell r="X5382">
            <v>0</v>
          </cell>
          <cell r="Y5382">
            <v>0</v>
          </cell>
        </row>
        <row r="5383">
          <cell r="D5383">
            <v>315905</v>
          </cell>
          <cell r="E5383" t="str">
            <v>Dagohoy National High School</v>
          </cell>
          <cell r="F5383">
            <v>1</v>
          </cell>
          <cell r="G5383">
            <v>0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</row>
        <row r="5384">
          <cell r="D5384">
            <v>305508</v>
          </cell>
          <cell r="E5384" t="str">
            <v>Ramon S. Segundo Sr. NHS</v>
          </cell>
          <cell r="F5384">
            <v>1</v>
          </cell>
          <cell r="G5384">
            <v>1</v>
          </cell>
          <cell r="H5384">
            <v>1</v>
          </cell>
          <cell r="I5384">
            <v>0</v>
          </cell>
          <cell r="J5384">
            <v>0</v>
          </cell>
          <cell r="K5384">
            <v>1</v>
          </cell>
          <cell r="L5384">
            <v>0</v>
          </cell>
          <cell r="M5384">
            <v>0</v>
          </cell>
          <cell r="N5384">
            <v>1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1</v>
          </cell>
          <cell r="T5384">
            <v>0</v>
          </cell>
          <cell r="U5384">
            <v>0</v>
          </cell>
          <cell r="V5384">
            <v>1</v>
          </cell>
          <cell r="W5384">
            <v>1</v>
          </cell>
          <cell r="X5384">
            <v>1</v>
          </cell>
          <cell r="Y5384">
            <v>1</v>
          </cell>
        </row>
        <row r="5385">
          <cell r="D5385">
            <v>304235</v>
          </cell>
          <cell r="E5385" t="str">
            <v>Sua-on National High School</v>
          </cell>
          <cell r="F5385">
            <v>0</v>
          </cell>
          <cell r="G5385">
            <v>0</v>
          </cell>
          <cell r="H5385">
            <v>1</v>
          </cell>
          <cell r="I5385">
            <v>0</v>
          </cell>
          <cell r="J5385">
            <v>0</v>
          </cell>
          <cell r="K5385">
            <v>1</v>
          </cell>
          <cell r="L5385">
            <v>0</v>
          </cell>
          <cell r="M5385">
            <v>0</v>
          </cell>
          <cell r="N5385">
            <v>1</v>
          </cell>
          <cell r="O5385" t="str">
            <v>09/30/2019</v>
          </cell>
          <cell r="P5385" t="str">
            <v>10/15/9019</v>
          </cell>
          <cell r="Q5385">
            <v>0</v>
          </cell>
          <cell r="R5385">
            <v>0</v>
          </cell>
          <cell r="S5385">
            <v>1</v>
          </cell>
          <cell r="T5385">
            <v>0</v>
          </cell>
          <cell r="U5385">
            <v>0</v>
          </cell>
          <cell r="V5385">
            <v>1</v>
          </cell>
          <cell r="W5385">
            <v>0</v>
          </cell>
          <cell r="X5385">
            <v>0</v>
          </cell>
          <cell r="Y5385">
            <v>0</v>
          </cell>
        </row>
        <row r="5386">
          <cell r="D5386">
            <v>304217</v>
          </cell>
          <cell r="E5386" t="str">
            <v>Asuncion National High School</v>
          </cell>
          <cell r="F5386">
            <v>1</v>
          </cell>
          <cell r="G5386">
            <v>1</v>
          </cell>
          <cell r="H5386">
            <v>1</v>
          </cell>
          <cell r="I5386">
            <v>0</v>
          </cell>
          <cell r="J5386">
            <v>1</v>
          </cell>
          <cell r="K5386">
            <v>0</v>
          </cell>
          <cell r="L5386">
            <v>0</v>
          </cell>
          <cell r="M5386">
            <v>0</v>
          </cell>
          <cell r="N5386">
            <v>1</v>
          </cell>
          <cell r="O5386" t="str">
            <v>June 10, 2019</v>
          </cell>
          <cell r="P5386">
            <v>0</v>
          </cell>
          <cell r="Q5386">
            <v>1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1</v>
          </cell>
          <cell r="W5386">
            <v>0</v>
          </cell>
          <cell r="X5386">
            <v>0</v>
          </cell>
          <cell r="Y5386">
            <v>0</v>
          </cell>
        </row>
        <row r="5387">
          <cell r="D5387">
            <v>304228</v>
          </cell>
          <cell r="E5387" t="str">
            <v>Doña Carmen Soriano National High School</v>
          </cell>
          <cell r="F5387">
            <v>1</v>
          </cell>
          <cell r="G5387">
            <v>0</v>
          </cell>
          <cell r="H5387">
            <v>1</v>
          </cell>
          <cell r="I5387">
            <v>0</v>
          </cell>
          <cell r="J5387">
            <v>1</v>
          </cell>
          <cell r="K5387">
            <v>0</v>
          </cell>
          <cell r="L5387">
            <v>0</v>
          </cell>
          <cell r="M5387">
            <v>0</v>
          </cell>
          <cell r="N5387">
            <v>1</v>
          </cell>
          <cell r="O5387">
            <v>43691</v>
          </cell>
          <cell r="P5387">
            <v>43642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</row>
        <row r="5388">
          <cell r="D5388">
            <v>500789</v>
          </cell>
          <cell r="E5388" t="str">
            <v>Sampao IS</v>
          </cell>
          <cell r="F5388">
            <v>1</v>
          </cell>
          <cell r="G5388">
            <v>0</v>
          </cell>
          <cell r="H5388">
            <v>1</v>
          </cell>
          <cell r="I5388">
            <v>0</v>
          </cell>
          <cell r="J5388">
            <v>0</v>
          </cell>
          <cell r="K5388">
            <v>0</v>
          </cell>
          <cell r="L5388">
            <v>0</v>
          </cell>
          <cell r="M5388">
            <v>0</v>
          </cell>
          <cell r="N5388">
            <v>1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1</v>
          </cell>
          <cell r="W5388">
            <v>0</v>
          </cell>
          <cell r="X5388">
            <v>0</v>
          </cell>
          <cell r="Y5388">
            <v>0</v>
          </cell>
        </row>
        <row r="5389">
          <cell r="D5389">
            <v>304255</v>
          </cell>
          <cell r="E5389" t="str">
            <v>La Libertad National High School</v>
          </cell>
          <cell r="F5389">
            <v>1</v>
          </cell>
          <cell r="G5389">
            <v>1</v>
          </cell>
          <cell r="H5389">
            <v>1</v>
          </cell>
          <cell r="I5389">
            <v>1</v>
          </cell>
          <cell r="J5389">
            <v>0</v>
          </cell>
          <cell r="K5389">
            <v>0</v>
          </cell>
          <cell r="L5389">
            <v>0</v>
          </cell>
          <cell r="M5389">
            <v>0</v>
          </cell>
          <cell r="N5389">
            <v>1</v>
          </cell>
          <cell r="O5389">
            <v>43617</v>
          </cell>
          <cell r="P5389">
            <v>43648</v>
          </cell>
          <cell r="Q5389">
            <v>1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1</v>
          </cell>
          <cell r="W5389">
            <v>0</v>
          </cell>
          <cell r="X5389">
            <v>0</v>
          </cell>
          <cell r="Y5389">
            <v>0</v>
          </cell>
        </row>
        <row r="5390">
          <cell r="D5390">
            <v>304257</v>
          </cell>
          <cell r="E5390" t="str">
            <v>Sto. Nino NHS</v>
          </cell>
          <cell r="F5390">
            <v>1</v>
          </cell>
          <cell r="G5390">
            <v>1</v>
          </cell>
          <cell r="H5390">
            <v>1</v>
          </cell>
          <cell r="I5390">
            <v>0</v>
          </cell>
          <cell r="J5390">
            <v>1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43382</v>
          </cell>
          <cell r="Q5390">
            <v>0</v>
          </cell>
          <cell r="R5390">
            <v>1</v>
          </cell>
          <cell r="S5390">
            <v>0</v>
          </cell>
          <cell r="T5390">
            <v>0</v>
          </cell>
          <cell r="U5390">
            <v>0</v>
          </cell>
          <cell r="V5390">
            <v>1</v>
          </cell>
          <cell r="W5390">
            <v>4</v>
          </cell>
          <cell r="X5390">
            <v>4</v>
          </cell>
          <cell r="Y5390">
            <v>0</v>
          </cell>
        </row>
        <row r="5391">
          <cell r="D5391">
            <v>304246</v>
          </cell>
          <cell r="E5391" t="str">
            <v>Marsman NHS</v>
          </cell>
          <cell r="F5391">
            <v>0</v>
          </cell>
          <cell r="G5391">
            <v>0</v>
          </cell>
          <cell r="H5391">
            <v>1</v>
          </cell>
          <cell r="I5391">
            <v>0</v>
          </cell>
          <cell r="J5391">
            <v>0</v>
          </cell>
          <cell r="K5391">
            <v>1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</row>
        <row r="5392">
          <cell r="D5392">
            <v>304242</v>
          </cell>
          <cell r="E5392" t="str">
            <v>Mabantao National High School</v>
          </cell>
          <cell r="F5392">
            <v>1</v>
          </cell>
          <cell r="G5392">
            <v>1</v>
          </cell>
          <cell r="H5392">
            <v>1</v>
          </cell>
          <cell r="I5392">
            <v>0</v>
          </cell>
          <cell r="J5392">
            <v>0</v>
          </cell>
          <cell r="K5392">
            <v>0</v>
          </cell>
          <cell r="L5392">
            <v>1</v>
          </cell>
          <cell r="M5392" t="str">
            <v>as needs arises</v>
          </cell>
          <cell r="N5392">
            <v>1</v>
          </cell>
          <cell r="O5392" t="str">
            <v>July 15,2019</v>
          </cell>
          <cell r="P5392" t="str">
            <v>Sept. 19,2019</v>
          </cell>
          <cell r="Q5392">
            <v>1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1</v>
          </cell>
          <cell r="W5392">
            <v>0</v>
          </cell>
          <cell r="X5392">
            <v>0</v>
          </cell>
          <cell r="Y5392">
            <v>0</v>
          </cell>
        </row>
        <row r="5393">
          <cell r="D5393">
            <v>304222</v>
          </cell>
          <cell r="E5393" t="str">
            <v>Carmen NHS</v>
          </cell>
          <cell r="F5393">
            <v>1</v>
          </cell>
          <cell r="G5393">
            <v>1</v>
          </cell>
          <cell r="H5393">
            <v>1</v>
          </cell>
          <cell r="I5393">
            <v>0</v>
          </cell>
          <cell r="J5393">
            <v>1</v>
          </cell>
          <cell r="K5393">
            <v>0</v>
          </cell>
          <cell r="L5393">
            <v>0</v>
          </cell>
          <cell r="M5393">
            <v>0</v>
          </cell>
          <cell r="N5393">
            <v>1</v>
          </cell>
          <cell r="O5393" t="str">
            <v>JUNE 14, 2019</v>
          </cell>
          <cell r="P5393" t="str">
            <v>JUNE 14, 2019</v>
          </cell>
          <cell r="Q5393">
            <v>0</v>
          </cell>
          <cell r="R5393">
            <v>1</v>
          </cell>
          <cell r="S5393">
            <v>0</v>
          </cell>
          <cell r="T5393">
            <v>0</v>
          </cell>
          <cell r="U5393">
            <v>0</v>
          </cell>
          <cell r="V5393">
            <v>1</v>
          </cell>
          <cell r="W5393">
            <v>0</v>
          </cell>
          <cell r="X5393">
            <v>0</v>
          </cell>
          <cell r="Y5393">
            <v>0</v>
          </cell>
        </row>
        <row r="5394">
          <cell r="D5394">
            <v>304258</v>
          </cell>
          <cell r="E5394" t="str">
            <v>Datu Jose A. Libayao Memorial NHS</v>
          </cell>
          <cell r="F5394">
            <v>0</v>
          </cell>
          <cell r="G5394">
            <v>0</v>
          </cell>
          <cell r="H5394">
            <v>1</v>
          </cell>
          <cell r="I5394">
            <v>0</v>
          </cell>
          <cell r="J5394">
            <v>0</v>
          </cell>
          <cell r="K5394">
            <v>1</v>
          </cell>
          <cell r="L5394">
            <v>0</v>
          </cell>
          <cell r="M5394">
            <v>0</v>
          </cell>
          <cell r="N5394">
            <v>0</v>
          </cell>
          <cell r="O5394" t="str">
            <v>N/A</v>
          </cell>
          <cell r="P5394" t="str">
            <v>N/A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</row>
        <row r="5395">
          <cell r="D5395">
            <v>500452</v>
          </cell>
          <cell r="E5395" t="str">
            <v>Kapatagan Integrated School</v>
          </cell>
          <cell r="F5395">
            <v>1</v>
          </cell>
          <cell r="G5395">
            <v>1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</row>
        <row r="5396">
          <cell r="D5396">
            <v>304233</v>
          </cell>
          <cell r="E5396" t="str">
            <v>Kapalong National High School</v>
          </cell>
          <cell r="F5396">
            <v>1</v>
          </cell>
          <cell r="G5396">
            <v>1</v>
          </cell>
          <cell r="H5396">
            <v>1</v>
          </cell>
          <cell r="I5396">
            <v>0</v>
          </cell>
          <cell r="J5396">
            <v>1</v>
          </cell>
          <cell r="K5396">
            <v>0</v>
          </cell>
          <cell r="L5396">
            <v>0</v>
          </cell>
          <cell r="M5396">
            <v>0</v>
          </cell>
          <cell r="N5396">
            <v>1</v>
          </cell>
          <cell r="O5396">
            <v>43659</v>
          </cell>
          <cell r="P5396">
            <v>43661</v>
          </cell>
          <cell r="Q5396">
            <v>0</v>
          </cell>
          <cell r="R5396">
            <v>1</v>
          </cell>
          <cell r="S5396">
            <v>0</v>
          </cell>
          <cell r="T5396">
            <v>0</v>
          </cell>
          <cell r="U5396">
            <v>0</v>
          </cell>
          <cell r="V5396">
            <v>1</v>
          </cell>
          <cell r="W5396">
            <v>0</v>
          </cell>
          <cell r="X5396">
            <v>0</v>
          </cell>
          <cell r="Y5396">
            <v>0</v>
          </cell>
        </row>
        <row r="5397">
          <cell r="D5397">
            <v>304248</v>
          </cell>
          <cell r="E5397" t="str">
            <v>New Corella National High School</v>
          </cell>
          <cell r="F5397">
            <v>1</v>
          </cell>
          <cell r="G5397">
            <v>1</v>
          </cell>
          <cell r="H5397">
            <v>1</v>
          </cell>
          <cell r="I5397">
            <v>0</v>
          </cell>
          <cell r="J5397">
            <v>1</v>
          </cell>
          <cell r="K5397">
            <v>0</v>
          </cell>
          <cell r="L5397">
            <v>0</v>
          </cell>
          <cell r="M5397">
            <v>0</v>
          </cell>
          <cell r="N5397">
            <v>1</v>
          </cell>
          <cell r="O5397">
            <v>43678</v>
          </cell>
          <cell r="P5397">
            <v>0</v>
          </cell>
          <cell r="Q5397">
            <v>0</v>
          </cell>
          <cell r="R5397">
            <v>1</v>
          </cell>
          <cell r="S5397">
            <v>0</v>
          </cell>
          <cell r="T5397">
            <v>0</v>
          </cell>
          <cell r="U5397">
            <v>0</v>
          </cell>
          <cell r="V5397">
            <v>1</v>
          </cell>
          <cell r="W5397">
            <v>2</v>
          </cell>
          <cell r="X5397">
            <v>2</v>
          </cell>
          <cell r="Y5397">
            <v>0</v>
          </cell>
        </row>
        <row r="5398">
          <cell r="D5398">
            <v>301775</v>
          </cell>
          <cell r="E5398" t="str">
            <v>Benigno Q. Martir NHS</v>
          </cell>
          <cell r="F5398">
            <v>1</v>
          </cell>
          <cell r="G5398">
            <v>0</v>
          </cell>
          <cell r="H5398">
            <v>1</v>
          </cell>
          <cell r="I5398">
            <v>0</v>
          </cell>
          <cell r="J5398">
            <v>0</v>
          </cell>
          <cell r="K5398">
            <v>1</v>
          </cell>
          <cell r="L5398">
            <v>0</v>
          </cell>
          <cell r="M5398">
            <v>0</v>
          </cell>
          <cell r="N5398">
            <v>1</v>
          </cell>
          <cell r="O5398">
            <v>43619</v>
          </cell>
          <cell r="P5398">
            <v>47305</v>
          </cell>
          <cell r="Q5398">
            <v>0</v>
          </cell>
          <cell r="R5398">
            <v>1</v>
          </cell>
          <cell r="S5398">
            <v>0</v>
          </cell>
          <cell r="T5398">
            <v>0</v>
          </cell>
          <cell r="U5398">
            <v>0</v>
          </cell>
          <cell r="V5398">
            <v>1</v>
          </cell>
          <cell r="W5398">
            <v>0</v>
          </cell>
          <cell r="X5398">
            <v>0</v>
          </cell>
          <cell r="Y5398">
            <v>0</v>
          </cell>
        </row>
        <row r="5399">
          <cell r="D5399">
            <v>500847</v>
          </cell>
          <cell r="E5399" t="str">
            <v>Gupitan Integrated School</v>
          </cell>
          <cell r="F5399">
            <v>1</v>
          </cell>
          <cell r="G5399">
            <v>1</v>
          </cell>
          <cell r="H5399">
            <v>1</v>
          </cell>
          <cell r="I5399">
            <v>0</v>
          </cell>
          <cell r="J5399">
            <v>1</v>
          </cell>
          <cell r="K5399">
            <v>0</v>
          </cell>
          <cell r="L5399">
            <v>1</v>
          </cell>
          <cell r="M5399">
            <v>43718</v>
          </cell>
          <cell r="N5399">
            <v>0</v>
          </cell>
          <cell r="O5399">
            <v>43688</v>
          </cell>
          <cell r="P5399">
            <v>43777</v>
          </cell>
          <cell r="Q5399">
            <v>0</v>
          </cell>
          <cell r="R5399">
            <v>1</v>
          </cell>
          <cell r="S5399">
            <v>0</v>
          </cell>
          <cell r="T5399">
            <v>0</v>
          </cell>
          <cell r="U5399">
            <v>0</v>
          </cell>
          <cell r="V5399">
            <v>1</v>
          </cell>
          <cell r="W5399">
            <v>0</v>
          </cell>
          <cell r="X5399">
            <v>0</v>
          </cell>
          <cell r="Y5399">
            <v>0</v>
          </cell>
        </row>
        <row r="5400">
          <cell r="D5400">
            <v>304239</v>
          </cell>
          <cell r="E5400" t="str">
            <v>Limbaan NHS</v>
          </cell>
          <cell r="F5400">
            <v>1</v>
          </cell>
          <cell r="G5400">
            <v>1</v>
          </cell>
          <cell r="H5400">
            <v>1</v>
          </cell>
          <cell r="I5400">
            <v>0</v>
          </cell>
          <cell r="J5400">
            <v>0</v>
          </cell>
          <cell r="K5400">
            <v>1</v>
          </cell>
          <cell r="L5400">
            <v>0</v>
          </cell>
          <cell r="M5400">
            <v>0</v>
          </cell>
          <cell r="N5400">
            <v>1</v>
          </cell>
          <cell r="O5400" t="str">
            <v>NOV.,2019</v>
          </cell>
          <cell r="P5400" t="str">
            <v>JUNE ,2019</v>
          </cell>
          <cell r="Q5400">
            <v>0</v>
          </cell>
          <cell r="R5400">
            <v>0</v>
          </cell>
          <cell r="S5400">
            <v>1</v>
          </cell>
          <cell r="T5400">
            <v>0</v>
          </cell>
          <cell r="U5400">
            <v>0</v>
          </cell>
          <cell r="V5400">
            <v>1</v>
          </cell>
          <cell r="W5400">
            <v>1</v>
          </cell>
          <cell r="X5400">
            <v>0</v>
          </cell>
          <cell r="Y5400">
            <v>0</v>
          </cell>
        </row>
        <row r="5401">
          <cell r="D5401">
            <v>500849</v>
          </cell>
          <cell r="E5401" t="str">
            <v>Macgum Integrated School</v>
          </cell>
          <cell r="F5401">
            <v>1</v>
          </cell>
          <cell r="G5401">
            <v>0</v>
          </cell>
          <cell r="H5401">
            <v>1</v>
          </cell>
          <cell r="I5401">
            <v>0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</row>
        <row r="5402">
          <cell r="D5402">
            <v>315903</v>
          </cell>
          <cell r="E5402" t="str">
            <v>Anibongan NHS</v>
          </cell>
          <cell r="F5402">
            <v>1</v>
          </cell>
          <cell r="G5402">
            <v>1</v>
          </cell>
          <cell r="H5402">
            <v>1</v>
          </cell>
          <cell r="I5402">
            <v>0</v>
          </cell>
          <cell r="J5402">
            <v>1</v>
          </cell>
          <cell r="K5402">
            <v>0</v>
          </cell>
          <cell r="L5402">
            <v>0</v>
          </cell>
          <cell r="M5402">
            <v>0</v>
          </cell>
          <cell r="N5402">
            <v>1</v>
          </cell>
          <cell r="O5402" t="str">
            <v>10/21/2019</v>
          </cell>
          <cell r="P5402">
            <v>43652</v>
          </cell>
          <cell r="Q5402">
            <v>0</v>
          </cell>
          <cell r="R5402">
            <v>0</v>
          </cell>
          <cell r="S5402">
            <v>1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</row>
        <row r="5403">
          <cell r="D5403">
            <v>315906</v>
          </cell>
          <cell r="E5403" t="str">
            <v>Pinamuno National High School</v>
          </cell>
          <cell r="F5403">
            <v>0</v>
          </cell>
          <cell r="G5403">
            <v>0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</row>
        <row r="5404">
          <cell r="D5404">
            <v>500450</v>
          </cell>
          <cell r="E5404" t="str">
            <v>Kinamayan IS</v>
          </cell>
          <cell r="F5404">
            <v>1</v>
          </cell>
          <cell r="G5404">
            <v>1</v>
          </cell>
          <cell r="H5404">
            <v>1</v>
          </cell>
          <cell r="I5404">
            <v>0</v>
          </cell>
          <cell r="J5404">
            <v>1</v>
          </cell>
          <cell r="K5404">
            <v>0</v>
          </cell>
          <cell r="L5404">
            <v>0</v>
          </cell>
          <cell r="M5404">
            <v>0</v>
          </cell>
          <cell r="N5404">
            <v>1</v>
          </cell>
          <cell r="O5404">
            <v>43738</v>
          </cell>
          <cell r="P5404">
            <v>43768</v>
          </cell>
          <cell r="Q5404">
            <v>1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1</v>
          </cell>
          <cell r="W5404">
            <v>0</v>
          </cell>
          <cell r="X5404">
            <v>0</v>
          </cell>
          <cell r="Y5404">
            <v>0</v>
          </cell>
        </row>
        <row r="5405">
          <cell r="D5405">
            <v>304249</v>
          </cell>
          <cell r="E5405" t="str">
            <v>Mesaoy NHS</v>
          </cell>
          <cell r="F5405">
            <v>0</v>
          </cell>
          <cell r="G5405">
            <v>0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1</v>
          </cell>
          <cell r="M5405" t="str">
            <v>none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1</v>
          </cell>
          <cell r="U5405" t="str">
            <v>none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</row>
        <row r="5406">
          <cell r="D5406">
            <v>304244</v>
          </cell>
          <cell r="E5406" t="str">
            <v>MABUHAY NATIONAL HIGH SCHOOL</v>
          </cell>
          <cell r="F5406">
            <v>1</v>
          </cell>
          <cell r="G5406">
            <v>1</v>
          </cell>
          <cell r="H5406">
            <v>1</v>
          </cell>
          <cell r="I5406">
            <v>0</v>
          </cell>
          <cell r="J5406">
            <v>1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42525</v>
          </cell>
          <cell r="P5406" t="str">
            <v>8/25/18</v>
          </cell>
          <cell r="Q5406">
            <v>1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1</v>
          </cell>
          <cell r="W5406">
            <v>3</v>
          </cell>
          <cell r="X5406">
            <v>2</v>
          </cell>
          <cell r="Y5406">
            <v>2</v>
          </cell>
        </row>
        <row r="5407">
          <cell r="D5407">
            <v>500852</v>
          </cell>
          <cell r="E5407" t="str">
            <v>Magwawa Integrated School</v>
          </cell>
          <cell r="F5407">
            <v>1</v>
          </cell>
          <cell r="G5407">
            <v>0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</row>
        <row r="5408">
          <cell r="D5408">
            <v>304243</v>
          </cell>
          <cell r="E5408" t="str">
            <v>Semong National High School</v>
          </cell>
          <cell r="F5408">
            <v>0</v>
          </cell>
          <cell r="G5408">
            <v>0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</row>
        <row r="5409">
          <cell r="D5409">
            <v>304215</v>
          </cell>
          <cell r="E5409" t="str">
            <v>Alejal National High School</v>
          </cell>
          <cell r="F5409">
            <v>0</v>
          </cell>
          <cell r="G5409">
            <v>0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</row>
        <row r="5410">
          <cell r="D5410">
            <v>304218</v>
          </cell>
          <cell r="E5410" t="str">
            <v>Sagayen NHS</v>
          </cell>
          <cell r="F5410">
            <v>1</v>
          </cell>
          <cell r="G5410">
            <v>0</v>
          </cell>
          <cell r="H5410">
            <v>1</v>
          </cell>
          <cell r="I5410">
            <v>1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43635</v>
          </cell>
          <cell r="P5410">
            <v>43535</v>
          </cell>
          <cell r="Q5410">
            <v>0</v>
          </cell>
          <cell r="R5410">
            <v>1</v>
          </cell>
          <cell r="S5410">
            <v>0</v>
          </cell>
          <cell r="T5410">
            <v>0</v>
          </cell>
          <cell r="U5410">
            <v>0</v>
          </cell>
          <cell r="V5410">
            <v>1</v>
          </cell>
          <cell r="W5410">
            <v>0</v>
          </cell>
          <cell r="X5410">
            <v>0</v>
          </cell>
          <cell r="Y5410">
            <v>0</v>
          </cell>
        </row>
        <row r="5411">
          <cell r="D5411">
            <v>304234</v>
          </cell>
          <cell r="E5411" t="str">
            <v>Baltazar Nicor Valenzuela NHS</v>
          </cell>
          <cell r="F5411">
            <v>0</v>
          </cell>
          <cell r="G5411">
            <v>0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</row>
        <row r="5412">
          <cell r="D5412">
            <v>301773</v>
          </cell>
          <cell r="E5412" t="str">
            <v>Dugayan NHS</v>
          </cell>
          <cell r="F5412">
            <v>1</v>
          </cell>
          <cell r="G5412">
            <v>1</v>
          </cell>
          <cell r="H5412">
            <v>1</v>
          </cell>
          <cell r="I5412">
            <v>0</v>
          </cell>
          <cell r="J5412">
            <v>1</v>
          </cell>
          <cell r="K5412">
            <v>0</v>
          </cell>
          <cell r="L5412">
            <v>0</v>
          </cell>
          <cell r="M5412">
            <v>0</v>
          </cell>
          <cell r="N5412">
            <v>1</v>
          </cell>
          <cell r="O5412">
            <v>0</v>
          </cell>
          <cell r="P5412">
            <v>0</v>
          </cell>
          <cell r="Q5412">
            <v>0</v>
          </cell>
          <cell r="R5412">
            <v>1</v>
          </cell>
          <cell r="S5412">
            <v>0</v>
          </cell>
          <cell r="T5412">
            <v>0</v>
          </cell>
          <cell r="U5412">
            <v>0</v>
          </cell>
          <cell r="V5412">
            <v>1</v>
          </cell>
          <cell r="W5412">
            <v>0</v>
          </cell>
          <cell r="X5412">
            <v>0</v>
          </cell>
          <cell r="Y5412">
            <v>0</v>
          </cell>
        </row>
        <row r="5413">
          <cell r="D5413">
            <v>304237</v>
          </cell>
          <cell r="E5413" t="str">
            <v>Kimamon National High School</v>
          </cell>
          <cell r="F5413">
            <v>1</v>
          </cell>
          <cell r="G5413">
            <v>1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</row>
        <row r="5414">
          <cell r="D5414">
            <v>315907</v>
          </cell>
          <cell r="E5414" t="str">
            <v>Sta. Fe National High School</v>
          </cell>
          <cell r="F5414">
            <v>1</v>
          </cell>
          <cell r="G5414">
            <v>1</v>
          </cell>
          <cell r="H5414">
            <v>1</v>
          </cell>
          <cell r="I5414">
            <v>0</v>
          </cell>
          <cell r="J5414">
            <v>0</v>
          </cell>
          <cell r="K5414">
            <v>1</v>
          </cell>
          <cell r="L5414">
            <v>0</v>
          </cell>
          <cell r="M5414">
            <v>0</v>
          </cell>
          <cell r="N5414">
            <v>0</v>
          </cell>
          <cell r="O5414" t="str">
            <v>N/A</v>
          </cell>
          <cell r="P5414" t="str">
            <v>N/A</v>
          </cell>
          <cell r="Q5414">
            <v>0</v>
          </cell>
          <cell r="R5414">
            <v>0</v>
          </cell>
          <cell r="S5414">
            <v>1</v>
          </cell>
          <cell r="T5414">
            <v>0</v>
          </cell>
          <cell r="U5414">
            <v>0</v>
          </cell>
          <cell r="V5414">
            <v>1</v>
          </cell>
          <cell r="W5414">
            <v>0</v>
          </cell>
          <cell r="X5414">
            <v>0</v>
          </cell>
          <cell r="Y5414">
            <v>0</v>
          </cell>
        </row>
        <row r="5415">
          <cell r="D5415">
            <v>315902</v>
          </cell>
          <cell r="E5415" t="str">
            <v>Tulalian NHS</v>
          </cell>
          <cell r="F5415">
            <v>0</v>
          </cell>
          <cell r="G5415">
            <v>0</v>
          </cell>
          <cell r="H5415">
            <v>1</v>
          </cell>
          <cell r="I5415">
            <v>0</v>
          </cell>
          <cell r="J5415">
            <v>0</v>
          </cell>
          <cell r="K5415">
            <v>1</v>
          </cell>
          <cell r="L5415">
            <v>0</v>
          </cell>
          <cell r="M5415">
            <v>0</v>
          </cell>
          <cell r="N5415">
            <v>1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1</v>
          </cell>
          <cell r="T5415">
            <v>0</v>
          </cell>
          <cell r="U5415">
            <v>0</v>
          </cell>
          <cell r="V5415">
            <v>1</v>
          </cell>
          <cell r="W5415">
            <v>0</v>
          </cell>
          <cell r="X5415">
            <v>0</v>
          </cell>
          <cell r="Y5415">
            <v>0</v>
          </cell>
        </row>
        <row r="5416">
          <cell r="D5416">
            <v>304284</v>
          </cell>
          <cell r="E5416" t="str">
            <v>Lower Bala NHS</v>
          </cell>
          <cell r="F5416">
            <v>1</v>
          </cell>
          <cell r="G5416">
            <v>0</v>
          </cell>
          <cell r="H5416">
            <v>1</v>
          </cell>
          <cell r="I5416">
            <v>0</v>
          </cell>
          <cell r="J5416">
            <v>0</v>
          </cell>
          <cell r="K5416">
            <v>1</v>
          </cell>
          <cell r="L5416">
            <v>0</v>
          </cell>
          <cell r="M5416">
            <v>0</v>
          </cell>
          <cell r="N5416">
            <v>1</v>
          </cell>
          <cell r="O5416">
            <v>43329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1</v>
          </cell>
          <cell r="U5416" t="str">
            <v>if needs arises</v>
          </cell>
          <cell r="V5416">
            <v>0</v>
          </cell>
          <cell r="W5416">
            <v>8</v>
          </cell>
          <cell r="X5416">
            <v>8</v>
          </cell>
          <cell r="Y5416">
            <v>0</v>
          </cell>
        </row>
        <row r="5417">
          <cell r="D5417">
            <v>316003</v>
          </cell>
          <cell r="E5417" t="str">
            <v>SALUD CAGAS TECH.&amp; VOC. H.S</v>
          </cell>
          <cell r="F5417">
            <v>1</v>
          </cell>
          <cell r="G5417">
            <v>0</v>
          </cell>
          <cell r="H5417">
            <v>1</v>
          </cell>
          <cell r="I5417">
            <v>0</v>
          </cell>
          <cell r="J5417">
            <v>0</v>
          </cell>
          <cell r="K5417">
            <v>1</v>
          </cell>
          <cell r="L5417">
            <v>0</v>
          </cell>
          <cell r="M5417">
            <v>0</v>
          </cell>
          <cell r="N5417">
            <v>1</v>
          </cell>
          <cell r="O5417">
            <v>43633</v>
          </cell>
          <cell r="P5417" t="str">
            <v>NONE</v>
          </cell>
          <cell r="Q5417">
            <v>0</v>
          </cell>
          <cell r="R5417">
            <v>0</v>
          </cell>
          <cell r="S5417">
            <v>0</v>
          </cell>
          <cell r="T5417">
            <v>1</v>
          </cell>
          <cell r="U5417" t="str">
            <v>NONE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</row>
        <row r="5418">
          <cell r="D5418">
            <v>316004</v>
          </cell>
          <cell r="E5418" t="str">
            <v>SACUB National High School</v>
          </cell>
          <cell r="F5418">
            <v>1</v>
          </cell>
          <cell r="G5418">
            <v>1</v>
          </cell>
          <cell r="H5418">
            <v>0</v>
          </cell>
          <cell r="I5418">
            <v>0</v>
          </cell>
          <cell r="J5418">
            <v>1</v>
          </cell>
          <cell r="K5418">
            <v>0</v>
          </cell>
          <cell r="L5418">
            <v>0</v>
          </cell>
          <cell r="M5418">
            <v>0</v>
          </cell>
          <cell r="N5418">
            <v>1</v>
          </cell>
          <cell r="O5418">
            <v>0</v>
          </cell>
          <cell r="P5418" t="str">
            <v>06/28/2019</v>
          </cell>
          <cell r="Q5418">
            <v>0</v>
          </cell>
          <cell r="R5418">
            <v>1</v>
          </cell>
          <cell r="S5418">
            <v>0</v>
          </cell>
          <cell r="T5418">
            <v>0</v>
          </cell>
          <cell r="U5418">
            <v>0</v>
          </cell>
          <cell r="V5418">
            <v>1</v>
          </cell>
          <cell r="W5418">
            <v>2</v>
          </cell>
          <cell r="X5418">
            <v>1</v>
          </cell>
          <cell r="Y5418">
            <v>0</v>
          </cell>
        </row>
        <row r="5419">
          <cell r="D5419">
            <v>304263</v>
          </cell>
          <cell r="E5419" t="str">
            <v>Federico Yap National High School</v>
          </cell>
          <cell r="F5419">
            <v>1</v>
          </cell>
          <cell r="G5419">
            <v>1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</row>
        <row r="5420">
          <cell r="D5420">
            <v>304277</v>
          </cell>
          <cell r="E5420" t="str">
            <v>Ihan NHS</v>
          </cell>
          <cell r="F5420">
            <v>1</v>
          </cell>
          <cell r="G5420">
            <v>1</v>
          </cell>
          <cell r="H5420">
            <v>1</v>
          </cell>
          <cell r="I5420">
            <v>0</v>
          </cell>
          <cell r="J5420">
            <v>0</v>
          </cell>
          <cell r="K5420">
            <v>1</v>
          </cell>
          <cell r="L5420">
            <v>0</v>
          </cell>
          <cell r="M5420">
            <v>0</v>
          </cell>
          <cell r="N5420">
            <v>0</v>
          </cell>
          <cell r="O5420" t="str">
            <v>N/A</v>
          </cell>
          <cell r="P5420" t="str">
            <v>N/A</v>
          </cell>
          <cell r="Q5420">
            <v>0</v>
          </cell>
          <cell r="R5420">
            <v>1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</row>
        <row r="5421">
          <cell r="D5421">
            <v>316002</v>
          </cell>
          <cell r="E5421" t="str">
            <v>Padada NHS</v>
          </cell>
          <cell r="F5421">
            <v>1</v>
          </cell>
          <cell r="G5421">
            <v>1</v>
          </cell>
          <cell r="H5421">
            <v>1</v>
          </cell>
          <cell r="I5421">
            <v>0</v>
          </cell>
          <cell r="J5421">
            <v>1</v>
          </cell>
          <cell r="K5421">
            <v>0</v>
          </cell>
          <cell r="L5421">
            <v>0</v>
          </cell>
          <cell r="M5421">
            <v>0</v>
          </cell>
          <cell r="N5421">
            <v>1</v>
          </cell>
          <cell r="O5421">
            <v>0</v>
          </cell>
          <cell r="P5421">
            <v>0</v>
          </cell>
          <cell r="Q5421">
            <v>1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1</v>
          </cell>
          <cell r="W5421">
            <v>0</v>
          </cell>
          <cell r="X5421">
            <v>0</v>
          </cell>
          <cell r="Y5421">
            <v>0</v>
          </cell>
        </row>
        <row r="5422">
          <cell r="D5422">
            <v>304265</v>
          </cell>
          <cell r="E5422" t="str">
            <v>Barayong National High School</v>
          </cell>
          <cell r="F5422">
            <v>1</v>
          </cell>
          <cell r="G5422">
            <v>0</v>
          </cell>
          <cell r="H5422">
            <v>1</v>
          </cell>
          <cell r="I5422">
            <v>1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1</v>
          </cell>
          <cell r="O5422" t="str">
            <v>JUNE, 2019</v>
          </cell>
          <cell r="P5422">
            <v>43346</v>
          </cell>
          <cell r="Q5422">
            <v>1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</row>
        <row r="5423">
          <cell r="D5423">
            <v>304297</v>
          </cell>
          <cell r="E5423" t="str">
            <v>Sulop NHS</v>
          </cell>
          <cell r="F5423">
            <v>1</v>
          </cell>
          <cell r="G5423">
            <v>1</v>
          </cell>
          <cell r="H5423">
            <v>1</v>
          </cell>
          <cell r="I5423">
            <v>0</v>
          </cell>
          <cell r="J5423">
            <v>0</v>
          </cell>
          <cell r="K5423">
            <v>1</v>
          </cell>
          <cell r="L5423">
            <v>0</v>
          </cell>
          <cell r="M5423">
            <v>0</v>
          </cell>
          <cell r="N5423">
            <v>1</v>
          </cell>
          <cell r="O5423">
            <v>43497</v>
          </cell>
          <cell r="P5423">
            <v>43709</v>
          </cell>
          <cell r="Q5423">
            <v>0</v>
          </cell>
          <cell r="R5423">
            <v>1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</row>
        <row r="5424">
          <cell r="D5424">
            <v>316013</v>
          </cell>
          <cell r="E5424" t="str">
            <v>Mabuhay National High School</v>
          </cell>
          <cell r="F5424">
            <v>1</v>
          </cell>
          <cell r="G5424">
            <v>1</v>
          </cell>
          <cell r="H5424">
            <v>1</v>
          </cell>
          <cell r="I5424">
            <v>0</v>
          </cell>
          <cell r="J5424">
            <v>1</v>
          </cell>
          <cell r="K5424">
            <v>0</v>
          </cell>
          <cell r="L5424">
            <v>0</v>
          </cell>
          <cell r="M5424">
            <v>0</v>
          </cell>
          <cell r="N5424">
            <v>1</v>
          </cell>
          <cell r="O5424">
            <v>0</v>
          </cell>
          <cell r="P5424">
            <v>0</v>
          </cell>
          <cell r="Q5424">
            <v>1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1</v>
          </cell>
          <cell r="W5424">
            <v>2</v>
          </cell>
          <cell r="X5424">
            <v>0</v>
          </cell>
          <cell r="Y5424">
            <v>0</v>
          </cell>
        </row>
        <row r="5425">
          <cell r="D5425">
            <v>304285</v>
          </cell>
          <cell r="E5425" t="str">
            <v>Pedro A. Arches NHS</v>
          </cell>
          <cell r="F5425">
            <v>1</v>
          </cell>
          <cell r="G5425">
            <v>1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</row>
        <row r="5426">
          <cell r="D5426">
            <v>304280</v>
          </cell>
          <cell r="E5426" t="str">
            <v>Tudaya National High School</v>
          </cell>
          <cell r="F5426">
            <v>1</v>
          </cell>
          <cell r="G5426">
            <v>1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1</v>
          </cell>
          <cell r="M5426" t="str">
            <v>N/A</v>
          </cell>
          <cell r="N5426">
            <v>0</v>
          </cell>
          <cell r="O5426">
            <v>0</v>
          </cell>
          <cell r="P5426" t="str">
            <v>N/A</v>
          </cell>
          <cell r="Q5426">
            <v>0</v>
          </cell>
          <cell r="R5426">
            <v>0</v>
          </cell>
          <cell r="S5426">
            <v>0</v>
          </cell>
          <cell r="T5426">
            <v>1</v>
          </cell>
          <cell r="U5426" t="str">
            <v>N/A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</row>
        <row r="5427">
          <cell r="D5427">
            <v>304295</v>
          </cell>
          <cell r="E5427" t="str">
            <v>Bato NHS</v>
          </cell>
          <cell r="F5427">
            <v>1</v>
          </cell>
          <cell r="G5427">
            <v>1</v>
          </cell>
          <cell r="H5427">
            <v>1</v>
          </cell>
          <cell r="I5427">
            <v>0</v>
          </cell>
          <cell r="J5427">
            <v>0</v>
          </cell>
          <cell r="K5427">
            <v>1</v>
          </cell>
          <cell r="L5427">
            <v>0</v>
          </cell>
          <cell r="M5427">
            <v>0</v>
          </cell>
          <cell r="N5427">
            <v>0</v>
          </cell>
          <cell r="O5427" t="str">
            <v>not yet</v>
          </cell>
          <cell r="P5427" t="str">
            <v>not yet</v>
          </cell>
          <cell r="Q5427">
            <v>0</v>
          </cell>
          <cell r="R5427">
            <v>0</v>
          </cell>
          <cell r="S5427">
            <v>1</v>
          </cell>
          <cell r="T5427">
            <v>0</v>
          </cell>
          <cell r="U5427">
            <v>0</v>
          </cell>
          <cell r="V5427">
            <v>1</v>
          </cell>
          <cell r="W5427">
            <v>2</v>
          </cell>
          <cell r="X5427">
            <v>0</v>
          </cell>
          <cell r="Y5427">
            <v>2</v>
          </cell>
        </row>
        <row r="5428">
          <cell r="D5428">
            <v>316001</v>
          </cell>
          <cell r="E5428" t="str">
            <v>Molopolo National High School</v>
          </cell>
          <cell r="F5428">
            <v>1</v>
          </cell>
          <cell r="G5428">
            <v>1</v>
          </cell>
          <cell r="H5428">
            <v>1</v>
          </cell>
          <cell r="I5428">
            <v>0</v>
          </cell>
          <cell r="J5428">
            <v>1</v>
          </cell>
          <cell r="K5428">
            <v>0</v>
          </cell>
          <cell r="L5428">
            <v>0</v>
          </cell>
          <cell r="M5428">
            <v>0</v>
          </cell>
          <cell r="N5428">
            <v>1</v>
          </cell>
          <cell r="O5428">
            <v>43678</v>
          </cell>
          <cell r="P5428">
            <v>0</v>
          </cell>
          <cell r="Q5428">
            <v>0</v>
          </cell>
          <cell r="R5428">
            <v>1</v>
          </cell>
          <cell r="S5428">
            <v>0</v>
          </cell>
          <cell r="T5428">
            <v>0</v>
          </cell>
          <cell r="U5428">
            <v>0</v>
          </cell>
          <cell r="V5428">
            <v>1</v>
          </cell>
          <cell r="W5428">
            <v>5</v>
          </cell>
          <cell r="X5428">
            <v>5</v>
          </cell>
          <cell r="Y5428">
            <v>0</v>
          </cell>
        </row>
        <row r="5429">
          <cell r="D5429">
            <v>304274</v>
          </cell>
          <cell r="E5429" t="str">
            <v>Gov. N. Llanos NHS</v>
          </cell>
          <cell r="F5429">
            <v>1</v>
          </cell>
          <cell r="G5429">
            <v>0</v>
          </cell>
          <cell r="H5429">
            <v>1</v>
          </cell>
          <cell r="I5429">
            <v>0</v>
          </cell>
          <cell r="J5429">
            <v>0</v>
          </cell>
          <cell r="K5429">
            <v>0</v>
          </cell>
          <cell r="L5429">
            <v>0</v>
          </cell>
          <cell r="M5429">
            <v>0</v>
          </cell>
          <cell r="N5429">
            <v>1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</row>
        <row r="5430">
          <cell r="D5430">
            <v>304294</v>
          </cell>
          <cell r="E5430" t="str">
            <v>Sta. Cruz National High School</v>
          </cell>
          <cell r="F5430">
            <v>1</v>
          </cell>
          <cell r="G5430">
            <v>0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</row>
        <row r="5431">
          <cell r="D5431">
            <v>304275</v>
          </cell>
          <cell r="E5431" t="str">
            <v>Hagonoy National High School</v>
          </cell>
          <cell r="F5431">
            <v>1</v>
          </cell>
          <cell r="G5431">
            <v>0</v>
          </cell>
          <cell r="H5431">
            <v>1</v>
          </cell>
          <cell r="I5431">
            <v>0</v>
          </cell>
          <cell r="J5431">
            <v>1</v>
          </cell>
          <cell r="K5431">
            <v>0</v>
          </cell>
          <cell r="L5431">
            <v>0</v>
          </cell>
          <cell r="M5431">
            <v>0</v>
          </cell>
          <cell r="N5431">
            <v>1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1</v>
          </cell>
          <cell r="W5431">
            <v>0</v>
          </cell>
          <cell r="X5431">
            <v>0</v>
          </cell>
          <cell r="Y5431">
            <v>0</v>
          </cell>
        </row>
        <row r="5432">
          <cell r="D5432">
            <v>304286</v>
          </cell>
          <cell r="E5432" t="str">
            <v>Marber NHS</v>
          </cell>
          <cell r="F5432">
            <v>1</v>
          </cell>
          <cell r="G5432">
            <v>1</v>
          </cell>
          <cell r="H5432">
            <v>1</v>
          </cell>
          <cell r="I5432">
            <v>0</v>
          </cell>
          <cell r="J5432">
            <v>0</v>
          </cell>
          <cell r="K5432">
            <v>0</v>
          </cell>
          <cell r="L5432">
            <v>0</v>
          </cell>
          <cell r="M5432">
            <v>0</v>
          </cell>
          <cell r="N5432">
            <v>1</v>
          </cell>
          <cell r="O5432">
            <v>0</v>
          </cell>
          <cell r="P5432">
            <v>0</v>
          </cell>
          <cell r="Q5432">
            <v>0</v>
          </cell>
          <cell r="R5432">
            <v>1</v>
          </cell>
          <cell r="S5432">
            <v>0</v>
          </cell>
          <cell r="T5432">
            <v>0</v>
          </cell>
          <cell r="U5432">
            <v>0</v>
          </cell>
          <cell r="V5432">
            <v>1</v>
          </cell>
          <cell r="W5432">
            <v>0</v>
          </cell>
          <cell r="X5432">
            <v>0</v>
          </cell>
          <cell r="Y5432">
            <v>0</v>
          </cell>
        </row>
        <row r="5433">
          <cell r="D5433">
            <v>304278</v>
          </cell>
          <cell r="E5433" t="str">
            <v>Inawayan National High School</v>
          </cell>
          <cell r="F5433">
            <v>1</v>
          </cell>
          <cell r="G5433">
            <v>0</v>
          </cell>
          <cell r="H5433">
            <v>1</v>
          </cell>
          <cell r="I5433">
            <v>0</v>
          </cell>
          <cell r="J5433">
            <v>0</v>
          </cell>
          <cell r="K5433">
            <v>0</v>
          </cell>
          <cell r="L5433">
            <v>1</v>
          </cell>
          <cell r="M5433" t="str">
            <v>as the need arises</v>
          </cell>
          <cell r="N5433">
            <v>1</v>
          </cell>
          <cell r="O5433">
            <v>43626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1</v>
          </cell>
          <cell r="U5433" t="str">
            <v>as the need arises</v>
          </cell>
          <cell r="V5433">
            <v>1</v>
          </cell>
          <cell r="W5433">
            <v>3</v>
          </cell>
          <cell r="X5433">
            <v>1</v>
          </cell>
          <cell r="Y5433">
            <v>0</v>
          </cell>
        </row>
        <row r="5434">
          <cell r="D5434">
            <v>304288</v>
          </cell>
          <cell r="E5434" t="str">
            <v>Matanao National High School</v>
          </cell>
          <cell r="F5434">
            <v>1</v>
          </cell>
          <cell r="G5434">
            <v>1</v>
          </cell>
          <cell r="H5434">
            <v>1</v>
          </cell>
          <cell r="I5434">
            <v>0</v>
          </cell>
          <cell r="J5434">
            <v>0</v>
          </cell>
          <cell r="K5434">
            <v>0</v>
          </cell>
          <cell r="L5434">
            <v>0</v>
          </cell>
          <cell r="M5434">
            <v>0</v>
          </cell>
          <cell r="N5434">
            <v>1</v>
          </cell>
          <cell r="O5434">
            <v>0</v>
          </cell>
          <cell r="P5434">
            <v>0</v>
          </cell>
          <cell r="Q5434">
            <v>1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1</v>
          </cell>
          <cell r="W5434">
            <v>0</v>
          </cell>
          <cell r="X5434">
            <v>0</v>
          </cell>
          <cell r="Y5434">
            <v>0</v>
          </cell>
        </row>
        <row r="5435">
          <cell r="D5435">
            <v>304279</v>
          </cell>
          <cell r="E5435" t="str">
            <v>Sibulan National High School</v>
          </cell>
          <cell r="F5435">
            <v>1</v>
          </cell>
          <cell r="G5435">
            <v>0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3</v>
          </cell>
          <cell r="X5435">
            <v>2</v>
          </cell>
          <cell r="Y5435">
            <v>2</v>
          </cell>
        </row>
        <row r="5436">
          <cell r="D5436">
            <v>304290</v>
          </cell>
          <cell r="E5436" t="str">
            <v>Sinawilan NHS</v>
          </cell>
          <cell r="F5436">
            <v>1</v>
          </cell>
          <cell r="G5436">
            <v>1</v>
          </cell>
          <cell r="H5436">
            <v>1</v>
          </cell>
          <cell r="I5436">
            <v>0</v>
          </cell>
          <cell r="J5436">
            <v>1</v>
          </cell>
          <cell r="K5436">
            <v>0</v>
          </cell>
          <cell r="L5436">
            <v>0</v>
          </cell>
          <cell r="M5436">
            <v>0</v>
          </cell>
          <cell r="N5436">
            <v>1</v>
          </cell>
          <cell r="O5436">
            <v>0</v>
          </cell>
          <cell r="P5436">
            <v>0</v>
          </cell>
          <cell r="Q5436">
            <v>0</v>
          </cell>
          <cell r="R5436">
            <v>1</v>
          </cell>
          <cell r="S5436">
            <v>0</v>
          </cell>
          <cell r="T5436">
            <v>0</v>
          </cell>
          <cell r="U5436">
            <v>0</v>
          </cell>
          <cell r="V5436">
            <v>1</v>
          </cell>
          <cell r="W5436">
            <v>0</v>
          </cell>
          <cell r="X5436">
            <v>0</v>
          </cell>
          <cell r="Y5436">
            <v>0</v>
          </cell>
        </row>
        <row r="5437">
          <cell r="D5437">
            <v>304270</v>
          </cell>
          <cell r="E5437" t="str">
            <v>Davao Del Sur SOF</v>
          </cell>
          <cell r="F5437">
            <v>1</v>
          </cell>
          <cell r="G5437">
            <v>1</v>
          </cell>
          <cell r="H5437">
            <v>0</v>
          </cell>
          <cell r="I5437">
            <v>0</v>
          </cell>
          <cell r="J5437">
            <v>0</v>
          </cell>
          <cell r="K5437">
            <v>1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</row>
        <row r="5438">
          <cell r="D5438">
            <v>304298</v>
          </cell>
          <cell r="E5438" t="str">
            <v>Tacul Agricultural High School</v>
          </cell>
          <cell r="F5438">
            <v>1</v>
          </cell>
          <cell r="G5438">
            <v>1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</row>
        <row r="5439">
          <cell r="D5439">
            <v>316005</v>
          </cell>
          <cell r="E5439" t="str">
            <v>Felipe-Inocencia Deluao NHS</v>
          </cell>
          <cell r="F5439">
            <v>1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1</v>
          </cell>
          <cell r="O5439">
            <v>0</v>
          </cell>
          <cell r="P5439">
            <v>0</v>
          </cell>
          <cell r="Q5439">
            <v>0</v>
          </cell>
          <cell r="R5439">
            <v>1</v>
          </cell>
          <cell r="S5439">
            <v>0</v>
          </cell>
          <cell r="T5439">
            <v>0</v>
          </cell>
          <cell r="U5439">
            <v>0</v>
          </cell>
          <cell r="V5439">
            <v>1</v>
          </cell>
          <cell r="W5439">
            <v>0</v>
          </cell>
          <cell r="X5439">
            <v>0</v>
          </cell>
          <cell r="Y5439">
            <v>0</v>
          </cell>
        </row>
        <row r="5440">
          <cell r="D5440">
            <v>304289</v>
          </cell>
          <cell r="E5440" t="str">
            <v>Bangkal NHS</v>
          </cell>
          <cell r="F5440">
            <v>1</v>
          </cell>
          <cell r="G5440">
            <v>1</v>
          </cell>
          <cell r="H5440">
            <v>1</v>
          </cell>
          <cell r="I5440">
            <v>0</v>
          </cell>
          <cell r="J5440">
            <v>0</v>
          </cell>
          <cell r="K5440">
            <v>1</v>
          </cell>
          <cell r="L5440">
            <v>0</v>
          </cell>
          <cell r="M5440">
            <v>0</v>
          </cell>
          <cell r="N5440">
            <v>0</v>
          </cell>
          <cell r="O5440" t="str">
            <v>N/A</v>
          </cell>
          <cell r="P5440" t="str">
            <v>N/A</v>
          </cell>
          <cell r="Q5440">
            <v>0</v>
          </cell>
          <cell r="R5440">
            <v>1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</row>
        <row r="5441">
          <cell r="D5441">
            <v>304340</v>
          </cell>
          <cell r="E5441" t="str">
            <v>Tibanban NHS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</row>
        <row r="5442">
          <cell r="D5442">
            <v>316105</v>
          </cell>
          <cell r="E5442" t="str">
            <v>Paniquian NHS</v>
          </cell>
          <cell r="F5442">
            <v>1</v>
          </cell>
          <cell r="G5442">
            <v>0</v>
          </cell>
          <cell r="H5442">
            <v>1</v>
          </cell>
          <cell r="I5442">
            <v>0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1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1</v>
          </cell>
          <cell r="T5442">
            <v>0</v>
          </cell>
          <cell r="U5442">
            <v>0</v>
          </cell>
          <cell r="V5442">
            <v>1</v>
          </cell>
          <cell r="W5442">
            <v>1</v>
          </cell>
          <cell r="X5442">
            <v>0</v>
          </cell>
          <cell r="Y5442">
            <v>0</v>
          </cell>
        </row>
        <row r="5443">
          <cell r="D5443">
            <v>304322</v>
          </cell>
          <cell r="E5443" t="str">
            <v>Luzon National High School</v>
          </cell>
          <cell r="F5443">
            <v>1</v>
          </cell>
          <cell r="G5443">
            <v>0</v>
          </cell>
          <cell r="H5443">
            <v>1</v>
          </cell>
          <cell r="I5443">
            <v>0</v>
          </cell>
          <cell r="J5443">
            <v>1</v>
          </cell>
          <cell r="K5443">
            <v>0</v>
          </cell>
          <cell r="L5443">
            <v>0</v>
          </cell>
          <cell r="M5443">
            <v>0</v>
          </cell>
          <cell r="N5443">
            <v>1</v>
          </cell>
          <cell r="O5443" t="str">
            <v>JUNE 19, 2019</v>
          </cell>
          <cell r="P5443" t="str">
            <v>JUNE 19, 2019</v>
          </cell>
          <cell r="Q5443">
            <v>1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1</v>
          </cell>
          <cell r="W5443">
            <v>0</v>
          </cell>
          <cell r="X5443">
            <v>0</v>
          </cell>
          <cell r="Y5443">
            <v>0</v>
          </cell>
        </row>
        <row r="5444">
          <cell r="D5444">
            <v>316109</v>
          </cell>
          <cell r="E5444" t="str">
            <v>Tagboa Agri-Vocational High School</v>
          </cell>
          <cell r="F5444">
            <v>1</v>
          </cell>
          <cell r="G5444">
            <v>1</v>
          </cell>
          <cell r="H5444">
            <v>1</v>
          </cell>
          <cell r="I5444">
            <v>0</v>
          </cell>
          <cell r="J5444">
            <v>0</v>
          </cell>
          <cell r="K5444">
            <v>1</v>
          </cell>
          <cell r="L5444">
            <v>0</v>
          </cell>
          <cell r="M5444">
            <v>0</v>
          </cell>
          <cell r="N5444">
            <v>1</v>
          </cell>
          <cell r="O5444" t="str">
            <v>01/20/2018</v>
          </cell>
          <cell r="P5444" t="str">
            <v>01/20/2018</v>
          </cell>
          <cell r="Q5444">
            <v>0</v>
          </cell>
          <cell r="R5444">
            <v>0</v>
          </cell>
          <cell r="S5444">
            <v>1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</row>
        <row r="5445">
          <cell r="D5445">
            <v>316101</v>
          </cell>
          <cell r="E5445" t="str">
            <v>Marayag NHS</v>
          </cell>
          <cell r="F5445">
            <v>1</v>
          </cell>
          <cell r="G5445">
            <v>1</v>
          </cell>
          <cell r="H5445">
            <v>1</v>
          </cell>
          <cell r="I5445">
            <v>0</v>
          </cell>
          <cell r="J5445">
            <v>0</v>
          </cell>
          <cell r="K5445">
            <v>0</v>
          </cell>
          <cell r="L5445">
            <v>1</v>
          </cell>
          <cell r="M5445" t="str">
            <v>2 TIMES A YEAR</v>
          </cell>
          <cell r="N5445">
            <v>1</v>
          </cell>
          <cell r="O5445">
            <v>43623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1</v>
          </cell>
          <cell r="U5445" t="str">
            <v>TWICE A YEAR</v>
          </cell>
          <cell r="V5445">
            <v>1</v>
          </cell>
          <cell r="W5445">
            <v>0</v>
          </cell>
          <cell r="X5445">
            <v>0</v>
          </cell>
          <cell r="Y5445">
            <v>0</v>
          </cell>
        </row>
        <row r="5446">
          <cell r="D5446">
            <v>304331</v>
          </cell>
          <cell r="E5446" t="str">
            <v>Puntalinao National High School</v>
          </cell>
          <cell r="F5446">
            <v>1</v>
          </cell>
          <cell r="G5446">
            <v>0</v>
          </cell>
          <cell r="H5446">
            <v>1</v>
          </cell>
          <cell r="I5446">
            <v>0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1</v>
          </cell>
          <cell r="S5446">
            <v>0</v>
          </cell>
          <cell r="T5446">
            <v>0</v>
          </cell>
          <cell r="U5446">
            <v>0</v>
          </cell>
          <cell r="V5446">
            <v>1</v>
          </cell>
          <cell r="W5446">
            <v>0</v>
          </cell>
          <cell r="X5446">
            <v>0</v>
          </cell>
          <cell r="Y5446">
            <v>0</v>
          </cell>
        </row>
        <row r="5447">
          <cell r="D5447">
            <v>304320</v>
          </cell>
          <cell r="E5447" t="str">
            <v>Bagumbayan Agro-Ind. HS</v>
          </cell>
          <cell r="F5447">
            <v>1</v>
          </cell>
          <cell r="G5447">
            <v>1</v>
          </cell>
          <cell r="H5447">
            <v>1</v>
          </cell>
          <cell r="I5447">
            <v>1</v>
          </cell>
          <cell r="J5447">
            <v>0</v>
          </cell>
          <cell r="K5447">
            <v>0</v>
          </cell>
          <cell r="L5447">
            <v>0</v>
          </cell>
          <cell r="M5447">
            <v>0</v>
          </cell>
          <cell r="N5447">
            <v>1</v>
          </cell>
          <cell r="O5447" t="str">
            <v>July 10, 2019</v>
          </cell>
          <cell r="P5447" t="str">
            <v>July 11, 2019</v>
          </cell>
          <cell r="Q5447">
            <v>1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1</v>
          </cell>
          <cell r="W5447">
            <v>0</v>
          </cell>
          <cell r="X5447">
            <v>0</v>
          </cell>
          <cell r="Y5447">
            <v>0</v>
          </cell>
        </row>
        <row r="5448">
          <cell r="D5448">
            <v>304329</v>
          </cell>
          <cell r="E5448" t="str">
            <v>Nangan NHS</v>
          </cell>
          <cell r="F5448">
            <v>1</v>
          </cell>
          <cell r="G5448">
            <v>0</v>
          </cell>
          <cell r="H5448">
            <v>1</v>
          </cell>
          <cell r="I5448">
            <v>0</v>
          </cell>
          <cell r="J5448">
            <v>0</v>
          </cell>
          <cell r="K5448">
            <v>1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</row>
        <row r="5449">
          <cell r="D5449">
            <v>304321</v>
          </cell>
          <cell r="E5449" t="str">
            <v>Lupon NCHS</v>
          </cell>
          <cell r="F5449">
            <v>1</v>
          </cell>
          <cell r="G5449">
            <v>1</v>
          </cell>
          <cell r="H5449">
            <v>1</v>
          </cell>
          <cell r="I5449">
            <v>0</v>
          </cell>
          <cell r="J5449">
            <v>1</v>
          </cell>
          <cell r="K5449">
            <v>0</v>
          </cell>
          <cell r="L5449">
            <v>0</v>
          </cell>
          <cell r="M5449">
            <v>0</v>
          </cell>
          <cell r="N5449">
            <v>1</v>
          </cell>
          <cell r="O5449">
            <v>0</v>
          </cell>
          <cell r="P5449">
            <v>0</v>
          </cell>
          <cell r="Q5449">
            <v>0</v>
          </cell>
          <cell r="R5449">
            <v>1</v>
          </cell>
          <cell r="S5449">
            <v>0</v>
          </cell>
          <cell r="T5449">
            <v>0</v>
          </cell>
          <cell r="U5449">
            <v>0</v>
          </cell>
          <cell r="V5449">
            <v>1</v>
          </cell>
          <cell r="W5449">
            <v>0</v>
          </cell>
          <cell r="X5449">
            <v>0</v>
          </cell>
          <cell r="Y5449">
            <v>0</v>
          </cell>
        </row>
        <row r="5450">
          <cell r="D5450">
            <v>304332</v>
          </cell>
          <cell r="E5450" t="str">
            <v>San Isidro NHS</v>
          </cell>
          <cell r="F5450">
            <v>1</v>
          </cell>
          <cell r="G5450">
            <v>1</v>
          </cell>
          <cell r="H5450">
            <v>1</v>
          </cell>
          <cell r="I5450">
            <v>0</v>
          </cell>
          <cell r="J5450">
            <v>0</v>
          </cell>
          <cell r="K5450">
            <v>1</v>
          </cell>
          <cell r="L5450">
            <v>0</v>
          </cell>
          <cell r="M5450">
            <v>0</v>
          </cell>
          <cell r="N5450">
            <v>1</v>
          </cell>
          <cell r="O5450">
            <v>43644</v>
          </cell>
          <cell r="P5450">
            <v>43766</v>
          </cell>
          <cell r="Q5450">
            <v>1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1</v>
          </cell>
          <cell r="W5450">
            <v>0</v>
          </cell>
          <cell r="X5450">
            <v>0</v>
          </cell>
          <cell r="Y5450">
            <v>0</v>
          </cell>
        </row>
        <row r="5451">
          <cell r="D5451">
            <v>304323</v>
          </cell>
          <cell r="E5451" t="str">
            <v>Macangao Agri. VHS</v>
          </cell>
          <cell r="F5451">
            <v>1</v>
          </cell>
          <cell r="G5451">
            <v>1</v>
          </cell>
          <cell r="H5451">
            <v>1</v>
          </cell>
          <cell r="I5451">
            <v>1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1</v>
          </cell>
          <cell r="O5451" t="str">
            <v>November 6, 2019</v>
          </cell>
          <cell r="P5451">
            <v>0</v>
          </cell>
          <cell r="Q5451">
            <v>1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1</v>
          </cell>
          <cell r="W5451">
            <v>4</v>
          </cell>
          <cell r="X5451">
            <v>2</v>
          </cell>
          <cell r="Y5451">
            <v>0</v>
          </cell>
        </row>
        <row r="5452">
          <cell r="D5452">
            <v>316106</v>
          </cell>
          <cell r="E5452" t="str">
            <v>Don Mariano Marcos NHS</v>
          </cell>
          <cell r="F5452">
            <v>1</v>
          </cell>
          <cell r="G5452">
            <v>0</v>
          </cell>
          <cell r="H5452">
            <v>1</v>
          </cell>
          <cell r="I5452">
            <v>0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</row>
        <row r="5453">
          <cell r="D5453">
            <v>304309</v>
          </cell>
          <cell r="E5453" t="str">
            <v>Cateel National Agricultural High School</v>
          </cell>
          <cell r="F5453">
            <v>1</v>
          </cell>
          <cell r="G5453">
            <v>1</v>
          </cell>
          <cell r="H5453">
            <v>1</v>
          </cell>
          <cell r="I5453">
            <v>0</v>
          </cell>
          <cell r="J5453">
            <v>1</v>
          </cell>
          <cell r="K5453">
            <v>0</v>
          </cell>
          <cell r="L5453">
            <v>0</v>
          </cell>
          <cell r="M5453">
            <v>0</v>
          </cell>
          <cell r="N5453">
            <v>1</v>
          </cell>
          <cell r="O5453" t="str">
            <v>06/14/2019</v>
          </cell>
          <cell r="P5453" t="str">
            <v>08/26/19</v>
          </cell>
          <cell r="Q5453">
            <v>1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1</v>
          </cell>
          <cell r="W5453">
            <v>0</v>
          </cell>
          <cell r="X5453">
            <v>0</v>
          </cell>
          <cell r="Y5453">
            <v>0</v>
          </cell>
        </row>
        <row r="5454">
          <cell r="D5454">
            <v>316108</v>
          </cell>
          <cell r="E5454" t="str">
            <v>Lavigan National High School</v>
          </cell>
          <cell r="F5454">
            <v>1</v>
          </cell>
          <cell r="G5454">
            <v>1</v>
          </cell>
          <cell r="H5454">
            <v>1</v>
          </cell>
          <cell r="I5454">
            <v>1</v>
          </cell>
          <cell r="J5454">
            <v>0</v>
          </cell>
          <cell r="K5454">
            <v>0</v>
          </cell>
          <cell r="L5454">
            <v>0</v>
          </cell>
          <cell r="M5454">
            <v>0</v>
          </cell>
          <cell r="N5454">
            <v>1</v>
          </cell>
          <cell r="O5454" t="str">
            <v>06/20/2019</v>
          </cell>
          <cell r="P5454">
            <v>0</v>
          </cell>
          <cell r="Q5454">
            <v>1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</row>
        <row r="5455">
          <cell r="D5455">
            <v>304330</v>
          </cell>
          <cell r="E5455" t="str">
            <v>Pundaguitan National High School</v>
          </cell>
          <cell r="F5455">
            <v>1</v>
          </cell>
          <cell r="G5455">
            <v>1</v>
          </cell>
          <cell r="H5455">
            <v>1</v>
          </cell>
          <cell r="I5455">
            <v>0</v>
          </cell>
          <cell r="J5455">
            <v>1</v>
          </cell>
          <cell r="K5455">
            <v>0</v>
          </cell>
          <cell r="L5455">
            <v>0</v>
          </cell>
          <cell r="M5455">
            <v>0</v>
          </cell>
          <cell r="N5455">
            <v>1</v>
          </cell>
          <cell r="O5455">
            <v>43622</v>
          </cell>
          <cell r="P5455">
            <v>43622</v>
          </cell>
          <cell r="Q5455">
            <v>0</v>
          </cell>
          <cell r="R5455">
            <v>1</v>
          </cell>
          <cell r="S5455">
            <v>0</v>
          </cell>
          <cell r="T5455">
            <v>0</v>
          </cell>
          <cell r="U5455">
            <v>0</v>
          </cell>
          <cell r="V5455">
            <v>1</v>
          </cell>
          <cell r="W5455">
            <v>0</v>
          </cell>
          <cell r="X5455">
            <v>0</v>
          </cell>
          <cell r="Y5455">
            <v>0</v>
          </cell>
        </row>
        <row r="5456">
          <cell r="D5456">
            <v>304312</v>
          </cell>
          <cell r="E5456" t="str">
            <v>Crispin E. Rojas National High School</v>
          </cell>
          <cell r="F5456">
            <v>0</v>
          </cell>
          <cell r="G5456">
            <v>0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</row>
        <row r="5457">
          <cell r="D5457">
            <v>304306</v>
          </cell>
          <cell r="E5457" t="str">
            <v>Calapagan NHS</v>
          </cell>
          <cell r="F5457">
            <v>1</v>
          </cell>
          <cell r="G5457">
            <v>0</v>
          </cell>
          <cell r="H5457">
            <v>1</v>
          </cell>
          <cell r="I5457">
            <v>0</v>
          </cell>
          <cell r="J5457">
            <v>0</v>
          </cell>
          <cell r="K5457">
            <v>1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 t="str">
            <v>NOT DONE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</row>
        <row r="5458">
          <cell r="D5458">
            <v>304310</v>
          </cell>
          <cell r="E5458" t="str">
            <v>San Antonio NHS</v>
          </cell>
          <cell r="F5458">
            <v>1</v>
          </cell>
          <cell r="G5458">
            <v>1</v>
          </cell>
          <cell r="H5458">
            <v>1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1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1</v>
          </cell>
          <cell r="W5458">
            <v>0</v>
          </cell>
          <cell r="X5458">
            <v>0</v>
          </cell>
          <cell r="Y5458">
            <v>0</v>
          </cell>
        </row>
        <row r="5459">
          <cell r="D5459">
            <v>304315</v>
          </cell>
          <cell r="E5459" t="str">
            <v>Evaristo Moralizon National  Vocational  High School</v>
          </cell>
          <cell r="F5459">
            <v>1</v>
          </cell>
          <cell r="G5459">
            <v>0</v>
          </cell>
          <cell r="H5459">
            <v>1</v>
          </cell>
          <cell r="I5459">
            <v>0</v>
          </cell>
          <cell r="J5459">
            <v>1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43617</v>
          </cell>
          <cell r="P5459">
            <v>0</v>
          </cell>
          <cell r="Q5459">
            <v>0</v>
          </cell>
          <cell r="R5459">
            <v>1</v>
          </cell>
          <cell r="S5459">
            <v>0</v>
          </cell>
          <cell r="T5459">
            <v>1</v>
          </cell>
          <cell r="U5459">
            <v>43617</v>
          </cell>
          <cell r="V5459">
            <v>1</v>
          </cell>
          <cell r="W5459">
            <v>2</v>
          </cell>
          <cell r="X5459">
            <v>0</v>
          </cell>
          <cell r="Y5459">
            <v>0</v>
          </cell>
        </row>
        <row r="5460">
          <cell r="D5460">
            <v>316113</v>
          </cell>
          <cell r="E5460" t="str">
            <v>Paulina Gambong Abayon NHS</v>
          </cell>
          <cell r="F5460">
            <v>0</v>
          </cell>
          <cell r="G5460">
            <v>0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</row>
        <row r="5461">
          <cell r="D5461">
            <v>304311</v>
          </cell>
          <cell r="E5461" t="str">
            <v>Cateel Vocational High School</v>
          </cell>
          <cell r="F5461">
            <v>1</v>
          </cell>
          <cell r="G5461">
            <v>1</v>
          </cell>
          <cell r="H5461">
            <v>1</v>
          </cell>
          <cell r="I5461">
            <v>0</v>
          </cell>
          <cell r="J5461">
            <v>0</v>
          </cell>
          <cell r="K5461">
            <v>0</v>
          </cell>
          <cell r="L5461">
            <v>1</v>
          </cell>
          <cell r="M5461" t="str">
            <v>IF NEEDED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1</v>
          </cell>
          <cell r="W5461">
            <v>4</v>
          </cell>
          <cell r="X5461">
            <v>0</v>
          </cell>
          <cell r="Y5461">
            <v>0</v>
          </cell>
        </row>
        <row r="5462">
          <cell r="D5462">
            <v>304336</v>
          </cell>
          <cell r="E5462" t="str">
            <v>Sigaboy Agri. Voc. HS</v>
          </cell>
          <cell r="F5462">
            <v>1</v>
          </cell>
          <cell r="G5462">
            <v>1</v>
          </cell>
          <cell r="H5462">
            <v>1</v>
          </cell>
          <cell r="I5462">
            <v>0</v>
          </cell>
          <cell r="J5462">
            <v>1</v>
          </cell>
          <cell r="K5462">
            <v>0</v>
          </cell>
          <cell r="L5462">
            <v>0</v>
          </cell>
          <cell r="M5462">
            <v>0</v>
          </cell>
          <cell r="N5462">
            <v>1</v>
          </cell>
          <cell r="O5462">
            <v>43623</v>
          </cell>
          <cell r="P5462">
            <v>0</v>
          </cell>
          <cell r="Q5462">
            <v>0</v>
          </cell>
          <cell r="R5462">
            <v>1</v>
          </cell>
          <cell r="S5462">
            <v>0</v>
          </cell>
          <cell r="T5462">
            <v>0</v>
          </cell>
          <cell r="U5462">
            <v>0</v>
          </cell>
          <cell r="V5462">
            <v>1</v>
          </cell>
          <cell r="W5462">
            <v>0</v>
          </cell>
          <cell r="X5462">
            <v>0</v>
          </cell>
          <cell r="Y5462">
            <v>0</v>
          </cell>
        </row>
        <row r="5463">
          <cell r="D5463">
            <v>304339</v>
          </cell>
          <cell r="E5463" t="str">
            <v>Tarragona National High School</v>
          </cell>
          <cell r="F5463">
            <v>1</v>
          </cell>
          <cell r="G5463">
            <v>1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3</v>
          </cell>
          <cell r="X5463">
            <v>0</v>
          </cell>
          <cell r="Y5463">
            <v>0</v>
          </cell>
        </row>
        <row r="5464">
          <cell r="D5464">
            <v>304324</v>
          </cell>
          <cell r="E5464" t="str">
            <v>Manay National High School</v>
          </cell>
          <cell r="F5464">
            <v>1</v>
          </cell>
          <cell r="G5464">
            <v>1</v>
          </cell>
          <cell r="H5464">
            <v>1</v>
          </cell>
          <cell r="I5464">
            <v>1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1</v>
          </cell>
          <cell r="O5464" t="str">
            <v>as the need arises</v>
          </cell>
          <cell r="P5464">
            <v>0</v>
          </cell>
          <cell r="Q5464">
            <v>1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1</v>
          </cell>
          <cell r="W5464">
            <v>0</v>
          </cell>
          <cell r="X5464">
            <v>0</v>
          </cell>
          <cell r="Y5464">
            <v>0</v>
          </cell>
        </row>
        <row r="5465">
          <cell r="D5465">
            <v>304316</v>
          </cell>
          <cell r="E5465" t="str">
            <v>DR. BEATO C. MACAYRA NATIONAL HIGH SCHOOL</v>
          </cell>
          <cell r="F5465">
            <v>1</v>
          </cell>
          <cell r="G5465">
            <v>0</v>
          </cell>
          <cell r="H5465">
            <v>1</v>
          </cell>
          <cell r="I5465">
            <v>0</v>
          </cell>
          <cell r="J5465">
            <v>0</v>
          </cell>
          <cell r="K5465">
            <v>1</v>
          </cell>
          <cell r="L5465">
            <v>0</v>
          </cell>
          <cell r="M5465">
            <v>0</v>
          </cell>
          <cell r="N5465">
            <v>1</v>
          </cell>
          <cell r="O5465">
            <v>0</v>
          </cell>
          <cell r="P5465">
            <v>43619</v>
          </cell>
          <cell r="Q5465">
            <v>0</v>
          </cell>
          <cell r="R5465">
            <v>1</v>
          </cell>
          <cell r="S5465">
            <v>0</v>
          </cell>
          <cell r="T5465">
            <v>0</v>
          </cell>
          <cell r="U5465">
            <v>0</v>
          </cell>
          <cell r="V5465">
            <v>1</v>
          </cell>
          <cell r="W5465">
            <v>0</v>
          </cell>
          <cell r="X5465">
            <v>0</v>
          </cell>
          <cell r="Y5465">
            <v>0</v>
          </cell>
        </row>
        <row r="5466">
          <cell r="D5466">
            <v>304334</v>
          </cell>
          <cell r="E5466" t="str">
            <v>Sangab National High School</v>
          </cell>
          <cell r="F5466">
            <v>1</v>
          </cell>
          <cell r="G5466">
            <v>1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1</v>
          </cell>
          <cell r="U5466" t="str">
            <v>NONE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</row>
        <row r="5467">
          <cell r="D5467">
            <v>304300</v>
          </cell>
          <cell r="E5467" t="str">
            <v>Baganga NHS</v>
          </cell>
          <cell r="F5467">
            <v>0</v>
          </cell>
          <cell r="G5467">
            <v>0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</row>
        <row r="5468">
          <cell r="D5468">
            <v>304299</v>
          </cell>
          <cell r="E5468" t="str">
            <v>Baculin NHS</v>
          </cell>
          <cell r="F5468">
            <v>0</v>
          </cell>
          <cell r="G5468">
            <v>0</v>
          </cell>
          <cell r="H5468">
            <v>0</v>
          </cell>
          <cell r="I5468">
            <v>0</v>
          </cell>
          <cell r="J5468">
            <v>0</v>
          </cell>
          <cell r="K5468">
            <v>1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</row>
        <row r="5469">
          <cell r="D5469">
            <v>316102</v>
          </cell>
          <cell r="E5469" t="str">
            <v>Del Pilar NHS</v>
          </cell>
          <cell r="F5469">
            <v>1</v>
          </cell>
          <cell r="G5469">
            <v>0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</row>
        <row r="5470">
          <cell r="D5470">
            <v>304335</v>
          </cell>
          <cell r="E5470" t="str">
            <v>Santiago National High School</v>
          </cell>
          <cell r="F5470">
            <v>1</v>
          </cell>
          <cell r="G5470">
            <v>1</v>
          </cell>
          <cell r="H5470">
            <v>1</v>
          </cell>
          <cell r="I5470">
            <v>1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1</v>
          </cell>
          <cell r="O5470">
            <v>43810</v>
          </cell>
          <cell r="P5470">
            <v>0</v>
          </cell>
          <cell r="Q5470">
            <v>1</v>
          </cell>
          <cell r="R5470">
            <v>0</v>
          </cell>
          <cell r="S5470">
            <v>1</v>
          </cell>
          <cell r="T5470">
            <v>0</v>
          </cell>
          <cell r="U5470">
            <v>0</v>
          </cell>
          <cell r="V5470">
            <v>1</v>
          </cell>
          <cell r="W5470">
            <v>0</v>
          </cell>
          <cell r="X5470">
            <v>0</v>
          </cell>
          <cell r="Y5470">
            <v>0</v>
          </cell>
        </row>
        <row r="5471">
          <cell r="D5471">
            <v>304333</v>
          </cell>
          <cell r="E5471" t="str">
            <v>San Luis NHS</v>
          </cell>
          <cell r="F5471">
            <v>1</v>
          </cell>
          <cell r="G5471">
            <v>1</v>
          </cell>
          <cell r="H5471">
            <v>1</v>
          </cell>
          <cell r="I5471">
            <v>0</v>
          </cell>
          <cell r="J5471">
            <v>0</v>
          </cell>
          <cell r="K5471">
            <v>1</v>
          </cell>
          <cell r="L5471">
            <v>0</v>
          </cell>
          <cell r="M5471">
            <v>0</v>
          </cell>
          <cell r="N5471">
            <v>1</v>
          </cell>
          <cell r="O5471">
            <v>43556</v>
          </cell>
          <cell r="P5471" t="str">
            <v>NONE</v>
          </cell>
          <cell r="Q5471">
            <v>0</v>
          </cell>
          <cell r="R5471">
            <v>0</v>
          </cell>
          <cell r="S5471">
            <v>0</v>
          </cell>
          <cell r="T5471">
            <v>1</v>
          </cell>
          <cell r="U5471" t="str">
            <v>NONE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</row>
        <row r="5472">
          <cell r="D5472">
            <v>304304</v>
          </cell>
          <cell r="E5472" t="str">
            <v>Boston NHS</v>
          </cell>
          <cell r="F5472">
            <v>1</v>
          </cell>
          <cell r="G5472">
            <v>0</v>
          </cell>
          <cell r="H5472">
            <v>1</v>
          </cell>
          <cell r="I5472">
            <v>0</v>
          </cell>
          <cell r="J5472">
            <v>0</v>
          </cell>
          <cell r="K5472">
            <v>0</v>
          </cell>
          <cell r="L5472">
            <v>1</v>
          </cell>
          <cell r="M5472" t="str">
            <v>TWICE A YEAR</v>
          </cell>
          <cell r="N5472">
            <v>1</v>
          </cell>
          <cell r="O5472" t="str">
            <v>06/21/2018</v>
          </cell>
          <cell r="P5472" t="str">
            <v>08/20/2019</v>
          </cell>
          <cell r="Q5472">
            <v>1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1</v>
          </cell>
          <cell r="W5472">
            <v>0</v>
          </cell>
          <cell r="X5472">
            <v>0</v>
          </cell>
          <cell r="Y5472">
            <v>0</v>
          </cell>
        </row>
        <row r="5473">
          <cell r="D5473">
            <v>304301</v>
          </cell>
          <cell r="E5473" t="str">
            <v>Manuel B.Guiñez  Sr. NHS</v>
          </cell>
          <cell r="F5473">
            <v>1</v>
          </cell>
          <cell r="G5473">
            <v>1</v>
          </cell>
          <cell r="H5473">
            <v>1</v>
          </cell>
          <cell r="I5473">
            <v>1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1</v>
          </cell>
          <cell r="O5473">
            <v>0</v>
          </cell>
          <cell r="P5473">
            <v>0</v>
          </cell>
          <cell r="Q5473">
            <v>1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</row>
        <row r="5474">
          <cell r="D5474">
            <v>304308</v>
          </cell>
          <cell r="E5474" t="str">
            <v>Pantuyan NHS</v>
          </cell>
          <cell r="F5474">
            <v>1</v>
          </cell>
          <cell r="G5474">
            <v>1</v>
          </cell>
          <cell r="H5474">
            <v>1</v>
          </cell>
          <cell r="I5474">
            <v>0</v>
          </cell>
          <cell r="J5474">
            <v>1</v>
          </cell>
          <cell r="K5474">
            <v>0</v>
          </cell>
          <cell r="L5474">
            <v>0</v>
          </cell>
          <cell r="M5474">
            <v>0</v>
          </cell>
          <cell r="N5474">
            <v>1</v>
          </cell>
          <cell r="O5474" t="str">
            <v>August 4,2019</v>
          </cell>
          <cell r="P5474">
            <v>43681</v>
          </cell>
          <cell r="Q5474">
            <v>0</v>
          </cell>
          <cell r="R5474">
            <v>1</v>
          </cell>
          <cell r="S5474">
            <v>0</v>
          </cell>
          <cell r="T5474">
            <v>0</v>
          </cell>
          <cell r="U5474">
            <v>0</v>
          </cell>
          <cell r="V5474">
            <v>1</v>
          </cell>
          <cell r="W5474">
            <v>0</v>
          </cell>
          <cell r="X5474">
            <v>0</v>
          </cell>
          <cell r="Y5474">
            <v>0</v>
          </cell>
        </row>
        <row r="5475">
          <cell r="D5475">
            <v>304307</v>
          </cell>
          <cell r="E5475" t="str">
            <v>Caraga National High School</v>
          </cell>
          <cell r="F5475">
            <v>1</v>
          </cell>
          <cell r="G5475">
            <v>1</v>
          </cell>
          <cell r="H5475">
            <v>1</v>
          </cell>
          <cell r="I5475">
            <v>0</v>
          </cell>
          <cell r="J5475">
            <v>0</v>
          </cell>
          <cell r="K5475">
            <v>1</v>
          </cell>
          <cell r="L5475">
            <v>0</v>
          </cell>
          <cell r="M5475">
            <v>0</v>
          </cell>
          <cell r="N5475">
            <v>1</v>
          </cell>
          <cell r="O5475" t="str">
            <v>10/25/2019</v>
          </cell>
          <cell r="P5475" t="str">
            <v>10/25/2019</v>
          </cell>
          <cell r="Q5475">
            <v>0</v>
          </cell>
          <cell r="R5475">
            <v>1</v>
          </cell>
          <cell r="S5475">
            <v>0</v>
          </cell>
          <cell r="T5475">
            <v>0</v>
          </cell>
          <cell r="U5475">
            <v>0</v>
          </cell>
          <cell r="V5475">
            <v>1</v>
          </cell>
          <cell r="W5475">
            <v>6</v>
          </cell>
          <cell r="X5475">
            <v>0</v>
          </cell>
          <cell r="Y5475">
            <v>0</v>
          </cell>
        </row>
        <row r="5476">
          <cell r="D5476">
            <v>304337</v>
          </cell>
          <cell r="E5476" t="str">
            <v>Tagugpo NHS</v>
          </cell>
          <cell r="F5476">
            <v>1</v>
          </cell>
          <cell r="G5476">
            <v>1</v>
          </cell>
          <cell r="H5476">
            <v>1</v>
          </cell>
          <cell r="I5476">
            <v>0</v>
          </cell>
          <cell r="J5476">
            <v>0</v>
          </cell>
          <cell r="K5476">
            <v>1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1</v>
          </cell>
          <cell r="T5476">
            <v>1</v>
          </cell>
          <cell r="U5476">
            <v>0</v>
          </cell>
          <cell r="V5476">
            <v>1</v>
          </cell>
          <cell r="W5476">
            <v>0</v>
          </cell>
          <cell r="X5476">
            <v>0</v>
          </cell>
          <cell r="Y5476">
            <v>0</v>
          </cell>
        </row>
        <row r="5477">
          <cell r="D5477">
            <v>316107</v>
          </cell>
          <cell r="E5477" t="str">
            <v>Leandro G. Japos NHS</v>
          </cell>
          <cell r="F5477">
            <v>1</v>
          </cell>
          <cell r="G5477">
            <v>1</v>
          </cell>
          <cell r="H5477">
            <v>1</v>
          </cell>
          <cell r="I5477">
            <v>0</v>
          </cell>
          <cell r="J5477">
            <v>1</v>
          </cell>
          <cell r="K5477">
            <v>0</v>
          </cell>
          <cell r="L5477">
            <v>0</v>
          </cell>
          <cell r="M5477">
            <v>0</v>
          </cell>
          <cell r="N5477">
            <v>1</v>
          </cell>
          <cell r="O5477">
            <v>43641</v>
          </cell>
          <cell r="P5477">
            <v>43692</v>
          </cell>
          <cell r="Q5477">
            <v>0</v>
          </cell>
          <cell r="R5477">
            <v>1</v>
          </cell>
          <cell r="S5477">
            <v>0</v>
          </cell>
          <cell r="T5477">
            <v>0</v>
          </cell>
          <cell r="U5477">
            <v>0</v>
          </cell>
          <cell r="V5477">
            <v>1</v>
          </cell>
          <cell r="W5477">
            <v>3</v>
          </cell>
          <cell r="X5477">
            <v>2</v>
          </cell>
          <cell r="Y5477">
            <v>3</v>
          </cell>
        </row>
        <row r="5478">
          <cell r="D5478">
            <v>304319</v>
          </cell>
          <cell r="E5478" t="str">
            <v>Lupon Vocational High School</v>
          </cell>
          <cell r="F5478">
            <v>1</v>
          </cell>
          <cell r="G5478">
            <v>1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</row>
        <row r="5479">
          <cell r="D5479">
            <v>304317</v>
          </cell>
          <cell r="E5479" t="str">
            <v>Manuel S. Nasser Sr. National High School</v>
          </cell>
          <cell r="F5479">
            <v>0</v>
          </cell>
          <cell r="G5479">
            <v>0</v>
          </cell>
          <cell r="H5479">
            <v>1</v>
          </cell>
          <cell r="I5479">
            <v>0</v>
          </cell>
          <cell r="J5479">
            <v>0</v>
          </cell>
          <cell r="K5479">
            <v>1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1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</row>
        <row r="5480">
          <cell r="D5480">
            <v>304302</v>
          </cell>
          <cell r="E5480" t="str">
            <v>Bitaogan NHS</v>
          </cell>
          <cell r="F5480">
            <v>1</v>
          </cell>
          <cell r="G5480">
            <v>0</v>
          </cell>
          <cell r="H5480">
            <v>1</v>
          </cell>
          <cell r="I5480">
            <v>0</v>
          </cell>
          <cell r="J5480">
            <v>0</v>
          </cell>
          <cell r="K5480">
            <v>0</v>
          </cell>
          <cell r="L5480">
            <v>0</v>
          </cell>
          <cell r="M5480">
            <v>0</v>
          </cell>
          <cell r="N5480">
            <v>1</v>
          </cell>
          <cell r="O5480">
            <v>43592</v>
          </cell>
          <cell r="P5480">
            <v>43684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1</v>
          </cell>
          <cell r="W5480">
            <v>2</v>
          </cell>
          <cell r="X5480">
            <v>0</v>
          </cell>
          <cell r="Y5480">
            <v>0</v>
          </cell>
        </row>
        <row r="5481">
          <cell r="D5481">
            <v>316103</v>
          </cell>
          <cell r="E5481" t="str">
            <v>Old Macopa NHS</v>
          </cell>
          <cell r="F5481">
            <v>1</v>
          </cell>
          <cell r="G5481">
            <v>1</v>
          </cell>
          <cell r="H5481">
            <v>1</v>
          </cell>
          <cell r="I5481">
            <v>0</v>
          </cell>
          <cell r="J5481">
            <v>1</v>
          </cell>
          <cell r="K5481">
            <v>0</v>
          </cell>
          <cell r="L5481">
            <v>0</v>
          </cell>
          <cell r="M5481">
            <v>0</v>
          </cell>
          <cell r="N5481">
            <v>1</v>
          </cell>
          <cell r="O5481" t="str">
            <v>JANUARY 22, 2019</v>
          </cell>
          <cell r="P5481">
            <v>0</v>
          </cell>
          <cell r="Q5481">
            <v>0</v>
          </cell>
          <cell r="R5481">
            <v>0</v>
          </cell>
          <cell r="S5481">
            <v>1</v>
          </cell>
          <cell r="T5481">
            <v>0</v>
          </cell>
          <cell r="U5481">
            <v>0</v>
          </cell>
          <cell r="V5481">
            <v>0</v>
          </cell>
          <cell r="W5481">
            <v>7</v>
          </cell>
          <cell r="X5481">
            <v>0</v>
          </cell>
          <cell r="Y5481">
            <v>0</v>
          </cell>
        </row>
        <row r="5482">
          <cell r="D5482">
            <v>304357</v>
          </cell>
          <cell r="E5482" t="str">
            <v>E. B. Lopez Mem. NHS</v>
          </cell>
          <cell r="F5482">
            <v>1</v>
          </cell>
          <cell r="G5482">
            <v>0</v>
          </cell>
          <cell r="H5482">
            <v>1</v>
          </cell>
          <cell r="I5482">
            <v>0</v>
          </cell>
          <cell r="J5482">
            <v>1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1</v>
          </cell>
          <cell r="S5482">
            <v>0</v>
          </cell>
          <cell r="T5482">
            <v>0</v>
          </cell>
          <cell r="U5482">
            <v>0</v>
          </cell>
          <cell r="V5482">
            <v>1</v>
          </cell>
          <cell r="W5482">
            <v>1</v>
          </cell>
          <cell r="X5482">
            <v>1</v>
          </cell>
          <cell r="Y5482">
            <v>0</v>
          </cell>
        </row>
        <row r="5483">
          <cell r="D5483">
            <v>304391</v>
          </cell>
          <cell r="E5483" t="str">
            <v>Leon Garcia, Sr. NHS</v>
          </cell>
          <cell r="F5483">
            <v>1</v>
          </cell>
          <cell r="G5483">
            <v>0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</row>
        <row r="5484">
          <cell r="D5484">
            <v>316213</v>
          </cell>
          <cell r="E5484" t="str">
            <v>MAHAYAG NATIONAL HIGH SCHOOL</v>
          </cell>
          <cell r="F5484">
            <v>1</v>
          </cell>
          <cell r="G5484">
            <v>1</v>
          </cell>
          <cell r="H5484">
            <v>1</v>
          </cell>
          <cell r="I5484">
            <v>0</v>
          </cell>
          <cell r="J5484">
            <v>0</v>
          </cell>
          <cell r="K5484">
            <v>0</v>
          </cell>
          <cell r="L5484">
            <v>0</v>
          </cell>
          <cell r="M5484">
            <v>0</v>
          </cell>
          <cell r="N5484">
            <v>1</v>
          </cell>
          <cell r="O5484">
            <v>43617</v>
          </cell>
          <cell r="P5484">
            <v>43617</v>
          </cell>
          <cell r="Q5484">
            <v>1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1</v>
          </cell>
          <cell r="W5484">
            <v>0</v>
          </cell>
          <cell r="X5484">
            <v>0</v>
          </cell>
          <cell r="Y5484">
            <v>0</v>
          </cell>
        </row>
        <row r="5485">
          <cell r="D5485">
            <v>316212</v>
          </cell>
          <cell r="E5485" t="str">
            <v>JOSE T. QUIBOLOY SR. NATIONAL HIGH SCHOOL</v>
          </cell>
          <cell r="F5485">
            <v>1</v>
          </cell>
          <cell r="G5485">
            <v>1</v>
          </cell>
          <cell r="H5485">
            <v>1</v>
          </cell>
          <cell r="I5485">
            <v>0</v>
          </cell>
          <cell r="J5485">
            <v>1</v>
          </cell>
          <cell r="K5485">
            <v>0</v>
          </cell>
          <cell r="L5485">
            <v>0</v>
          </cell>
          <cell r="M5485">
            <v>0</v>
          </cell>
          <cell r="N5485">
            <v>1</v>
          </cell>
          <cell r="O5485" t="str">
            <v>September 20, 2019</v>
          </cell>
          <cell r="P5485" t="str">
            <v>September 30, 2019</v>
          </cell>
          <cell r="Q5485">
            <v>0</v>
          </cell>
          <cell r="R5485">
            <v>1</v>
          </cell>
          <cell r="S5485">
            <v>0</v>
          </cell>
          <cell r="T5485">
            <v>0</v>
          </cell>
          <cell r="U5485">
            <v>0</v>
          </cell>
          <cell r="V5485">
            <v>1</v>
          </cell>
          <cell r="W5485">
            <v>1</v>
          </cell>
          <cell r="X5485">
            <v>0</v>
          </cell>
          <cell r="Y5485">
            <v>0</v>
          </cell>
        </row>
        <row r="5486">
          <cell r="D5486">
            <v>304365</v>
          </cell>
          <cell r="E5486" t="str">
            <v>Erico T. Nograles NHS</v>
          </cell>
          <cell r="F5486">
            <v>0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</row>
        <row r="5487">
          <cell r="D5487">
            <v>304396</v>
          </cell>
          <cell r="E5487" t="str">
            <v>Talomo National High School</v>
          </cell>
          <cell r="F5487">
            <v>0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1</v>
          </cell>
          <cell r="M5487" t="str">
            <v>AS NEEDED</v>
          </cell>
          <cell r="N5487">
            <v>0</v>
          </cell>
          <cell r="O5487" t="str">
            <v>NONE</v>
          </cell>
          <cell r="P5487" t="str">
            <v>IF COMPLAIN ARISE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</row>
        <row r="5488">
          <cell r="D5488">
            <v>304346</v>
          </cell>
          <cell r="E5488" t="str">
            <v>Cabantian NHS</v>
          </cell>
          <cell r="F5488">
            <v>0</v>
          </cell>
          <cell r="G5488">
            <v>0</v>
          </cell>
          <cell r="H5488">
            <v>1</v>
          </cell>
          <cell r="I5488">
            <v>0</v>
          </cell>
          <cell r="J5488">
            <v>1</v>
          </cell>
          <cell r="K5488">
            <v>0</v>
          </cell>
          <cell r="L5488">
            <v>0</v>
          </cell>
          <cell r="M5488">
            <v>0</v>
          </cell>
          <cell r="N5488">
            <v>1</v>
          </cell>
          <cell r="O5488">
            <v>0</v>
          </cell>
          <cell r="P5488">
            <v>0</v>
          </cell>
          <cell r="Q5488">
            <v>0</v>
          </cell>
          <cell r="R5488">
            <v>1</v>
          </cell>
          <cell r="S5488">
            <v>0</v>
          </cell>
          <cell r="T5488">
            <v>0</v>
          </cell>
          <cell r="U5488">
            <v>0</v>
          </cell>
          <cell r="V5488">
            <v>1</v>
          </cell>
          <cell r="W5488">
            <v>0</v>
          </cell>
          <cell r="X5488">
            <v>0</v>
          </cell>
          <cell r="Y5488">
            <v>0</v>
          </cell>
        </row>
        <row r="5489">
          <cell r="D5489">
            <v>301717</v>
          </cell>
          <cell r="E5489" t="str">
            <v>Magtuod National High School</v>
          </cell>
          <cell r="F5489">
            <v>1</v>
          </cell>
          <cell r="G5489">
            <v>1</v>
          </cell>
          <cell r="H5489">
            <v>1</v>
          </cell>
          <cell r="I5489">
            <v>0</v>
          </cell>
          <cell r="J5489">
            <v>0</v>
          </cell>
          <cell r="K5489">
            <v>0</v>
          </cell>
          <cell r="L5489">
            <v>1</v>
          </cell>
          <cell r="M5489" t="str">
            <v>If only necessary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1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</row>
        <row r="5490">
          <cell r="D5490">
            <v>304388</v>
          </cell>
          <cell r="E5490" t="str">
            <v>Optaciano Hilay NHS</v>
          </cell>
          <cell r="F5490">
            <v>0</v>
          </cell>
          <cell r="G5490">
            <v>0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</row>
        <row r="5491">
          <cell r="D5491">
            <v>304397</v>
          </cell>
          <cell r="E5491" t="str">
            <v>Telesforo Singson NHS</v>
          </cell>
          <cell r="F5491">
            <v>0</v>
          </cell>
          <cell r="G5491">
            <v>0</v>
          </cell>
          <cell r="H5491">
            <v>1</v>
          </cell>
          <cell r="I5491">
            <v>0</v>
          </cell>
          <cell r="J5491">
            <v>1</v>
          </cell>
          <cell r="K5491">
            <v>0</v>
          </cell>
          <cell r="L5491">
            <v>0</v>
          </cell>
          <cell r="M5491">
            <v>0</v>
          </cell>
          <cell r="N5491">
            <v>1</v>
          </cell>
          <cell r="O5491">
            <v>43761</v>
          </cell>
          <cell r="P5491">
            <v>43739</v>
          </cell>
          <cell r="Q5491">
            <v>1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1</v>
          </cell>
          <cell r="W5491">
            <v>10</v>
          </cell>
          <cell r="X5491">
            <v>5</v>
          </cell>
          <cell r="Y5491">
            <v>5</v>
          </cell>
        </row>
        <row r="5492">
          <cell r="D5492">
            <v>304378</v>
          </cell>
          <cell r="E5492" t="str">
            <v>GOV. VICENTE DUTERTE NATIONAL HIGH SCHOOL</v>
          </cell>
          <cell r="F5492">
            <v>1</v>
          </cell>
          <cell r="G5492">
            <v>0</v>
          </cell>
          <cell r="H5492">
            <v>1</v>
          </cell>
          <cell r="I5492">
            <v>0</v>
          </cell>
          <cell r="J5492">
            <v>1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 t="str">
            <v>None</v>
          </cell>
          <cell r="P5492" t="str">
            <v>None</v>
          </cell>
          <cell r="Q5492">
            <v>0</v>
          </cell>
          <cell r="R5492">
            <v>0</v>
          </cell>
          <cell r="S5492">
            <v>0</v>
          </cell>
          <cell r="T5492">
            <v>1</v>
          </cell>
          <cell r="U5492" t="str">
            <v>None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</row>
        <row r="5493">
          <cell r="D5493">
            <v>304393</v>
          </cell>
          <cell r="E5493" t="str">
            <v>Sta. Ana National High School</v>
          </cell>
          <cell r="F5493">
            <v>1</v>
          </cell>
          <cell r="G5493">
            <v>1</v>
          </cell>
          <cell r="H5493">
            <v>1</v>
          </cell>
          <cell r="I5493">
            <v>1</v>
          </cell>
          <cell r="J5493">
            <v>0</v>
          </cell>
          <cell r="K5493">
            <v>0</v>
          </cell>
          <cell r="L5493">
            <v>1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1</v>
          </cell>
          <cell r="U5493" t="str">
            <v>semi-annually</v>
          </cell>
          <cell r="V5493">
            <v>1</v>
          </cell>
          <cell r="W5493">
            <v>20</v>
          </cell>
          <cell r="X5493">
            <v>0</v>
          </cell>
          <cell r="Y5493">
            <v>4</v>
          </cell>
        </row>
        <row r="5494">
          <cell r="D5494">
            <v>316208</v>
          </cell>
          <cell r="E5494" t="str">
            <v>Suawan High School</v>
          </cell>
          <cell r="F5494">
            <v>0</v>
          </cell>
          <cell r="G5494">
            <v>0</v>
          </cell>
          <cell r="H5494">
            <v>0</v>
          </cell>
          <cell r="I5494">
            <v>0</v>
          </cell>
          <cell r="J5494">
            <v>1</v>
          </cell>
          <cell r="K5494">
            <v>0</v>
          </cell>
          <cell r="L5494">
            <v>0</v>
          </cell>
          <cell r="M5494">
            <v>0</v>
          </cell>
          <cell r="N5494">
            <v>1</v>
          </cell>
          <cell r="O5494" t="str">
            <v>AUGUST 8, 2019</v>
          </cell>
          <cell r="P5494" t="str">
            <v>SEPTEMBER 20, 2019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1</v>
          </cell>
          <cell r="W5494">
            <v>0</v>
          </cell>
          <cell r="X5494">
            <v>0</v>
          </cell>
          <cell r="Y5494">
            <v>0</v>
          </cell>
        </row>
        <row r="5495">
          <cell r="D5495">
            <v>304355</v>
          </cell>
          <cell r="E5495" t="str">
            <v>Wangan National High School</v>
          </cell>
          <cell r="F5495">
            <v>1</v>
          </cell>
          <cell r="G5495">
            <v>1</v>
          </cell>
          <cell r="H5495">
            <v>1</v>
          </cell>
          <cell r="I5495">
            <v>0</v>
          </cell>
          <cell r="J5495">
            <v>0</v>
          </cell>
          <cell r="K5495">
            <v>1</v>
          </cell>
          <cell r="L5495">
            <v>0</v>
          </cell>
          <cell r="M5495">
            <v>0</v>
          </cell>
          <cell r="N5495">
            <v>1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1</v>
          </cell>
          <cell r="T5495">
            <v>0</v>
          </cell>
          <cell r="U5495">
            <v>0</v>
          </cell>
          <cell r="V5495">
            <v>1</v>
          </cell>
          <cell r="W5495">
            <v>0</v>
          </cell>
          <cell r="X5495">
            <v>0</v>
          </cell>
          <cell r="Y5495">
            <v>0</v>
          </cell>
        </row>
        <row r="5496">
          <cell r="D5496">
            <v>304367</v>
          </cell>
          <cell r="E5496" t="str">
            <v>Dr. Santiago Dakudao Sr. National High School</v>
          </cell>
          <cell r="F5496">
            <v>0</v>
          </cell>
          <cell r="G5496">
            <v>0</v>
          </cell>
          <cell r="H5496">
            <v>1</v>
          </cell>
          <cell r="I5496">
            <v>0</v>
          </cell>
          <cell r="J5496">
            <v>1</v>
          </cell>
          <cell r="K5496">
            <v>0</v>
          </cell>
          <cell r="L5496">
            <v>0</v>
          </cell>
          <cell r="M5496">
            <v>0</v>
          </cell>
          <cell r="N5496">
            <v>1</v>
          </cell>
          <cell r="O5496">
            <v>43620</v>
          </cell>
          <cell r="P5496">
            <v>43330</v>
          </cell>
          <cell r="Q5496">
            <v>0</v>
          </cell>
          <cell r="R5496">
            <v>0</v>
          </cell>
          <cell r="S5496">
            <v>1</v>
          </cell>
          <cell r="T5496">
            <v>0</v>
          </cell>
          <cell r="U5496">
            <v>0</v>
          </cell>
          <cell r="V5496">
            <v>1</v>
          </cell>
          <cell r="W5496">
            <v>1</v>
          </cell>
          <cell r="X5496">
            <v>0</v>
          </cell>
          <cell r="Y5496">
            <v>0</v>
          </cell>
        </row>
        <row r="5497">
          <cell r="D5497">
            <v>304356</v>
          </cell>
          <cell r="E5497" t="str">
            <v>Crossing Bayabas National High School</v>
          </cell>
          <cell r="F5497">
            <v>0</v>
          </cell>
          <cell r="G5497">
            <v>0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</row>
        <row r="5498">
          <cell r="D5498">
            <v>304375</v>
          </cell>
          <cell r="E5498" t="str">
            <v>MAA NATIONAL HIGH SCHOOL</v>
          </cell>
          <cell r="F5498">
            <v>1</v>
          </cell>
          <cell r="G5498">
            <v>1</v>
          </cell>
          <cell r="H5498">
            <v>1</v>
          </cell>
          <cell r="I5498">
            <v>0</v>
          </cell>
          <cell r="J5498">
            <v>1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1</v>
          </cell>
          <cell r="S5498">
            <v>0</v>
          </cell>
          <cell r="T5498">
            <v>0</v>
          </cell>
          <cell r="U5498">
            <v>0</v>
          </cell>
          <cell r="V5498">
            <v>1</v>
          </cell>
          <cell r="W5498">
            <v>0</v>
          </cell>
          <cell r="X5498">
            <v>0</v>
          </cell>
          <cell r="Y5498">
            <v>0</v>
          </cell>
        </row>
        <row r="5499">
          <cell r="D5499">
            <v>304347</v>
          </cell>
          <cell r="E5499" t="str">
            <v>Biao NHS</v>
          </cell>
          <cell r="F5499">
            <v>1</v>
          </cell>
          <cell r="G5499">
            <v>1</v>
          </cell>
          <cell r="H5499">
            <v>1</v>
          </cell>
          <cell r="I5499">
            <v>0</v>
          </cell>
          <cell r="J5499">
            <v>0</v>
          </cell>
          <cell r="K5499">
            <v>1</v>
          </cell>
          <cell r="L5499">
            <v>0</v>
          </cell>
          <cell r="M5499">
            <v>0</v>
          </cell>
          <cell r="N5499">
            <v>1</v>
          </cell>
          <cell r="O5499" t="str">
            <v>May 27, 2019</v>
          </cell>
          <cell r="P5499" t="str">
            <v>May 27, 2019</v>
          </cell>
          <cell r="Q5499">
            <v>0</v>
          </cell>
          <cell r="R5499">
            <v>0</v>
          </cell>
          <cell r="S5499">
            <v>1</v>
          </cell>
          <cell r="T5499">
            <v>0</v>
          </cell>
          <cell r="U5499">
            <v>0</v>
          </cell>
          <cell r="V5499">
            <v>1</v>
          </cell>
          <cell r="W5499">
            <v>1</v>
          </cell>
          <cell r="X5499">
            <v>0</v>
          </cell>
          <cell r="Y5499">
            <v>0</v>
          </cell>
        </row>
        <row r="5500">
          <cell r="D5500">
            <v>304348</v>
          </cell>
          <cell r="E5500" t="str">
            <v>Talandang National High School</v>
          </cell>
          <cell r="F5500">
            <v>0</v>
          </cell>
          <cell r="G5500">
            <v>0</v>
          </cell>
          <cell r="H5500">
            <v>1</v>
          </cell>
          <cell r="I5500">
            <v>0</v>
          </cell>
          <cell r="J5500">
            <v>0</v>
          </cell>
          <cell r="K5500">
            <v>1</v>
          </cell>
          <cell r="L5500">
            <v>0</v>
          </cell>
          <cell r="M5500">
            <v>0</v>
          </cell>
          <cell r="N5500">
            <v>1</v>
          </cell>
          <cell r="O5500" t="str">
            <v>June 1, 2019</v>
          </cell>
          <cell r="P5500">
            <v>43497</v>
          </cell>
          <cell r="Q5500">
            <v>0</v>
          </cell>
          <cell r="R5500">
            <v>0</v>
          </cell>
          <cell r="S5500">
            <v>1</v>
          </cell>
          <cell r="T5500">
            <v>0</v>
          </cell>
          <cell r="U5500">
            <v>0</v>
          </cell>
          <cell r="V5500">
            <v>1</v>
          </cell>
          <cell r="W5500">
            <v>1</v>
          </cell>
          <cell r="X5500">
            <v>0</v>
          </cell>
          <cell r="Y5500">
            <v>0</v>
          </cell>
        </row>
        <row r="5501">
          <cell r="D5501">
            <v>304358</v>
          </cell>
          <cell r="E5501" t="str">
            <v>Dacudao National High School</v>
          </cell>
          <cell r="F5501">
            <v>1</v>
          </cell>
          <cell r="G5501">
            <v>1</v>
          </cell>
          <cell r="H5501">
            <v>1</v>
          </cell>
          <cell r="I5501">
            <v>0</v>
          </cell>
          <cell r="J5501">
            <v>0</v>
          </cell>
          <cell r="K5501">
            <v>1</v>
          </cell>
          <cell r="L5501">
            <v>0</v>
          </cell>
          <cell r="M5501">
            <v>0</v>
          </cell>
          <cell r="N5501">
            <v>1</v>
          </cell>
          <cell r="O5501" t="str">
            <v>08/23/2019</v>
          </cell>
          <cell r="P5501">
            <v>0</v>
          </cell>
          <cell r="Q5501">
            <v>0</v>
          </cell>
          <cell r="R5501">
            <v>0</v>
          </cell>
          <cell r="S5501">
            <v>1</v>
          </cell>
          <cell r="T5501">
            <v>0</v>
          </cell>
          <cell r="U5501">
            <v>0</v>
          </cell>
          <cell r="V5501">
            <v>1</v>
          </cell>
          <cell r="W5501">
            <v>0</v>
          </cell>
          <cell r="X5501">
            <v>0</v>
          </cell>
          <cell r="Y5501">
            <v>0</v>
          </cell>
        </row>
        <row r="5502">
          <cell r="D5502">
            <v>304341</v>
          </cell>
          <cell r="E5502" t="str">
            <v>ALEJANDRA L. NAVARRO NHS</v>
          </cell>
          <cell r="F5502">
            <v>1</v>
          </cell>
          <cell r="G5502">
            <v>1</v>
          </cell>
          <cell r="H5502">
            <v>1</v>
          </cell>
          <cell r="I5502">
            <v>0</v>
          </cell>
          <cell r="J5502">
            <v>1</v>
          </cell>
          <cell r="K5502">
            <v>0</v>
          </cell>
          <cell r="L5502">
            <v>0</v>
          </cell>
          <cell r="M5502">
            <v>0</v>
          </cell>
          <cell r="N5502">
            <v>1</v>
          </cell>
          <cell r="O5502">
            <v>0</v>
          </cell>
          <cell r="P5502">
            <v>0</v>
          </cell>
          <cell r="Q5502">
            <v>0</v>
          </cell>
          <cell r="R5502">
            <v>1</v>
          </cell>
          <cell r="S5502">
            <v>0</v>
          </cell>
          <cell r="T5502">
            <v>0</v>
          </cell>
          <cell r="U5502">
            <v>0</v>
          </cell>
          <cell r="V5502">
            <v>1</v>
          </cell>
          <cell r="W5502">
            <v>0</v>
          </cell>
          <cell r="X5502">
            <v>0</v>
          </cell>
          <cell r="Y5502">
            <v>0</v>
          </cell>
        </row>
        <row r="5503">
          <cell r="D5503">
            <v>304343</v>
          </cell>
          <cell r="E5503" t="str">
            <v>Baguio National School of Arts and Trades</v>
          </cell>
          <cell r="F5503">
            <v>1</v>
          </cell>
          <cell r="G5503">
            <v>1</v>
          </cell>
          <cell r="H5503">
            <v>1</v>
          </cell>
          <cell r="I5503">
            <v>0</v>
          </cell>
          <cell r="J5503">
            <v>1</v>
          </cell>
          <cell r="K5503">
            <v>0</v>
          </cell>
          <cell r="L5503">
            <v>0</v>
          </cell>
          <cell r="M5503">
            <v>0</v>
          </cell>
          <cell r="N5503">
            <v>1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1</v>
          </cell>
          <cell r="W5503">
            <v>0</v>
          </cell>
          <cell r="X5503">
            <v>0</v>
          </cell>
          <cell r="Y5503">
            <v>0</v>
          </cell>
        </row>
        <row r="5504">
          <cell r="D5504">
            <v>304385</v>
          </cell>
          <cell r="E5504" t="str">
            <v>Mintal Comprehensive High School</v>
          </cell>
          <cell r="F5504">
            <v>0</v>
          </cell>
          <cell r="G5504">
            <v>0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1</v>
          </cell>
          <cell r="M5504" t="str">
            <v>as the need arises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</row>
        <row r="5505">
          <cell r="D5505">
            <v>304381</v>
          </cell>
          <cell r="E5505" t="str">
            <v>Marilog High School of Agriculture (Tech-Voc School)</v>
          </cell>
          <cell r="F5505">
            <v>1</v>
          </cell>
          <cell r="G5505">
            <v>0</v>
          </cell>
          <cell r="H5505">
            <v>1</v>
          </cell>
          <cell r="I5505">
            <v>0</v>
          </cell>
          <cell r="J5505">
            <v>0</v>
          </cell>
          <cell r="K5505">
            <v>1</v>
          </cell>
          <cell r="L5505">
            <v>0</v>
          </cell>
          <cell r="M5505">
            <v>0</v>
          </cell>
          <cell r="N5505">
            <v>1</v>
          </cell>
          <cell r="O5505" t="str">
            <v>October 28, 2019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</row>
        <row r="5506">
          <cell r="D5506">
            <v>304377</v>
          </cell>
          <cell r="E5506" t="str">
            <v>JESUS J. SORIANO NATIONAL HIGH SCHOOL</v>
          </cell>
          <cell r="F5506">
            <v>1</v>
          </cell>
          <cell r="G5506">
            <v>0</v>
          </cell>
          <cell r="H5506">
            <v>1</v>
          </cell>
          <cell r="I5506">
            <v>0</v>
          </cell>
          <cell r="J5506">
            <v>0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</row>
        <row r="5507">
          <cell r="D5507">
            <v>304363</v>
          </cell>
          <cell r="E5507" t="str">
            <v>Davao City Special National High School</v>
          </cell>
          <cell r="F5507">
            <v>1</v>
          </cell>
          <cell r="G5507">
            <v>0</v>
          </cell>
          <cell r="H5507">
            <v>1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1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</row>
        <row r="5508">
          <cell r="D5508">
            <v>304361</v>
          </cell>
          <cell r="E5508" t="str">
            <v>Dona Carmen Denia NHS</v>
          </cell>
          <cell r="F5508">
            <v>0</v>
          </cell>
          <cell r="G5508">
            <v>0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</row>
        <row r="5509">
          <cell r="D5509">
            <v>304350</v>
          </cell>
          <cell r="E5509" t="str">
            <v>Binugao NHS</v>
          </cell>
          <cell r="F5509">
            <v>0</v>
          </cell>
          <cell r="G5509">
            <v>0</v>
          </cell>
          <cell r="H5509">
            <v>0</v>
          </cell>
          <cell r="I5509">
            <v>0</v>
          </cell>
          <cell r="J5509">
            <v>0</v>
          </cell>
          <cell r="K5509">
            <v>1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1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</row>
        <row r="5510">
          <cell r="D5510">
            <v>304368</v>
          </cell>
          <cell r="E5510" t="str">
            <v>F. Bustamante NHS</v>
          </cell>
          <cell r="F5510">
            <v>1</v>
          </cell>
          <cell r="G5510">
            <v>0</v>
          </cell>
          <cell r="H5510">
            <v>1</v>
          </cell>
          <cell r="I5510">
            <v>1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</row>
        <row r="5511">
          <cell r="D5511">
            <v>304353</v>
          </cell>
          <cell r="E5511" t="str">
            <v>Buda NHS</v>
          </cell>
          <cell r="F5511">
            <v>1</v>
          </cell>
          <cell r="G5511">
            <v>1</v>
          </cell>
          <cell r="H5511">
            <v>1</v>
          </cell>
          <cell r="I5511">
            <v>0</v>
          </cell>
          <cell r="J5511">
            <v>1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1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1</v>
          </cell>
          <cell r="W5511">
            <v>2</v>
          </cell>
          <cell r="X5511">
            <v>2</v>
          </cell>
          <cell r="Y5511">
            <v>0</v>
          </cell>
        </row>
        <row r="5512">
          <cell r="D5512">
            <v>316202</v>
          </cell>
          <cell r="E5512" t="str">
            <v>Catalunan Pequeno National High School</v>
          </cell>
          <cell r="F5512">
            <v>1</v>
          </cell>
          <cell r="G5512">
            <v>0</v>
          </cell>
          <cell r="H5512">
            <v>1</v>
          </cell>
          <cell r="I5512">
            <v>0</v>
          </cell>
          <cell r="J5512">
            <v>0</v>
          </cell>
          <cell r="K5512">
            <v>1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</row>
        <row r="5513">
          <cell r="D5513">
            <v>316201</v>
          </cell>
          <cell r="E5513" t="str">
            <v>Bernardino B. Bosque NHS</v>
          </cell>
          <cell r="F5513">
            <v>1</v>
          </cell>
          <cell r="G5513">
            <v>1</v>
          </cell>
          <cell r="H5513">
            <v>1</v>
          </cell>
          <cell r="I5513">
            <v>0</v>
          </cell>
          <cell r="J5513">
            <v>0</v>
          </cell>
          <cell r="K5513">
            <v>1</v>
          </cell>
          <cell r="L5513">
            <v>0</v>
          </cell>
          <cell r="M5513">
            <v>0</v>
          </cell>
          <cell r="N5513">
            <v>1</v>
          </cell>
          <cell r="O5513">
            <v>43787</v>
          </cell>
          <cell r="P5513">
            <v>43617</v>
          </cell>
          <cell r="Q5513">
            <v>0</v>
          </cell>
          <cell r="R5513">
            <v>0</v>
          </cell>
          <cell r="S5513">
            <v>1</v>
          </cell>
          <cell r="T5513">
            <v>0</v>
          </cell>
          <cell r="U5513">
            <v>0</v>
          </cell>
          <cell r="V5513">
            <v>1</v>
          </cell>
          <cell r="W5513">
            <v>2</v>
          </cell>
          <cell r="X5513">
            <v>0</v>
          </cell>
          <cell r="Y5513">
            <v>0</v>
          </cell>
        </row>
        <row r="5514">
          <cell r="D5514">
            <v>300557</v>
          </cell>
          <cell r="E5514" t="str">
            <v>Vicenta C. Nograles National High School</v>
          </cell>
          <cell r="F5514">
            <v>1</v>
          </cell>
          <cell r="G5514">
            <v>0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1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</row>
        <row r="5515">
          <cell r="D5515">
            <v>305505</v>
          </cell>
          <cell r="E5515" t="str">
            <v>Dalagdag National High School</v>
          </cell>
          <cell r="F5515">
            <v>1</v>
          </cell>
          <cell r="G5515">
            <v>1</v>
          </cell>
          <cell r="H5515">
            <v>1</v>
          </cell>
          <cell r="I5515">
            <v>0</v>
          </cell>
          <cell r="J5515">
            <v>0</v>
          </cell>
          <cell r="K5515">
            <v>1</v>
          </cell>
          <cell r="L5515">
            <v>0</v>
          </cell>
          <cell r="M5515">
            <v>0</v>
          </cell>
          <cell r="N5515">
            <v>1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1</v>
          </cell>
          <cell r="T5515">
            <v>0</v>
          </cell>
          <cell r="U5515">
            <v>0</v>
          </cell>
          <cell r="V5515">
            <v>1</v>
          </cell>
          <cell r="W5515">
            <v>0</v>
          </cell>
          <cell r="X5515">
            <v>0</v>
          </cell>
          <cell r="Y5515">
            <v>0</v>
          </cell>
        </row>
        <row r="5516">
          <cell r="D5516">
            <v>304374</v>
          </cell>
          <cell r="E5516" t="str">
            <v>Lower Tamugan NHS</v>
          </cell>
          <cell r="F5516">
            <v>0</v>
          </cell>
          <cell r="G5516">
            <v>0</v>
          </cell>
          <cell r="H5516">
            <v>0</v>
          </cell>
          <cell r="I5516">
            <v>1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1</v>
          </cell>
          <cell r="O5516" t="str">
            <v>SEPT, 2019</v>
          </cell>
          <cell r="P5516" t="str">
            <v>OCT, 2019</v>
          </cell>
          <cell r="Q5516">
            <v>0</v>
          </cell>
          <cell r="R5516">
            <v>1</v>
          </cell>
          <cell r="S5516">
            <v>0</v>
          </cell>
          <cell r="T5516">
            <v>0</v>
          </cell>
          <cell r="U5516">
            <v>0</v>
          </cell>
          <cell r="V5516">
            <v>1</v>
          </cell>
          <cell r="W5516">
            <v>3</v>
          </cell>
          <cell r="X5516">
            <v>1</v>
          </cell>
          <cell r="Y5516">
            <v>1</v>
          </cell>
        </row>
        <row r="5517">
          <cell r="D5517">
            <v>304359</v>
          </cell>
          <cell r="E5517" t="str">
            <v>Daniel R. Aguinaldo NHS</v>
          </cell>
          <cell r="F5517">
            <v>0</v>
          </cell>
          <cell r="G5517">
            <v>0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</row>
        <row r="5518">
          <cell r="D5518">
            <v>304389</v>
          </cell>
          <cell r="E5518" t="str">
            <v>Paquibato NHS</v>
          </cell>
          <cell r="F5518">
            <v>1</v>
          </cell>
          <cell r="G5518">
            <v>1</v>
          </cell>
          <cell r="H5518">
            <v>1</v>
          </cell>
          <cell r="I5518">
            <v>0</v>
          </cell>
          <cell r="J5518">
            <v>1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 t="str">
            <v>none</v>
          </cell>
          <cell r="Q5518">
            <v>0</v>
          </cell>
          <cell r="R5518">
            <v>0</v>
          </cell>
          <cell r="S5518">
            <v>0</v>
          </cell>
          <cell r="T5518">
            <v>1</v>
          </cell>
          <cell r="U5518" t="str">
            <v>none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</row>
        <row r="5519">
          <cell r="D5519">
            <v>341409</v>
          </cell>
          <cell r="E5519" t="str">
            <v>SHS within CP Garcia ES (formerly in Sta. Ana ES)</v>
          </cell>
          <cell r="F5519">
            <v>1</v>
          </cell>
          <cell r="G5519">
            <v>1</v>
          </cell>
          <cell r="H5519">
            <v>1</v>
          </cell>
          <cell r="I5519">
            <v>1</v>
          </cell>
          <cell r="J5519">
            <v>0</v>
          </cell>
          <cell r="K5519">
            <v>0</v>
          </cell>
          <cell r="L5519">
            <v>1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1</v>
          </cell>
          <cell r="U5519" t="str">
            <v>semi-annually</v>
          </cell>
          <cell r="V5519">
            <v>1</v>
          </cell>
          <cell r="W5519">
            <v>20</v>
          </cell>
          <cell r="X5519">
            <v>0</v>
          </cell>
          <cell r="Y5519">
            <v>4</v>
          </cell>
        </row>
        <row r="5520">
          <cell r="D5520">
            <v>304373</v>
          </cell>
          <cell r="E5520" t="str">
            <v>Los Amigos NHS</v>
          </cell>
          <cell r="F5520">
            <v>0</v>
          </cell>
          <cell r="G5520">
            <v>0</v>
          </cell>
          <cell r="H5520">
            <v>1</v>
          </cell>
          <cell r="I5520">
            <v>0</v>
          </cell>
          <cell r="J5520">
            <v>1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</row>
        <row r="5521">
          <cell r="D5521">
            <v>304354</v>
          </cell>
          <cell r="E5521" t="str">
            <v>Calinan NHS</v>
          </cell>
          <cell r="F5521">
            <v>0</v>
          </cell>
          <cell r="G5521">
            <v>0</v>
          </cell>
          <cell r="H5521">
            <v>1</v>
          </cell>
          <cell r="I5521">
            <v>0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1</v>
          </cell>
          <cell r="O5521">
            <v>43647</v>
          </cell>
          <cell r="P5521">
            <v>43647</v>
          </cell>
          <cell r="Q5521">
            <v>0</v>
          </cell>
          <cell r="R5521">
            <v>0</v>
          </cell>
          <cell r="S5521">
            <v>1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</row>
        <row r="5522">
          <cell r="D5522">
            <v>330520</v>
          </cell>
          <cell r="E5522" t="str">
            <v>Philippine Science High School Southern Mindanao Campus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</row>
        <row r="5523">
          <cell r="D5523">
            <v>304371</v>
          </cell>
          <cell r="E5523" t="str">
            <v>Lamanan National High School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</row>
        <row r="5524">
          <cell r="D5524">
            <v>304379</v>
          </cell>
          <cell r="E5524" t="str">
            <v>Malabog National High School</v>
          </cell>
          <cell r="F5524">
            <v>1</v>
          </cell>
          <cell r="G5524">
            <v>1</v>
          </cell>
          <cell r="H5524">
            <v>1</v>
          </cell>
          <cell r="I5524">
            <v>0</v>
          </cell>
          <cell r="J5524">
            <v>1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43647</v>
          </cell>
          <cell r="P5524">
            <v>43647</v>
          </cell>
          <cell r="Q5524">
            <v>0</v>
          </cell>
          <cell r="R5524">
            <v>1</v>
          </cell>
          <cell r="S5524">
            <v>0</v>
          </cell>
          <cell r="T5524">
            <v>0</v>
          </cell>
          <cell r="U5524">
            <v>0</v>
          </cell>
          <cell r="V5524">
            <v>1</v>
          </cell>
          <cell r="W5524">
            <v>1</v>
          </cell>
          <cell r="X5524">
            <v>0</v>
          </cell>
          <cell r="Y5524">
            <v>0</v>
          </cell>
        </row>
        <row r="5525">
          <cell r="D5525">
            <v>304395</v>
          </cell>
          <cell r="E5525" t="str">
            <v>Emilio J. Estipona HS</v>
          </cell>
          <cell r="F5525">
            <v>0</v>
          </cell>
          <cell r="G5525">
            <v>0</v>
          </cell>
          <cell r="H5525">
            <v>1</v>
          </cell>
          <cell r="I5525">
            <v>0</v>
          </cell>
          <cell r="J5525">
            <v>1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</row>
        <row r="5526">
          <cell r="D5526">
            <v>304362</v>
          </cell>
          <cell r="E5526" t="str">
            <v>J. V. Ferriols National High School</v>
          </cell>
          <cell r="F5526">
            <v>1</v>
          </cell>
          <cell r="G5526">
            <v>1</v>
          </cell>
          <cell r="H5526">
            <v>1</v>
          </cell>
          <cell r="I5526">
            <v>0</v>
          </cell>
          <cell r="J5526">
            <v>0</v>
          </cell>
          <cell r="K5526">
            <v>1</v>
          </cell>
          <cell r="L5526">
            <v>0</v>
          </cell>
          <cell r="M5526">
            <v>0</v>
          </cell>
          <cell r="N5526">
            <v>1</v>
          </cell>
          <cell r="O5526" t="str">
            <v>APRIL 9, 2018</v>
          </cell>
          <cell r="P5526">
            <v>0</v>
          </cell>
          <cell r="Q5526">
            <v>0</v>
          </cell>
          <cell r="R5526">
            <v>0</v>
          </cell>
          <cell r="S5526">
            <v>1</v>
          </cell>
          <cell r="T5526">
            <v>0</v>
          </cell>
          <cell r="U5526">
            <v>0</v>
          </cell>
          <cell r="V5526">
            <v>1</v>
          </cell>
          <cell r="W5526">
            <v>1</v>
          </cell>
          <cell r="X5526">
            <v>0</v>
          </cell>
          <cell r="Y5526">
            <v>0</v>
          </cell>
        </row>
        <row r="5527">
          <cell r="D5527">
            <v>304387</v>
          </cell>
          <cell r="E5527" t="str">
            <v>Tugbok National HS</v>
          </cell>
          <cell r="F5527">
            <v>1</v>
          </cell>
          <cell r="G5527">
            <v>1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</row>
        <row r="5528">
          <cell r="D5528">
            <v>316204</v>
          </cell>
          <cell r="E5528" t="str">
            <v>Sumimao NHS</v>
          </cell>
          <cell r="F5528">
            <v>1</v>
          </cell>
          <cell r="G5528">
            <v>0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</row>
        <row r="5529">
          <cell r="D5529">
            <v>304342</v>
          </cell>
          <cell r="E5529" t="str">
            <v>Ma. Cristina P. Belcar Agricultural High School</v>
          </cell>
          <cell r="F5529">
            <v>1</v>
          </cell>
          <cell r="G5529">
            <v>1</v>
          </cell>
          <cell r="H5529">
            <v>1</v>
          </cell>
          <cell r="I5529">
            <v>0</v>
          </cell>
          <cell r="J5529">
            <v>1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1</v>
          </cell>
          <cell r="S5529">
            <v>0</v>
          </cell>
          <cell r="T5529">
            <v>0</v>
          </cell>
          <cell r="U5529">
            <v>0</v>
          </cell>
          <cell r="V5529">
            <v>1</v>
          </cell>
          <cell r="W5529">
            <v>0</v>
          </cell>
          <cell r="X5529">
            <v>0</v>
          </cell>
          <cell r="Y5529">
            <v>0</v>
          </cell>
        </row>
        <row r="5530">
          <cell r="D5530">
            <v>304369</v>
          </cell>
          <cell r="E5530" t="str">
            <v>Gorgonio Tajo, Sr. NHS</v>
          </cell>
          <cell r="F5530">
            <v>0</v>
          </cell>
          <cell r="G5530">
            <v>0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 t="str">
            <v>n/a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</row>
        <row r="5531">
          <cell r="D5531">
            <v>304351</v>
          </cell>
          <cell r="E5531" t="str">
            <v>Baracatan National High School</v>
          </cell>
          <cell r="F5531">
            <v>1</v>
          </cell>
          <cell r="G5531">
            <v>1</v>
          </cell>
          <cell r="H5531">
            <v>1</v>
          </cell>
          <cell r="I5531">
            <v>0</v>
          </cell>
          <cell r="J5531">
            <v>0</v>
          </cell>
          <cell r="K5531">
            <v>1</v>
          </cell>
          <cell r="L5531">
            <v>1</v>
          </cell>
          <cell r="M5531">
            <v>0</v>
          </cell>
          <cell r="N5531">
            <v>1</v>
          </cell>
          <cell r="O5531">
            <v>0</v>
          </cell>
          <cell r="P5531">
            <v>0</v>
          </cell>
          <cell r="Q5531">
            <v>0</v>
          </cell>
          <cell r="R5531">
            <v>1</v>
          </cell>
          <cell r="S5531">
            <v>1</v>
          </cell>
          <cell r="T5531">
            <v>0</v>
          </cell>
          <cell r="U5531">
            <v>0</v>
          </cell>
          <cell r="V5531">
            <v>1</v>
          </cell>
          <cell r="W5531">
            <v>1</v>
          </cell>
          <cell r="X5531">
            <v>0</v>
          </cell>
          <cell r="Y5531">
            <v>0</v>
          </cell>
        </row>
        <row r="5532">
          <cell r="D5532">
            <v>304390</v>
          </cell>
          <cell r="E5532" t="str">
            <v>Panaga National High School</v>
          </cell>
          <cell r="F5532">
            <v>1</v>
          </cell>
          <cell r="G5532">
            <v>1</v>
          </cell>
          <cell r="H5532">
            <v>1</v>
          </cell>
          <cell r="I5532">
            <v>0</v>
          </cell>
          <cell r="J5532">
            <v>1</v>
          </cell>
          <cell r="K5532">
            <v>0</v>
          </cell>
          <cell r="L5532">
            <v>0</v>
          </cell>
          <cell r="M5532">
            <v>0</v>
          </cell>
          <cell r="N5532">
            <v>1</v>
          </cell>
          <cell r="O5532">
            <v>0</v>
          </cell>
          <cell r="P5532">
            <v>0</v>
          </cell>
          <cell r="Q5532">
            <v>1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1</v>
          </cell>
          <cell r="W5532">
            <v>0</v>
          </cell>
          <cell r="X5532">
            <v>0</v>
          </cell>
          <cell r="Y5532">
            <v>0</v>
          </cell>
        </row>
        <row r="5533">
          <cell r="D5533">
            <v>316207</v>
          </cell>
          <cell r="E5533" t="str">
            <v>Camansi National High School</v>
          </cell>
          <cell r="F5533">
            <v>1</v>
          </cell>
          <cell r="G5533">
            <v>0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</row>
        <row r="5534">
          <cell r="D5534">
            <v>304370</v>
          </cell>
          <cell r="E5534" t="str">
            <v>Teofilo V. Fernandez National High School</v>
          </cell>
          <cell r="F5534">
            <v>1</v>
          </cell>
          <cell r="G5534">
            <v>1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</row>
        <row r="5535">
          <cell r="D5535">
            <v>304399</v>
          </cell>
          <cell r="E5535" t="str">
            <v>Waan National High School</v>
          </cell>
          <cell r="F5535">
            <v>1</v>
          </cell>
          <cell r="G5535">
            <v>1</v>
          </cell>
          <cell r="H5535">
            <v>1</v>
          </cell>
          <cell r="I5535">
            <v>0</v>
          </cell>
          <cell r="J5535">
            <v>0</v>
          </cell>
          <cell r="K5535">
            <v>1</v>
          </cell>
          <cell r="L5535">
            <v>0</v>
          </cell>
          <cell r="M5535">
            <v>0</v>
          </cell>
          <cell r="N5535">
            <v>1</v>
          </cell>
          <cell r="O5535">
            <v>43327</v>
          </cell>
          <cell r="P5535">
            <v>43619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1</v>
          </cell>
          <cell r="W5535">
            <v>0</v>
          </cell>
          <cell r="X5535">
            <v>0</v>
          </cell>
          <cell r="Y5535">
            <v>0</v>
          </cell>
        </row>
        <row r="5536">
          <cell r="D5536">
            <v>304372</v>
          </cell>
          <cell r="E5536" t="str">
            <v>Saloy National High School</v>
          </cell>
          <cell r="F5536">
            <v>0</v>
          </cell>
          <cell r="G5536">
            <v>0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</row>
        <row r="5537">
          <cell r="D5537">
            <v>304383</v>
          </cell>
          <cell r="E5537" t="str">
            <v>G.Astilla Sr. Cultural Minority HS</v>
          </cell>
          <cell r="F5537">
            <v>1</v>
          </cell>
          <cell r="G5537">
            <v>0</v>
          </cell>
          <cell r="H5537">
            <v>1</v>
          </cell>
          <cell r="I5537">
            <v>0</v>
          </cell>
          <cell r="J5537">
            <v>1</v>
          </cell>
          <cell r="K5537">
            <v>0</v>
          </cell>
          <cell r="L5537">
            <v>0</v>
          </cell>
          <cell r="M5537">
            <v>0</v>
          </cell>
          <cell r="N5537">
            <v>1</v>
          </cell>
          <cell r="O5537">
            <v>43689</v>
          </cell>
          <cell r="P5537" t="str">
            <v>September 26,2019</v>
          </cell>
          <cell r="Q5537">
            <v>0</v>
          </cell>
          <cell r="R5537">
            <v>1</v>
          </cell>
          <cell r="S5537">
            <v>0</v>
          </cell>
          <cell r="T5537">
            <v>0</v>
          </cell>
          <cell r="U5537">
            <v>0</v>
          </cell>
          <cell r="V5537">
            <v>1</v>
          </cell>
          <cell r="W5537">
            <v>8</v>
          </cell>
          <cell r="X5537">
            <v>8</v>
          </cell>
          <cell r="Y5537">
            <v>8</v>
          </cell>
        </row>
        <row r="5538">
          <cell r="D5538">
            <v>304380</v>
          </cell>
          <cell r="E5538" t="str">
            <v>Pablo Lorenzo NHS</v>
          </cell>
          <cell r="F5538">
            <v>1</v>
          </cell>
          <cell r="G5538">
            <v>1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1</v>
          </cell>
          <cell r="M5538" t="str">
            <v>SSG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</row>
        <row r="5539">
          <cell r="D5539">
            <v>304382</v>
          </cell>
          <cell r="E5539" t="str">
            <v>Marilog National High School</v>
          </cell>
          <cell r="F5539">
            <v>1</v>
          </cell>
          <cell r="G5539">
            <v>0</v>
          </cell>
          <cell r="H5539">
            <v>1</v>
          </cell>
          <cell r="I5539">
            <v>0</v>
          </cell>
          <cell r="J5539">
            <v>1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</row>
        <row r="5540">
          <cell r="D5540">
            <v>304398</v>
          </cell>
          <cell r="E5540" t="str">
            <v>Sirawan NHS</v>
          </cell>
          <cell r="F5540">
            <v>1</v>
          </cell>
          <cell r="G5540">
            <v>1</v>
          </cell>
          <cell r="H5540">
            <v>1</v>
          </cell>
          <cell r="I5540">
            <v>0</v>
          </cell>
          <cell r="J5540">
            <v>0</v>
          </cell>
          <cell r="K5540">
            <v>1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</row>
        <row r="5541">
          <cell r="D5541">
            <v>304345</v>
          </cell>
          <cell r="E5541" t="str">
            <v>Bernardo D. Carpio National High School</v>
          </cell>
          <cell r="F5541">
            <v>1</v>
          </cell>
          <cell r="G5541">
            <v>1</v>
          </cell>
          <cell r="H5541">
            <v>1</v>
          </cell>
          <cell r="I5541">
            <v>0</v>
          </cell>
          <cell r="J5541">
            <v>1</v>
          </cell>
          <cell r="K5541">
            <v>0</v>
          </cell>
          <cell r="L5541">
            <v>0</v>
          </cell>
          <cell r="M5541">
            <v>0</v>
          </cell>
          <cell r="N5541">
            <v>1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1</v>
          </cell>
          <cell r="T5541">
            <v>0</v>
          </cell>
          <cell r="U5541">
            <v>0</v>
          </cell>
          <cell r="V5541">
            <v>1</v>
          </cell>
          <cell r="W5541">
            <v>1</v>
          </cell>
          <cell r="X5541">
            <v>1</v>
          </cell>
          <cell r="Y5541">
            <v>1</v>
          </cell>
        </row>
        <row r="5542">
          <cell r="D5542">
            <v>304386</v>
          </cell>
          <cell r="E5542" t="str">
            <v>Sto. Niño National High School</v>
          </cell>
          <cell r="F5542">
            <v>1</v>
          </cell>
          <cell r="G5542">
            <v>0</v>
          </cell>
          <cell r="H5542">
            <v>1</v>
          </cell>
          <cell r="I5542">
            <v>0</v>
          </cell>
          <cell r="J5542">
            <v>1</v>
          </cell>
          <cell r="K5542">
            <v>0</v>
          </cell>
          <cell r="L5542">
            <v>0</v>
          </cell>
          <cell r="M5542">
            <v>0</v>
          </cell>
          <cell r="N5542">
            <v>1</v>
          </cell>
          <cell r="O5542">
            <v>0</v>
          </cell>
          <cell r="P5542">
            <v>0</v>
          </cell>
          <cell r="Q5542">
            <v>0</v>
          </cell>
          <cell r="R5542">
            <v>1</v>
          </cell>
          <cell r="S5542">
            <v>0</v>
          </cell>
          <cell r="T5542">
            <v>0</v>
          </cell>
          <cell r="U5542">
            <v>0</v>
          </cell>
          <cell r="V5542">
            <v>1</v>
          </cell>
          <cell r="W5542">
            <v>0</v>
          </cell>
          <cell r="X5542">
            <v>0</v>
          </cell>
          <cell r="Y5542">
            <v>0</v>
          </cell>
        </row>
        <row r="5543">
          <cell r="D5543">
            <v>304392</v>
          </cell>
          <cell r="E5543" t="str">
            <v>Sirib NHS</v>
          </cell>
          <cell r="F5543">
            <v>0</v>
          </cell>
          <cell r="G5543">
            <v>0</v>
          </cell>
          <cell r="H5543">
            <v>1</v>
          </cell>
          <cell r="I5543">
            <v>0</v>
          </cell>
          <cell r="J5543">
            <v>1</v>
          </cell>
          <cell r="K5543">
            <v>0</v>
          </cell>
          <cell r="L5543">
            <v>0</v>
          </cell>
          <cell r="M5543">
            <v>0</v>
          </cell>
          <cell r="N5543">
            <v>1</v>
          </cell>
          <cell r="O5543">
            <v>0</v>
          </cell>
          <cell r="P5543">
            <v>0</v>
          </cell>
          <cell r="Q5543">
            <v>0</v>
          </cell>
          <cell r="R5543">
            <v>1</v>
          </cell>
          <cell r="S5543">
            <v>0</v>
          </cell>
          <cell r="T5543">
            <v>0</v>
          </cell>
          <cell r="U5543">
            <v>0</v>
          </cell>
          <cell r="V5543">
            <v>1</v>
          </cell>
          <cell r="W5543">
            <v>0</v>
          </cell>
          <cell r="X5543">
            <v>0</v>
          </cell>
          <cell r="Y5543">
            <v>0</v>
          </cell>
        </row>
        <row r="5544">
          <cell r="D5544">
            <v>304376</v>
          </cell>
          <cell r="E5544" t="str">
            <v>Mabini NHS</v>
          </cell>
          <cell r="F5544">
            <v>0</v>
          </cell>
          <cell r="G5544">
            <v>0</v>
          </cell>
          <cell r="H5544">
            <v>1</v>
          </cell>
          <cell r="I5544">
            <v>0</v>
          </cell>
          <cell r="J5544">
            <v>0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1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</row>
        <row r="5545">
          <cell r="D5545">
            <v>301715</v>
          </cell>
          <cell r="E5545" t="str">
            <v>Tacunan National High School</v>
          </cell>
          <cell r="F5545">
            <v>0</v>
          </cell>
          <cell r="G5545">
            <v>0</v>
          </cell>
          <cell r="H5545">
            <v>1</v>
          </cell>
          <cell r="I5545">
            <v>0</v>
          </cell>
          <cell r="J5545">
            <v>1</v>
          </cell>
          <cell r="K5545">
            <v>0</v>
          </cell>
          <cell r="L5545">
            <v>0</v>
          </cell>
          <cell r="M5545">
            <v>0</v>
          </cell>
          <cell r="N5545">
            <v>1</v>
          </cell>
          <cell r="O5545">
            <v>43693</v>
          </cell>
          <cell r="P5545">
            <v>43708</v>
          </cell>
          <cell r="Q5545">
            <v>0</v>
          </cell>
          <cell r="R5545">
            <v>0</v>
          </cell>
          <cell r="S5545">
            <v>0</v>
          </cell>
          <cell r="T5545">
            <v>1</v>
          </cell>
          <cell r="U5545" t="str">
            <v>Surprise Inspection</v>
          </cell>
          <cell r="V5545">
            <v>1</v>
          </cell>
          <cell r="W5545">
            <v>2</v>
          </cell>
          <cell r="X5545">
            <v>2</v>
          </cell>
          <cell r="Y5545">
            <v>2</v>
          </cell>
        </row>
        <row r="5546">
          <cell r="D5546">
            <v>304366</v>
          </cell>
          <cell r="E5546" t="str">
            <v>F. Bangoy NHS</v>
          </cell>
          <cell r="F5546">
            <v>1</v>
          </cell>
          <cell r="G5546">
            <v>1</v>
          </cell>
          <cell r="H5546">
            <v>0</v>
          </cell>
          <cell r="I5546">
            <v>0</v>
          </cell>
          <cell r="J5546">
            <v>1</v>
          </cell>
          <cell r="K5546">
            <v>0</v>
          </cell>
          <cell r="L5546">
            <v>0</v>
          </cell>
          <cell r="M5546">
            <v>0</v>
          </cell>
          <cell r="N5546">
            <v>1</v>
          </cell>
          <cell r="O5546">
            <v>0</v>
          </cell>
          <cell r="P5546">
            <v>0</v>
          </cell>
          <cell r="Q5546">
            <v>0</v>
          </cell>
          <cell r="R5546">
            <v>1</v>
          </cell>
          <cell r="S5546">
            <v>0</v>
          </cell>
          <cell r="T5546">
            <v>0</v>
          </cell>
          <cell r="U5546">
            <v>0</v>
          </cell>
          <cell r="V5546">
            <v>1</v>
          </cell>
          <cell r="W5546">
            <v>0</v>
          </cell>
          <cell r="X5546">
            <v>0</v>
          </cell>
          <cell r="Y5546">
            <v>0</v>
          </cell>
        </row>
        <row r="5547">
          <cell r="D5547">
            <v>316203</v>
          </cell>
          <cell r="E5547" t="str">
            <v>Bartolome R. Luardo National HIgh School (formerly Mulig NHS)</v>
          </cell>
          <cell r="F5547">
            <v>1</v>
          </cell>
          <cell r="G5547">
            <v>0</v>
          </cell>
          <cell r="H5547">
            <v>1</v>
          </cell>
          <cell r="I5547">
            <v>0</v>
          </cell>
          <cell r="J5547">
            <v>0</v>
          </cell>
          <cell r="K5547">
            <v>1</v>
          </cell>
          <cell r="L5547">
            <v>0</v>
          </cell>
          <cell r="M5547">
            <v>0</v>
          </cell>
          <cell r="N5547">
            <v>0</v>
          </cell>
          <cell r="O5547" t="str">
            <v>NEVER</v>
          </cell>
          <cell r="P5547">
            <v>43374</v>
          </cell>
          <cell r="Q5547">
            <v>0</v>
          </cell>
          <cell r="R5547">
            <v>0</v>
          </cell>
          <cell r="S5547">
            <v>1</v>
          </cell>
          <cell r="T5547">
            <v>0</v>
          </cell>
          <cell r="U5547">
            <v>0</v>
          </cell>
          <cell r="V5547">
            <v>1</v>
          </cell>
          <cell r="W5547">
            <v>0</v>
          </cell>
          <cell r="X5547">
            <v>0</v>
          </cell>
          <cell r="Y5547">
            <v>0</v>
          </cell>
        </row>
        <row r="5548">
          <cell r="D5548">
            <v>304364</v>
          </cell>
          <cell r="E5548" t="str">
            <v>E. Ramos NHS</v>
          </cell>
          <cell r="F5548">
            <v>0</v>
          </cell>
          <cell r="G5548">
            <v>0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</row>
        <row r="5549">
          <cell r="D5549">
            <v>304394</v>
          </cell>
          <cell r="E5549" t="str">
            <v>Tagakpan NHS</v>
          </cell>
          <cell r="F5549">
            <v>1</v>
          </cell>
          <cell r="G5549">
            <v>1</v>
          </cell>
          <cell r="H5549">
            <v>1</v>
          </cell>
          <cell r="I5549">
            <v>0</v>
          </cell>
          <cell r="J5549">
            <v>1</v>
          </cell>
          <cell r="K5549">
            <v>0</v>
          </cell>
          <cell r="L5549">
            <v>1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1</v>
          </cell>
          <cell r="S5549">
            <v>0</v>
          </cell>
          <cell r="T5549">
            <v>0</v>
          </cell>
          <cell r="U5549">
            <v>0</v>
          </cell>
          <cell r="V5549">
            <v>1</v>
          </cell>
          <cell r="W5549">
            <v>0</v>
          </cell>
          <cell r="X5549">
            <v>0</v>
          </cell>
          <cell r="Y5549">
            <v>0</v>
          </cell>
        </row>
        <row r="5550">
          <cell r="D5550">
            <v>316211</v>
          </cell>
          <cell r="E5550" t="str">
            <v>Paradise Embac National High School</v>
          </cell>
          <cell r="F5550">
            <v>0</v>
          </cell>
          <cell r="G5550">
            <v>0</v>
          </cell>
          <cell r="H5550">
            <v>1</v>
          </cell>
          <cell r="I5550">
            <v>0</v>
          </cell>
          <cell r="J5550">
            <v>0</v>
          </cell>
          <cell r="K5550">
            <v>1</v>
          </cell>
          <cell r="L5550">
            <v>0</v>
          </cell>
          <cell r="M5550">
            <v>0</v>
          </cell>
          <cell r="N5550">
            <v>1</v>
          </cell>
          <cell r="O5550">
            <v>43623</v>
          </cell>
          <cell r="P5550">
            <v>0</v>
          </cell>
          <cell r="Q5550">
            <v>0</v>
          </cell>
          <cell r="R5550">
            <v>1</v>
          </cell>
          <cell r="S5550">
            <v>0</v>
          </cell>
          <cell r="T5550">
            <v>0</v>
          </cell>
          <cell r="U5550">
            <v>0</v>
          </cell>
          <cell r="V5550">
            <v>1</v>
          </cell>
          <cell r="W5550">
            <v>0</v>
          </cell>
          <cell r="X5550">
            <v>0</v>
          </cell>
          <cell r="Y5550">
            <v>0</v>
          </cell>
        </row>
        <row r="5551">
          <cell r="D5551">
            <v>304384</v>
          </cell>
          <cell r="E5551" t="str">
            <v>Marahan National High School</v>
          </cell>
          <cell r="F5551">
            <v>0</v>
          </cell>
          <cell r="G5551">
            <v>0</v>
          </cell>
          <cell r="H5551">
            <v>1</v>
          </cell>
          <cell r="I5551">
            <v>0</v>
          </cell>
          <cell r="J5551">
            <v>1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1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</row>
        <row r="5552">
          <cell r="D5552">
            <v>316206</v>
          </cell>
          <cell r="E5552" t="str">
            <v>Don Enrique Bustamante NHS</v>
          </cell>
          <cell r="F5552">
            <v>1</v>
          </cell>
          <cell r="G5552">
            <v>1</v>
          </cell>
          <cell r="H5552">
            <v>1</v>
          </cell>
          <cell r="I5552">
            <v>0</v>
          </cell>
          <cell r="J5552">
            <v>1</v>
          </cell>
          <cell r="K5552">
            <v>0</v>
          </cell>
          <cell r="L5552">
            <v>0</v>
          </cell>
          <cell r="M5552">
            <v>0</v>
          </cell>
          <cell r="N5552">
            <v>1</v>
          </cell>
          <cell r="O5552">
            <v>43810</v>
          </cell>
          <cell r="P5552">
            <v>43810</v>
          </cell>
          <cell r="Q5552">
            <v>0</v>
          </cell>
          <cell r="R5552">
            <v>1</v>
          </cell>
          <cell r="S5552">
            <v>0</v>
          </cell>
          <cell r="T5552">
            <v>0</v>
          </cell>
          <cell r="U5552">
            <v>0</v>
          </cell>
          <cell r="V5552">
            <v>1</v>
          </cell>
          <cell r="W5552">
            <v>0</v>
          </cell>
          <cell r="X5552">
            <v>0</v>
          </cell>
          <cell r="Y5552">
            <v>0</v>
          </cell>
        </row>
        <row r="5553">
          <cell r="D5553">
            <v>304360</v>
          </cell>
          <cell r="E5553" t="str">
            <v>Davao City NHS</v>
          </cell>
          <cell r="F5553">
            <v>1</v>
          </cell>
          <cell r="G5553">
            <v>1</v>
          </cell>
          <cell r="H5553">
            <v>1</v>
          </cell>
          <cell r="I5553">
            <v>1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1</v>
          </cell>
          <cell r="O5553">
            <v>43739</v>
          </cell>
          <cell r="P5553">
            <v>0</v>
          </cell>
          <cell r="Q5553">
            <v>1</v>
          </cell>
          <cell r="R5553">
            <v>1</v>
          </cell>
          <cell r="S5553">
            <v>0</v>
          </cell>
          <cell r="T5553">
            <v>1</v>
          </cell>
          <cell r="U5553" t="str">
            <v>Barangay officials</v>
          </cell>
          <cell r="V5553">
            <v>1</v>
          </cell>
          <cell r="W5553">
            <v>1</v>
          </cell>
          <cell r="X5553">
            <v>0</v>
          </cell>
          <cell r="Y5553">
            <v>0</v>
          </cell>
        </row>
        <row r="5554">
          <cell r="D5554">
            <v>304349</v>
          </cell>
          <cell r="E5554" t="str">
            <v>Binowang National High School</v>
          </cell>
          <cell r="F5554">
            <v>0</v>
          </cell>
          <cell r="G5554">
            <v>0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</row>
        <row r="5555">
          <cell r="D5555">
            <v>316205</v>
          </cell>
          <cell r="E5555" t="str">
            <v>Tambobong National High School</v>
          </cell>
          <cell r="F5555">
            <v>1</v>
          </cell>
          <cell r="G5555">
            <v>1</v>
          </cell>
          <cell r="H5555">
            <v>1</v>
          </cell>
          <cell r="I5555">
            <v>0</v>
          </cell>
          <cell r="J5555">
            <v>0</v>
          </cell>
          <cell r="K5555">
            <v>1</v>
          </cell>
          <cell r="L5555">
            <v>0</v>
          </cell>
          <cell r="M5555">
            <v>0</v>
          </cell>
          <cell r="N5555">
            <v>1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1</v>
          </cell>
          <cell r="T5555">
            <v>0</v>
          </cell>
          <cell r="U5555">
            <v>0</v>
          </cell>
          <cell r="V5555">
            <v>1</v>
          </cell>
          <cell r="W5555">
            <v>5</v>
          </cell>
          <cell r="X5555">
            <v>5</v>
          </cell>
          <cell r="Y5555">
            <v>5</v>
          </cell>
        </row>
        <row r="5556">
          <cell r="D5556">
            <v>304344</v>
          </cell>
          <cell r="E5556" t="str">
            <v>Elias P. Dacudao Gumalang School of Home Industries</v>
          </cell>
          <cell r="F5556">
            <v>0</v>
          </cell>
          <cell r="G5556">
            <v>0</v>
          </cell>
          <cell r="H5556">
            <v>1</v>
          </cell>
          <cell r="I5556">
            <v>0</v>
          </cell>
          <cell r="J5556">
            <v>0</v>
          </cell>
          <cell r="K5556">
            <v>1</v>
          </cell>
          <cell r="L5556">
            <v>0</v>
          </cell>
          <cell r="M5556">
            <v>0</v>
          </cell>
          <cell r="N5556">
            <v>0</v>
          </cell>
          <cell r="O5556">
            <v>43374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1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</row>
        <row r="5557">
          <cell r="D5557">
            <v>341513</v>
          </cell>
          <cell r="E5557" t="str">
            <v>SHS in Digos City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</row>
        <row r="5558">
          <cell r="D5558">
            <v>301906</v>
          </cell>
          <cell r="E5558" t="str">
            <v>Goma National High School</v>
          </cell>
          <cell r="F5558">
            <v>1</v>
          </cell>
          <cell r="G5558">
            <v>1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</row>
        <row r="5559">
          <cell r="D5559">
            <v>304402</v>
          </cell>
          <cell r="E5559" t="str">
            <v>Ruparan NHS</v>
          </cell>
          <cell r="F5559">
            <v>1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1</v>
          </cell>
          <cell r="M5559" t="str">
            <v>NONE</v>
          </cell>
          <cell r="N5559">
            <v>0</v>
          </cell>
          <cell r="O5559" t="str">
            <v>NONE</v>
          </cell>
          <cell r="P5559" t="str">
            <v>NONE</v>
          </cell>
          <cell r="Q5559">
            <v>0</v>
          </cell>
          <cell r="R5559">
            <v>0</v>
          </cell>
          <cell r="S5559">
            <v>0</v>
          </cell>
          <cell r="T5559">
            <v>1</v>
          </cell>
          <cell r="U5559" t="str">
            <v>NONE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</row>
        <row r="5560">
          <cell r="D5560">
            <v>304401</v>
          </cell>
          <cell r="E5560" t="str">
            <v>Kapatagan NHS</v>
          </cell>
          <cell r="F5560">
            <v>1</v>
          </cell>
          <cell r="G5560">
            <v>0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</row>
        <row r="5561">
          <cell r="D5561">
            <v>316302</v>
          </cell>
          <cell r="E5561" t="str">
            <v>Matti NHS</v>
          </cell>
          <cell r="F5561">
            <v>1</v>
          </cell>
          <cell r="G5561">
            <v>1</v>
          </cell>
          <cell r="H5561">
            <v>1</v>
          </cell>
          <cell r="I5561">
            <v>1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1</v>
          </cell>
          <cell r="O5561">
            <v>43617</v>
          </cell>
          <cell r="P5561">
            <v>43738</v>
          </cell>
          <cell r="Q5561">
            <v>0</v>
          </cell>
          <cell r="R5561">
            <v>0</v>
          </cell>
          <cell r="S5561">
            <v>1</v>
          </cell>
          <cell r="T5561">
            <v>0</v>
          </cell>
          <cell r="U5561">
            <v>0</v>
          </cell>
          <cell r="V5561">
            <v>1</v>
          </cell>
          <cell r="W5561">
            <v>2</v>
          </cell>
          <cell r="X5561">
            <v>0</v>
          </cell>
          <cell r="Y5561">
            <v>0</v>
          </cell>
        </row>
        <row r="5562">
          <cell r="D5562">
            <v>304400</v>
          </cell>
          <cell r="E5562" t="str">
            <v>Digos City NHS (Davao Del Sur NHS)</v>
          </cell>
          <cell r="F5562">
            <v>1</v>
          </cell>
          <cell r="G5562">
            <v>0</v>
          </cell>
          <cell r="H5562">
            <v>1</v>
          </cell>
          <cell r="I5562">
            <v>0</v>
          </cell>
          <cell r="J5562">
            <v>1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 t="str">
            <v>July 2019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1</v>
          </cell>
          <cell r="X5562">
            <v>1</v>
          </cell>
          <cell r="Y5562">
            <v>1</v>
          </cell>
        </row>
        <row r="5563">
          <cell r="D5563">
            <v>304403</v>
          </cell>
          <cell r="E5563" t="str">
            <v>A. O. Floirendo National High School</v>
          </cell>
          <cell r="F5563">
            <v>1</v>
          </cell>
          <cell r="G5563">
            <v>1</v>
          </cell>
          <cell r="H5563">
            <v>1</v>
          </cell>
          <cell r="I5563">
            <v>0</v>
          </cell>
          <cell r="J5563">
            <v>0</v>
          </cell>
          <cell r="K5563">
            <v>1</v>
          </cell>
          <cell r="L5563">
            <v>0</v>
          </cell>
          <cell r="M5563">
            <v>0</v>
          </cell>
          <cell r="N5563">
            <v>1</v>
          </cell>
          <cell r="O5563">
            <v>0</v>
          </cell>
          <cell r="P5563">
            <v>43617</v>
          </cell>
          <cell r="Q5563">
            <v>0</v>
          </cell>
          <cell r="R5563">
            <v>1</v>
          </cell>
          <cell r="S5563">
            <v>0</v>
          </cell>
          <cell r="T5563">
            <v>0</v>
          </cell>
          <cell r="U5563">
            <v>0</v>
          </cell>
          <cell r="V5563">
            <v>1</v>
          </cell>
          <cell r="W5563">
            <v>0</v>
          </cell>
          <cell r="X5563">
            <v>0</v>
          </cell>
          <cell r="Y5563">
            <v>0</v>
          </cell>
        </row>
        <row r="5564">
          <cell r="D5564">
            <v>316401</v>
          </cell>
          <cell r="E5564" t="str">
            <v>Southern Davao National High School</v>
          </cell>
          <cell r="F5564">
            <v>1</v>
          </cell>
          <cell r="G5564">
            <v>1</v>
          </cell>
          <cell r="H5564">
            <v>1</v>
          </cell>
          <cell r="I5564">
            <v>1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1</v>
          </cell>
          <cell r="O5564">
            <v>43636</v>
          </cell>
          <cell r="P5564">
            <v>43605</v>
          </cell>
          <cell r="Q5564">
            <v>1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1</v>
          </cell>
          <cell r="W5564">
            <v>2</v>
          </cell>
          <cell r="X5564">
            <v>0</v>
          </cell>
          <cell r="Y5564">
            <v>0</v>
          </cell>
        </row>
        <row r="5565">
          <cell r="D5565">
            <v>304404</v>
          </cell>
          <cell r="E5565" t="str">
            <v>Sindaton National High School</v>
          </cell>
          <cell r="F5565">
            <v>1</v>
          </cell>
          <cell r="G5565">
            <v>1</v>
          </cell>
          <cell r="H5565">
            <v>0</v>
          </cell>
          <cell r="I5565">
            <v>0</v>
          </cell>
          <cell r="J5565">
            <v>0</v>
          </cell>
          <cell r="K5565">
            <v>1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</row>
        <row r="5566">
          <cell r="D5566">
            <v>304408</v>
          </cell>
          <cell r="E5566" t="str">
            <v>Panabo National High School</v>
          </cell>
          <cell r="F5566">
            <v>1</v>
          </cell>
          <cell r="G5566">
            <v>1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</row>
        <row r="5567">
          <cell r="D5567">
            <v>316405</v>
          </cell>
          <cell r="E5567" t="str">
            <v>QUEZON NATIONAL HIGH SCHOOL</v>
          </cell>
          <cell r="F5567">
            <v>1</v>
          </cell>
          <cell r="G5567">
            <v>1</v>
          </cell>
          <cell r="H5567">
            <v>1</v>
          </cell>
          <cell r="I5567">
            <v>0</v>
          </cell>
          <cell r="J5567">
            <v>1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1</v>
          </cell>
          <cell r="U5567" t="str">
            <v>never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</row>
        <row r="5568">
          <cell r="D5568">
            <v>304407</v>
          </cell>
          <cell r="E5568" t="str">
            <v>Manay National High School</v>
          </cell>
          <cell r="F5568">
            <v>1</v>
          </cell>
          <cell r="G5568">
            <v>0</v>
          </cell>
          <cell r="H5568">
            <v>1</v>
          </cell>
          <cell r="I5568">
            <v>0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1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1</v>
          </cell>
          <cell r="W5568">
            <v>0</v>
          </cell>
          <cell r="X5568">
            <v>0</v>
          </cell>
          <cell r="Y5568">
            <v>0</v>
          </cell>
        </row>
        <row r="5569">
          <cell r="D5569">
            <v>304405</v>
          </cell>
          <cell r="E5569" t="str">
            <v>Don Manuel A. Javellana Memorial National High School</v>
          </cell>
          <cell r="F5569">
            <v>1</v>
          </cell>
          <cell r="G5569">
            <v>1</v>
          </cell>
          <cell r="H5569">
            <v>1</v>
          </cell>
          <cell r="I5569">
            <v>0</v>
          </cell>
          <cell r="J5569">
            <v>1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1</v>
          </cell>
          <cell r="S5569">
            <v>0</v>
          </cell>
          <cell r="T5569">
            <v>0</v>
          </cell>
          <cell r="U5569">
            <v>0</v>
          </cell>
          <cell r="V5569">
            <v>1</v>
          </cell>
          <cell r="W5569">
            <v>0</v>
          </cell>
          <cell r="X5569">
            <v>0</v>
          </cell>
          <cell r="Y5569">
            <v>0</v>
          </cell>
        </row>
        <row r="5570">
          <cell r="D5570">
            <v>304409</v>
          </cell>
          <cell r="E5570" t="str">
            <v>Little Panay National High School</v>
          </cell>
          <cell r="F5570">
            <v>1</v>
          </cell>
          <cell r="G5570">
            <v>1</v>
          </cell>
          <cell r="H5570">
            <v>1</v>
          </cell>
          <cell r="I5570">
            <v>0</v>
          </cell>
          <cell r="J5570">
            <v>1</v>
          </cell>
          <cell r="K5570">
            <v>0</v>
          </cell>
          <cell r="L5570">
            <v>0</v>
          </cell>
          <cell r="M5570">
            <v>0</v>
          </cell>
          <cell r="N5570">
            <v>1</v>
          </cell>
          <cell r="O5570">
            <v>43546</v>
          </cell>
          <cell r="P5570">
            <v>43546</v>
          </cell>
          <cell r="Q5570">
            <v>0</v>
          </cell>
          <cell r="R5570">
            <v>1</v>
          </cell>
          <cell r="S5570">
            <v>0</v>
          </cell>
          <cell r="T5570">
            <v>0</v>
          </cell>
          <cell r="U5570">
            <v>0</v>
          </cell>
          <cell r="V5570">
            <v>1</v>
          </cell>
          <cell r="W5570">
            <v>0</v>
          </cell>
          <cell r="X5570">
            <v>0</v>
          </cell>
          <cell r="Y5570">
            <v>0</v>
          </cell>
        </row>
        <row r="5571">
          <cell r="D5571">
            <v>316404</v>
          </cell>
          <cell r="E5571" t="str">
            <v>Mabunao National High School</v>
          </cell>
          <cell r="F5571">
            <v>0</v>
          </cell>
          <cell r="G5571">
            <v>0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</row>
        <row r="5572">
          <cell r="D5572">
            <v>304406</v>
          </cell>
          <cell r="E5572" t="str">
            <v>Malativas National High School</v>
          </cell>
          <cell r="F5572">
            <v>0</v>
          </cell>
          <cell r="G5572">
            <v>0</v>
          </cell>
          <cell r="H5572">
            <v>1</v>
          </cell>
          <cell r="I5572">
            <v>1</v>
          </cell>
          <cell r="J5572">
            <v>0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</row>
        <row r="5573">
          <cell r="D5573">
            <v>341574</v>
          </cell>
          <cell r="E5573" t="str">
            <v>Panabo City Senior High School</v>
          </cell>
          <cell r="F5573">
            <v>1</v>
          </cell>
          <cell r="G5573">
            <v>1</v>
          </cell>
          <cell r="H5573">
            <v>1</v>
          </cell>
          <cell r="I5573">
            <v>0</v>
          </cell>
          <cell r="J5573">
            <v>0</v>
          </cell>
          <cell r="K5573">
            <v>1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43647</v>
          </cell>
          <cell r="Q5573">
            <v>0</v>
          </cell>
          <cell r="R5573">
            <v>0</v>
          </cell>
          <cell r="S5573">
            <v>1</v>
          </cell>
          <cell r="T5573">
            <v>0</v>
          </cell>
          <cell r="U5573">
            <v>0</v>
          </cell>
          <cell r="V5573">
            <v>1</v>
          </cell>
          <cell r="W5573">
            <v>0</v>
          </cell>
          <cell r="X5573">
            <v>0</v>
          </cell>
          <cell r="Y5573">
            <v>0</v>
          </cell>
        </row>
        <row r="5574">
          <cell r="D5574">
            <v>316403</v>
          </cell>
          <cell r="E5574" t="str">
            <v>Kauswagan National High School</v>
          </cell>
          <cell r="F5574">
            <v>1</v>
          </cell>
          <cell r="G5574">
            <v>0</v>
          </cell>
          <cell r="H5574">
            <v>1</v>
          </cell>
          <cell r="I5574">
            <v>0</v>
          </cell>
          <cell r="J5574">
            <v>1</v>
          </cell>
          <cell r="K5574">
            <v>0</v>
          </cell>
          <cell r="L5574">
            <v>0</v>
          </cell>
          <cell r="M5574">
            <v>0</v>
          </cell>
          <cell r="N5574">
            <v>1</v>
          </cell>
          <cell r="O5574">
            <v>43617</v>
          </cell>
          <cell r="P5574">
            <v>43678</v>
          </cell>
          <cell r="Q5574">
            <v>1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1</v>
          </cell>
          <cell r="W5574">
            <v>2</v>
          </cell>
          <cell r="X5574">
            <v>0</v>
          </cell>
          <cell r="Y5574">
            <v>0</v>
          </cell>
        </row>
        <row r="5575">
          <cell r="D5575">
            <v>316402</v>
          </cell>
          <cell r="E5575" t="str">
            <v>San Vicente National High School</v>
          </cell>
          <cell r="F5575">
            <v>1</v>
          </cell>
          <cell r="G5575">
            <v>0</v>
          </cell>
          <cell r="H5575">
            <v>1</v>
          </cell>
          <cell r="I5575">
            <v>0</v>
          </cell>
          <cell r="J5575">
            <v>1</v>
          </cell>
          <cell r="K5575">
            <v>0</v>
          </cell>
          <cell r="L5575">
            <v>0</v>
          </cell>
          <cell r="M5575">
            <v>0</v>
          </cell>
          <cell r="N5575">
            <v>1</v>
          </cell>
          <cell r="O5575" t="str">
            <v>6/28/2019</v>
          </cell>
          <cell r="P5575" t="str">
            <v>8/30/2019</v>
          </cell>
          <cell r="Q5575">
            <v>1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1</v>
          </cell>
          <cell r="W5575">
            <v>0</v>
          </cell>
          <cell r="X5575">
            <v>0</v>
          </cell>
          <cell r="Y5575">
            <v>0</v>
          </cell>
        </row>
        <row r="5576">
          <cell r="D5576">
            <v>304225</v>
          </cell>
          <cell r="E5576" t="str">
            <v>Tagum City National Comprehensive High School</v>
          </cell>
          <cell r="F5576">
            <v>1</v>
          </cell>
          <cell r="G5576">
            <v>1</v>
          </cell>
          <cell r="H5576">
            <v>1</v>
          </cell>
          <cell r="I5576">
            <v>0</v>
          </cell>
          <cell r="J5576">
            <v>0</v>
          </cell>
          <cell r="K5576">
            <v>1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43612</v>
          </cell>
          <cell r="Q5576">
            <v>0</v>
          </cell>
          <cell r="R5576">
            <v>0</v>
          </cell>
          <cell r="S5576">
            <v>1</v>
          </cell>
          <cell r="T5576">
            <v>0</v>
          </cell>
          <cell r="U5576">
            <v>0</v>
          </cell>
          <cell r="V5576">
            <v>1</v>
          </cell>
          <cell r="W5576">
            <v>0</v>
          </cell>
          <cell r="X5576">
            <v>0</v>
          </cell>
          <cell r="Y5576">
            <v>0</v>
          </cell>
        </row>
        <row r="5577">
          <cell r="D5577">
            <v>304238</v>
          </cell>
          <cell r="E5577" t="str">
            <v>La Filipina NHS</v>
          </cell>
          <cell r="F5577">
            <v>1</v>
          </cell>
          <cell r="G5577">
            <v>1</v>
          </cell>
          <cell r="H5577">
            <v>1</v>
          </cell>
          <cell r="I5577">
            <v>0</v>
          </cell>
          <cell r="J5577">
            <v>1</v>
          </cell>
          <cell r="K5577">
            <v>0</v>
          </cell>
          <cell r="L5577">
            <v>0</v>
          </cell>
          <cell r="M5577">
            <v>0</v>
          </cell>
          <cell r="N5577">
            <v>1</v>
          </cell>
          <cell r="O5577" t="str">
            <v>GENERAL PTA ASSEMBLY</v>
          </cell>
          <cell r="P5577" t="str">
            <v>AUGUST 2, 2019</v>
          </cell>
          <cell r="Q5577">
            <v>0</v>
          </cell>
          <cell r="R5577">
            <v>1</v>
          </cell>
          <cell r="S5577">
            <v>0</v>
          </cell>
          <cell r="T5577">
            <v>0</v>
          </cell>
          <cell r="U5577">
            <v>0</v>
          </cell>
          <cell r="V5577">
            <v>1</v>
          </cell>
          <cell r="W5577">
            <v>1</v>
          </cell>
          <cell r="X5577">
            <v>0</v>
          </cell>
          <cell r="Y5577">
            <v>0</v>
          </cell>
        </row>
        <row r="5578">
          <cell r="D5578">
            <v>304260</v>
          </cell>
          <cell r="E5578" t="str">
            <v>Tagum City National High School</v>
          </cell>
          <cell r="F5578">
            <v>1</v>
          </cell>
          <cell r="G5578">
            <v>0</v>
          </cell>
          <cell r="H5578">
            <v>1</v>
          </cell>
          <cell r="I5578">
            <v>0</v>
          </cell>
          <cell r="J5578">
            <v>0</v>
          </cell>
          <cell r="K5578">
            <v>0</v>
          </cell>
          <cell r="L5578">
            <v>1</v>
          </cell>
          <cell r="M5578" t="str">
            <v>as the need arises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</row>
        <row r="5579">
          <cell r="D5579">
            <v>304231</v>
          </cell>
          <cell r="E5579" t="str">
            <v>Jose Tuason Jr. Memorial National High School</v>
          </cell>
          <cell r="F5579">
            <v>1</v>
          </cell>
          <cell r="G5579">
            <v>1</v>
          </cell>
          <cell r="H5579">
            <v>1</v>
          </cell>
          <cell r="I5579">
            <v>0</v>
          </cell>
          <cell r="J5579">
            <v>1</v>
          </cell>
          <cell r="K5579">
            <v>0</v>
          </cell>
          <cell r="L5579">
            <v>0</v>
          </cell>
          <cell r="M5579">
            <v>0</v>
          </cell>
          <cell r="N5579">
            <v>1</v>
          </cell>
          <cell r="O5579">
            <v>0</v>
          </cell>
          <cell r="P5579">
            <v>0</v>
          </cell>
          <cell r="Q5579">
            <v>0</v>
          </cell>
          <cell r="R5579">
            <v>1</v>
          </cell>
          <cell r="S5579">
            <v>0</v>
          </cell>
          <cell r="T5579">
            <v>0</v>
          </cell>
          <cell r="U5579">
            <v>0</v>
          </cell>
          <cell r="V5579">
            <v>1</v>
          </cell>
          <cell r="W5579">
            <v>0</v>
          </cell>
          <cell r="X5579">
            <v>0</v>
          </cell>
          <cell r="Y5579">
            <v>0</v>
          </cell>
        </row>
        <row r="5580">
          <cell r="D5580">
            <v>304261</v>
          </cell>
          <cell r="E5580" t="str">
            <v>TAGUM NATIONAL TRADE SCHOOL</v>
          </cell>
          <cell r="F5580">
            <v>1</v>
          </cell>
          <cell r="G5580">
            <v>1</v>
          </cell>
          <cell r="H5580">
            <v>1</v>
          </cell>
          <cell r="I5580">
            <v>0</v>
          </cell>
          <cell r="J5580">
            <v>1</v>
          </cell>
          <cell r="K5580">
            <v>0</v>
          </cell>
          <cell r="L5580">
            <v>0</v>
          </cell>
          <cell r="M5580">
            <v>0</v>
          </cell>
          <cell r="N5580">
            <v>1</v>
          </cell>
          <cell r="O5580" t="str">
            <v>Sept. 13, 2019</v>
          </cell>
          <cell r="P5580" t="str">
            <v>Sept. 12, 2019</v>
          </cell>
          <cell r="Q5580">
            <v>1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1</v>
          </cell>
          <cell r="W5580">
            <v>0</v>
          </cell>
          <cell r="X5580">
            <v>0</v>
          </cell>
          <cell r="Y5580">
            <v>0</v>
          </cell>
        </row>
        <row r="5581">
          <cell r="D5581">
            <v>304232</v>
          </cell>
          <cell r="E5581" t="str">
            <v>Pipisan Maug National High School</v>
          </cell>
          <cell r="F5581">
            <v>1</v>
          </cell>
          <cell r="G5581">
            <v>1</v>
          </cell>
          <cell r="H5581">
            <v>1</v>
          </cell>
          <cell r="I5581">
            <v>0</v>
          </cell>
          <cell r="J5581">
            <v>0</v>
          </cell>
          <cell r="K5581">
            <v>0</v>
          </cell>
          <cell r="L5581">
            <v>1</v>
          </cell>
          <cell r="M5581" t="str">
            <v>AS NEEDED</v>
          </cell>
          <cell r="N5581">
            <v>1</v>
          </cell>
          <cell r="O5581" t="str">
            <v>FEBRUARY 12, 2019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1</v>
          </cell>
          <cell r="U5581" t="str">
            <v>AS NEEDED</v>
          </cell>
          <cell r="V5581">
            <v>1</v>
          </cell>
          <cell r="W5581">
            <v>0</v>
          </cell>
          <cell r="X5581">
            <v>0</v>
          </cell>
          <cell r="Y5581">
            <v>0</v>
          </cell>
        </row>
        <row r="5582">
          <cell r="D5582">
            <v>500424</v>
          </cell>
          <cell r="E5582" t="str">
            <v>Busaon Integrated School</v>
          </cell>
          <cell r="F5582">
            <v>1</v>
          </cell>
          <cell r="G5582">
            <v>1</v>
          </cell>
          <cell r="H5582">
            <v>1</v>
          </cell>
          <cell r="I5582">
            <v>0</v>
          </cell>
          <cell r="J5582">
            <v>1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1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</row>
        <row r="5583">
          <cell r="D5583">
            <v>322401</v>
          </cell>
          <cell r="E5583" t="str">
            <v>Canocotan National High School</v>
          </cell>
          <cell r="F5583">
            <v>1</v>
          </cell>
          <cell r="G5583">
            <v>1</v>
          </cell>
          <cell r="H5583">
            <v>1</v>
          </cell>
          <cell r="I5583">
            <v>0</v>
          </cell>
          <cell r="J5583">
            <v>1</v>
          </cell>
          <cell r="K5583">
            <v>0</v>
          </cell>
          <cell r="L5583">
            <v>0</v>
          </cell>
          <cell r="M5583">
            <v>0</v>
          </cell>
          <cell r="N5583">
            <v>1</v>
          </cell>
          <cell r="O5583">
            <v>0</v>
          </cell>
          <cell r="P5583" t="str">
            <v>08/19/2019</v>
          </cell>
          <cell r="Q5583">
            <v>1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1</v>
          </cell>
          <cell r="W5583">
            <v>3</v>
          </cell>
          <cell r="X5583">
            <v>5</v>
          </cell>
          <cell r="Y5583">
            <v>3</v>
          </cell>
        </row>
        <row r="5584">
          <cell r="D5584">
            <v>304226</v>
          </cell>
          <cell r="E5584" t="str">
            <v>Laureta National High School</v>
          </cell>
          <cell r="F5584">
            <v>1</v>
          </cell>
          <cell r="G5584">
            <v>1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</row>
        <row r="5585">
          <cell r="D5585">
            <v>500425</v>
          </cell>
          <cell r="E5585" t="str">
            <v>Liboganon Integrated School</v>
          </cell>
          <cell r="F5585">
            <v>1</v>
          </cell>
          <cell r="G5585">
            <v>1</v>
          </cell>
          <cell r="H5585">
            <v>1</v>
          </cell>
          <cell r="I5585">
            <v>0</v>
          </cell>
          <cell r="J5585">
            <v>1</v>
          </cell>
          <cell r="K5585">
            <v>0</v>
          </cell>
          <cell r="L5585">
            <v>0</v>
          </cell>
          <cell r="M5585">
            <v>0</v>
          </cell>
          <cell r="N5585">
            <v>1</v>
          </cell>
          <cell r="O5585">
            <v>0</v>
          </cell>
          <cell r="P5585">
            <v>43619</v>
          </cell>
          <cell r="Q5585">
            <v>0</v>
          </cell>
          <cell r="R5585">
            <v>1</v>
          </cell>
          <cell r="S5585">
            <v>0</v>
          </cell>
          <cell r="T5585">
            <v>0</v>
          </cell>
          <cell r="U5585">
            <v>0</v>
          </cell>
          <cell r="V5585">
            <v>1</v>
          </cell>
          <cell r="W5585">
            <v>0</v>
          </cell>
          <cell r="X5585">
            <v>0</v>
          </cell>
          <cell r="Y5585">
            <v>0</v>
          </cell>
        </row>
        <row r="5586">
          <cell r="D5586">
            <v>500426</v>
          </cell>
          <cell r="E5586" t="str">
            <v>Pandapan Integrated School</v>
          </cell>
          <cell r="F5586">
            <v>0</v>
          </cell>
          <cell r="G5586">
            <v>0</v>
          </cell>
          <cell r="H5586">
            <v>1</v>
          </cell>
          <cell r="I5586">
            <v>1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</row>
        <row r="5587">
          <cell r="D5587">
            <v>304227</v>
          </cell>
          <cell r="E5587" t="str">
            <v>Don Esteban Dasalla National High School</v>
          </cell>
          <cell r="F5587">
            <v>0</v>
          </cell>
          <cell r="G5587">
            <v>0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1</v>
          </cell>
          <cell r="X5587">
            <v>0</v>
          </cell>
          <cell r="Y5587">
            <v>0</v>
          </cell>
        </row>
        <row r="5588">
          <cell r="D5588">
            <v>304216</v>
          </cell>
          <cell r="E5588" t="str">
            <v>Anonang National High School</v>
          </cell>
          <cell r="F5588">
            <v>1</v>
          </cell>
          <cell r="G5588">
            <v>1</v>
          </cell>
          <cell r="H5588">
            <v>0</v>
          </cell>
          <cell r="I5588">
            <v>0</v>
          </cell>
          <cell r="J5588">
            <v>0</v>
          </cell>
          <cell r="K5588">
            <v>1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</row>
        <row r="5589">
          <cell r="D5589">
            <v>304236</v>
          </cell>
          <cell r="E5589" t="str">
            <v>Kaputian National High School</v>
          </cell>
          <cell r="F5589">
            <v>0</v>
          </cell>
          <cell r="G5589">
            <v>0</v>
          </cell>
          <cell r="H5589">
            <v>1</v>
          </cell>
          <cell r="I5589">
            <v>0</v>
          </cell>
          <cell r="J5589">
            <v>0</v>
          </cell>
          <cell r="K5589">
            <v>1</v>
          </cell>
          <cell r="L5589">
            <v>0</v>
          </cell>
          <cell r="M5589">
            <v>0</v>
          </cell>
          <cell r="N5589">
            <v>1</v>
          </cell>
          <cell r="O5589">
            <v>43617</v>
          </cell>
          <cell r="P5589" t="str">
            <v>May, 2019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1</v>
          </cell>
          <cell r="W5589">
            <v>0</v>
          </cell>
          <cell r="X5589">
            <v>0</v>
          </cell>
          <cell r="Y5589">
            <v>0</v>
          </cell>
        </row>
        <row r="5590">
          <cell r="D5590">
            <v>304259</v>
          </cell>
          <cell r="E5590" t="str">
            <v>Tagbitan-Ag National High School</v>
          </cell>
          <cell r="F5590">
            <v>0</v>
          </cell>
          <cell r="G5590">
            <v>0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</row>
        <row r="5591">
          <cell r="D5591">
            <v>304220</v>
          </cell>
          <cell r="E5591" t="str">
            <v>Balet National High School</v>
          </cell>
          <cell r="F5591">
            <v>0</v>
          </cell>
          <cell r="G5591">
            <v>0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</row>
        <row r="5592">
          <cell r="D5592">
            <v>304253</v>
          </cell>
          <cell r="E5592" t="str">
            <v>Sta. Cruz National High School</v>
          </cell>
          <cell r="F5592">
            <v>0</v>
          </cell>
          <cell r="G5592">
            <v>0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2</v>
          </cell>
          <cell r="X5592">
            <v>2</v>
          </cell>
          <cell r="Y5592">
            <v>2</v>
          </cell>
        </row>
        <row r="5593">
          <cell r="D5593">
            <v>323411</v>
          </cell>
          <cell r="E5593" t="str">
            <v>San Jose National High School</v>
          </cell>
          <cell r="F5593">
            <v>1</v>
          </cell>
          <cell r="G5593">
            <v>1</v>
          </cell>
          <cell r="H5593">
            <v>1</v>
          </cell>
          <cell r="I5593">
            <v>0</v>
          </cell>
          <cell r="J5593">
            <v>0</v>
          </cell>
          <cell r="K5593">
            <v>1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1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1</v>
          </cell>
          <cell r="W5593">
            <v>0</v>
          </cell>
          <cell r="X5593">
            <v>0</v>
          </cell>
          <cell r="Y5593">
            <v>0</v>
          </cell>
        </row>
        <row r="5594">
          <cell r="D5594">
            <v>323410</v>
          </cell>
          <cell r="E5594" t="str">
            <v>Tagpopongan National High School</v>
          </cell>
          <cell r="F5594">
            <v>1</v>
          </cell>
          <cell r="G5594">
            <v>1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</row>
        <row r="5595">
          <cell r="D5595">
            <v>323402</v>
          </cell>
          <cell r="E5595" t="str">
            <v>Del Monte National High School</v>
          </cell>
          <cell r="F5595">
            <v>1</v>
          </cell>
          <cell r="G5595">
            <v>0</v>
          </cell>
          <cell r="H5595">
            <v>1</v>
          </cell>
          <cell r="I5595">
            <v>0</v>
          </cell>
          <cell r="J5595">
            <v>1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43756</v>
          </cell>
          <cell r="P5595">
            <v>0</v>
          </cell>
          <cell r="Q5595">
            <v>0</v>
          </cell>
          <cell r="R5595">
            <v>1</v>
          </cell>
          <cell r="S5595">
            <v>0</v>
          </cell>
          <cell r="T5595">
            <v>0</v>
          </cell>
          <cell r="U5595">
            <v>0</v>
          </cell>
          <cell r="V5595">
            <v>1</v>
          </cell>
          <cell r="W5595">
            <v>0</v>
          </cell>
          <cell r="X5595">
            <v>0</v>
          </cell>
          <cell r="Y5595">
            <v>0</v>
          </cell>
        </row>
        <row r="5596">
          <cell r="D5596">
            <v>323403</v>
          </cell>
          <cell r="E5596" t="str">
            <v>Nieves Villarica National High School</v>
          </cell>
          <cell r="F5596">
            <v>0</v>
          </cell>
          <cell r="G5596">
            <v>0</v>
          </cell>
          <cell r="H5596">
            <v>1</v>
          </cell>
          <cell r="I5596">
            <v>0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43692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1</v>
          </cell>
          <cell r="W5596">
            <v>0</v>
          </cell>
          <cell r="X5596">
            <v>0</v>
          </cell>
          <cell r="Y5596">
            <v>0</v>
          </cell>
        </row>
        <row r="5597">
          <cell r="D5597">
            <v>323407</v>
          </cell>
          <cell r="E5597" t="str">
            <v>Bandera National High School</v>
          </cell>
          <cell r="F5597">
            <v>1</v>
          </cell>
          <cell r="G5597">
            <v>1</v>
          </cell>
          <cell r="H5597">
            <v>1</v>
          </cell>
          <cell r="I5597">
            <v>0</v>
          </cell>
          <cell r="J5597">
            <v>1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1</v>
          </cell>
          <cell r="S5597">
            <v>0</v>
          </cell>
          <cell r="T5597">
            <v>0</v>
          </cell>
          <cell r="U5597">
            <v>0</v>
          </cell>
          <cell r="V5597">
            <v>1</v>
          </cell>
          <cell r="W5597">
            <v>0</v>
          </cell>
          <cell r="X5597">
            <v>0</v>
          </cell>
          <cell r="Y5597">
            <v>0</v>
          </cell>
        </row>
        <row r="5598">
          <cell r="D5598">
            <v>304245</v>
          </cell>
          <cell r="E5598" t="str">
            <v>Mambago-B National High School</v>
          </cell>
          <cell r="F5598">
            <v>1</v>
          </cell>
          <cell r="G5598">
            <v>1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</row>
        <row r="5599">
          <cell r="D5599">
            <v>304223</v>
          </cell>
          <cell r="E5599" t="str">
            <v>Cogon National High School</v>
          </cell>
          <cell r="F5599">
            <v>0</v>
          </cell>
          <cell r="G5599">
            <v>0</v>
          </cell>
          <cell r="H5599">
            <v>1</v>
          </cell>
          <cell r="I5599">
            <v>0</v>
          </cell>
          <cell r="J5599">
            <v>0</v>
          </cell>
          <cell r="K5599">
            <v>1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</row>
        <row r="5600">
          <cell r="D5600">
            <v>301806</v>
          </cell>
          <cell r="E5600" t="str">
            <v>Limao National High School</v>
          </cell>
          <cell r="F5600">
            <v>1</v>
          </cell>
          <cell r="G5600">
            <v>0</v>
          </cell>
          <cell r="H5600">
            <v>1</v>
          </cell>
          <cell r="I5600">
            <v>0</v>
          </cell>
          <cell r="J5600">
            <v>1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1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</row>
        <row r="5601">
          <cell r="D5601">
            <v>341526</v>
          </cell>
          <cell r="E5601" t="str">
            <v>SHS w/in Penaplata Central ES</v>
          </cell>
          <cell r="F5601">
            <v>1</v>
          </cell>
          <cell r="G5601">
            <v>0</v>
          </cell>
          <cell r="H5601">
            <v>1</v>
          </cell>
          <cell r="I5601">
            <v>0</v>
          </cell>
          <cell r="J5601">
            <v>0</v>
          </cell>
          <cell r="K5601">
            <v>1</v>
          </cell>
          <cell r="L5601">
            <v>0</v>
          </cell>
          <cell r="M5601">
            <v>0</v>
          </cell>
          <cell r="N5601">
            <v>1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1</v>
          </cell>
          <cell r="T5601">
            <v>0</v>
          </cell>
          <cell r="U5601">
            <v>0</v>
          </cell>
          <cell r="V5601">
            <v>1</v>
          </cell>
          <cell r="W5601">
            <v>0</v>
          </cell>
          <cell r="X5601">
            <v>0</v>
          </cell>
          <cell r="Y5601">
            <v>0</v>
          </cell>
        </row>
        <row r="5602">
          <cell r="D5602">
            <v>323406</v>
          </cell>
          <cell r="E5602" t="str">
            <v>Diosdado Alorro Sr. National High School</v>
          </cell>
          <cell r="F5602">
            <v>1</v>
          </cell>
          <cell r="G5602">
            <v>1</v>
          </cell>
          <cell r="H5602">
            <v>1</v>
          </cell>
          <cell r="I5602">
            <v>0</v>
          </cell>
          <cell r="J5602">
            <v>0</v>
          </cell>
          <cell r="K5602">
            <v>1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</row>
        <row r="5603">
          <cell r="D5603">
            <v>304247</v>
          </cell>
          <cell r="E5603" t="str">
            <v>Matanos National High School</v>
          </cell>
          <cell r="F5603">
            <v>1</v>
          </cell>
          <cell r="G5603">
            <v>1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</row>
        <row r="5604">
          <cell r="D5604">
            <v>301799</v>
          </cell>
          <cell r="E5604" t="str">
            <v>Gamban Dadatan National High School</v>
          </cell>
          <cell r="F5604">
            <v>0</v>
          </cell>
          <cell r="G5604">
            <v>0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1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</row>
        <row r="5605">
          <cell r="D5605">
            <v>323409</v>
          </cell>
          <cell r="E5605" t="str">
            <v>Libertad National High School</v>
          </cell>
          <cell r="F5605">
            <v>1</v>
          </cell>
          <cell r="G5605">
            <v>0</v>
          </cell>
          <cell r="H5605">
            <v>1</v>
          </cell>
          <cell r="I5605">
            <v>0</v>
          </cell>
          <cell r="J5605">
            <v>0</v>
          </cell>
          <cell r="K5605">
            <v>0</v>
          </cell>
          <cell r="L5605">
            <v>1</v>
          </cell>
          <cell r="M5605" t="str">
            <v>WHEN NEEDED</v>
          </cell>
          <cell r="N5605">
            <v>0</v>
          </cell>
          <cell r="O5605" t="str">
            <v>NDA</v>
          </cell>
          <cell r="P5605" t="str">
            <v>NONE</v>
          </cell>
          <cell r="Q5605">
            <v>0</v>
          </cell>
          <cell r="R5605">
            <v>0</v>
          </cell>
          <cell r="S5605">
            <v>0</v>
          </cell>
          <cell r="T5605">
            <v>1</v>
          </cell>
          <cell r="U5605" t="str">
            <v>NDA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</row>
        <row r="5606">
          <cell r="D5606">
            <v>304327</v>
          </cell>
          <cell r="E5606" t="str">
            <v>Matiao NHS</v>
          </cell>
          <cell r="F5606">
            <v>0</v>
          </cell>
          <cell r="G5606">
            <v>0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</row>
        <row r="5607">
          <cell r="D5607">
            <v>325102</v>
          </cell>
          <cell r="E5607" t="str">
            <v>Lawigan National High School</v>
          </cell>
          <cell r="F5607">
            <v>1</v>
          </cell>
          <cell r="G5607">
            <v>1</v>
          </cell>
          <cell r="H5607">
            <v>1</v>
          </cell>
          <cell r="I5607">
            <v>0</v>
          </cell>
          <cell r="J5607">
            <v>1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1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</row>
        <row r="5608">
          <cell r="D5608">
            <v>325106</v>
          </cell>
          <cell r="E5608" t="str">
            <v>Mayo NHS</v>
          </cell>
          <cell r="F5608">
            <v>1</v>
          </cell>
          <cell r="G5608">
            <v>1</v>
          </cell>
          <cell r="H5608">
            <v>1</v>
          </cell>
          <cell r="I5608">
            <v>0</v>
          </cell>
          <cell r="J5608">
            <v>0</v>
          </cell>
          <cell r="K5608">
            <v>1</v>
          </cell>
          <cell r="L5608">
            <v>0</v>
          </cell>
          <cell r="M5608">
            <v>0</v>
          </cell>
          <cell r="N5608">
            <v>1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1</v>
          </cell>
          <cell r="W5608">
            <v>0</v>
          </cell>
          <cell r="X5608">
            <v>0</v>
          </cell>
          <cell r="Y5608">
            <v>0</v>
          </cell>
        </row>
        <row r="5609">
          <cell r="D5609">
            <v>304305</v>
          </cell>
          <cell r="E5609" t="str">
            <v>Buso National High School</v>
          </cell>
          <cell r="F5609">
            <v>1</v>
          </cell>
          <cell r="G5609">
            <v>0</v>
          </cell>
          <cell r="H5609">
            <v>1</v>
          </cell>
          <cell r="I5609">
            <v>0</v>
          </cell>
          <cell r="J5609">
            <v>0</v>
          </cell>
          <cell r="K5609">
            <v>1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1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</row>
        <row r="5610">
          <cell r="D5610">
            <v>316104</v>
          </cell>
          <cell r="E5610" t="str">
            <v>Don Salvador Lopez NHS</v>
          </cell>
          <cell r="F5610">
            <v>1</v>
          </cell>
          <cell r="G5610">
            <v>0</v>
          </cell>
          <cell r="H5610">
            <v>1</v>
          </cell>
          <cell r="I5610">
            <v>0</v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>
            <v>0</v>
          </cell>
          <cell r="V5610">
            <v>0</v>
          </cell>
          <cell r="W5610">
            <v>0</v>
          </cell>
          <cell r="X5610">
            <v>0</v>
          </cell>
          <cell r="Y5610">
            <v>0</v>
          </cell>
        </row>
        <row r="5611">
          <cell r="D5611">
            <v>304318</v>
          </cell>
          <cell r="E5611" t="str">
            <v>Libudon NHS</v>
          </cell>
          <cell r="F5611">
            <v>1</v>
          </cell>
          <cell r="G5611">
            <v>0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1</v>
          </cell>
          <cell r="M5611" t="str">
            <v>By Semester</v>
          </cell>
          <cell r="N5611">
            <v>1</v>
          </cell>
          <cell r="O5611">
            <v>43630</v>
          </cell>
          <cell r="P5611">
            <v>43756</v>
          </cell>
          <cell r="Q5611">
            <v>0</v>
          </cell>
          <cell r="R5611">
            <v>0</v>
          </cell>
          <cell r="S5611">
            <v>0</v>
          </cell>
          <cell r="T5611">
            <v>1</v>
          </cell>
          <cell r="U5611" t="str">
            <v>By Semester</v>
          </cell>
          <cell r="V5611">
            <v>1</v>
          </cell>
          <cell r="W5611">
            <v>0</v>
          </cell>
          <cell r="X5611">
            <v>0</v>
          </cell>
          <cell r="Y5611">
            <v>0</v>
          </cell>
        </row>
        <row r="5612">
          <cell r="D5612">
            <v>325104</v>
          </cell>
          <cell r="E5612" t="str">
            <v>Badas NHS</v>
          </cell>
          <cell r="F5612">
            <v>1</v>
          </cell>
          <cell r="G5612">
            <v>0</v>
          </cell>
          <cell r="H5612">
            <v>1</v>
          </cell>
          <cell r="I5612">
            <v>0</v>
          </cell>
          <cell r="J5612">
            <v>0</v>
          </cell>
          <cell r="K5612">
            <v>1</v>
          </cell>
          <cell r="L5612">
            <v>0</v>
          </cell>
          <cell r="M5612">
            <v>0</v>
          </cell>
          <cell r="N5612">
            <v>1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1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</row>
        <row r="5613">
          <cell r="D5613">
            <v>304325</v>
          </cell>
          <cell r="E5613" t="str">
            <v>Mati National Comprehensive High School</v>
          </cell>
          <cell r="F5613">
            <v>1</v>
          </cell>
          <cell r="G5613">
            <v>1</v>
          </cell>
          <cell r="H5613">
            <v>1</v>
          </cell>
          <cell r="I5613">
            <v>0</v>
          </cell>
          <cell r="J5613">
            <v>0</v>
          </cell>
          <cell r="K5613">
            <v>0</v>
          </cell>
          <cell r="L5613">
            <v>1</v>
          </cell>
          <cell r="M5613" t="str">
            <v>once a year</v>
          </cell>
          <cell r="N5613">
            <v>1</v>
          </cell>
          <cell r="O5613" t="str">
            <v>last year</v>
          </cell>
          <cell r="P5613" t="str">
            <v>none</v>
          </cell>
          <cell r="Q5613">
            <v>0</v>
          </cell>
          <cell r="R5613">
            <v>0</v>
          </cell>
          <cell r="S5613">
            <v>0</v>
          </cell>
          <cell r="T5613">
            <v>1</v>
          </cell>
          <cell r="U5613" t="str">
            <v>ocassionally</v>
          </cell>
          <cell r="V5613">
            <v>1</v>
          </cell>
          <cell r="W5613">
            <v>0</v>
          </cell>
          <cell r="X5613">
            <v>0</v>
          </cell>
          <cell r="Y5613">
            <v>0</v>
          </cell>
        </row>
        <row r="5614">
          <cell r="D5614">
            <v>304338</v>
          </cell>
          <cell r="E5614" t="str">
            <v>Taguibo Agri. Voc. High School</v>
          </cell>
          <cell r="F5614">
            <v>1</v>
          </cell>
          <cell r="G5614">
            <v>1</v>
          </cell>
          <cell r="H5614">
            <v>1</v>
          </cell>
          <cell r="I5614">
            <v>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</row>
        <row r="5615">
          <cell r="D5615">
            <v>304326</v>
          </cell>
          <cell r="E5615" t="str">
            <v>Mati SAT</v>
          </cell>
          <cell r="F5615">
            <v>1</v>
          </cell>
          <cell r="G5615">
            <v>0</v>
          </cell>
          <cell r="H5615">
            <v>1</v>
          </cell>
          <cell r="I5615">
            <v>0</v>
          </cell>
          <cell r="J5615">
            <v>0</v>
          </cell>
          <cell r="K5615">
            <v>1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1</v>
          </cell>
          <cell r="S5615">
            <v>0</v>
          </cell>
          <cell r="T5615">
            <v>0</v>
          </cell>
          <cell r="U5615">
            <v>0</v>
          </cell>
          <cell r="V5615">
            <v>1</v>
          </cell>
          <cell r="W5615">
            <v>0</v>
          </cell>
          <cell r="X5615">
            <v>0</v>
          </cell>
          <cell r="Y5615">
            <v>0</v>
          </cell>
        </row>
        <row r="5616">
          <cell r="D5616">
            <v>304314</v>
          </cell>
          <cell r="E5616" t="str">
            <v>Don Enrique Lopez NHS</v>
          </cell>
          <cell r="F5616">
            <v>1</v>
          </cell>
          <cell r="G5616">
            <v>0</v>
          </cell>
          <cell r="H5616">
            <v>1</v>
          </cell>
          <cell r="I5616">
            <v>0</v>
          </cell>
          <cell r="J5616">
            <v>1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</row>
        <row r="5617">
          <cell r="D5617">
            <v>304303</v>
          </cell>
          <cell r="E5617" t="str">
            <v>Bobon NHS</v>
          </cell>
          <cell r="F5617">
            <v>1</v>
          </cell>
          <cell r="G5617">
            <v>1</v>
          </cell>
          <cell r="H5617">
            <v>0</v>
          </cell>
          <cell r="I5617">
            <v>0</v>
          </cell>
          <cell r="J5617">
            <v>1</v>
          </cell>
          <cell r="K5617">
            <v>0</v>
          </cell>
          <cell r="L5617">
            <v>0</v>
          </cell>
          <cell r="M5617">
            <v>0</v>
          </cell>
          <cell r="N5617">
            <v>1</v>
          </cell>
          <cell r="O5617" t="str">
            <v>10/28/2019</v>
          </cell>
          <cell r="P5617" t="str">
            <v>NONE</v>
          </cell>
          <cell r="Q5617">
            <v>0</v>
          </cell>
          <cell r="R5617">
            <v>1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</row>
        <row r="5618">
          <cell r="D5618">
            <v>500454</v>
          </cell>
          <cell r="E5618" t="str">
            <v>Licop Integrated School</v>
          </cell>
          <cell r="F5618">
            <v>1</v>
          </cell>
          <cell r="G5618">
            <v>1</v>
          </cell>
          <cell r="H5618">
            <v>1</v>
          </cell>
          <cell r="I5618">
            <v>1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1</v>
          </cell>
          <cell r="O5618" t="str">
            <v>October 21, 2019</v>
          </cell>
          <cell r="P5618" t="str">
            <v>October 21, 2019</v>
          </cell>
          <cell r="Q5618">
            <v>1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1</v>
          </cell>
          <cell r="W5618">
            <v>0</v>
          </cell>
          <cell r="X5618">
            <v>0</v>
          </cell>
          <cell r="Y5618">
            <v>0</v>
          </cell>
        </row>
        <row r="5619">
          <cell r="D5619">
            <v>325105</v>
          </cell>
          <cell r="E5619" t="str">
            <v>Macambol NHS</v>
          </cell>
          <cell r="F5619">
            <v>0</v>
          </cell>
          <cell r="G5619">
            <v>0</v>
          </cell>
          <cell r="H5619">
            <v>1</v>
          </cell>
          <cell r="I5619">
            <v>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1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</row>
        <row r="5620">
          <cell r="D5620">
            <v>304313</v>
          </cell>
          <cell r="E5620" t="str">
            <v>Dawan NHS</v>
          </cell>
          <cell r="F5620">
            <v>1</v>
          </cell>
          <cell r="G5620">
            <v>0</v>
          </cell>
          <cell r="H5620">
            <v>1</v>
          </cell>
          <cell r="I5620">
            <v>0</v>
          </cell>
          <cell r="J5620">
            <v>0</v>
          </cell>
          <cell r="K5620">
            <v>0</v>
          </cell>
          <cell r="L5620">
            <v>1</v>
          </cell>
          <cell r="M5620" t="str">
            <v>as the need arises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</row>
        <row r="5621">
          <cell r="D5621">
            <v>304328</v>
          </cell>
          <cell r="E5621" t="str">
            <v>Davao Oriental Regional Science High School</v>
          </cell>
          <cell r="F5621">
            <v>0</v>
          </cell>
          <cell r="G5621">
            <v>0</v>
          </cell>
          <cell r="H5621">
            <v>1</v>
          </cell>
          <cell r="I5621">
            <v>0</v>
          </cell>
          <cell r="J5621">
            <v>0</v>
          </cell>
          <cell r="K5621">
            <v>1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</row>
        <row r="5622">
          <cell r="D5622">
            <v>304262</v>
          </cell>
          <cell r="E5622" t="str">
            <v>Alberto Olarte, Sr. NHS</v>
          </cell>
          <cell r="F5622">
            <v>1</v>
          </cell>
          <cell r="G5622">
            <v>1</v>
          </cell>
          <cell r="H5622">
            <v>1</v>
          </cell>
          <cell r="I5622">
            <v>0</v>
          </cell>
          <cell r="J5622">
            <v>1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 t="str">
            <v>Áugust 27, 2019</v>
          </cell>
          <cell r="Q5622">
            <v>1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</row>
        <row r="5623">
          <cell r="D5623">
            <v>304283</v>
          </cell>
          <cell r="E5623" t="str">
            <v>Kalbay NHS</v>
          </cell>
          <cell r="F5623">
            <v>1</v>
          </cell>
          <cell r="G5623">
            <v>0</v>
          </cell>
          <cell r="H5623">
            <v>1</v>
          </cell>
          <cell r="I5623">
            <v>0</v>
          </cell>
          <cell r="J5623">
            <v>0</v>
          </cell>
          <cell r="K5623">
            <v>1</v>
          </cell>
          <cell r="L5623">
            <v>0</v>
          </cell>
          <cell r="M5623">
            <v>0</v>
          </cell>
          <cell r="N5623">
            <v>1</v>
          </cell>
          <cell r="O5623" t="str">
            <v>06/25/2019</v>
          </cell>
          <cell r="P5623">
            <v>0</v>
          </cell>
          <cell r="Q5623">
            <v>1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1</v>
          </cell>
          <cell r="W5623">
            <v>0</v>
          </cell>
          <cell r="X5623">
            <v>0</v>
          </cell>
          <cell r="Y5623">
            <v>0</v>
          </cell>
        </row>
        <row r="5624">
          <cell r="D5624">
            <v>304276</v>
          </cell>
          <cell r="E5624" t="str">
            <v>Heracleo Casco MNHS</v>
          </cell>
          <cell r="F5624">
            <v>1</v>
          </cell>
          <cell r="G5624">
            <v>1</v>
          </cell>
          <cell r="H5624">
            <v>1</v>
          </cell>
          <cell r="I5624">
            <v>0</v>
          </cell>
          <cell r="J5624">
            <v>1</v>
          </cell>
          <cell r="K5624">
            <v>0</v>
          </cell>
          <cell r="L5624">
            <v>0</v>
          </cell>
          <cell r="M5624">
            <v>0</v>
          </cell>
          <cell r="N5624">
            <v>1</v>
          </cell>
          <cell r="O5624" t="str">
            <v>06/25/2019</v>
          </cell>
          <cell r="P5624">
            <v>0</v>
          </cell>
          <cell r="Q5624">
            <v>0</v>
          </cell>
          <cell r="R5624">
            <v>1</v>
          </cell>
          <cell r="S5624">
            <v>0</v>
          </cell>
          <cell r="T5624">
            <v>0</v>
          </cell>
          <cell r="U5624">
            <v>0</v>
          </cell>
          <cell r="V5624">
            <v>1</v>
          </cell>
          <cell r="W5624">
            <v>1</v>
          </cell>
          <cell r="X5624">
            <v>2</v>
          </cell>
          <cell r="Y5624">
            <v>0</v>
          </cell>
        </row>
        <row r="5625">
          <cell r="D5625">
            <v>316007</v>
          </cell>
          <cell r="E5625" t="str">
            <v>Benjamin Velasco Bautista Sr. National High School</v>
          </cell>
          <cell r="F5625">
            <v>1</v>
          </cell>
          <cell r="G5625">
            <v>1</v>
          </cell>
          <cell r="H5625">
            <v>0</v>
          </cell>
          <cell r="I5625">
            <v>1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1</v>
          </cell>
          <cell r="O5625">
            <v>43763</v>
          </cell>
          <cell r="P5625">
            <v>43763</v>
          </cell>
          <cell r="Q5625">
            <v>1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1</v>
          </cell>
          <cell r="W5625">
            <v>2</v>
          </cell>
          <cell r="X5625">
            <v>2</v>
          </cell>
          <cell r="Y5625">
            <v>2</v>
          </cell>
        </row>
        <row r="5626">
          <cell r="D5626">
            <v>305677</v>
          </cell>
          <cell r="E5626" t="str">
            <v>Bolila National High School</v>
          </cell>
          <cell r="F5626">
            <v>1</v>
          </cell>
          <cell r="G5626">
            <v>1</v>
          </cell>
          <cell r="H5626">
            <v>1</v>
          </cell>
          <cell r="I5626">
            <v>0</v>
          </cell>
          <cell r="J5626">
            <v>1</v>
          </cell>
          <cell r="K5626">
            <v>0</v>
          </cell>
          <cell r="L5626">
            <v>0</v>
          </cell>
          <cell r="M5626">
            <v>0</v>
          </cell>
          <cell r="N5626">
            <v>1</v>
          </cell>
          <cell r="O5626">
            <v>43631</v>
          </cell>
          <cell r="P5626">
            <v>43728</v>
          </cell>
          <cell r="Q5626">
            <v>1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1</v>
          </cell>
          <cell r="W5626">
            <v>0</v>
          </cell>
          <cell r="X5626">
            <v>0</v>
          </cell>
          <cell r="Y5626">
            <v>0</v>
          </cell>
        </row>
        <row r="5627">
          <cell r="D5627">
            <v>304266</v>
          </cell>
          <cell r="E5627" t="str">
            <v>Basiawan NHS</v>
          </cell>
          <cell r="F5627">
            <v>1</v>
          </cell>
          <cell r="G5627">
            <v>1</v>
          </cell>
          <cell r="H5627">
            <v>1</v>
          </cell>
          <cell r="I5627">
            <v>0</v>
          </cell>
          <cell r="J5627">
            <v>0</v>
          </cell>
          <cell r="K5627">
            <v>1</v>
          </cell>
          <cell r="L5627">
            <v>0</v>
          </cell>
          <cell r="M5627">
            <v>0</v>
          </cell>
          <cell r="N5627">
            <v>0</v>
          </cell>
          <cell r="O5627" t="str">
            <v>N/A</v>
          </cell>
          <cell r="P5627" t="str">
            <v>N/A</v>
          </cell>
          <cell r="Q5627">
            <v>0</v>
          </cell>
          <cell r="R5627">
            <v>0</v>
          </cell>
          <cell r="S5627">
            <v>1</v>
          </cell>
          <cell r="T5627">
            <v>0</v>
          </cell>
          <cell r="U5627">
            <v>0</v>
          </cell>
          <cell r="V5627">
            <v>1</v>
          </cell>
          <cell r="W5627">
            <v>0</v>
          </cell>
          <cell r="X5627">
            <v>0</v>
          </cell>
          <cell r="Y5627">
            <v>0</v>
          </cell>
        </row>
        <row r="5628">
          <cell r="D5628">
            <v>305673</v>
          </cell>
          <cell r="E5628" t="str">
            <v>Lacaron National High School</v>
          </cell>
          <cell r="F5628">
            <v>1</v>
          </cell>
          <cell r="G5628">
            <v>1</v>
          </cell>
          <cell r="H5628">
            <v>0</v>
          </cell>
          <cell r="I5628">
            <v>1</v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  <cell r="N5628">
            <v>1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</row>
        <row r="5629">
          <cell r="D5629">
            <v>316012</v>
          </cell>
          <cell r="E5629" t="str">
            <v>Luisa Joyce Mallari National High School</v>
          </cell>
          <cell r="F5629">
            <v>1</v>
          </cell>
          <cell r="G5629">
            <v>1</v>
          </cell>
          <cell r="H5629">
            <v>1</v>
          </cell>
          <cell r="I5629">
            <v>0</v>
          </cell>
          <cell r="J5629">
            <v>1</v>
          </cell>
          <cell r="K5629">
            <v>0</v>
          </cell>
          <cell r="L5629">
            <v>0</v>
          </cell>
          <cell r="M5629">
            <v>0</v>
          </cell>
          <cell r="N5629">
            <v>1</v>
          </cell>
          <cell r="O5629" t="str">
            <v>June 01, 2019</v>
          </cell>
          <cell r="P5629" t="str">
            <v>N/A</v>
          </cell>
          <cell r="Q5629">
            <v>0</v>
          </cell>
          <cell r="R5629">
            <v>1</v>
          </cell>
          <cell r="S5629">
            <v>0</v>
          </cell>
          <cell r="T5629">
            <v>0</v>
          </cell>
          <cell r="U5629">
            <v>0</v>
          </cell>
          <cell r="V5629">
            <v>1</v>
          </cell>
          <cell r="W5629">
            <v>4</v>
          </cell>
          <cell r="X5629">
            <v>2</v>
          </cell>
          <cell r="Y5629">
            <v>2</v>
          </cell>
        </row>
        <row r="5630">
          <cell r="D5630">
            <v>304271</v>
          </cell>
          <cell r="E5630" t="str">
            <v>Demolok Valley National High School</v>
          </cell>
          <cell r="F5630">
            <v>1</v>
          </cell>
          <cell r="G5630">
            <v>1</v>
          </cell>
          <cell r="H5630">
            <v>1</v>
          </cell>
          <cell r="I5630">
            <v>0</v>
          </cell>
          <cell r="J5630">
            <v>1</v>
          </cell>
          <cell r="K5630">
            <v>0</v>
          </cell>
          <cell r="L5630">
            <v>0</v>
          </cell>
          <cell r="M5630">
            <v>0</v>
          </cell>
          <cell r="N5630">
            <v>1</v>
          </cell>
          <cell r="O5630" t="str">
            <v>Ausgust 12, 2019</v>
          </cell>
          <cell r="P5630">
            <v>0</v>
          </cell>
          <cell r="Q5630">
            <v>0</v>
          </cell>
          <cell r="R5630">
            <v>1</v>
          </cell>
          <cell r="S5630">
            <v>0</v>
          </cell>
          <cell r="T5630">
            <v>0</v>
          </cell>
          <cell r="U5630">
            <v>0</v>
          </cell>
          <cell r="V5630">
            <v>1</v>
          </cell>
          <cell r="W5630">
            <v>0</v>
          </cell>
          <cell r="X5630">
            <v>0</v>
          </cell>
          <cell r="Y5630">
            <v>0</v>
          </cell>
        </row>
        <row r="5631">
          <cell r="D5631">
            <v>304293</v>
          </cell>
          <cell r="E5631" t="str">
            <v>Ticulon NHS</v>
          </cell>
          <cell r="F5631">
            <v>1</v>
          </cell>
          <cell r="G5631">
            <v>0</v>
          </cell>
          <cell r="H5631">
            <v>1</v>
          </cell>
          <cell r="I5631">
            <v>0</v>
          </cell>
          <cell r="J5631">
            <v>1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43617</v>
          </cell>
          <cell r="Q5631">
            <v>0</v>
          </cell>
          <cell r="R5631">
            <v>1</v>
          </cell>
          <cell r="S5631">
            <v>0</v>
          </cell>
          <cell r="T5631">
            <v>0</v>
          </cell>
          <cell r="U5631">
            <v>0</v>
          </cell>
          <cell r="V5631">
            <v>1</v>
          </cell>
          <cell r="W5631">
            <v>0</v>
          </cell>
          <cell r="X5631">
            <v>0</v>
          </cell>
          <cell r="Y5631">
            <v>0</v>
          </cell>
        </row>
        <row r="5632">
          <cell r="D5632">
            <v>316018</v>
          </cell>
          <cell r="E5632" t="str">
            <v>Pedro Mariscal National High School</v>
          </cell>
          <cell r="F5632">
            <v>1</v>
          </cell>
          <cell r="G5632">
            <v>1</v>
          </cell>
          <cell r="H5632">
            <v>1</v>
          </cell>
          <cell r="I5632">
            <v>0</v>
          </cell>
          <cell r="J5632">
            <v>0</v>
          </cell>
          <cell r="K5632">
            <v>1</v>
          </cell>
          <cell r="L5632">
            <v>0</v>
          </cell>
          <cell r="M5632">
            <v>0</v>
          </cell>
          <cell r="N5632">
            <v>1</v>
          </cell>
          <cell r="O5632">
            <v>0</v>
          </cell>
          <cell r="P5632" t="str">
            <v>July 16, 2019</v>
          </cell>
          <cell r="Q5632">
            <v>1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</row>
        <row r="5633">
          <cell r="D5633">
            <v>304268</v>
          </cell>
          <cell r="E5633" t="str">
            <v>Tubalan Comprehensive NHS</v>
          </cell>
          <cell r="F5633">
            <v>0</v>
          </cell>
          <cell r="G5633">
            <v>1</v>
          </cell>
          <cell r="H5633">
            <v>1</v>
          </cell>
          <cell r="I5633">
            <v>0</v>
          </cell>
          <cell r="J5633">
            <v>1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43252</v>
          </cell>
          <cell r="Q5633">
            <v>0</v>
          </cell>
          <cell r="R5633">
            <v>0</v>
          </cell>
          <cell r="S5633">
            <v>1</v>
          </cell>
          <cell r="T5633">
            <v>0</v>
          </cell>
          <cell r="U5633">
            <v>0</v>
          </cell>
          <cell r="V5633">
            <v>1</v>
          </cell>
          <cell r="W5633">
            <v>0</v>
          </cell>
          <cell r="X5633">
            <v>0</v>
          </cell>
          <cell r="Y5633">
            <v>0</v>
          </cell>
        </row>
        <row r="5634">
          <cell r="D5634">
            <v>304287</v>
          </cell>
          <cell r="E5634" t="str">
            <v>Mariano Peralta National High School</v>
          </cell>
          <cell r="F5634">
            <v>1</v>
          </cell>
          <cell r="G5634">
            <v>1</v>
          </cell>
          <cell r="H5634">
            <v>1</v>
          </cell>
          <cell r="I5634">
            <v>0</v>
          </cell>
          <cell r="J5634">
            <v>1</v>
          </cell>
          <cell r="K5634">
            <v>0</v>
          </cell>
          <cell r="L5634">
            <v>0</v>
          </cell>
          <cell r="M5634">
            <v>0</v>
          </cell>
          <cell r="N5634">
            <v>1</v>
          </cell>
          <cell r="O5634">
            <v>43679</v>
          </cell>
          <cell r="P5634">
            <v>43707</v>
          </cell>
          <cell r="Q5634">
            <v>0</v>
          </cell>
          <cell r="R5634">
            <v>1</v>
          </cell>
          <cell r="S5634">
            <v>0</v>
          </cell>
          <cell r="T5634">
            <v>0</v>
          </cell>
          <cell r="U5634">
            <v>0</v>
          </cell>
          <cell r="V5634">
            <v>1</v>
          </cell>
          <cell r="W5634">
            <v>2</v>
          </cell>
          <cell r="X5634">
            <v>2</v>
          </cell>
          <cell r="Y5634">
            <v>2</v>
          </cell>
        </row>
        <row r="5635">
          <cell r="D5635">
            <v>304291</v>
          </cell>
          <cell r="E5635" t="str">
            <v>Lawa NHS</v>
          </cell>
          <cell r="F5635">
            <v>1</v>
          </cell>
          <cell r="G5635">
            <v>1</v>
          </cell>
          <cell r="H5635">
            <v>1</v>
          </cell>
          <cell r="I5635">
            <v>0</v>
          </cell>
          <cell r="J5635">
            <v>0</v>
          </cell>
          <cell r="K5635">
            <v>0</v>
          </cell>
          <cell r="L5635">
            <v>1</v>
          </cell>
          <cell r="M5635">
            <v>0</v>
          </cell>
          <cell r="N5635">
            <v>1</v>
          </cell>
          <cell r="O5635">
            <v>0</v>
          </cell>
          <cell r="P5635" t="str">
            <v>JUNE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1</v>
          </cell>
          <cell r="W5635">
            <v>2</v>
          </cell>
          <cell r="X5635">
            <v>2</v>
          </cell>
          <cell r="Y5635">
            <v>2</v>
          </cell>
        </row>
        <row r="5636">
          <cell r="D5636">
            <v>304267</v>
          </cell>
          <cell r="E5636" t="str">
            <v>Fishing Village Comprehensive NHS</v>
          </cell>
          <cell r="F5636">
            <v>1</v>
          </cell>
          <cell r="G5636">
            <v>1</v>
          </cell>
          <cell r="H5636">
            <v>1</v>
          </cell>
          <cell r="I5636">
            <v>0</v>
          </cell>
          <cell r="J5636">
            <v>1</v>
          </cell>
          <cell r="K5636">
            <v>0</v>
          </cell>
          <cell r="L5636">
            <v>0</v>
          </cell>
          <cell r="M5636">
            <v>0</v>
          </cell>
          <cell r="N5636">
            <v>1</v>
          </cell>
          <cell r="O5636">
            <v>43640</v>
          </cell>
          <cell r="P5636">
            <v>43640</v>
          </cell>
          <cell r="Q5636">
            <v>0</v>
          </cell>
          <cell r="R5636">
            <v>0</v>
          </cell>
          <cell r="S5636">
            <v>1</v>
          </cell>
          <cell r="T5636">
            <v>0</v>
          </cell>
          <cell r="U5636">
            <v>0</v>
          </cell>
          <cell r="V5636">
            <v>1</v>
          </cell>
          <cell r="W5636">
            <v>3</v>
          </cell>
          <cell r="X5636">
            <v>2</v>
          </cell>
          <cell r="Y5636">
            <v>2</v>
          </cell>
        </row>
        <row r="5637">
          <cell r="D5637">
            <v>304282</v>
          </cell>
          <cell r="E5637" t="str">
            <v>Jose De Arce MHS (Sangkokdatal HS)</v>
          </cell>
          <cell r="F5637">
            <v>1</v>
          </cell>
          <cell r="G5637">
            <v>1</v>
          </cell>
          <cell r="H5637">
            <v>1</v>
          </cell>
          <cell r="I5637">
            <v>0</v>
          </cell>
          <cell r="J5637">
            <v>0</v>
          </cell>
          <cell r="K5637">
            <v>1</v>
          </cell>
          <cell r="L5637">
            <v>0</v>
          </cell>
          <cell r="M5637">
            <v>0</v>
          </cell>
          <cell r="N5637">
            <v>1</v>
          </cell>
          <cell r="O5637">
            <v>0</v>
          </cell>
          <cell r="P5637">
            <v>0</v>
          </cell>
          <cell r="Q5637">
            <v>1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1</v>
          </cell>
          <cell r="W5637">
            <v>0</v>
          </cell>
          <cell r="X5637">
            <v>0</v>
          </cell>
          <cell r="Y5637">
            <v>0</v>
          </cell>
        </row>
        <row r="5638">
          <cell r="D5638">
            <v>304273</v>
          </cell>
          <cell r="E5638" t="str">
            <v>Edna Guillermo Memorial National High School</v>
          </cell>
          <cell r="F5638">
            <v>1</v>
          </cell>
          <cell r="G5638">
            <v>0</v>
          </cell>
          <cell r="H5638">
            <v>1</v>
          </cell>
          <cell r="I5638">
            <v>0</v>
          </cell>
          <cell r="J5638">
            <v>1</v>
          </cell>
          <cell r="K5638">
            <v>0</v>
          </cell>
          <cell r="L5638">
            <v>0</v>
          </cell>
          <cell r="M5638">
            <v>0</v>
          </cell>
          <cell r="N5638">
            <v>1</v>
          </cell>
          <cell r="O5638" t="str">
            <v>9/22/2018</v>
          </cell>
          <cell r="P5638" t="str">
            <v>9/24/2018</v>
          </cell>
          <cell r="Q5638">
            <v>0</v>
          </cell>
          <cell r="R5638">
            <v>1</v>
          </cell>
          <cell r="S5638">
            <v>0</v>
          </cell>
          <cell r="T5638">
            <v>0</v>
          </cell>
          <cell r="U5638">
            <v>0</v>
          </cell>
          <cell r="V5638">
            <v>1</v>
          </cell>
          <cell r="W5638">
            <v>0</v>
          </cell>
          <cell r="X5638">
            <v>0</v>
          </cell>
          <cell r="Y5638">
            <v>0</v>
          </cell>
        </row>
        <row r="5639">
          <cell r="D5639">
            <v>302772</v>
          </cell>
          <cell r="E5639" t="str">
            <v>Tomas Lim Alcordo Sr. National High School</v>
          </cell>
          <cell r="F5639">
            <v>1</v>
          </cell>
          <cell r="G5639">
            <v>0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1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</row>
        <row r="5640">
          <cell r="D5640">
            <v>304292</v>
          </cell>
          <cell r="E5640" t="str">
            <v>John Martin Johnson HS (Lamidan)</v>
          </cell>
          <cell r="F5640">
            <v>1</v>
          </cell>
          <cell r="G5640">
            <v>1</v>
          </cell>
          <cell r="H5640">
            <v>1</v>
          </cell>
          <cell r="I5640">
            <v>0</v>
          </cell>
          <cell r="J5640">
            <v>0</v>
          </cell>
          <cell r="K5640">
            <v>1</v>
          </cell>
          <cell r="L5640">
            <v>0</v>
          </cell>
          <cell r="M5640">
            <v>0</v>
          </cell>
          <cell r="N5640">
            <v>1</v>
          </cell>
          <cell r="O5640" t="str">
            <v>02/11/2019</v>
          </cell>
          <cell r="P5640" t="str">
            <v>02/11/2019</v>
          </cell>
          <cell r="Q5640">
            <v>0</v>
          </cell>
          <cell r="R5640">
            <v>1</v>
          </cell>
          <cell r="S5640">
            <v>0</v>
          </cell>
          <cell r="T5640">
            <v>0</v>
          </cell>
          <cell r="U5640">
            <v>0</v>
          </cell>
          <cell r="V5640">
            <v>1</v>
          </cell>
          <cell r="W5640">
            <v>0</v>
          </cell>
          <cell r="X5640">
            <v>0</v>
          </cell>
          <cell r="Y5640">
            <v>0</v>
          </cell>
        </row>
        <row r="5641">
          <cell r="D5641">
            <v>304269</v>
          </cell>
          <cell r="E5641" t="str">
            <v>B'Laan NHS</v>
          </cell>
          <cell r="F5641">
            <v>1</v>
          </cell>
          <cell r="G5641">
            <v>1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1</v>
          </cell>
          <cell r="W5641">
            <v>0</v>
          </cell>
          <cell r="X5641">
            <v>0</v>
          </cell>
          <cell r="Y5641">
            <v>0</v>
          </cell>
        </row>
        <row r="5642">
          <cell r="D5642">
            <v>304296</v>
          </cell>
          <cell r="E5642" t="str">
            <v>Sta. Maria NHS</v>
          </cell>
          <cell r="F5642">
            <v>1</v>
          </cell>
          <cell r="G5642">
            <v>0</v>
          </cell>
          <cell r="H5642">
            <v>1</v>
          </cell>
          <cell r="I5642">
            <v>0</v>
          </cell>
          <cell r="J5642">
            <v>0</v>
          </cell>
          <cell r="K5642">
            <v>1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1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</row>
        <row r="5643">
          <cell r="D5643">
            <v>316008</v>
          </cell>
          <cell r="E5643" t="str">
            <v>Emeliano S. Fontanares Sr. NHS</v>
          </cell>
          <cell r="F5643">
            <v>1</v>
          </cell>
          <cell r="G5643">
            <v>0</v>
          </cell>
          <cell r="H5643">
            <v>1</v>
          </cell>
          <cell r="I5643">
            <v>0</v>
          </cell>
          <cell r="J5643">
            <v>1</v>
          </cell>
          <cell r="K5643">
            <v>0</v>
          </cell>
          <cell r="L5643">
            <v>0</v>
          </cell>
          <cell r="M5643">
            <v>0</v>
          </cell>
          <cell r="N5643">
            <v>1</v>
          </cell>
          <cell r="O5643" t="str">
            <v>JUNE 28, 2019</v>
          </cell>
          <cell r="P5643" t="str">
            <v>SEPTEMBER 27, 2019</v>
          </cell>
          <cell r="Q5643">
            <v>0</v>
          </cell>
          <cell r="R5643">
            <v>1</v>
          </cell>
          <cell r="S5643">
            <v>0</v>
          </cell>
          <cell r="T5643">
            <v>0</v>
          </cell>
          <cell r="U5643">
            <v>0</v>
          </cell>
          <cell r="V5643">
            <v>1</v>
          </cell>
          <cell r="W5643">
            <v>20</v>
          </cell>
          <cell r="X5643">
            <v>20</v>
          </cell>
          <cell r="Y5643">
            <v>20</v>
          </cell>
        </row>
        <row r="5644">
          <cell r="D5644">
            <v>304264</v>
          </cell>
          <cell r="E5644" t="str">
            <v>Balangonan NHS</v>
          </cell>
          <cell r="F5644">
            <v>1</v>
          </cell>
          <cell r="G5644">
            <v>0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</row>
        <row r="5645">
          <cell r="D5645">
            <v>304281</v>
          </cell>
          <cell r="E5645" t="str">
            <v>Jose Abad Santos NHS</v>
          </cell>
          <cell r="F5645">
            <v>1</v>
          </cell>
          <cell r="G5645">
            <v>0</v>
          </cell>
          <cell r="H5645">
            <v>1</v>
          </cell>
          <cell r="I5645">
            <v>0</v>
          </cell>
          <cell r="J5645">
            <v>1</v>
          </cell>
          <cell r="K5645">
            <v>0</v>
          </cell>
          <cell r="L5645">
            <v>0</v>
          </cell>
          <cell r="M5645">
            <v>0</v>
          </cell>
          <cell r="N5645">
            <v>1</v>
          </cell>
          <cell r="O5645" t="str">
            <v>Sept 10, 2019</v>
          </cell>
          <cell r="P5645" t="str">
            <v>Oct 14, 2019</v>
          </cell>
          <cell r="Q5645">
            <v>0</v>
          </cell>
          <cell r="R5645">
            <v>1</v>
          </cell>
          <cell r="S5645">
            <v>0</v>
          </cell>
          <cell r="T5645">
            <v>0</v>
          </cell>
          <cell r="U5645">
            <v>0</v>
          </cell>
          <cell r="V5645">
            <v>1</v>
          </cell>
          <cell r="W5645">
            <v>3</v>
          </cell>
          <cell r="X5645">
            <v>3</v>
          </cell>
          <cell r="Y5645">
            <v>0</v>
          </cell>
        </row>
        <row r="5646">
          <cell r="D5646">
            <v>304272</v>
          </cell>
          <cell r="E5646" t="str">
            <v>Don Marcelino NHS</v>
          </cell>
          <cell r="F5646">
            <v>1</v>
          </cell>
          <cell r="G5646">
            <v>0</v>
          </cell>
          <cell r="H5646">
            <v>1</v>
          </cell>
          <cell r="I5646">
            <v>0</v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  <cell r="N5646">
            <v>1</v>
          </cell>
          <cell r="O5646">
            <v>0</v>
          </cell>
          <cell r="P5646">
            <v>0</v>
          </cell>
          <cell r="Q5646">
            <v>0</v>
          </cell>
          <cell r="R5646">
            <v>1</v>
          </cell>
          <cell r="S5646">
            <v>0</v>
          </cell>
          <cell r="T5646">
            <v>0</v>
          </cell>
          <cell r="U5646">
            <v>0</v>
          </cell>
          <cell r="V5646">
            <v>1</v>
          </cell>
          <cell r="W5646">
            <v>3</v>
          </cell>
          <cell r="X5646">
            <v>0</v>
          </cell>
          <cell r="Y5646">
            <v>0</v>
          </cell>
        </row>
        <row r="5647">
          <cell r="D5647">
            <v>304461</v>
          </cell>
          <cell r="E5647" t="str">
            <v>Libungan NHS</v>
          </cell>
          <cell r="F5647">
            <v>1</v>
          </cell>
          <cell r="G5647">
            <v>1</v>
          </cell>
          <cell r="H5647">
            <v>1</v>
          </cell>
          <cell r="I5647">
            <v>0</v>
          </cell>
          <cell r="J5647">
            <v>1</v>
          </cell>
          <cell r="K5647">
            <v>0</v>
          </cell>
          <cell r="L5647">
            <v>0</v>
          </cell>
          <cell r="M5647">
            <v>0</v>
          </cell>
          <cell r="N5647">
            <v>1</v>
          </cell>
          <cell r="O5647">
            <v>43719</v>
          </cell>
          <cell r="P5647">
            <v>0</v>
          </cell>
          <cell r="Q5647">
            <v>0</v>
          </cell>
          <cell r="R5647">
            <v>1</v>
          </cell>
          <cell r="S5647">
            <v>0</v>
          </cell>
          <cell r="T5647">
            <v>0</v>
          </cell>
          <cell r="U5647">
            <v>0</v>
          </cell>
          <cell r="V5647">
            <v>1</v>
          </cell>
          <cell r="W5647">
            <v>2</v>
          </cell>
          <cell r="X5647">
            <v>2</v>
          </cell>
          <cell r="Y5647">
            <v>2</v>
          </cell>
        </row>
        <row r="5648">
          <cell r="D5648">
            <v>304489</v>
          </cell>
          <cell r="E5648" t="str">
            <v>Olandang NHS</v>
          </cell>
          <cell r="F5648">
            <v>0</v>
          </cell>
          <cell r="G5648">
            <v>0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1</v>
          </cell>
          <cell r="M5648" t="str">
            <v>W/JHS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1</v>
          </cell>
          <cell r="U5648" t="str">
            <v>W/JHS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</row>
        <row r="5649">
          <cell r="D5649">
            <v>304473</v>
          </cell>
          <cell r="E5649" t="str">
            <v>Manobo NHS</v>
          </cell>
          <cell r="F5649">
            <v>1</v>
          </cell>
          <cell r="G5649">
            <v>1</v>
          </cell>
          <cell r="H5649">
            <v>1</v>
          </cell>
          <cell r="I5649">
            <v>0</v>
          </cell>
          <cell r="J5649">
            <v>1</v>
          </cell>
          <cell r="K5649">
            <v>0</v>
          </cell>
          <cell r="L5649">
            <v>0</v>
          </cell>
          <cell r="M5649">
            <v>0</v>
          </cell>
          <cell r="N5649">
            <v>1</v>
          </cell>
          <cell r="O5649">
            <v>43675</v>
          </cell>
          <cell r="P5649">
            <v>43591</v>
          </cell>
          <cell r="Q5649">
            <v>0</v>
          </cell>
          <cell r="R5649">
            <v>1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</row>
        <row r="5650">
          <cell r="D5650">
            <v>304430</v>
          </cell>
          <cell r="E5650" t="str">
            <v>Dado High School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</row>
        <row r="5651">
          <cell r="D5651">
            <v>304441</v>
          </cell>
          <cell r="E5651" t="str">
            <v>Katipunan HS</v>
          </cell>
          <cell r="F5651">
            <v>1</v>
          </cell>
          <cell r="G5651">
            <v>1</v>
          </cell>
          <cell r="H5651">
            <v>1</v>
          </cell>
          <cell r="I5651">
            <v>0</v>
          </cell>
          <cell r="J5651">
            <v>1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 t="str">
            <v>N/A</v>
          </cell>
          <cell r="P5651">
            <v>43710</v>
          </cell>
          <cell r="Q5651">
            <v>1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1</v>
          </cell>
          <cell r="W5651">
            <v>2</v>
          </cell>
          <cell r="X5651">
            <v>0</v>
          </cell>
          <cell r="Y5651">
            <v>0</v>
          </cell>
        </row>
        <row r="5652">
          <cell r="D5652">
            <v>304463</v>
          </cell>
          <cell r="E5652" t="str">
            <v>Magpet National High School</v>
          </cell>
          <cell r="F5652">
            <v>1</v>
          </cell>
          <cell r="G5652">
            <v>1</v>
          </cell>
          <cell r="H5652">
            <v>1</v>
          </cell>
          <cell r="I5652">
            <v>0</v>
          </cell>
          <cell r="J5652">
            <v>0</v>
          </cell>
          <cell r="K5652">
            <v>0</v>
          </cell>
          <cell r="L5652">
            <v>1</v>
          </cell>
          <cell r="M5652" t="str">
            <v>N/A</v>
          </cell>
          <cell r="N5652">
            <v>0</v>
          </cell>
          <cell r="O5652">
            <v>0</v>
          </cell>
          <cell r="P5652" t="str">
            <v>N/A</v>
          </cell>
          <cell r="Q5652">
            <v>0</v>
          </cell>
          <cell r="R5652">
            <v>0</v>
          </cell>
          <cell r="S5652">
            <v>0</v>
          </cell>
          <cell r="T5652">
            <v>1</v>
          </cell>
          <cell r="U5652" t="str">
            <v>N/A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</row>
        <row r="5653">
          <cell r="D5653">
            <v>316502</v>
          </cell>
          <cell r="E5653" t="str">
            <v>Katalicanan High School</v>
          </cell>
          <cell r="F5653">
            <v>1</v>
          </cell>
          <cell r="G5653">
            <v>1</v>
          </cell>
          <cell r="H5653">
            <v>1</v>
          </cell>
          <cell r="I5653">
            <v>0</v>
          </cell>
          <cell r="J5653">
            <v>1</v>
          </cell>
          <cell r="K5653">
            <v>0</v>
          </cell>
          <cell r="L5653">
            <v>0</v>
          </cell>
          <cell r="M5653">
            <v>0</v>
          </cell>
          <cell r="N5653">
            <v>1</v>
          </cell>
          <cell r="O5653">
            <v>43621</v>
          </cell>
          <cell r="P5653">
            <v>43621</v>
          </cell>
          <cell r="Q5653">
            <v>0</v>
          </cell>
          <cell r="R5653">
            <v>1</v>
          </cell>
          <cell r="S5653">
            <v>0</v>
          </cell>
          <cell r="T5653">
            <v>0</v>
          </cell>
          <cell r="U5653">
            <v>0</v>
          </cell>
          <cell r="V5653">
            <v>1</v>
          </cell>
          <cell r="W5653">
            <v>0</v>
          </cell>
          <cell r="X5653">
            <v>0</v>
          </cell>
          <cell r="Y5653">
            <v>0</v>
          </cell>
        </row>
        <row r="5654">
          <cell r="D5654">
            <v>304413</v>
          </cell>
          <cell r="E5654" t="str">
            <v>Aleosan NHS</v>
          </cell>
          <cell r="F5654">
            <v>1</v>
          </cell>
          <cell r="G5654">
            <v>0</v>
          </cell>
          <cell r="H5654">
            <v>1</v>
          </cell>
          <cell r="I5654">
            <v>0</v>
          </cell>
          <cell r="J5654">
            <v>0</v>
          </cell>
          <cell r="K5654">
            <v>0</v>
          </cell>
          <cell r="L5654">
            <v>1</v>
          </cell>
          <cell r="M5654" t="str">
            <v>TWICE A YEAR</v>
          </cell>
          <cell r="N5654">
            <v>0</v>
          </cell>
          <cell r="O5654">
            <v>0</v>
          </cell>
          <cell r="P5654" t="str">
            <v>04/15/2019</v>
          </cell>
          <cell r="Q5654">
            <v>0</v>
          </cell>
          <cell r="R5654">
            <v>0</v>
          </cell>
          <cell r="S5654">
            <v>0</v>
          </cell>
          <cell r="T5654">
            <v>1</v>
          </cell>
          <cell r="U5654" t="str">
            <v>TWICE A YEAR</v>
          </cell>
          <cell r="V5654">
            <v>1</v>
          </cell>
          <cell r="W5654">
            <v>5</v>
          </cell>
          <cell r="X5654">
            <v>0</v>
          </cell>
          <cell r="Y5654">
            <v>0</v>
          </cell>
        </row>
        <row r="5655">
          <cell r="D5655">
            <v>304418</v>
          </cell>
          <cell r="E5655" t="str">
            <v>Mariano Untal HS</v>
          </cell>
          <cell r="F5655">
            <v>1</v>
          </cell>
          <cell r="G5655">
            <v>1</v>
          </cell>
          <cell r="H5655">
            <v>1</v>
          </cell>
          <cell r="I5655">
            <v>1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1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</row>
        <row r="5656">
          <cell r="D5656">
            <v>304420</v>
          </cell>
          <cell r="E5656" t="str">
            <v>Banisilan NHS</v>
          </cell>
          <cell r="F5656">
            <v>1</v>
          </cell>
          <cell r="G5656">
            <v>1</v>
          </cell>
          <cell r="H5656">
            <v>1</v>
          </cell>
          <cell r="I5656">
            <v>1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1</v>
          </cell>
          <cell r="O5656">
            <v>0</v>
          </cell>
          <cell r="P5656">
            <v>43011</v>
          </cell>
          <cell r="Q5656">
            <v>1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</row>
        <row r="5657">
          <cell r="D5657">
            <v>304422</v>
          </cell>
          <cell r="E5657" t="str">
            <v>Basak NHS</v>
          </cell>
          <cell r="F5657">
            <v>1</v>
          </cell>
          <cell r="G5657">
            <v>1</v>
          </cell>
          <cell r="H5657">
            <v>1</v>
          </cell>
          <cell r="I5657">
            <v>0</v>
          </cell>
          <cell r="J5657">
            <v>0</v>
          </cell>
          <cell r="K5657">
            <v>1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1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1</v>
          </cell>
          <cell r="W5657">
            <v>0</v>
          </cell>
          <cell r="X5657">
            <v>0</v>
          </cell>
          <cell r="Y5657">
            <v>0</v>
          </cell>
        </row>
        <row r="5658">
          <cell r="D5658">
            <v>316521</v>
          </cell>
          <cell r="E5658" t="str">
            <v>Aringay National High School</v>
          </cell>
          <cell r="F5658">
            <v>1</v>
          </cell>
          <cell r="G5658">
            <v>1</v>
          </cell>
          <cell r="H5658">
            <v>1</v>
          </cell>
          <cell r="I5658">
            <v>0</v>
          </cell>
          <cell r="J5658">
            <v>0</v>
          </cell>
          <cell r="K5658">
            <v>1</v>
          </cell>
          <cell r="L5658">
            <v>0</v>
          </cell>
          <cell r="M5658">
            <v>0</v>
          </cell>
          <cell r="N5658">
            <v>1</v>
          </cell>
          <cell r="O5658" t="str">
            <v>JULY 12,2019</v>
          </cell>
          <cell r="P5658">
            <v>43713</v>
          </cell>
          <cell r="Q5658">
            <v>1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1</v>
          </cell>
          <cell r="W5658">
            <v>0</v>
          </cell>
          <cell r="X5658">
            <v>0</v>
          </cell>
          <cell r="Y5658">
            <v>0</v>
          </cell>
        </row>
        <row r="5659">
          <cell r="D5659">
            <v>304432</v>
          </cell>
          <cell r="E5659" t="str">
            <v>Dilangalen National High School</v>
          </cell>
          <cell r="F5659">
            <v>1</v>
          </cell>
          <cell r="G5659">
            <v>1</v>
          </cell>
          <cell r="H5659">
            <v>1</v>
          </cell>
          <cell r="I5659">
            <v>1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1</v>
          </cell>
          <cell r="O5659">
            <v>0</v>
          </cell>
          <cell r="P5659" t="str">
            <v>NA</v>
          </cell>
          <cell r="Q5659">
            <v>1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1</v>
          </cell>
          <cell r="W5659">
            <v>2</v>
          </cell>
          <cell r="X5659">
            <v>0</v>
          </cell>
          <cell r="Y5659">
            <v>0</v>
          </cell>
        </row>
        <row r="5660">
          <cell r="D5660">
            <v>304480</v>
          </cell>
          <cell r="E5660" t="str">
            <v>M'lang NHS</v>
          </cell>
          <cell r="F5660">
            <v>1</v>
          </cell>
          <cell r="G5660">
            <v>1</v>
          </cell>
          <cell r="H5660">
            <v>1</v>
          </cell>
          <cell r="I5660">
            <v>0</v>
          </cell>
          <cell r="J5660">
            <v>0</v>
          </cell>
          <cell r="K5660">
            <v>0</v>
          </cell>
          <cell r="L5660">
            <v>0</v>
          </cell>
          <cell r="M5660">
            <v>0</v>
          </cell>
          <cell r="N5660">
            <v>1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1</v>
          </cell>
          <cell r="W5660">
            <v>0</v>
          </cell>
          <cell r="X5660">
            <v>0</v>
          </cell>
          <cell r="Y5660">
            <v>0</v>
          </cell>
        </row>
        <row r="5661">
          <cell r="D5661">
            <v>304460</v>
          </cell>
          <cell r="E5661" t="str">
            <v>Lanao Kuran NVTHS</v>
          </cell>
          <cell r="F5661">
            <v>1</v>
          </cell>
          <cell r="G5661">
            <v>0</v>
          </cell>
          <cell r="H5661">
            <v>1</v>
          </cell>
          <cell r="I5661">
            <v>0</v>
          </cell>
          <cell r="J5661">
            <v>0</v>
          </cell>
          <cell r="K5661">
            <v>1</v>
          </cell>
          <cell r="L5661">
            <v>0</v>
          </cell>
          <cell r="M5661">
            <v>0</v>
          </cell>
          <cell r="N5661">
            <v>1</v>
          </cell>
          <cell r="O5661">
            <v>43692</v>
          </cell>
          <cell r="P5661">
            <v>0</v>
          </cell>
          <cell r="Q5661">
            <v>0</v>
          </cell>
          <cell r="R5661">
            <v>0</v>
          </cell>
          <cell r="S5661">
            <v>1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</row>
        <row r="5662">
          <cell r="D5662">
            <v>304500</v>
          </cell>
          <cell r="E5662" t="str">
            <v>Salama NHS</v>
          </cell>
          <cell r="F5662">
            <v>0</v>
          </cell>
          <cell r="G5662">
            <v>0</v>
          </cell>
          <cell r="H5662">
            <v>1</v>
          </cell>
          <cell r="I5662">
            <v>0</v>
          </cell>
          <cell r="J5662">
            <v>1</v>
          </cell>
          <cell r="K5662">
            <v>0</v>
          </cell>
          <cell r="L5662">
            <v>0</v>
          </cell>
          <cell r="M5662">
            <v>0</v>
          </cell>
          <cell r="N5662">
            <v>1</v>
          </cell>
          <cell r="O5662" t="str">
            <v>08/23/2018</v>
          </cell>
          <cell r="P5662">
            <v>0</v>
          </cell>
          <cell r="Q5662">
            <v>0</v>
          </cell>
          <cell r="R5662">
            <v>0</v>
          </cell>
          <cell r="S5662">
            <v>1</v>
          </cell>
          <cell r="T5662">
            <v>0</v>
          </cell>
          <cell r="U5662">
            <v>0</v>
          </cell>
          <cell r="V5662">
            <v>1</v>
          </cell>
          <cell r="W5662">
            <v>0</v>
          </cell>
          <cell r="X5662">
            <v>0</v>
          </cell>
          <cell r="Y5662">
            <v>0</v>
          </cell>
        </row>
        <row r="5663">
          <cell r="D5663">
            <v>304516</v>
          </cell>
          <cell r="E5663" t="str">
            <v>Villarica High School</v>
          </cell>
          <cell r="F5663">
            <v>1</v>
          </cell>
          <cell r="G5663">
            <v>1</v>
          </cell>
          <cell r="H5663">
            <v>1</v>
          </cell>
          <cell r="I5663">
            <v>0</v>
          </cell>
          <cell r="J5663">
            <v>0</v>
          </cell>
          <cell r="K5663">
            <v>0</v>
          </cell>
          <cell r="L5663">
            <v>1</v>
          </cell>
          <cell r="M5663" t="str">
            <v>as need arises</v>
          </cell>
          <cell r="N5663">
            <v>0</v>
          </cell>
          <cell r="O5663">
            <v>0</v>
          </cell>
          <cell r="P5663" t="str">
            <v>June 2019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1</v>
          </cell>
          <cell r="W5663">
            <v>0</v>
          </cell>
          <cell r="X5663">
            <v>0</v>
          </cell>
          <cell r="Y5663">
            <v>0</v>
          </cell>
        </row>
        <row r="5664">
          <cell r="D5664">
            <v>304444</v>
          </cell>
          <cell r="E5664" t="str">
            <v>Kabacan National High School</v>
          </cell>
          <cell r="F5664">
            <v>1</v>
          </cell>
          <cell r="G5664">
            <v>1</v>
          </cell>
          <cell r="H5664">
            <v>1</v>
          </cell>
          <cell r="I5664">
            <v>0</v>
          </cell>
          <cell r="J5664">
            <v>1</v>
          </cell>
          <cell r="K5664">
            <v>0</v>
          </cell>
          <cell r="L5664">
            <v>0</v>
          </cell>
          <cell r="M5664">
            <v>0</v>
          </cell>
          <cell r="N5664">
            <v>1</v>
          </cell>
          <cell r="O5664">
            <v>43647</v>
          </cell>
          <cell r="P5664" t="str">
            <v>AUGUST 15,2019</v>
          </cell>
          <cell r="Q5664">
            <v>0</v>
          </cell>
          <cell r="R5664">
            <v>0</v>
          </cell>
          <cell r="S5664">
            <v>1</v>
          </cell>
          <cell r="T5664">
            <v>0</v>
          </cell>
          <cell r="U5664">
            <v>0</v>
          </cell>
          <cell r="V5664">
            <v>1</v>
          </cell>
          <cell r="W5664">
            <v>4</v>
          </cell>
          <cell r="X5664">
            <v>0</v>
          </cell>
          <cell r="Y5664">
            <v>1</v>
          </cell>
        </row>
        <row r="5665">
          <cell r="D5665">
            <v>304436</v>
          </cell>
          <cell r="E5665" t="str">
            <v>Greenfield NHS</v>
          </cell>
          <cell r="F5665">
            <v>1</v>
          </cell>
          <cell r="G5665">
            <v>1</v>
          </cell>
          <cell r="H5665">
            <v>1</v>
          </cell>
          <cell r="I5665">
            <v>0</v>
          </cell>
          <cell r="J5665">
            <v>0</v>
          </cell>
          <cell r="K5665">
            <v>0</v>
          </cell>
          <cell r="L5665">
            <v>1</v>
          </cell>
          <cell r="M5665" t="str">
            <v>AS REQUIRED</v>
          </cell>
          <cell r="N5665">
            <v>1</v>
          </cell>
          <cell r="O5665">
            <v>43675</v>
          </cell>
          <cell r="P5665">
            <v>43676</v>
          </cell>
          <cell r="Q5665">
            <v>0</v>
          </cell>
          <cell r="R5665">
            <v>0</v>
          </cell>
          <cell r="S5665">
            <v>1</v>
          </cell>
          <cell r="T5665">
            <v>0</v>
          </cell>
          <cell r="U5665">
            <v>0</v>
          </cell>
          <cell r="V5665">
            <v>0</v>
          </cell>
          <cell r="W5665">
            <v>3</v>
          </cell>
          <cell r="X5665">
            <v>0</v>
          </cell>
          <cell r="Y5665">
            <v>0</v>
          </cell>
        </row>
        <row r="5666">
          <cell r="D5666">
            <v>304472</v>
          </cell>
          <cell r="E5666" t="str">
            <v>Malinao High School</v>
          </cell>
          <cell r="F5666">
            <v>1</v>
          </cell>
          <cell r="G5666">
            <v>1</v>
          </cell>
          <cell r="H5666">
            <v>1</v>
          </cell>
          <cell r="I5666">
            <v>0</v>
          </cell>
          <cell r="J5666">
            <v>1</v>
          </cell>
          <cell r="K5666">
            <v>0</v>
          </cell>
          <cell r="L5666">
            <v>0</v>
          </cell>
          <cell r="M5666">
            <v>0</v>
          </cell>
          <cell r="N5666">
            <v>1</v>
          </cell>
          <cell r="O5666">
            <v>0</v>
          </cell>
          <cell r="P5666">
            <v>43647</v>
          </cell>
          <cell r="Q5666">
            <v>0</v>
          </cell>
          <cell r="R5666">
            <v>1</v>
          </cell>
          <cell r="S5666">
            <v>0</v>
          </cell>
          <cell r="T5666">
            <v>0</v>
          </cell>
          <cell r="U5666">
            <v>0</v>
          </cell>
          <cell r="V5666">
            <v>1</v>
          </cell>
          <cell r="W5666">
            <v>5</v>
          </cell>
          <cell r="X5666">
            <v>0</v>
          </cell>
          <cell r="Y5666">
            <v>5</v>
          </cell>
        </row>
        <row r="5667">
          <cell r="D5667">
            <v>304464</v>
          </cell>
          <cell r="E5667" t="str">
            <v>Mahongkog High School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</row>
        <row r="5668">
          <cell r="D5668">
            <v>304435</v>
          </cell>
          <cell r="E5668" t="str">
            <v>Dualing High School</v>
          </cell>
          <cell r="F5668">
            <v>1</v>
          </cell>
          <cell r="G5668">
            <v>1</v>
          </cell>
          <cell r="H5668">
            <v>1</v>
          </cell>
          <cell r="I5668">
            <v>0</v>
          </cell>
          <cell r="J5668">
            <v>0</v>
          </cell>
          <cell r="K5668">
            <v>0</v>
          </cell>
          <cell r="L5668">
            <v>1</v>
          </cell>
          <cell r="M5668" t="str">
            <v>As the need arises</v>
          </cell>
          <cell r="N5668">
            <v>1</v>
          </cell>
          <cell r="O5668">
            <v>0</v>
          </cell>
          <cell r="P5668">
            <v>43746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3</v>
          </cell>
          <cell r="X5668">
            <v>3</v>
          </cell>
          <cell r="Y5668">
            <v>3</v>
          </cell>
        </row>
        <row r="5669">
          <cell r="D5669">
            <v>304515</v>
          </cell>
          <cell r="E5669" t="str">
            <v>Tulunan NHS</v>
          </cell>
          <cell r="F5669">
            <v>1</v>
          </cell>
          <cell r="G5669">
            <v>1</v>
          </cell>
          <cell r="H5669">
            <v>1</v>
          </cell>
          <cell r="I5669">
            <v>0</v>
          </cell>
          <cell r="J5669">
            <v>0</v>
          </cell>
          <cell r="K5669">
            <v>1</v>
          </cell>
          <cell r="L5669">
            <v>0</v>
          </cell>
          <cell r="M5669">
            <v>0</v>
          </cell>
          <cell r="N5669">
            <v>1</v>
          </cell>
          <cell r="O5669" t="str">
            <v>07/13/2019</v>
          </cell>
          <cell r="P5669">
            <v>43719</v>
          </cell>
          <cell r="Q5669">
            <v>0</v>
          </cell>
          <cell r="R5669">
            <v>1</v>
          </cell>
          <cell r="S5669">
            <v>0</v>
          </cell>
          <cell r="T5669">
            <v>0</v>
          </cell>
          <cell r="U5669">
            <v>0</v>
          </cell>
          <cell r="V5669">
            <v>1</v>
          </cell>
          <cell r="W5669">
            <v>0</v>
          </cell>
          <cell r="X5669">
            <v>0</v>
          </cell>
          <cell r="Y5669">
            <v>0</v>
          </cell>
        </row>
        <row r="5670">
          <cell r="D5670">
            <v>304477</v>
          </cell>
          <cell r="E5670" t="str">
            <v>New Alimodian HS</v>
          </cell>
          <cell r="F5670">
            <v>1</v>
          </cell>
          <cell r="G5670">
            <v>0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1</v>
          </cell>
          <cell r="M5670" t="str">
            <v>BI- ANNUAL</v>
          </cell>
          <cell r="N5670">
            <v>1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1</v>
          </cell>
          <cell r="U5670" t="str">
            <v>BI- ANNUAL</v>
          </cell>
          <cell r="V5670">
            <v>1</v>
          </cell>
          <cell r="W5670">
            <v>0</v>
          </cell>
          <cell r="X5670">
            <v>0</v>
          </cell>
          <cell r="Y5670">
            <v>0</v>
          </cell>
        </row>
        <row r="5671">
          <cell r="D5671">
            <v>304427</v>
          </cell>
          <cell r="E5671" t="str">
            <v>Carmen National High School</v>
          </cell>
          <cell r="F5671">
            <v>1</v>
          </cell>
          <cell r="G5671">
            <v>1</v>
          </cell>
          <cell r="H5671">
            <v>1</v>
          </cell>
          <cell r="I5671">
            <v>0</v>
          </cell>
          <cell r="J5671">
            <v>1</v>
          </cell>
          <cell r="K5671">
            <v>0</v>
          </cell>
          <cell r="L5671">
            <v>0</v>
          </cell>
          <cell r="M5671">
            <v>0</v>
          </cell>
          <cell r="N5671">
            <v>1</v>
          </cell>
          <cell r="O5671">
            <v>43644</v>
          </cell>
          <cell r="P5671" t="str">
            <v>N/A</v>
          </cell>
          <cell r="Q5671">
            <v>0</v>
          </cell>
          <cell r="R5671">
            <v>0</v>
          </cell>
          <cell r="S5671">
            <v>0</v>
          </cell>
          <cell r="T5671">
            <v>1</v>
          </cell>
          <cell r="U5671" t="str">
            <v>N/A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</row>
        <row r="5672">
          <cell r="D5672">
            <v>304416</v>
          </cell>
          <cell r="E5672" t="str">
            <v>Antipas NHS - Malire Annex</v>
          </cell>
          <cell r="F5672">
            <v>0</v>
          </cell>
          <cell r="G5672">
            <v>0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</row>
        <row r="5673">
          <cell r="D5673">
            <v>304431</v>
          </cell>
          <cell r="E5673" t="str">
            <v>Dalapitan HS</v>
          </cell>
          <cell r="F5673">
            <v>1</v>
          </cell>
          <cell r="G5673">
            <v>0</v>
          </cell>
          <cell r="H5673">
            <v>1</v>
          </cell>
          <cell r="I5673">
            <v>0</v>
          </cell>
          <cell r="J5673">
            <v>0</v>
          </cell>
          <cell r="K5673">
            <v>1</v>
          </cell>
          <cell r="L5673">
            <v>0</v>
          </cell>
          <cell r="M5673">
            <v>0</v>
          </cell>
          <cell r="N5673">
            <v>0</v>
          </cell>
          <cell r="O5673" t="str">
            <v>Not sure because the tobacco control incharge is not belong to CPC</v>
          </cell>
          <cell r="P5673" t="str">
            <v>The BKD coordinator reports the violation in the authorities not the CPC</v>
          </cell>
          <cell r="Q5673">
            <v>0</v>
          </cell>
          <cell r="R5673">
            <v>0</v>
          </cell>
          <cell r="S5673">
            <v>0</v>
          </cell>
          <cell r="T5673">
            <v>1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</row>
        <row r="5674">
          <cell r="D5674">
            <v>304512</v>
          </cell>
          <cell r="E5674" t="str">
            <v>Tubak NHS</v>
          </cell>
          <cell r="F5674">
            <v>1</v>
          </cell>
          <cell r="G5674">
            <v>0</v>
          </cell>
          <cell r="H5674">
            <v>1</v>
          </cell>
          <cell r="I5674">
            <v>0</v>
          </cell>
          <cell r="J5674">
            <v>0</v>
          </cell>
          <cell r="K5674">
            <v>1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1</v>
          </cell>
          <cell r="W5674">
            <v>3</v>
          </cell>
          <cell r="X5674">
            <v>0</v>
          </cell>
          <cell r="Y5674">
            <v>0</v>
          </cell>
        </row>
        <row r="5675">
          <cell r="D5675">
            <v>304440</v>
          </cell>
          <cell r="E5675" t="str">
            <v>Kabalantian HS</v>
          </cell>
          <cell r="F5675">
            <v>1</v>
          </cell>
          <cell r="G5675">
            <v>1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 t="str">
            <v>NONE</v>
          </cell>
          <cell r="P5675" t="str">
            <v>NONE</v>
          </cell>
          <cell r="Q5675">
            <v>0</v>
          </cell>
          <cell r="R5675">
            <v>0</v>
          </cell>
          <cell r="S5675">
            <v>0</v>
          </cell>
          <cell r="T5675">
            <v>1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</row>
        <row r="5676">
          <cell r="D5676">
            <v>304415</v>
          </cell>
          <cell r="E5676" t="str">
            <v>ANTIPAS NHS</v>
          </cell>
          <cell r="F5676">
            <v>1</v>
          </cell>
          <cell r="G5676">
            <v>0</v>
          </cell>
          <cell r="H5676">
            <v>1</v>
          </cell>
          <cell r="I5676">
            <v>0</v>
          </cell>
          <cell r="J5676">
            <v>1</v>
          </cell>
          <cell r="K5676">
            <v>0</v>
          </cell>
          <cell r="L5676">
            <v>0</v>
          </cell>
          <cell r="M5676">
            <v>0</v>
          </cell>
          <cell r="N5676">
            <v>1</v>
          </cell>
          <cell r="O5676">
            <v>0</v>
          </cell>
          <cell r="P5676">
            <v>0</v>
          </cell>
          <cell r="Q5676">
            <v>0</v>
          </cell>
          <cell r="R5676">
            <v>1</v>
          </cell>
          <cell r="S5676">
            <v>0</v>
          </cell>
          <cell r="T5676">
            <v>0</v>
          </cell>
          <cell r="U5676">
            <v>0</v>
          </cell>
          <cell r="V5676">
            <v>1</v>
          </cell>
          <cell r="W5676">
            <v>1</v>
          </cell>
          <cell r="X5676">
            <v>1</v>
          </cell>
          <cell r="Y5676">
            <v>1</v>
          </cell>
        </row>
        <row r="5677">
          <cell r="D5677">
            <v>304510</v>
          </cell>
          <cell r="E5677" t="str">
            <v>New Rizal HS</v>
          </cell>
          <cell r="F5677">
            <v>1</v>
          </cell>
          <cell r="G5677">
            <v>1</v>
          </cell>
          <cell r="H5677">
            <v>1</v>
          </cell>
          <cell r="I5677">
            <v>0</v>
          </cell>
          <cell r="J5677">
            <v>0</v>
          </cell>
          <cell r="K5677">
            <v>1</v>
          </cell>
          <cell r="L5677">
            <v>0</v>
          </cell>
          <cell r="M5677">
            <v>0</v>
          </cell>
          <cell r="N5677">
            <v>1</v>
          </cell>
          <cell r="O5677" t="str">
            <v>6/10/2019</v>
          </cell>
          <cell r="P5677" t="str">
            <v>6/10/2019</v>
          </cell>
          <cell r="Q5677">
            <v>0</v>
          </cell>
          <cell r="R5677">
            <v>1</v>
          </cell>
          <cell r="S5677">
            <v>0</v>
          </cell>
          <cell r="T5677">
            <v>0</v>
          </cell>
          <cell r="U5677">
            <v>0</v>
          </cell>
          <cell r="V5677">
            <v>1</v>
          </cell>
          <cell r="W5677">
            <v>2</v>
          </cell>
          <cell r="X5677">
            <v>2</v>
          </cell>
          <cell r="Y5677">
            <v>2</v>
          </cell>
        </row>
        <row r="5678">
          <cell r="D5678">
            <v>304470</v>
          </cell>
          <cell r="E5678" t="str">
            <v>Malatab HS</v>
          </cell>
          <cell r="F5678">
            <v>1</v>
          </cell>
          <cell r="G5678">
            <v>0</v>
          </cell>
          <cell r="H5678">
            <v>1</v>
          </cell>
          <cell r="I5678">
            <v>0</v>
          </cell>
          <cell r="J5678">
            <v>1</v>
          </cell>
          <cell r="K5678">
            <v>0</v>
          </cell>
          <cell r="L5678">
            <v>0</v>
          </cell>
          <cell r="M5678">
            <v>0</v>
          </cell>
          <cell r="N5678">
            <v>1</v>
          </cell>
          <cell r="O5678">
            <v>43693</v>
          </cell>
          <cell r="P5678">
            <v>43693</v>
          </cell>
          <cell r="Q5678">
            <v>1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1</v>
          </cell>
          <cell r="W5678">
            <v>4</v>
          </cell>
          <cell r="X5678">
            <v>0</v>
          </cell>
          <cell r="Y5678">
            <v>0</v>
          </cell>
        </row>
        <row r="5679">
          <cell r="D5679">
            <v>304462</v>
          </cell>
          <cell r="E5679" t="str">
            <v>Lika NHS</v>
          </cell>
          <cell r="F5679">
            <v>1</v>
          </cell>
          <cell r="G5679">
            <v>1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</row>
        <row r="5680">
          <cell r="D5680">
            <v>304454</v>
          </cell>
          <cell r="E5680" t="str">
            <v>Kimagango NHS</v>
          </cell>
          <cell r="F5680">
            <v>1</v>
          </cell>
          <cell r="G5680">
            <v>0</v>
          </cell>
          <cell r="H5680">
            <v>1</v>
          </cell>
          <cell r="I5680">
            <v>0</v>
          </cell>
          <cell r="J5680">
            <v>0</v>
          </cell>
          <cell r="K5680">
            <v>0</v>
          </cell>
          <cell r="L5680">
            <v>1</v>
          </cell>
          <cell r="M5680" t="str">
            <v>As the needs arise</v>
          </cell>
          <cell r="N5680">
            <v>0</v>
          </cell>
          <cell r="O5680">
            <v>0</v>
          </cell>
          <cell r="P5680" t="str">
            <v>none</v>
          </cell>
          <cell r="Q5680">
            <v>0</v>
          </cell>
          <cell r="R5680">
            <v>0</v>
          </cell>
          <cell r="S5680">
            <v>0</v>
          </cell>
          <cell r="T5680">
            <v>1</v>
          </cell>
          <cell r="U5680" t="str">
            <v>none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</row>
        <row r="5681">
          <cell r="D5681">
            <v>316501</v>
          </cell>
          <cell r="E5681" t="str">
            <v>Manumba National HS</v>
          </cell>
          <cell r="F5681">
            <v>1</v>
          </cell>
          <cell r="G5681">
            <v>1</v>
          </cell>
          <cell r="H5681">
            <v>1</v>
          </cell>
          <cell r="I5681">
            <v>0</v>
          </cell>
          <cell r="J5681">
            <v>0</v>
          </cell>
          <cell r="K5681">
            <v>1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1</v>
          </cell>
          <cell r="T5681">
            <v>0</v>
          </cell>
          <cell r="U5681">
            <v>0</v>
          </cell>
          <cell r="V5681">
            <v>1</v>
          </cell>
          <cell r="W5681">
            <v>0</v>
          </cell>
          <cell r="X5681">
            <v>0</v>
          </cell>
          <cell r="Y5681">
            <v>0</v>
          </cell>
        </row>
        <row r="5682">
          <cell r="D5682">
            <v>304478</v>
          </cell>
          <cell r="E5682" t="str">
            <v>Matalam High School (Poblacion)</v>
          </cell>
          <cell r="F5682">
            <v>1</v>
          </cell>
          <cell r="G5682">
            <v>1</v>
          </cell>
          <cell r="H5682">
            <v>1</v>
          </cell>
          <cell r="I5682">
            <v>0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 t="str">
            <v>NONE</v>
          </cell>
          <cell r="P5682" t="str">
            <v>NONE</v>
          </cell>
          <cell r="Q5682">
            <v>0</v>
          </cell>
          <cell r="R5682">
            <v>0</v>
          </cell>
          <cell r="S5682">
            <v>0</v>
          </cell>
          <cell r="T5682">
            <v>1</v>
          </cell>
          <cell r="U5682" t="str">
            <v>NONE</v>
          </cell>
          <cell r="V5682">
            <v>0</v>
          </cell>
          <cell r="W5682">
            <v>3</v>
          </cell>
          <cell r="X5682">
            <v>0</v>
          </cell>
          <cell r="Y5682">
            <v>0</v>
          </cell>
        </row>
        <row r="5683">
          <cell r="D5683">
            <v>304421</v>
          </cell>
          <cell r="E5683" t="str">
            <v>Bannawag HS</v>
          </cell>
          <cell r="F5683">
            <v>1</v>
          </cell>
          <cell r="G5683">
            <v>1</v>
          </cell>
          <cell r="H5683">
            <v>1</v>
          </cell>
          <cell r="I5683">
            <v>0</v>
          </cell>
          <cell r="J5683">
            <v>0</v>
          </cell>
          <cell r="K5683">
            <v>1</v>
          </cell>
          <cell r="L5683">
            <v>0</v>
          </cell>
          <cell r="M5683">
            <v>0</v>
          </cell>
          <cell r="N5683">
            <v>1</v>
          </cell>
          <cell r="O5683">
            <v>43631</v>
          </cell>
          <cell r="P5683">
            <v>43631</v>
          </cell>
          <cell r="Q5683">
            <v>0</v>
          </cell>
          <cell r="R5683">
            <v>1</v>
          </cell>
          <cell r="S5683">
            <v>0</v>
          </cell>
          <cell r="T5683">
            <v>0</v>
          </cell>
          <cell r="U5683">
            <v>0</v>
          </cell>
          <cell r="V5683">
            <v>1</v>
          </cell>
          <cell r="W5683">
            <v>2</v>
          </cell>
          <cell r="X5683">
            <v>0</v>
          </cell>
          <cell r="Y5683">
            <v>0</v>
          </cell>
        </row>
        <row r="5684">
          <cell r="D5684">
            <v>304505</v>
          </cell>
          <cell r="E5684" t="str">
            <v>Silik High School</v>
          </cell>
          <cell r="F5684">
            <v>1</v>
          </cell>
          <cell r="G5684">
            <v>1</v>
          </cell>
          <cell r="H5684">
            <v>1</v>
          </cell>
          <cell r="I5684">
            <v>1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1</v>
          </cell>
          <cell r="O5684">
            <v>0</v>
          </cell>
          <cell r="P5684" t="str">
            <v>july 6, 2019</v>
          </cell>
          <cell r="Q5684">
            <v>0</v>
          </cell>
          <cell r="R5684">
            <v>1</v>
          </cell>
          <cell r="S5684">
            <v>0</v>
          </cell>
          <cell r="T5684">
            <v>0</v>
          </cell>
          <cell r="U5684">
            <v>0</v>
          </cell>
          <cell r="V5684">
            <v>1</v>
          </cell>
          <cell r="W5684">
            <v>0</v>
          </cell>
          <cell r="X5684">
            <v>0</v>
          </cell>
          <cell r="Y5684">
            <v>0</v>
          </cell>
        </row>
        <row r="5685">
          <cell r="D5685">
            <v>304507</v>
          </cell>
          <cell r="E5685" t="str">
            <v>Sinawingan HS</v>
          </cell>
          <cell r="F5685">
            <v>1</v>
          </cell>
          <cell r="G5685">
            <v>1</v>
          </cell>
          <cell r="H5685">
            <v>1</v>
          </cell>
          <cell r="I5685">
            <v>0</v>
          </cell>
          <cell r="J5685">
            <v>1</v>
          </cell>
          <cell r="K5685">
            <v>0</v>
          </cell>
          <cell r="L5685">
            <v>0</v>
          </cell>
          <cell r="M5685">
            <v>0</v>
          </cell>
          <cell r="N5685">
            <v>1</v>
          </cell>
          <cell r="O5685">
            <v>0</v>
          </cell>
          <cell r="P5685" t="str">
            <v>July 28,2019</v>
          </cell>
          <cell r="Q5685">
            <v>0</v>
          </cell>
          <cell r="R5685">
            <v>1</v>
          </cell>
          <cell r="S5685">
            <v>0</v>
          </cell>
          <cell r="T5685">
            <v>0</v>
          </cell>
          <cell r="U5685">
            <v>0</v>
          </cell>
          <cell r="V5685">
            <v>1</v>
          </cell>
          <cell r="W5685">
            <v>0</v>
          </cell>
          <cell r="X5685">
            <v>0</v>
          </cell>
          <cell r="Y5685">
            <v>0</v>
          </cell>
        </row>
        <row r="5686">
          <cell r="D5686">
            <v>304469</v>
          </cell>
          <cell r="E5686" t="str">
            <v>Malasila National Vocational and Technological High School</v>
          </cell>
          <cell r="F5686">
            <v>1</v>
          </cell>
          <cell r="G5686">
            <v>1</v>
          </cell>
          <cell r="H5686">
            <v>1</v>
          </cell>
          <cell r="I5686">
            <v>0</v>
          </cell>
          <cell r="J5686">
            <v>1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 t="str">
            <v>3/18/2019</v>
          </cell>
          <cell r="Q5686">
            <v>1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1</v>
          </cell>
          <cell r="W5686">
            <v>1</v>
          </cell>
          <cell r="X5686">
            <v>0</v>
          </cell>
          <cell r="Y5686">
            <v>0</v>
          </cell>
        </row>
        <row r="5687">
          <cell r="D5687">
            <v>316541</v>
          </cell>
          <cell r="E5687" t="str">
            <v>Datu Embak Mangansing Memorial High School</v>
          </cell>
          <cell r="F5687">
            <v>0</v>
          </cell>
          <cell r="G5687">
            <v>0</v>
          </cell>
          <cell r="H5687">
            <v>1</v>
          </cell>
          <cell r="I5687">
            <v>0</v>
          </cell>
          <cell r="J5687">
            <v>0</v>
          </cell>
          <cell r="K5687">
            <v>1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1</v>
          </cell>
          <cell r="T5687">
            <v>0</v>
          </cell>
          <cell r="U5687">
            <v>0</v>
          </cell>
          <cell r="V5687">
            <v>1</v>
          </cell>
          <cell r="W5687">
            <v>1</v>
          </cell>
          <cell r="X5687">
            <v>1</v>
          </cell>
          <cell r="Y5687">
            <v>1</v>
          </cell>
        </row>
        <row r="5688">
          <cell r="D5688">
            <v>316524</v>
          </cell>
          <cell r="E5688" t="str">
            <v>Datu Dalandag NHS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</row>
        <row r="5689">
          <cell r="D5689">
            <v>304488</v>
          </cell>
          <cell r="E5689" t="str">
            <v>Nueva Vida National High School</v>
          </cell>
          <cell r="F5689">
            <v>1</v>
          </cell>
          <cell r="G5689">
            <v>1</v>
          </cell>
          <cell r="H5689">
            <v>1</v>
          </cell>
          <cell r="I5689">
            <v>0</v>
          </cell>
          <cell r="J5689">
            <v>1</v>
          </cell>
          <cell r="K5689">
            <v>0</v>
          </cell>
          <cell r="L5689">
            <v>0</v>
          </cell>
          <cell r="M5689">
            <v>0</v>
          </cell>
          <cell r="N5689">
            <v>1</v>
          </cell>
          <cell r="O5689" t="str">
            <v>SEPTEMBER 23, 2019</v>
          </cell>
          <cell r="P5689" t="str">
            <v>SEPTEMBER 20,2019</v>
          </cell>
          <cell r="Q5689">
            <v>0</v>
          </cell>
          <cell r="R5689">
            <v>1</v>
          </cell>
          <cell r="S5689">
            <v>0</v>
          </cell>
          <cell r="T5689">
            <v>0</v>
          </cell>
          <cell r="U5689">
            <v>0</v>
          </cell>
          <cell r="V5689">
            <v>1</v>
          </cell>
          <cell r="W5689">
            <v>0</v>
          </cell>
          <cell r="X5689">
            <v>0</v>
          </cell>
          <cell r="Y5689">
            <v>0</v>
          </cell>
        </row>
        <row r="5690">
          <cell r="D5690">
            <v>304445</v>
          </cell>
          <cell r="E5690" t="str">
            <v>Malamote High School</v>
          </cell>
          <cell r="F5690">
            <v>1</v>
          </cell>
          <cell r="G5690">
            <v>1</v>
          </cell>
          <cell r="H5690">
            <v>1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</row>
        <row r="5691">
          <cell r="D5691">
            <v>304490</v>
          </cell>
          <cell r="E5691" t="str">
            <v>B.A. Calamba National High School</v>
          </cell>
          <cell r="F5691">
            <v>1</v>
          </cell>
          <cell r="G5691">
            <v>1</v>
          </cell>
          <cell r="H5691">
            <v>1</v>
          </cell>
          <cell r="I5691">
            <v>0</v>
          </cell>
          <cell r="J5691">
            <v>0</v>
          </cell>
          <cell r="K5691">
            <v>1</v>
          </cell>
          <cell r="L5691">
            <v>0</v>
          </cell>
          <cell r="M5691">
            <v>0</v>
          </cell>
          <cell r="N5691">
            <v>1</v>
          </cell>
          <cell r="O5691" t="str">
            <v>07/31/2019</v>
          </cell>
          <cell r="P5691" t="str">
            <v>07/31/2019</v>
          </cell>
          <cell r="Q5691">
            <v>0</v>
          </cell>
          <cell r="R5691">
            <v>0</v>
          </cell>
          <cell r="S5691">
            <v>1</v>
          </cell>
          <cell r="T5691">
            <v>0</v>
          </cell>
          <cell r="U5691">
            <v>0</v>
          </cell>
          <cell r="V5691">
            <v>1</v>
          </cell>
          <cell r="W5691">
            <v>3</v>
          </cell>
          <cell r="X5691">
            <v>3</v>
          </cell>
          <cell r="Y5691">
            <v>1</v>
          </cell>
        </row>
        <row r="5692">
          <cell r="D5692">
            <v>304476</v>
          </cell>
          <cell r="E5692" t="str">
            <v>Matalam National High School, Brgy Linao</v>
          </cell>
          <cell r="F5692">
            <v>1</v>
          </cell>
          <cell r="G5692">
            <v>1</v>
          </cell>
          <cell r="H5692">
            <v>1</v>
          </cell>
          <cell r="I5692">
            <v>0</v>
          </cell>
          <cell r="J5692">
            <v>1</v>
          </cell>
          <cell r="K5692">
            <v>0</v>
          </cell>
          <cell r="L5692">
            <v>0</v>
          </cell>
          <cell r="M5692">
            <v>0</v>
          </cell>
          <cell r="N5692">
            <v>1</v>
          </cell>
          <cell r="O5692" t="str">
            <v>August 20 2019</v>
          </cell>
          <cell r="P5692" t="str">
            <v>August 22 2019</v>
          </cell>
          <cell r="Q5692">
            <v>0</v>
          </cell>
          <cell r="R5692">
            <v>1</v>
          </cell>
          <cell r="S5692">
            <v>0</v>
          </cell>
          <cell r="T5692">
            <v>0</v>
          </cell>
          <cell r="U5692">
            <v>0</v>
          </cell>
          <cell r="V5692">
            <v>1</v>
          </cell>
          <cell r="W5692">
            <v>0</v>
          </cell>
          <cell r="X5692">
            <v>0</v>
          </cell>
          <cell r="Y5692">
            <v>0</v>
          </cell>
        </row>
        <row r="5693">
          <cell r="D5693">
            <v>304423</v>
          </cell>
          <cell r="E5693" t="str">
            <v>Bulakanon High School</v>
          </cell>
          <cell r="F5693">
            <v>1</v>
          </cell>
          <cell r="G5693">
            <v>1</v>
          </cell>
          <cell r="H5693">
            <v>1</v>
          </cell>
          <cell r="I5693">
            <v>0</v>
          </cell>
          <cell r="J5693">
            <v>1</v>
          </cell>
          <cell r="K5693">
            <v>0</v>
          </cell>
          <cell r="L5693">
            <v>0</v>
          </cell>
          <cell r="M5693">
            <v>0</v>
          </cell>
          <cell r="N5693">
            <v>1</v>
          </cell>
          <cell r="O5693">
            <v>0</v>
          </cell>
          <cell r="P5693">
            <v>43717</v>
          </cell>
          <cell r="Q5693">
            <v>0</v>
          </cell>
          <cell r="R5693">
            <v>1</v>
          </cell>
          <cell r="S5693">
            <v>0</v>
          </cell>
          <cell r="T5693">
            <v>0</v>
          </cell>
          <cell r="U5693">
            <v>0</v>
          </cell>
          <cell r="V5693">
            <v>1</v>
          </cell>
          <cell r="W5693">
            <v>0</v>
          </cell>
          <cell r="X5693">
            <v>0</v>
          </cell>
          <cell r="Y5693">
            <v>0</v>
          </cell>
        </row>
        <row r="5694">
          <cell r="D5694">
            <v>304504</v>
          </cell>
          <cell r="E5694" t="str">
            <v>Sibsib High School</v>
          </cell>
          <cell r="F5694">
            <v>1</v>
          </cell>
          <cell r="G5694">
            <v>1</v>
          </cell>
          <cell r="H5694">
            <v>1</v>
          </cell>
          <cell r="I5694">
            <v>0</v>
          </cell>
          <cell r="J5694">
            <v>0</v>
          </cell>
          <cell r="K5694">
            <v>0</v>
          </cell>
          <cell r="L5694">
            <v>1</v>
          </cell>
          <cell r="M5694" t="str">
            <v>As needed</v>
          </cell>
          <cell r="N5694">
            <v>1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</row>
        <row r="5695">
          <cell r="D5695">
            <v>304483</v>
          </cell>
          <cell r="E5695" t="str">
            <v>New Cebu HS</v>
          </cell>
          <cell r="F5695">
            <v>1</v>
          </cell>
          <cell r="G5695">
            <v>1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 t="str">
            <v>NONE</v>
          </cell>
          <cell r="Q5695">
            <v>0</v>
          </cell>
          <cell r="R5695">
            <v>0</v>
          </cell>
          <cell r="S5695">
            <v>0</v>
          </cell>
          <cell r="T5695">
            <v>1</v>
          </cell>
          <cell r="U5695" t="str">
            <v>n/a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</row>
        <row r="5696">
          <cell r="D5696">
            <v>304508</v>
          </cell>
          <cell r="E5696" t="str">
            <v>Takepan HS</v>
          </cell>
          <cell r="F5696">
            <v>1</v>
          </cell>
          <cell r="G5696">
            <v>1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</row>
        <row r="5697">
          <cell r="D5697">
            <v>304412</v>
          </cell>
          <cell r="E5697" t="str">
            <v>Alamada NHS</v>
          </cell>
          <cell r="F5697">
            <v>1</v>
          </cell>
          <cell r="G5697">
            <v>1</v>
          </cell>
          <cell r="H5697">
            <v>1</v>
          </cell>
          <cell r="I5697">
            <v>0</v>
          </cell>
          <cell r="J5697">
            <v>0</v>
          </cell>
          <cell r="K5697">
            <v>0</v>
          </cell>
          <cell r="L5697">
            <v>0</v>
          </cell>
          <cell r="M5697">
            <v>0</v>
          </cell>
          <cell r="N5697">
            <v>1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</row>
        <row r="5698">
          <cell r="D5698">
            <v>316534</v>
          </cell>
          <cell r="E5698" t="str">
            <v>Meocan High School</v>
          </cell>
          <cell r="F5698">
            <v>1</v>
          </cell>
          <cell r="G5698">
            <v>1</v>
          </cell>
          <cell r="H5698">
            <v>1</v>
          </cell>
          <cell r="I5698">
            <v>0</v>
          </cell>
          <cell r="J5698">
            <v>1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</row>
        <row r="5699">
          <cell r="D5699">
            <v>316504</v>
          </cell>
          <cell r="E5699" t="str">
            <v>Balite HS</v>
          </cell>
          <cell r="F5699">
            <v>1</v>
          </cell>
          <cell r="G5699">
            <v>1</v>
          </cell>
          <cell r="H5699">
            <v>1</v>
          </cell>
          <cell r="I5699">
            <v>0</v>
          </cell>
          <cell r="J5699">
            <v>1</v>
          </cell>
          <cell r="K5699">
            <v>0</v>
          </cell>
          <cell r="L5699">
            <v>0</v>
          </cell>
          <cell r="M5699">
            <v>0</v>
          </cell>
          <cell r="N5699">
            <v>1</v>
          </cell>
          <cell r="O5699" t="str">
            <v>09/20/2019</v>
          </cell>
          <cell r="P5699" t="str">
            <v>09/21/2019</v>
          </cell>
          <cell r="Q5699">
            <v>0</v>
          </cell>
          <cell r="R5699">
            <v>1</v>
          </cell>
          <cell r="S5699">
            <v>0</v>
          </cell>
          <cell r="T5699">
            <v>0</v>
          </cell>
          <cell r="U5699">
            <v>0</v>
          </cell>
          <cell r="V5699">
            <v>1</v>
          </cell>
          <cell r="W5699">
            <v>3</v>
          </cell>
          <cell r="X5699">
            <v>1</v>
          </cell>
          <cell r="Y5699">
            <v>1</v>
          </cell>
        </row>
        <row r="5700">
          <cell r="D5700">
            <v>304419</v>
          </cell>
          <cell r="E5700" t="str">
            <v>Banayal HS</v>
          </cell>
          <cell r="F5700">
            <v>1</v>
          </cell>
          <cell r="G5700">
            <v>1</v>
          </cell>
          <cell r="H5700">
            <v>1</v>
          </cell>
          <cell r="I5700">
            <v>0</v>
          </cell>
          <cell r="J5700">
            <v>1</v>
          </cell>
          <cell r="K5700">
            <v>0</v>
          </cell>
          <cell r="L5700">
            <v>0</v>
          </cell>
          <cell r="M5700">
            <v>0</v>
          </cell>
          <cell r="N5700">
            <v>1</v>
          </cell>
          <cell r="O5700">
            <v>0</v>
          </cell>
          <cell r="P5700">
            <v>0</v>
          </cell>
          <cell r="Q5700">
            <v>0</v>
          </cell>
          <cell r="R5700">
            <v>1</v>
          </cell>
          <cell r="S5700">
            <v>0</v>
          </cell>
          <cell r="T5700">
            <v>0</v>
          </cell>
          <cell r="U5700">
            <v>0</v>
          </cell>
          <cell r="V5700">
            <v>1</v>
          </cell>
          <cell r="W5700">
            <v>0</v>
          </cell>
          <cell r="X5700">
            <v>0</v>
          </cell>
          <cell r="Y5700">
            <v>0</v>
          </cell>
        </row>
        <row r="5701">
          <cell r="D5701">
            <v>304491</v>
          </cell>
          <cell r="E5701" t="str">
            <v>Patindeguen HS</v>
          </cell>
          <cell r="F5701">
            <v>1</v>
          </cell>
          <cell r="G5701">
            <v>1</v>
          </cell>
          <cell r="H5701">
            <v>1</v>
          </cell>
          <cell r="I5701">
            <v>0</v>
          </cell>
          <cell r="J5701">
            <v>1</v>
          </cell>
          <cell r="K5701">
            <v>0</v>
          </cell>
          <cell r="L5701">
            <v>0</v>
          </cell>
          <cell r="M5701">
            <v>0</v>
          </cell>
          <cell r="N5701">
            <v>1</v>
          </cell>
          <cell r="O5701">
            <v>0</v>
          </cell>
          <cell r="P5701">
            <v>0</v>
          </cell>
          <cell r="Q5701">
            <v>0</v>
          </cell>
          <cell r="R5701">
            <v>1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</row>
        <row r="5702">
          <cell r="D5702">
            <v>316536</v>
          </cell>
          <cell r="E5702" t="str">
            <v>Manuangan HS-Datu Binasing HS Annex</v>
          </cell>
          <cell r="F5702">
            <v>1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</row>
        <row r="5703">
          <cell r="D5703">
            <v>304471</v>
          </cell>
          <cell r="E5703" t="str">
            <v>MALIBATUAN HIGH SCHOOL</v>
          </cell>
          <cell r="F5703">
            <v>1</v>
          </cell>
          <cell r="G5703">
            <v>1</v>
          </cell>
          <cell r="H5703">
            <v>1</v>
          </cell>
          <cell r="I5703">
            <v>1</v>
          </cell>
          <cell r="J5703">
            <v>0</v>
          </cell>
          <cell r="K5703">
            <v>0</v>
          </cell>
          <cell r="L5703">
            <v>0</v>
          </cell>
          <cell r="M5703">
            <v>0</v>
          </cell>
          <cell r="N5703">
            <v>1</v>
          </cell>
          <cell r="O5703" t="str">
            <v>5/20/2019</v>
          </cell>
          <cell r="P5703" t="str">
            <v>5/20/2019</v>
          </cell>
          <cell r="Q5703">
            <v>1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1</v>
          </cell>
          <cell r="W5703">
            <v>0</v>
          </cell>
          <cell r="X5703">
            <v>0</v>
          </cell>
          <cell r="Y5703">
            <v>0</v>
          </cell>
        </row>
        <row r="5704">
          <cell r="D5704">
            <v>304452</v>
          </cell>
          <cell r="E5704" t="str">
            <v>Kibia HS</v>
          </cell>
          <cell r="F5704">
            <v>0</v>
          </cell>
          <cell r="G5704">
            <v>0</v>
          </cell>
          <cell r="H5704">
            <v>1</v>
          </cell>
          <cell r="I5704">
            <v>0</v>
          </cell>
          <cell r="J5704">
            <v>0</v>
          </cell>
          <cell r="K5704">
            <v>0</v>
          </cell>
          <cell r="L5704">
            <v>1</v>
          </cell>
          <cell r="M5704" t="str">
            <v>OCCASIONALLY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</row>
        <row r="5705">
          <cell r="D5705">
            <v>304447</v>
          </cell>
          <cell r="E5705" t="str">
            <v>Lumayong High School</v>
          </cell>
          <cell r="F5705">
            <v>1</v>
          </cell>
          <cell r="G5705">
            <v>0</v>
          </cell>
          <cell r="H5705">
            <v>1</v>
          </cell>
          <cell r="I5705">
            <v>0</v>
          </cell>
          <cell r="J5705">
            <v>0</v>
          </cell>
          <cell r="K5705">
            <v>1</v>
          </cell>
          <cell r="L5705">
            <v>0</v>
          </cell>
          <cell r="M5705">
            <v>0</v>
          </cell>
          <cell r="N5705">
            <v>0</v>
          </cell>
          <cell r="O5705" t="str">
            <v>JUNE 14, 2019</v>
          </cell>
          <cell r="P5705" t="str">
            <v>JUNE 30, 2019</v>
          </cell>
          <cell r="Q5705">
            <v>0</v>
          </cell>
          <cell r="R5705">
            <v>1</v>
          </cell>
          <cell r="S5705">
            <v>0</v>
          </cell>
          <cell r="T5705">
            <v>0</v>
          </cell>
          <cell r="U5705">
            <v>0</v>
          </cell>
          <cell r="V5705">
            <v>1</v>
          </cell>
          <cell r="W5705">
            <v>0</v>
          </cell>
          <cell r="X5705">
            <v>0</v>
          </cell>
          <cell r="Y5705">
            <v>0</v>
          </cell>
        </row>
        <row r="5706">
          <cell r="D5706">
            <v>304438</v>
          </cell>
          <cell r="E5706" t="str">
            <v>Dallag HS</v>
          </cell>
          <cell r="F5706">
            <v>1</v>
          </cell>
          <cell r="G5706">
            <v>1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</row>
        <row r="5707">
          <cell r="D5707">
            <v>304442</v>
          </cell>
          <cell r="E5707" t="str">
            <v>F. A. Andolana Mem. NHS</v>
          </cell>
          <cell r="F5707">
            <v>1</v>
          </cell>
          <cell r="G5707">
            <v>0</v>
          </cell>
          <cell r="H5707">
            <v>1</v>
          </cell>
          <cell r="I5707">
            <v>0</v>
          </cell>
          <cell r="J5707">
            <v>1</v>
          </cell>
          <cell r="K5707">
            <v>0</v>
          </cell>
          <cell r="L5707">
            <v>0</v>
          </cell>
          <cell r="M5707">
            <v>0</v>
          </cell>
          <cell r="N5707">
            <v>1</v>
          </cell>
          <cell r="O5707">
            <v>43713</v>
          </cell>
          <cell r="P5707" t="str">
            <v>none</v>
          </cell>
          <cell r="Q5707">
            <v>0</v>
          </cell>
          <cell r="R5707">
            <v>0</v>
          </cell>
          <cell r="S5707">
            <v>1</v>
          </cell>
          <cell r="T5707">
            <v>0</v>
          </cell>
          <cell r="U5707">
            <v>0</v>
          </cell>
          <cell r="V5707">
            <v>1</v>
          </cell>
          <cell r="W5707">
            <v>0</v>
          </cell>
          <cell r="X5707">
            <v>0</v>
          </cell>
          <cell r="Y5707">
            <v>0</v>
          </cell>
        </row>
        <row r="5708">
          <cell r="D5708">
            <v>316520</v>
          </cell>
          <cell r="E5708" t="str">
            <v>Pigcawayan NHS - Libungan Torreta Annex</v>
          </cell>
          <cell r="F5708">
            <v>1</v>
          </cell>
          <cell r="G5708">
            <v>1</v>
          </cell>
          <cell r="H5708">
            <v>1</v>
          </cell>
          <cell r="I5708">
            <v>0</v>
          </cell>
          <cell r="J5708">
            <v>0</v>
          </cell>
          <cell r="K5708">
            <v>1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1</v>
          </cell>
          <cell r="X5708">
            <v>1</v>
          </cell>
          <cell r="Y5708">
            <v>0</v>
          </cell>
        </row>
        <row r="5709">
          <cell r="D5709">
            <v>304697</v>
          </cell>
          <cell r="E5709" t="str">
            <v>Bongolanon High School</v>
          </cell>
          <cell r="F5709">
            <v>1</v>
          </cell>
          <cell r="G5709">
            <v>1</v>
          </cell>
          <cell r="H5709">
            <v>1</v>
          </cell>
          <cell r="I5709">
            <v>1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1</v>
          </cell>
          <cell r="O5709">
            <v>0</v>
          </cell>
          <cell r="P5709">
            <v>0</v>
          </cell>
          <cell r="Q5709">
            <v>1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1</v>
          </cell>
          <cell r="W5709">
            <v>0</v>
          </cell>
          <cell r="X5709">
            <v>0</v>
          </cell>
          <cell r="Y5709">
            <v>0</v>
          </cell>
        </row>
        <row r="5710">
          <cell r="D5710">
            <v>316514</v>
          </cell>
          <cell r="E5710" t="str">
            <v>Minapan High School</v>
          </cell>
          <cell r="F5710">
            <v>1</v>
          </cell>
          <cell r="G5710">
            <v>1</v>
          </cell>
          <cell r="H5710">
            <v>1</v>
          </cell>
          <cell r="I5710">
            <v>0</v>
          </cell>
          <cell r="J5710">
            <v>1</v>
          </cell>
          <cell r="K5710">
            <v>0</v>
          </cell>
          <cell r="L5710">
            <v>0</v>
          </cell>
          <cell r="M5710">
            <v>0</v>
          </cell>
          <cell r="N5710">
            <v>1</v>
          </cell>
          <cell r="O5710">
            <v>43665</v>
          </cell>
          <cell r="P5710">
            <v>43705</v>
          </cell>
          <cell r="Q5710">
            <v>1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2</v>
          </cell>
          <cell r="X5710">
            <v>0</v>
          </cell>
          <cell r="Y5710">
            <v>0</v>
          </cell>
        </row>
        <row r="5711">
          <cell r="D5711">
            <v>304439</v>
          </cell>
          <cell r="E5711" t="str">
            <v>Marciano Dahan HS</v>
          </cell>
          <cell r="F5711">
            <v>1</v>
          </cell>
          <cell r="G5711">
            <v>1</v>
          </cell>
          <cell r="H5711">
            <v>1</v>
          </cell>
          <cell r="I5711">
            <v>0</v>
          </cell>
          <cell r="J5711">
            <v>0</v>
          </cell>
          <cell r="K5711">
            <v>1</v>
          </cell>
          <cell r="L5711">
            <v>0</v>
          </cell>
          <cell r="M5711">
            <v>0</v>
          </cell>
          <cell r="N5711">
            <v>1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1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</row>
        <row r="5712">
          <cell r="D5712">
            <v>304414</v>
          </cell>
          <cell r="E5712" t="str">
            <v>Pagangan HS</v>
          </cell>
          <cell r="F5712">
            <v>1</v>
          </cell>
          <cell r="G5712">
            <v>0</v>
          </cell>
          <cell r="H5712">
            <v>1</v>
          </cell>
          <cell r="I5712">
            <v>0</v>
          </cell>
          <cell r="J5712">
            <v>1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 t="str">
            <v>6/22/2019</v>
          </cell>
          <cell r="P5712" t="str">
            <v>6/22/2019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1</v>
          </cell>
          <cell r="W5712">
            <v>0</v>
          </cell>
          <cell r="X5712">
            <v>0</v>
          </cell>
          <cell r="Y5712">
            <v>0</v>
          </cell>
        </row>
        <row r="5713">
          <cell r="D5713">
            <v>304459</v>
          </cell>
          <cell r="E5713" t="str">
            <v>Lampayan NHS</v>
          </cell>
          <cell r="F5713">
            <v>1</v>
          </cell>
          <cell r="G5713">
            <v>1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</row>
        <row r="5714">
          <cell r="D5714">
            <v>304493</v>
          </cell>
          <cell r="E5714" t="str">
            <v>Pigcawayan National High School</v>
          </cell>
          <cell r="F5714">
            <v>1</v>
          </cell>
          <cell r="G5714">
            <v>1</v>
          </cell>
          <cell r="H5714">
            <v>1</v>
          </cell>
          <cell r="I5714">
            <v>1</v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  <cell r="N5714">
            <v>1</v>
          </cell>
          <cell r="O5714">
            <v>0</v>
          </cell>
          <cell r="P5714" t="str">
            <v>AUGUST 23 2019</v>
          </cell>
          <cell r="Q5714">
            <v>0</v>
          </cell>
          <cell r="R5714">
            <v>1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3</v>
          </cell>
          <cell r="X5714">
            <v>2</v>
          </cell>
          <cell r="Y5714">
            <v>1</v>
          </cell>
        </row>
        <row r="5715">
          <cell r="D5715">
            <v>304506</v>
          </cell>
          <cell r="E5715" t="str">
            <v>Simsiman HS</v>
          </cell>
          <cell r="F5715">
            <v>0</v>
          </cell>
          <cell r="G5715">
            <v>0</v>
          </cell>
          <cell r="H5715">
            <v>1</v>
          </cell>
          <cell r="I5715">
            <v>0</v>
          </cell>
          <cell r="J5715">
            <v>0</v>
          </cell>
          <cell r="K5715">
            <v>1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1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</row>
        <row r="5716">
          <cell r="D5716">
            <v>304457</v>
          </cell>
          <cell r="E5716" t="str">
            <v>Ricardo L. Ipong NHS</v>
          </cell>
          <cell r="F5716">
            <v>1</v>
          </cell>
          <cell r="G5716">
            <v>0</v>
          </cell>
          <cell r="H5716">
            <v>1</v>
          </cell>
          <cell r="I5716">
            <v>1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1</v>
          </cell>
          <cell r="O5716" t="str">
            <v>May 2019</v>
          </cell>
          <cell r="P5716" t="str">
            <v>August 2019</v>
          </cell>
          <cell r="Q5716">
            <v>1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1</v>
          </cell>
          <cell r="W5716">
            <v>36</v>
          </cell>
          <cell r="X5716">
            <v>36</v>
          </cell>
          <cell r="Y5716">
            <v>36</v>
          </cell>
        </row>
        <row r="5717">
          <cell r="D5717">
            <v>304468</v>
          </cell>
          <cell r="E5717" t="str">
            <v>Malapag NHS</v>
          </cell>
          <cell r="F5717">
            <v>1</v>
          </cell>
          <cell r="G5717">
            <v>0</v>
          </cell>
          <cell r="H5717">
            <v>1</v>
          </cell>
          <cell r="I5717">
            <v>0</v>
          </cell>
          <cell r="J5717">
            <v>1</v>
          </cell>
          <cell r="K5717">
            <v>0</v>
          </cell>
          <cell r="L5717">
            <v>0</v>
          </cell>
          <cell r="M5717">
            <v>0</v>
          </cell>
          <cell r="N5717">
            <v>1</v>
          </cell>
          <cell r="O5717" t="str">
            <v>JULY, 2019</v>
          </cell>
          <cell r="P5717" t="str">
            <v>JULY, 2019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1</v>
          </cell>
          <cell r="W5717">
            <v>1</v>
          </cell>
          <cell r="X5717">
            <v>0</v>
          </cell>
          <cell r="Y5717">
            <v>0</v>
          </cell>
        </row>
        <row r="5718">
          <cell r="D5718">
            <v>304465</v>
          </cell>
          <cell r="E5718" t="str">
            <v>Temporan National High School</v>
          </cell>
          <cell r="F5718">
            <v>1</v>
          </cell>
          <cell r="G5718">
            <v>1</v>
          </cell>
          <cell r="H5718">
            <v>1</v>
          </cell>
          <cell r="I5718">
            <v>0</v>
          </cell>
          <cell r="J5718">
            <v>1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43504</v>
          </cell>
          <cell r="P5718">
            <v>43671</v>
          </cell>
          <cell r="Q5718">
            <v>0</v>
          </cell>
          <cell r="R5718">
            <v>1</v>
          </cell>
          <cell r="S5718">
            <v>0</v>
          </cell>
          <cell r="T5718">
            <v>0</v>
          </cell>
          <cell r="U5718">
            <v>0</v>
          </cell>
          <cell r="V5718">
            <v>1</v>
          </cell>
          <cell r="W5718">
            <v>0</v>
          </cell>
          <cell r="X5718">
            <v>0</v>
          </cell>
          <cell r="Y5718">
            <v>0</v>
          </cell>
        </row>
        <row r="5719">
          <cell r="D5719">
            <v>304487</v>
          </cell>
          <cell r="E5719" t="str">
            <v>Nicaan High School</v>
          </cell>
          <cell r="F5719">
            <v>1</v>
          </cell>
          <cell r="G5719">
            <v>1</v>
          </cell>
          <cell r="H5719">
            <v>1</v>
          </cell>
          <cell r="I5719">
            <v>1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1</v>
          </cell>
          <cell r="O5719">
            <v>0</v>
          </cell>
          <cell r="P5719" t="str">
            <v>August 1, 2019</v>
          </cell>
          <cell r="Q5719">
            <v>0</v>
          </cell>
          <cell r="R5719">
            <v>1</v>
          </cell>
          <cell r="S5719">
            <v>0</v>
          </cell>
          <cell r="T5719">
            <v>0</v>
          </cell>
          <cell r="U5719">
            <v>0</v>
          </cell>
          <cell r="V5719">
            <v>1</v>
          </cell>
          <cell r="W5719">
            <v>1</v>
          </cell>
          <cell r="X5719">
            <v>1</v>
          </cell>
          <cell r="Y5719">
            <v>1</v>
          </cell>
        </row>
        <row r="5720">
          <cell r="D5720">
            <v>304417</v>
          </cell>
          <cell r="E5720" t="str">
            <v>Arizona HS</v>
          </cell>
          <cell r="F5720">
            <v>1</v>
          </cell>
          <cell r="G5720">
            <v>1</v>
          </cell>
          <cell r="H5720">
            <v>1</v>
          </cell>
          <cell r="I5720">
            <v>0</v>
          </cell>
          <cell r="J5720">
            <v>0</v>
          </cell>
          <cell r="K5720">
            <v>1</v>
          </cell>
          <cell r="L5720">
            <v>0</v>
          </cell>
          <cell r="M5720">
            <v>0</v>
          </cell>
          <cell r="N5720">
            <v>1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1</v>
          </cell>
          <cell r="T5720">
            <v>0</v>
          </cell>
          <cell r="U5720">
            <v>0</v>
          </cell>
          <cell r="V5720">
            <v>0</v>
          </cell>
          <cell r="W5720">
            <v>1</v>
          </cell>
          <cell r="X5720">
            <v>0</v>
          </cell>
          <cell r="Y5720">
            <v>0</v>
          </cell>
        </row>
        <row r="5721">
          <cell r="D5721">
            <v>304501</v>
          </cell>
          <cell r="E5721" t="str">
            <v>Salunayan HS</v>
          </cell>
          <cell r="F5721">
            <v>1</v>
          </cell>
          <cell r="G5721">
            <v>1</v>
          </cell>
          <cell r="H5721">
            <v>1</v>
          </cell>
          <cell r="I5721">
            <v>1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1</v>
          </cell>
          <cell r="O5721">
            <v>0</v>
          </cell>
          <cell r="P5721">
            <v>43705</v>
          </cell>
          <cell r="Q5721">
            <v>1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1</v>
          </cell>
          <cell r="W5721">
            <v>0</v>
          </cell>
          <cell r="X5721">
            <v>0</v>
          </cell>
          <cell r="Y5721">
            <v>0</v>
          </cell>
        </row>
        <row r="5722">
          <cell r="D5722">
            <v>304466</v>
          </cell>
          <cell r="E5722" t="str">
            <v>Makilala National High School</v>
          </cell>
          <cell r="F5722">
            <v>1</v>
          </cell>
          <cell r="G5722">
            <v>0</v>
          </cell>
          <cell r="H5722">
            <v>1</v>
          </cell>
          <cell r="I5722">
            <v>0</v>
          </cell>
          <cell r="J5722">
            <v>0</v>
          </cell>
          <cell r="K5722">
            <v>1</v>
          </cell>
          <cell r="L5722">
            <v>0</v>
          </cell>
          <cell r="M5722">
            <v>0</v>
          </cell>
          <cell r="N5722">
            <v>0</v>
          </cell>
          <cell r="O5722" t="str">
            <v>n/a</v>
          </cell>
          <cell r="P5722" t="str">
            <v>n/a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</row>
        <row r="5723">
          <cell r="D5723">
            <v>304503</v>
          </cell>
          <cell r="E5723" t="str">
            <v>Sarayan HS</v>
          </cell>
          <cell r="F5723">
            <v>0</v>
          </cell>
          <cell r="G5723">
            <v>0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0</v>
          </cell>
          <cell r="M5723" t="str">
            <v>N/A</v>
          </cell>
          <cell r="N5723">
            <v>0</v>
          </cell>
          <cell r="O5723">
            <v>0</v>
          </cell>
          <cell r="P5723" t="str">
            <v>N/A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 t="str">
            <v>N/A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</row>
        <row r="5724">
          <cell r="D5724">
            <v>316552</v>
          </cell>
          <cell r="E5724" t="str">
            <v>Kitubod HS</v>
          </cell>
          <cell r="F5724">
            <v>1</v>
          </cell>
          <cell r="G5724">
            <v>1</v>
          </cell>
          <cell r="H5724">
            <v>1</v>
          </cell>
          <cell r="I5724">
            <v>0</v>
          </cell>
          <cell r="J5724">
            <v>1</v>
          </cell>
          <cell r="K5724">
            <v>0</v>
          </cell>
          <cell r="L5724">
            <v>0</v>
          </cell>
          <cell r="M5724">
            <v>0</v>
          </cell>
          <cell r="N5724">
            <v>1</v>
          </cell>
          <cell r="O5724" t="str">
            <v>AUGUST 15, 2019</v>
          </cell>
          <cell r="P5724" t="str">
            <v>JUNE 28, 2019</v>
          </cell>
          <cell r="Q5724">
            <v>0</v>
          </cell>
          <cell r="R5724">
            <v>1</v>
          </cell>
          <cell r="S5724">
            <v>0</v>
          </cell>
          <cell r="T5724">
            <v>0</v>
          </cell>
          <cell r="U5724">
            <v>0</v>
          </cell>
          <cell r="V5724">
            <v>1</v>
          </cell>
          <cell r="W5724">
            <v>2</v>
          </cell>
          <cell r="X5724">
            <v>2</v>
          </cell>
          <cell r="Y5724">
            <v>2</v>
          </cell>
        </row>
        <row r="5725">
          <cell r="D5725">
            <v>304474</v>
          </cell>
          <cell r="E5725" t="str">
            <v>Manuangan HS</v>
          </cell>
          <cell r="F5725">
            <v>1</v>
          </cell>
          <cell r="G5725">
            <v>1</v>
          </cell>
          <cell r="H5725">
            <v>1</v>
          </cell>
          <cell r="I5725">
            <v>0</v>
          </cell>
          <cell r="J5725">
            <v>1</v>
          </cell>
          <cell r="K5725">
            <v>0</v>
          </cell>
          <cell r="L5725">
            <v>0</v>
          </cell>
          <cell r="M5725">
            <v>0</v>
          </cell>
          <cell r="N5725">
            <v>1</v>
          </cell>
          <cell r="O5725">
            <v>43712</v>
          </cell>
          <cell r="P5725">
            <v>0</v>
          </cell>
          <cell r="Q5725">
            <v>0</v>
          </cell>
          <cell r="R5725">
            <v>1</v>
          </cell>
          <cell r="S5725">
            <v>0</v>
          </cell>
          <cell r="T5725">
            <v>0</v>
          </cell>
          <cell r="U5725">
            <v>0</v>
          </cell>
          <cell r="V5725">
            <v>1</v>
          </cell>
          <cell r="W5725">
            <v>0</v>
          </cell>
          <cell r="X5725">
            <v>0</v>
          </cell>
          <cell r="Y5725">
            <v>0</v>
          </cell>
        </row>
        <row r="5726">
          <cell r="D5726">
            <v>304429</v>
          </cell>
          <cell r="E5726" t="str">
            <v>Ranzo National High School</v>
          </cell>
          <cell r="F5726">
            <v>1</v>
          </cell>
          <cell r="G5726">
            <v>1</v>
          </cell>
          <cell r="H5726">
            <v>1</v>
          </cell>
          <cell r="I5726">
            <v>0</v>
          </cell>
          <cell r="J5726">
            <v>1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1</v>
          </cell>
          <cell r="S5726">
            <v>0</v>
          </cell>
          <cell r="T5726">
            <v>0</v>
          </cell>
          <cell r="U5726">
            <v>0</v>
          </cell>
          <cell r="V5726">
            <v>1</v>
          </cell>
          <cell r="W5726">
            <v>0</v>
          </cell>
          <cell r="X5726">
            <v>0</v>
          </cell>
          <cell r="Y5726">
            <v>0</v>
          </cell>
        </row>
        <row r="5727">
          <cell r="D5727">
            <v>304499</v>
          </cell>
          <cell r="E5727" t="str">
            <v>Presbitero HS</v>
          </cell>
          <cell r="F5727">
            <v>1</v>
          </cell>
          <cell r="G5727">
            <v>1</v>
          </cell>
          <cell r="H5727">
            <v>1</v>
          </cell>
          <cell r="I5727">
            <v>0</v>
          </cell>
          <cell r="J5727">
            <v>0</v>
          </cell>
          <cell r="K5727">
            <v>1</v>
          </cell>
          <cell r="L5727">
            <v>0</v>
          </cell>
          <cell r="M5727">
            <v>0</v>
          </cell>
          <cell r="N5727">
            <v>1</v>
          </cell>
          <cell r="O5727">
            <v>0</v>
          </cell>
          <cell r="P5727">
            <v>43626</v>
          </cell>
          <cell r="Q5727">
            <v>0</v>
          </cell>
          <cell r="R5727">
            <v>0</v>
          </cell>
          <cell r="S5727">
            <v>1</v>
          </cell>
          <cell r="T5727">
            <v>0</v>
          </cell>
          <cell r="U5727">
            <v>0</v>
          </cell>
          <cell r="V5727">
            <v>0</v>
          </cell>
          <cell r="W5727">
            <v>3</v>
          </cell>
          <cell r="X5727">
            <v>2</v>
          </cell>
          <cell r="Y5727">
            <v>1</v>
          </cell>
        </row>
        <row r="5728">
          <cell r="D5728">
            <v>304467</v>
          </cell>
          <cell r="E5728" t="str">
            <v>Jose Rizal NHS</v>
          </cell>
          <cell r="F5728">
            <v>0</v>
          </cell>
          <cell r="G5728">
            <v>0</v>
          </cell>
          <cell r="H5728">
            <v>1</v>
          </cell>
          <cell r="I5728">
            <v>0</v>
          </cell>
          <cell r="J5728">
            <v>1</v>
          </cell>
          <cell r="K5728">
            <v>0</v>
          </cell>
          <cell r="L5728">
            <v>0</v>
          </cell>
          <cell r="M5728">
            <v>0</v>
          </cell>
          <cell r="N5728">
            <v>1</v>
          </cell>
          <cell r="O5728">
            <v>43678</v>
          </cell>
          <cell r="P5728">
            <v>43656</v>
          </cell>
          <cell r="Q5728">
            <v>1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1</v>
          </cell>
          <cell r="W5728">
            <v>0</v>
          </cell>
          <cell r="X5728">
            <v>0</v>
          </cell>
          <cell r="Y5728">
            <v>0</v>
          </cell>
        </row>
        <row r="5729">
          <cell r="D5729">
            <v>304453</v>
          </cell>
          <cell r="E5729" t="str">
            <v>Kibudtungan NHS</v>
          </cell>
          <cell r="F5729">
            <v>1</v>
          </cell>
          <cell r="G5729">
            <v>1</v>
          </cell>
          <cell r="H5729">
            <v>1</v>
          </cell>
          <cell r="I5729">
            <v>1</v>
          </cell>
          <cell r="J5729">
            <v>0</v>
          </cell>
          <cell r="K5729">
            <v>0</v>
          </cell>
          <cell r="L5729">
            <v>0</v>
          </cell>
          <cell r="M5729">
            <v>0</v>
          </cell>
          <cell r="N5729">
            <v>1</v>
          </cell>
          <cell r="O5729">
            <v>43714</v>
          </cell>
          <cell r="P5729">
            <v>43712</v>
          </cell>
          <cell r="Q5729">
            <v>1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1</v>
          </cell>
          <cell r="W5729">
            <v>5</v>
          </cell>
          <cell r="X5729">
            <v>5</v>
          </cell>
          <cell r="Y5729">
            <v>5</v>
          </cell>
        </row>
        <row r="5730">
          <cell r="D5730">
            <v>316507</v>
          </cell>
          <cell r="E5730" t="str">
            <v>Agustin M. Valdevieso, Sr. High School</v>
          </cell>
          <cell r="F5730">
            <v>1</v>
          </cell>
          <cell r="G5730">
            <v>1</v>
          </cell>
          <cell r="H5730">
            <v>1</v>
          </cell>
          <cell r="I5730">
            <v>0</v>
          </cell>
          <cell r="J5730">
            <v>0</v>
          </cell>
          <cell r="K5730">
            <v>1</v>
          </cell>
          <cell r="L5730">
            <v>0</v>
          </cell>
          <cell r="M5730">
            <v>0</v>
          </cell>
          <cell r="N5730">
            <v>0</v>
          </cell>
          <cell r="O5730">
            <v>43626</v>
          </cell>
          <cell r="P5730">
            <v>43626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1</v>
          </cell>
          <cell r="W5730">
            <v>0</v>
          </cell>
          <cell r="X5730">
            <v>0</v>
          </cell>
          <cell r="Y5730">
            <v>0</v>
          </cell>
        </row>
        <row r="5731">
          <cell r="D5731">
            <v>304479</v>
          </cell>
          <cell r="E5731" t="str">
            <v>Matilac HS</v>
          </cell>
          <cell r="F5731">
            <v>1</v>
          </cell>
          <cell r="G5731">
            <v>1</v>
          </cell>
          <cell r="H5731">
            <v>1</v>
          </cell>
          <cell r="I5731">
            <v>1</v>
          </cell>
          <cell r="J5731">
            <v>0</v>
          </cell>
          <cell r="K5731">
            <v>0</v>
          </cell>
          <cell r="L5731">
            <v>0</v>
          </cell>
          <cell r="M5731">
            <v>0</v>
          </cell>
          <cell r="N5731">
            <v>1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1</v>
          </cell>
          <cell r="T5731">
            <v>0</v>
          </cell>
          <cell r="U5731">
            <v>0</v>
          </cell>
          <cell r="V5731">
            <v>1</v>
          </cell>
          <cell r="W5731">
            <v>2</v>
          </cell>
          <cell r="X5731">
            <v>1</v>
          </cell>
          <cell r="Y5731">
            <v>20</v>
          </cell>
        </row>
        <row r="5732">
          <cell r="D5732">
            <v>316519</v>
          </cell>
          <cell r="E5732" t="str">
            <v>Dr. Onofre H. Campo High School</v>
          </cell>
          <cell r="F5732">
            <v>1</v>
          </cell>
          <cell r="G5732">
            <v>0</v>
          </cell>
          <cell r="H5732">
            <v>0</v>
          </cell>
          <cell r="I5732">
            <v>1</v>
          </cell>
          <cell r="J5732">
            <v>0</v>
          </cell>
          <cell r="K5732">
            <v>0</v>
          </cell>
          <cell r="L5732">
            <v>0</v>
          </cell>
          <cell r="M5732">
            <v>0</v>
          </cell>
          <cell r="N5732">
            <v>1</v>
          </cell>
          <cell r="O5732">
            <v>43660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1</v>
          </cell>
          <cell r="U5732" t="str">
            <v xml:space="preserve">NO MONITORING 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</row>
        <row r="5733">
          <cell r="D5733">
            <v>304456</v>
          </cell>
          <cell r="E5733" t="str">
            <v>Kisante National High School</v>
          </cell>
          <cell r="F5733">
            <v>0</v>
          </cell>
          <cell r="G5733">
            <v>0</v>
          </cell>
          <cell r="H5733">
            <v>1</v>
          </cell>
          <cell r="I5733">
            <v>0</v>
          </cell>
          <cell r="J5733">
            <v>0</v>
          </cell>
          <cell r="K5733">
            <v>1</v>
          </cell>
          <cell r="L5733">
            <v>0</v>
          </cell>
          <cell r="M5733">
            <v>0</v>
          </cell>
          <cell r="N5733">
            <v>0</v>
          </cell>
          <cell r="O5733" t="str">
            <v>06/21/2019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1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</row>
        <row r="5734">
          <cell r="D5734">
            <v>304424</v>
          </cell>
          <cell r="E5734" t="str">
            <v>Malabuan HS</v>
          </cell>
          <cell r="F5734">
            <v>1</v>
          </cell>
          <cell r="G5734">
            <v>0</v>
          </cell>
          <cell r="H5734">
            <v>1</v>
          </cell>
          <cell r="I5734">
            <v>0</v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1</v>
          </cell>
          <cell r="U5734" t="str">
            <v>CPC MISSED TO MONITOR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</row>
        <row r="5735">
          <cell r="D5735">
            <v>304484</v>
          </cell>
          <cell r="E5735" t="str">
            <v>NEW ISRAEL HIGH SCHOOL</v>
          </cell>
          <cell r="F5735">
            <v>1</v>
          </cell>
          <cell r="G5735">
            <v>0</v>
          </cell>
          <cell r="H5735">
            <v>1</v>
          </cell>
          <cell r="I5735">
            <v>0</v>
          </cell>
          <cell r="J5735">
            <v>0</v>
          </cell>
          <cell r="K5735">
            <v>1</v>
          </cell>
          <cell r="L5735">
            <v>0</v>
          </cell>
          <cell r="M5735">
            <v>0</v>
          </cell>
          <cell r="N5735">
            <v>1</v>
          </cell>
          <cell r="O5735">
            <v>43721</v>
          </cell>
          <cell r="P5735">
            <v>43738</v>
          </cell>
          <cell r="Q5735">
            <v>0</v>
          </cell>
          <cell r="R5735">
            <v>1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</row>
        <row r="5736">
          <cell r="D5736">
            <v>304492</v>
          </cell>
          <cell r="E5736" t="str">
            <v>Pigcawaran NHS</v>
          </cell>
          <cell r="F5736">
            <v>1</v>
          </cell>
          <cell r="G5736">
            <v>1</v>
          </cell>
          <cell r="H5736">
            <v>1</v>
          </cell>
          <cell r="I5736">
            <v>0</v>
          </cell>
          <cell r="J5736">
            <v>0</v>
          </cell>
          <cell r="K5736">
            <v>0</v>
          </cell>
          <cell r="L5736">
            <v>1</v>
          </cell>
          <cell r="M5736" t="str">
            <v>as needed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1</v>
          </cell>
          <cell r="U5736">
            <v>0</v>
          </cell>
          <cell r="V5736">
            <v>1</v>
          </cell>
          <cell r="W5736">
            <v>0</v>
          </cell>
          <cell r="X5736">
            <v>0</v>
          </cell>
          <cell r="Y5736">
            <v>0</v>
          </cell>
        </row>
        <row r="5737">
          <cell r="D5737">
            <v>304434</v>
          </cell>
          <cell r="E5737" t="str">
            <v>Don Antonio Jayme Mem. HS</v>
          </cell>
          <cell r="F5737">
            <v>1</v>
          </cell>
          <cell r="G5737">
            <v>1</v>
          </cell>
          <cell r="H5737">
            <v>1</v>
          </cell>
          <cell r="I5737">
            <v>0</v>
          </cell>
          <cell r="J5737">
            <v>0</v>
          </cell>
          <cell r="K5737">
            <v>1</v>
          </cell>
          <cell r="L5737">
            <v>0</v>
          </cell>
          <cell r="M5737">
            <v>0</v>
          </cell>
          <cell r="N5737">
            <v>1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1</v>
          </cell>
          <cell r="T5737">
            <v>0</v>
          </cell>
          <cell r="U5737">
            <v>0</v>
          </cell>
          <cell r="V5737">
            <v>1</v>
          </cell>
          <cell r="W5737">
            <v>0</v>
          </cell>
          <cell r="X5737">
            <v>0</v>
          </cell>
          <cell r="Y5737">
            <v>0</v>
          </cell>
        </row>
        <row r="5738">
          <cell r="D5738">
            <v>304495</v>
          </cell>
          <cell r="E5738" t="str">
            <v>Rajah Muda National High School</v>
          </cell>
          <cell r="F5738">
            <v>1</v>
          </cell>
          <cell r="G5738">
            <v>0</v>
          </cell>
          <cell r="H5738">
            <v>1</v>
          </cell>
          <cell r="I5738">
            <v>0</v>
          </cell>
          <cell r="J5738">
            <v>1</v>
          </cell>
          <cell r="K5738">
            <v>0</v>
          </cell>
          <cell r="L5738">
            <v>0</v>
          </cell>
          <cell r="M5738">
            <v>0</v>
          </cell>
          <cell r="N5738">
            <v>1</v>
          </cell>
          <cell r="O5738">
            <v>43716</v>
          </cell>
          <cell r="P5738" t="str">
            <v>8/13/2019</v>
          </cell>
          <cell r="Q5738">
            <v>0</v>
          </cell>
          <cell r="R5738">
            <v>1</v>
          </cell>
          <cell r="S5738">
            <v>0</v>
          </cell>
          <cell r="T5738">
            <v>0</v>
          </cell>
          <cell r="U5738">
            <v>0</v>
          </cell>
          <cell r="V5738">
            <v>1</v>
          </cell>
          <cell r="W5738">
            <v>0</v>
          </cell>
          <cell r="X5738">
            <v>0</v>
          </cell>
          <cell r="Y5738">
            <v>0</v>
          </cell>
        </row>
        <row r="5739">
          <cell r="D5739">
            <v>304496</v>
          </cell>
          <cell r="E5739" t="str">
            <v>Pres. Roxas National High School</v>
          </cell>
          <cell r="F5739">
            <v>1</v>
          </cell>
          <cell r="G5739">
            <v>1</v>
          </cell>
          <cell r="H5739">
            <v>0</v>
          </cell>
          <cell r="I5739">
            <v>0</v>
          </cell>
          <cell r="J5739">
            <v>1</v>
          </cell>
          <cell r="K5739">
            <v>0</v>
          </cell>
          <cell r="L5739">
            <v>0</v>
          </cell>
          <cell r="M5739">
            <v>0</v>
          </cell>
          <cell r="N5739">
            <v>1</v>
          </cell>
          <cell r="O5739" t="str">
            <v>8/26/2019</v>
          </cell>
          <cell r="P5739">
            <v>0</v>
          </cell>
          <cell r="Q5739">
            <v>1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2</v>
          </cell>
          <cell r="X5739">
            <v>0</v>
          </cell>
          <cell r="Y5739">
            <v>0</v>
          </cell>
        </row>
        <row r="5740">
          <cell r="D5740">
            <v>304494</v>
          </cell>
          <cell r="E5740" t="str">
            <v>Pikit NHS</v>
          </cell>
          <cell r="F5740">
            <v>1</v>
          </cell>
          <cell r="G5740">
            <v>1</v>
          </cell>
          <cell r="H5740">
            <v>1</v>
          </cell>
          <cell r="I5740">
            <v>0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</row>
        <row r="5741">
          <cell r="D5741">
            <v>316516</v>
          </cell>
          <cell r="E5741" t="str">
            <v>LILIONGAN NATIONAL HIGH SCHOOL</v>
          </cell>
          <cell r="F5741">
            <v>0</v>
          </cell>
          <cell r="G5741">
            <v>0</v>
          </cell>
          <cell r="H5741">
            <v>1</v>
          </cell>
          <cell r="I5741">
            <v>0</v>
          </cell>
          <cell r="J5741">
            <v>0</v>
          </cell>
          <cell r="K5741">
            <v>1</v>
          </cell>
          <cell r="L5741">
            <v>0</v>
          </cell>
          <cell r="M5741">
            <v>0</v>
          </cell>
          <cell r="N5741">
            <v>1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1</v>
          </cell>
          <cell r="T5741">
            <v>0</v>
          </cell>
          <cell r="U5741">
            <v>0</v>
          </cell>
          <cell r="V5741">
            <v>1</v>
          </cell>
          <cell r="W5741">
            <v>0</v>
          </cell>
          <cell r="X5741">
            <v>0</v>
          </cell>
          <cell r="Y5741">
            <v>0</v>
          </cell>
        </row>
        <row r="5742">
          <cell r="D5742">
            <v>316512</v>
          </cell>
          <cell r="E5742" t="str">
            <v>Pikit NHS - Gokotan Annex</v>
          </cell>
          <cell r="F5742">
            <v>0</v>
          </cell>
          <cell r="G5742">
            <v>0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</row>
        <row r="5743">
          <cell r="D5743">
            <v>304458</v>
          </cell>
          <cell r="E5743" t="str">
            <v>Kitub-Bao NHS</v>
          </cell>
          <cell r="F5743">
            <v>1</v>
          </cell>
          <cell r="G5743">
            <v>0</v>
          </cell>
          <cell r="H5743">
            <v>0</v>
          </cell>
          <cell r="I5743">
            <v>0</v>
          </cell>
          <cell r="J5743">
            <v>0</v>
          </cell>
          <cell r="K5743">
            <v>1</v>
          </cell>
          <cell r="L5743">
            <v>0</v>
          </cell>
          <cell r="M5743">
            <v>0</v>
          </cell>
          <cell r="N5743">
            <v>1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</row>
        <row r="5744">
          <cell r="D5744">
            <v>304498</v>
          </cell>
          <cell r="E5744" t="str">
            <v>Ilustre HS</v>
          </cell>
          <cell r="F5744">
            <v>1</v>
          </cell>
          <cell r="G5744">
            <v>1</v>
          </cell>
          <cell r="H5744">
            <v>1</v>
          </cell>
          <cell r="I5744">
            <v>0</v>
          </cell>
          <cell r="J5744">
            <v>0</v>
          </cell>
          <cell r="K5744">
            <v>1</v>
          </cell>
          <cell r="L5744">
            <v>1</v>
          </cell>
          <cell r="M5744">
            <v>0</v>
          </cell>
          <cell r="N5744">
            <v>1</v>
          </cell>
          <cell r="O5744">
            <v>0</v>
          </cell>
          <cell r="P5744">
            <v>2018</v>
          </cell>
          <cell r="Q5744">
            <v>0</v>
          </cell>
          <cell r="R5744">
            <v>0</v>
          </cell>
          <cell r="S5744">
            <v>1</v>
          </cell>
          <cell r="T5744">
            <v>0</v>
          </cell>
          <cell r="U5744">
            <v>0</v>
          </cell>
          <cell r="V5744">
            <v>1</v>
          </cell>
          <cell r="W5744">
            <v>1</v>
          </cell>
          <cell r="X5744">
            <v>1</v>
          </cell>
          <cell r="Y5744">
            <v>1</v>
          </cell>
        </row>
        <row r="5745">
          <cell r="D5745">
            <v>316556</v>
          </cell>
          <cell r="E5745" t="str">
            <v>Bentangan HS</v>
          </cell>
          <cell r="F5745">
            <v>1</v>
          </cell>
          <cell r="G5745">
            <v>1</v>
          </cell>
          <cell r="H5745">
            <v>1</v>
          </cell>
          <cell r="I5745">
            <v>0</v>
          </cell>
          <cell r="J5745">
            <v>1</v>
          </cell>
          <cell r="K5745">
            <v>0</v>
          </cell>
          <cell r="L5745">
            <v>0</v>
          </cell>
          <cell r="M5745">
            <v>0</v>
          </cell>
          <cell r="N5745">
            <v>1</v>
          </cell>
          <cell r="O5745">
            <v>43436</v>
          </cell>
          <cell r="P5745">
            <v>0</v>
          </cell>
          <cell r="Q5745">
            <v>1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1</v>
          </cell>
          <cell r="W5745">
            <v>1</v>
          </cell>
          <cell r="X5745">
            <v>0</v>
          </cell>
          <cell r="Y5745">
            <v>0</v>
          </cell>
        </row>
        <row r="5746">
          <cell r="D5746">
            <v>304509</v>
          </cell>
          <cell r="E5746" t="str">
            <v>Sultan Memorial HS</v>
          </cell>
          <cell r="F5746">
            <v>1</v>
          </cell>
          <cell r="G5746">
            <v>1</v>
          </cell>
          <cell r="H5746">
            <v>0</v>
          </cell>
          <cell r="I5746">
            <v>0</v>
          </cell>
          <cell r="J5746">
            <v>1</v>
          </cell>
          <cell r="K5746">
            <v>0</v>
          </cell>
          <cell r="L5746">
            <v>0</v>
          </cell>
          <cell r="M5746">
            <v>0</v>
          </cell>
          <cell r="N5746">
            <v>1</v>
          </cell>
          <cell r="O5746">
            <v>43617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1</v>
          </cell>
          <cell r="U5746" t="str">
            <v>WEEKLY</v>
          </cell>
          <cell r="V5746">
            <v>1</v>
          </cell>
          <cell r="W5746">
            <v>0</v>
          </cell>
          <cell r="X5746">
            <v>0</v>
          </cell>
          <cell r="Y5746">
            <v>0</v>
          </cell>
        </row>
        <row r="5747">
          <cell r="D5747">
            <v>501639</v>
          </cell>
          <cell r="E5747" t="str">
            <v>Bongolanon High School</v>
          </cell>
          <cell r="F5747">
            <v>0</v>
          </cell>
          <cell r="G5747">
            <v>0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</row>
        <row r="5748">
          <cell r="D5748">
            <v>500263</v>
          </cell>
          <cell r="E5748" t="str">
            <v>JBT Caing Sr. Memorial  Integrated School</v>
          </cell>
          <cell r="F5748">
            <v>0</v>
          </cell>
          <cell r="G5748">
            <v>0</v>
          </cell>
          <cell r="H5748">
            <v>1</v>
          </cell>
          <cell r="I5748">
            <v>0</v>
          </cell>
          <cell r="J5748">
            <v>1</v>
          </cell>
          <cell r="K5748">
            <v>0</v>
          </cell>
          <cell r="L5748">
            <v>0</v>
          </cell>
          <cell r="M5748">
            <v>0</v>
          </cell>
          <cell r="N5748">
            <v>1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</row>
        <row r="5749">
          <cell r="D5749">
            <v>500280</v>
          </cell>
          <cell r="E5749" t="str">
            <v>Cablalan IS</v>
          </cell>
          <cell r="F5749">
            <v>0</v>
          </cell>
          <cell r="G5749">
            <v>0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1</v>
          </cell>
          <cell r="M5749" t="str">
            <v>n/a</v>
          </cell>
          <cell r="N5749">
            <v>0</v>
          </cell>
          <cell r="O5749" t="str">
            <v>n/a</v>
          </cell>
          <cell r="P5749" t="str">
            <v>n/a</v>
          </cell>
          <cell r="Q5749">
            <v>0</v>
          </cell>
          <cell r="R5749">
            <v>0</v>
          </cell>
          <cell r="S5749">
            <v>0</v>
          </cell>
          <cell r="T5749">
            <v>1</v>
          </cell>
          <cell r="U5749" t="str">
            <v>n/a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</row>
        <row r="5750">
          <cell r="D5750">
            <v>316605</v>
          </cell>
          <cell r="E5750" t="str">
            <v>Malapatan NHS - Kinam Annex</v>
          </cell>
          <cell r="F5750">
            <v>1</v>
          </cell>
          <cell r="G5750">
            <v>1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</row>
        <row r="5751">
          <cell r="D5751">
            <v>500292</v>
          </cell>
          <cell r="E5751" t="str">
            <v>Lamlabong Integrated School</v>
          </cell>
          <cell r="F5751">
            <v>1</v>
          </cell>
          <cell r="G5751">
            <v>0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43165</v>
          </cell>
          <cell r="Q5751">
            <v>0</v>
          </cell>
          <cell r="R5751">
            <v>0</v>
          </cell>
          <cell r="S5751">
            <v>1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</row>
        <row r="5752">
          <cell r="D5752">
            <v>500260</v>
          </cell>
          <cell r="E5752" t="str">
            <v>Lumigo Integrated School</v>
          </cell>
          <cell r="F5752">
            <v>0</v>
          </cell>
          <cell r="G5752">
            <v>0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 t="str">
            <v>N/A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</row>
        <row r="5753">
          <cell r="D5753">
            <v>500269</v>
          </cell>
          <cell r="E5753" t="str">
            <v>Upper Lumabat IS</v>
          </cell>
          <cell r="F5753">
            <v>0</v>
          </cell>
          <cell r="G5753">
            <v>0</v>
          </cell>
          <cell r="H5753">
            <v>1</v>
          </cell>
          <cell r="I5753">
            <v>0</v>
          </cell>
          <cell r="J5753">
            <v>1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 t="str">
            <v>n/a</v>
          </cell>
          <cell r="P5753" t="str">
            <v>n/a</v>
          </cell>
          <cell r="Q5753">
            <v>0</v>
          </cell>
          <cell r="R5753">
            <v>0</v>
          </cell>
          <cell r="S5753">
            <v>0</v>
          </cell>
          <cell r="T5753">
            <v>1</v>
          </cell>
          <cell r="U5753" t="str">
            <v>n/a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</row>
        <row r="5754">
          <cell r="D5754">
            <v>304525</v>
          </cell>
          <cell r="E5754" t="str">
            <v>Glan-Padidu NHS</v>
          </cell>
          <cell r="F5754">
            <v>1</v>
          </cell>
          <cell r="G5754">
            <v>0</v>
          </cell>
          <cell r="H5754">
            <v>1</v>
          </cell>
          <cell r="I5754">
            <v>0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1</v>
          </cell>
          <cell r="O5754">
            <v>0</v>
          </cell>
          <cell r="P5754">
            <v>0</v>
          </cell>
          <cell r="Q5754">
            <v>1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1</v>
          </cell>
          <cell r="W5754">
            <v>0</v>
          </cell>
          <cell r="X5754">
            <v>0</v>
          </cell>
          <cell r="Y5754">
            <v>0</v>
          </cell>
        </row>
        <row r="5755">
          <cell r="D5755">
            <v>500708</v>
          </cell>
          <cell r="E5755" t="str">
            <v>Blat Integrated School</v>
          </cell>
          <cell r="F5755">
            <v>1</v>
          </cell>
          <cell r="G5755">
            <v>1</v>
          </cell>
          <cell r="H5755">
            <v>1</v>
          </cell>
          <cell r="I5755">
            <v>1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1</v>
          </cell>
          <cell r="O5755" t="str">
            <v>09/20/2019</v>
          </cell>
          <cell r="P5755">
            <v>0</v>
          </cell>
          <cell r="Q5755">
            <v>1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1</v>
          </cell>
          <cell r="W5755">
            <v>0</v>
          </cell>
          <cell r="X5755">
            <v>0</v>
          </cell>
          <cell r="Y5755">
            <v>0</v>
          </cell>
        </row>
        <row r="5756">
          <cell r="D5756">
            <v>500265</v>
          </cell>
          <cell r="E5756" t="str">
            <v>Datu Molod IS</v>
          </cell>
          <cell r="F5756">
            <v>1</v>
          </cell>
          <cell r="G5756">
            <v>1</v>
          </cell>
          <cell r="H5756">
            <v>1</v>
          </cell>
          <cell r="I5756">
            <v>0</v>
          </cell>
          <cell r="J5756">
            <v>1</v>
          </cell>
          <cell r="K5756">
            <v>0</v>
          </cell>
          <cell r="L5756">
            <v>0</v>
          </cell>
          <cell r="M5756">
            <v>0</v>
          </cell>
          <cell r="N5756">
            <v>1</v>
          </cell>
          <cell r="O5756">
            <v>43739</v>
          </cell>
          <cell r="P5756">
            <v>43739</v>
          </cell>
          <cell r="Q5756">
            <v>0</v>
          </cell>
          <cell r="R5756">
            <v>1</v>
          </cell>
          <cell r="S5756">
            <v>0</v>
          </cell>
          <cell r="T5756">
            <v>0</v>
          </cell>
          <cell r="U5756">
            <v>0</v>
          </cell>
          <cell r="V5756">
            <v>1</v>
          </cell>
          <cell r="W5756">
            <v>1</v>
          </cell>
          <cell r="X5756">
            <v>0</v>
          </cell>
          <cell r="Y5756">
            <v>0</v>
          </cell>
        </row>
        <row r="5757">
          <cell r="D5757">
            <v>316639</v>
          </cell>
          <cell r="E5757" t="str">
            <v>Malalag NHS - Upo Annex</v>
          </cell>
          <cell r="F5757">
            <v>1</v>
          </cell>
          <cell r="G5757">
            <v>0</v>
          </cell>
          <cell r="H5757">
            <v>1</v>
          </cell>
          <cell r="I5757">
            <v>0</v>
          </cell>
          <cell r="J5757">
            <v>1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</row>
        <row r="5758">
          <cell r="D5758">
            <v>316604</v>
          </cell>
          <cell r="E5758" t="str">
            <v>Amado M. Quirit Sr National High School</v>
          </cell>
          <cell r="F5758">
            <v>0</v>
          </cell>
          <cell r="G5758">
            <v>0</v>
          </cell>
          <cell r="H5758">
            <v>1</v>
          </cell>
          <cell r="I5758">
            <v>0</v>
          </cell>
          <cell r="J5758">
            <v>0</v>
          </cell>
          <cell r="K5758">
            <v>1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</row>
        <row r="5759">
          <cell r="D5759">
            <v>500258</v>
          </cell>
          <cell r="E5759" t="str">
            <v>E. Alegado Integrated School</v>
          </cell>
          <cell r="F5759">
            <v>0</v>
          </cell>
          <cell r="G5759">
            <v>0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</row>
        <row r="5760">
          <cell r="D5760">
            <v>500282</v>
          </cell>
          <cell r="E5760" t="str">
            <v>Alabel Central Integrated SPED Center</v>
          </cell>
          <cell r="F5760">
            <v>0</v>
          </cell>
          <cell r="G5760">
            <v>0</v>
          </cell>
          <cell r="H5760">
            <v>1</v>
          </cell>
          <cell r="I5760">
            <v>0</v>
          </cell>
          <cell r="J5760">
            <v>1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</row>
        <row r="5761">
          <cell r="D5761">
            <v>304520</v>
          </cell>
          <cell r="E5761" t="str">
            <v>Tokawal NHS</v>
          </cell>
          <cell r="F5761">
            <v>1</v>
          </cell>
          <cell r="G5761">
            <v>0</v>
          </cell>
          <cell r="H5761">
            <v>1</v>
          </cell>
          <cell r="I5761">
            <v>0</v>
          </cell>
          <cell r="J5761">
            <v>1</v>
          </cell>
          <cell r="K5761">
            <v>0</v>
          </cell>
          <cell r="L5761">
            <v>0</v>
          </cell>
          <cell r="M5761">
            <v>0</v>
          </cell>
          <cell r="N5761">
            <v>1</v>
          </cell>
          <cell r="O5761">
            <v>0</v>
          </cell>
          <cell r="P5761">
            <v>43658</v>
          </cell>
          <cell r="Q5761">
            <v>1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1</v>
          </cell>
          <cell r="W5761">
            <v>0</v>
          </cell>
          <cell r="X5761">
            <v>0</v>
          </cell>
          <cell r="Y5761">
            <v>0</v>
          </cell>
        </row>
        <row r="5762">
          <cell r="D5762">
            <v>304528</v>
          </cell>
          <cell r="E5762" t="str">
            <v>Salakit National High School</v>
          </cell>
          <cell r="F5762">
            <v>0</v>
          </cell>
          <cell r="G5762">
            <v>0</v>
          </cell>
          <cell r="H5762">
            <v>1</v>
          </cell>
          <cell r="I5762">
            <v>0</v>
          </cell>
          <cell r="J5762">
            <v>0</v>
          </cell>
          <cell r="K5762">
            <v>0</v>
          </cell>
          <cell r="L5762">
            <v>1</v>
          </cell>
          <cell r="M5762" t="str">
            <v>as needed</v>
          </cell>
          <cell r="N5762">
            <v>0</v>
          </cell>
          <cell r="O5762">
            <v>0</v>
          </cell>
          <cell r="P5762" t="str">
            <v>n/a</v>
          </cell>
          <cell r="Q5762">
            <v>0</v>
          </cell>
          <cell r="R5762">
            <v>0</v>
          </cell>
          <cell r="S5762">
            <v>0</v>
          </cell>
          <cell r="T5762">
            <v>1</v>
          </cell>
          <cell r="U5762" t="str">
            <v>n/a</v>
          </cell>
          <cell r="V5762">
            <v>0</v>
          </cell>
          <cell r="W5762">
            <v>8</v>
          </cell>
          <cell r="X5762">
            <v>4</v>
          </cell>
          <cell r="Y5762">
            <v>4</v>
          </cell>
        </row>
        <row r="5763">
          <cell r="D5763">
            <v>304522</v>
          </cell>
          <cell r="E5763" t="str">
            <v>Banate National High School</v>
          </cell>
          <cell r="F5763">
            <v>1</v>
          </cell>
          <cell r="G5763">
            <v>1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</row>
        <row r="5764">
          <cell r="D5764">
            <v>500275</v>
          </cell>
          <cell r="E5764" t="str">
            <v>Consolacion IS</v>
          </cell>
          <cell r="F5764">
            <v>0</v>
          </cell>
          <cell r="G5764">
            <v>0</v>
          </cell>
          <cell r="H5764">
            <v>1</v>
          </cell>
          <cell r="I5764">
            <v>0</v>
          </cell>
          <cell r="J5764">
            <v>1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</row>
        <row r="5765">
          <cell r="D5765">
            <v>304524</v>
          </cell>
          <cell r="E5765" t="str">
            <v>Glan School of Arts and Trades</v>
          </cell>
          <cell r="F5765">
            <v>1</v>
          </cell>
          <cell r="G5765">
            <v>1</v>
          </cell>
          <cell r="H5765">
            <v>1</v>
          </cell>
          <cell r="I5765">
            <v>0</v>
          </cell>
          <cell r="J5765">
            <v>0</v>
          </cell>
          <cell r="K5765">
            <v>0</v>
          </cell>
          <cell r="L5765">
            <v>1</v>
          </cell>
          <cell r="M5765" t="str">
            <v>as required</v>
          </cell>
          <cell r="N5765">
            <v>1</v>
          </cell>
          <cell r="O5765">
            <v>43719</v>
          </cell>
          <cell r="P5765">
            <v>0</v>
          </cell>
          <cell r="Q5765">
            <v>0</v>
          </cell>
          <cell r="R5765">
            <v>0</v>
          </cell>
          <cell r="S5765">
            <v>1</v>
          </cell>
          <cell r="T5765">
            <v>0</v>
          </cell>
          <cell r="U5765">
            <v>0</v>
          </cell>
          <cell r="V5765">
            <v>1</v>
          </cell>
          <cell r="W5765">
            <v>17</v>
          </cell>
          <cell r="X5765">
            <v>17</v>
          </cell>
          <cell r="Y5765">
            <v>17</v>
          </cell>
        </row>
        <row r="5766">
          <cell r="D5766">
            <v>500706</v>
          </cell>
          <cell r="E5766" t="str">
            <v>Miasong Integrated School</v>
          </cell>
          <cell r="F5766">
            <v>0</v>
          </cell>
          <cell r="G5766">
            <v>0</v>
          </cell>
          <cell r="H5766">
            <v>0</v>
          </cell>
          <cell r="I5766">
            <v>0</v>
          </cell>
          <cell r="J5766">
            <v>1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1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</row>
        <row r="5767">
          <cell r="D5767">
            <v>500274</v>
          </cell>
          <cell r="E5767" t="str">
            <v>Kyumad Integrated School</v>
          </cell>
          <cell r="F5767">
            <v>0</v>
          </cell>
          <cell r="G5767">
            <v>0</v>
          </cell>
          <cell r="H5767">
            <v>1</v>
          </cell>
          <cell r="I5767">
            <v>0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1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1</v>
          </cell>
          <cell r="W5767">
            <v>0</v>
          </cell>
          <cell r="X5767">
            <v>0</v>
          </cell>
          <cell r="Y5767">
            <v>0</v>
          </cell>
        </row>
        <row r="5768">
          <cell r="D5768">
            <v>500256</v>
          </cell>
          <cell r="E5768" t="str">
            <v>Datal Anggas IS</v>
          </cell>
          <cell r="F5768">
            <v>0</v>
          </cell>
          <cell r="G5768">
            <v>0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1</v>
          </cell>
          <cell r="U5768" t="str">
            <v>NONE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</row>
        <row r="5769">
          <cell r="D5769">
            <v>500271</v>
          </cell>
          <cell r="E5769" t="str">
            <v>Datu Pangolima Integrated School</v>
          </cell>
          <cell r="F5769">
            <v>1</v>
          </cell>
          <cell r="G5769">
            <v>1</v>
          </cell>
          <cell r="H5769">
            <v>1</v>
          </cell>
          <cell r="I5769">
            <v>0</v>
          </cell>
          <cell r="J5769">
            <v>0</v>
          </cell>
          <cell r="K5769">
            <v>1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1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</row>
        <row r="5770">
          <cell r="D5770">
            <v>500300</v>
          </cell>
          <cell r="E5770" t="str">
            <v>Anecito Bartulaba Integrated School</v>
          </cell>
          <cell r="F5770">
            <v>0</v>
          </cell>
          <cell r="G5770">
            <v>0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</row>
        <row r="5771">
          <cell r="D5771">
            <v>500257</v>
          </cell>
          <cell r="E5771" t="str">
            <v>New Canaan Integrated School</v>
          </cell>
          <cell r="F5771">
            <v>1</v>
          </cell>
          <cell r="G5771">
            <v>1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</row>
        <row r="5772">
          <cell r="D5772">
            <v>500283</v>
          </cell>
          <cell r="E5772" t="str">
            <v>Hadji Musa IS</v>
          </cell>
          <cell r="F5772">
            <v>0</v>
          </cell>
          <cell r="G5772">
            <v>0</v>
          </cell>
          <cell r="H5772">
            <v>1</v>
          </cell>
          <cell r="I5772">
            <v>0</v>
          </cell>
          <cell r="J5772">
            <v>0</v>
          </cell>
          <cell r="K5772">
            <v>1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 t="str">
            <v>NONE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</row>
        <row r="5773">
          <cell r="D5773">
            <v>500286</v>
          </cell>
          <cell r="E5773" t="str">
            <v>Leopoldo D. Dacera Sr. IS</v>
          </cell>
          <cell r="F5773">
            <v>1</v>
          </cell>
          <cell r="G5773">
            <v>1</v>
          </cell>
          <cell r="H5773">
            <v>1</v>
          </cell>
          <cell r="I5773">
            <v>0</v>
          </cell>
          <cell r="J5773">
            <v>1</v>
          </cell>
          <cell r="K5773">
            <v>0</v>
          </cell>
          <cell r="L5773">
            <v>0</v>
          </cell>
          <cell r="M5773">
            <v>0</v>
          </cell>
          <cell r="N5773">
            <v>1</v>
          </cell>
          <cell r="O5773" t="str">
            <v>July 12, 2019</v>
          </cell>
          <cell r="P5773" t="str">
            <v>July 17, 2019</v>
          </cell>
          <cell r="Q5773">
            <v>0</v>
          </cell>
          <cell r="R5773">
            <v>1</v>
          </cell>
          <cell r="S5773">
            <v>0</v>
          </cell>
          <cell r="T5773">
            <v>0</v>
          </cell>
          <cell r="U5773">
            <v>0</v>
          </cell>
          <cell r="V5773">
            <v>1</v>
          </cell>
          <cell r="W5773">
            <v>0</v>
          </cell>
          <cell r="X5773">
            <v>0</v>
          </cell>
          <cell r="Y5773">
            <v>0</v>
          </cell>
        </row>
        <row r="5774">
          <cell r="D5774">
            <v>500277</v>
          </cell>
          <cell r="E5774" t="str">
            <v>Tampus Integrated School</v>
          </cell>
          <cell r="F5774">
            <v>1</v>
          </cell>
          <cell r="G5774">
            <v>1</v>
          </cell>
          <cell r="H5774">
            <v>1</v>
          </cell>
          <cell r="I5774">
            <v>0</v>
          </cell>
          <cell r="J5774">
            <v>1</v>
          </cell>
          <cell r="K5774">
            <v>0</v>
          </cell>
          <cell r="L5774">
            <v>0</v>
          </cell>
          <cell r="M5774">
            <v>0</v>
          </cell>
          <cell r="N5774">
            <v>1</v>
          </cell>
          <cell r="O5774">
            <v>43693</v>
          </cell>
          <cell r="P5774">
            <v>43693</v>
          </cell>
          <cell r="Q5774">
            <v>0</v>
          </cell>
          <cell r="R5774">
            <v>1</v>
          </cell>
          <cell r="S5774">
            <v>0</v>
          </cell>
          <cell r="T5774">
            <v>0</v>
          </cell>
          <cell r="U5774">
            <v>0</v>
          </cell>
          <cell r="V5774">
            <v>1</v>
          </cell>
          <cell r="W5774">
            <v>0</v>
          </cell>
          <cell r="X5774">
            <v>0</v>
          </cell>
          <cell r="Y5774">
            <v>0</v>
          </cell>
        </row>
        <row r="5775">
          <cell r="D5775">
            <v>304537</v>
          </cell>
          <cell r="E5775" t="str">
            <v>Malapatan NHS</v>
          </cell>
          <cell r="F5775">
            <v>1</v>
          </cell>
          <cell r="G5775">
            <v>1</v>
          </cell>
          <cell r="H5775">
            <v>1</v>
          </cell>
          <cell r="I5775">
            <v>0</v>
          </cell>
          <cell r="J5775">
            <v>1</v>
          </cell>
          <cell r="K5775">
            <v>0</v>
          </cell>
          <cell r="L5775">
            <v>0</v>
          </cell>
          <cell r="M5775">
            <v>0</v>
          </cell>
          <cell r="N5775">
            <v>1</v>
          </cell>
          <cell r="O5775" t="str">
            <v>07/21/2019</v>
          </cell>
          <cell r="P5775" t="str">
            <v>07/21/2019</v>
          </cell>
          <cell r="Q5775">
            <v>0</v>
          </cell>
          <cell r="R5775">
            <v>1</v>
          </cell>
          <cell r="S5775">
            <v>0</v>
          </cell>
          <cell r="T5775">
            <v>0</v>
          </cell>
          <cell r="U5775">
            <v>0</v>
          </cell>
          <cell r="V5775">
            <v>1</v>
          </cell>
          <cell r="W5775">
            <v>2</v>
          </cell>
          <cell r="X5775">
            <v>2</v>
          </cell>
          <cell r="Y5775">
            <v>2</v>
          </cell>
        </row>
        <row r="5776">
          <cell r="D5776">
            <v>304526</v>
          </cell>
          <cell r="E5776" t="str">
            <v>Kawas National High School</v>
          </cell>
          <cell r="F5776">
            <v>1</v>
          </cell>
          <cell r="G5776">
            <v>0</v>
          </cell>
          <cell r="H5776">
            <v>1</v>
          </cell>
          <cell r="I5776">
            <v>0</v>
          </cell>
          <cell r="J5776">
            <v>1</v>
          </cell>
          <cell r="K5776">
            <v>0</v>
          </cell>
          <cell r="L5776">
            <v>0</v>
          </cell>
          <cell r="M5776">
            <v>0</v>
          </cell>
          <cell r="N5776">
            <v>1</v>
          </cell>
          <cell r="O5776">
            <v>0</v>
          </cell>
          <cell r="P5776" t="str">
            <v>November 23, 2018</v>
          </cell>
          <cell r="Q5776">
            <v>0</v>
          </cell>
          <cell r="R5776">
            <v>0</v>
          </cell>
          <cell r="S5776">
            <v>1</v>
          </cell>
          <cell r="T5776">
            <v>0</v>
          </cell>
          <cell r="U5776">
            <v>0</v>
          </cell>
          <cell r="V5776">
            <v>1</v>
          </cell>
          <cell r="W5776">
            <v>0</v>
          </cell>
          <cell r="X5776">
            <v>0</v>
          </cell>
          <cell r="Y5776">
            <v>0</v>
          </cell>
        </row>
        <row r="5777">
          <cell r="D5777">
            <v>500268</v>
          </cell>
          <cell r="E5777" t="str">
            <v>Lutay Integrated School</v>
          </cell>
          <cell r="F5777">
            <v>0</v>
          </cell>
          <cell r="G5777">
            <v>0</v>
          </cell>
          <cell r="H5777">
            <v>1</v>
          </cell>
          <cell r="I5777">
            <v>0</v>
          </cell>
          <cell r="J5777">
            <v>0</v>
          </cell>
          <cell r="K5777">
            <v>1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1</v>
          </cell>
          <cell r="T5777">
            <v>0</v>
          </cell>
          <cell r="U5777">
            <v>0</v>
          </cell>
          <cell r="V5777">
            <v>1</v>
          </cell>
          <cell r="W5777">
            <v>0</v>
          </cell>
          <cell r="X5777">
            <v>0</v>
          </cell>
          <cell r="Y5777">
            <v>0</v>
          </cell>
        </row>
        <row r="5778">
          <cell r="D5778">
            <v>500276</v>
          </cell>
          <cell r="E5778" t="str">
            <v>Tangan Integrated School</v>
          </cell>
          <cell r="F5778">
            <v>1</v>
          </cell>
          <cell r="G5778">
            <v>1</v>
          </cell>
          <cell r="H5778">
            <v>1</v>
          </cell>
          <cell r="I5778">
            <v>0</v>
          </cell>
          <cell r="J5778">
            <v>1</v>
          </cell>
          <cell r="K5778">
            <v>0</v>
          </cell>
          <cell r="L5778">
            <v>0</v>
          </cell>
          <cell r="M5778">
            <v>0</v>
          </cell>
          <cell r="N5778">
            <v>1</v>
          </cell>
          <cell r="O5778">
            <v>43662</v>
          </cell>
          <cell r="P5778">
            <v>0</v>
          </cell>
          <cell r="Q5778">
            <v>0</v>
          </cell>
          <cell r="R5778">
            <v>1</v>
          </cell>
          <cell r="S5778">
            <v>0</v>
          </cell>
          <cell r="T5778">
            <v>0</v>
          </cell>
          <cell r="U5778">
            <v>0</v>
          </cell>
          <cell r="V5778">
            <v>1</v>
          </cell>
          <cell r="W5778">
            <v>0</v>
          </cell>
          <cell r="X5778">
            <v>0</v>
          </cell>
          <cell r="Y5778">
            <v>0</v>
          </cell>
        </row>
        <row r="5779">
          <cell r="D5779">
            <v>304534</v>
          </cell>
          <cell r="E5779" t="str">
            <v>Malalag National High School</v>
          </cell>
          <cell r="F5779">
            <v>0</v>
          </cell>
          <cell r="G5779">
            <v>0</v>
          </cell>
          <cell r="H5779">
            <v>1</v>
          </cell>
          <cell r="I5779">
            <v>0</v>
          </cell>
          <cell r="J5779">
            <v>1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43699</v>
          </cell>
          <cell r="Q5779">
            <v>0</v>
          </cell>
          <cell r="R5779">
            <v>1</v>
          </cell>
          <cell r="S5779">
            <v>0</v>
          </cell>
          <cell r="T5779">
            <v>0</v>
          </cell>
          <cell r="U5779">
            <v>0</v>
          </cell>
          <cell r="V5779">
            <v>1</v>
          </cell>
          <cell r="W5779">
            <v>0</v>
          </cell>
          <cell r="X5779">
            <v>0</v>
          </cell>
          <cell r="Y5779">
            <v>0</v>
          </cell>
        </row>
        <row r="5780">
          <cell r="D5780">
            <v>500255</v>
          </cell>
          <cell r="E5780" t="str">
            <v>Pag-asa IS</v>
          </cell>
          <cell r="F5780">
            <v>1</v>
          </cell>
          <cell r="G5780">
            <v>1</v>
          </cell>
          <cell r="H5780">
            <v>1</v>
          </cell>
          <cell r="I5780">
            <v>0</v>
          </cell>
          <cell r="J5780">
            <v>1</v>
          </cell>
          <cell r="K5780">
            <v>0</v>
          </cell>
          <cell r="L5780">
            <v>0</v>
          </cell>
          <cell r="M5780">
            <v>0</v>
          </cell>
          <cell r="N5780">
            <v>1</v>
          </cell>
          <cell r="O5780">
            <v>43605</v>
          </cell>
          <cell r="P5780" t="str">
            <v>None</v>
          </cell>
          <cell r="Q5780">
            <v>0</v>
          </cell>
          <cell r="R5780">
            <v>0</v>
          </cell>
          <cell r="S5780">
            <v>1</v>
          </cell>
          <cell r="T5780">
            <v>0</v>
          </cell>
          <cell r="U5780">
            <v>0</v>
          </cell>
          <cell r="V5780">
            <v>1</v>
          </cell>
          <cell r="W5780">
            <v>1</v>
          </cell>
          <cell r="X5780">
            <v>0</v>
          </cell>
          <cell r="Y5780">
            <v>0</v>
          </cell>
        </row>
        <row r="5781">
          <cell r="D5781">
            <v>316602</v>
          </cell>
          <cell r="E5781" t="str">
            <v>Kiblat NHS</v>
          </cell>
          <cell r="F5781">
            <v>1</v>
          </cell>
          <cell r="G5781">
            <v>1</v>
          </cell>
          <cell r="H5781">
            <v>1</v>
          </cell>
          <cell r="I5781">
            <v>0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1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2</v>
          </cell>
          <cell r="X5781">
            <v>0</v>
          </cell>
          <cell r="Y5781">
            <v>0</v>
          </cell>
        </row>
        <row r="5782">
          <cell r="D5782">
            <v>500261</v>
          </cell>
          <cell r="E5782" t="str">
            <v>Roque Adarna Integrated  School</v>
          </cell>
          <cell r="F5782">
            <v>1</v>
          </cell>
          <cell r="G5782">
            <v>1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</row>
        <row r="5783">
          <cell r="D5783">
            <v>500301</v>
          </cell>
          <cell r="E5783" t="str">
            <v>Kiahe Integrated School</v>
          </cell>
          <cell r="F5783">
            <v>1</v>
          </cell>
          <cell r="G5783">
            <v>1</v>
          </cell>
          <cell r="H5783">
            <v>1</v>
          </cell>
          <cell r="I5783">
            <v>0</v>
          </cell>
          <cell r="J5783">
            <v>1</v>
          </cell>
          <cell r="K5783">
            <v>0</v>
          </cell>
          <cell r="L5783">
            <v>0</v>
          </cell>
          <cell r="M5783">
            <v>0</v>
          </cell>
          <cell r="N5783">
            <v>1</v>
          </cell>
          <cell r="O5783">
            <v>0</v>
          </cell>
          <cell r="P5783">
            <v>0</v>
          </cell>
          <cell r="Q5783">
            <v>0</v>
          </cell>
          <cell r="R5783">
            <v>1</v>
          </cell>
          <cell r="S5783">
            <v>0</v>
          </cell>
          <cell r="T5783">
            <v>0</v>
          </cell>
          <cell r="U5783">
            <v>0</v>
          </cell>
          <cell r="V5783">
            <v>1</v>
          </cell>
          <cell r="W5783">
            <v>2</v>
          </cell>
          <cell r="X5783">
            <v>0</v>
          </cell>
          <cell r="Y5783">
            <v>0</v>
          </cell>
        </row>
        <row r="5784">
          <cell r="D5784">
            <v>500712</v>
          </cell>
          <cell r="E5784" t="str">
            <v>Millona Upper Suyan Integrated School</v>
          </cell>
          <cell r="F5784">
            <v>1</v>
          </cell>
          <cell r="G5784">
            <v>1</v>
          </cell>
          <cell r="H5784">
            <v>1</v>
          </cell>
          <cell r="I5784">
            <v>0</v>
          </cell>
          <cell r="J5784">
            <v>1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</row>
        <row r="5785">
          <cell r="D5785">
            <v>304532</v>
          </cell>
          <cell r="E5785" t="str">
            <v>Maguling NHS</v>
          </cell>
          <cell r="F5785">
            <v>0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</row>
        <row r="5786">
          <cell r="D5786">
            <v>304531</v>
          </cell>
          <cell r="E5786" t="str">
            <v>Lun Padidu National High School</v>
          </cell>
          <cell r="F5786">
            <v>1</v>
          </cell>
          <cell r="G5786">
            <v>1</v>
          </cell>
          <cell r="H5786">
            <v>1</v>
          </cell>
          <cell r="I5786">
            <v>0</v>
          </cell>
          <cell r="J5786">
            <v>0</v>
          </cell>
          <cell r="K5786">
            <v>1</v>
          </cell>
          <cell r="L5786">
            <v>0</v>
          </cell>
          <cell r="M5786">
            <v>0</v>
          </cell>
          <cell r="N5786">
            <v>1</v>
          </cell>
          <cell r="O5786">
            <v>43608</v>
          </cell>
          <cell r="P5786">
            <v>43608</v>
          </cell>
          <cell r="Q5786">
            <v>0</v>
          </cell>
          <cell r="R5786">
            <v>0</v>
          </cell>
          <cell r="S5786">
            <v>1</v>
          </cell>
          <cell r="T5786">
            <v>0</v>
          </cell>
          <cell r="U5786">
            <v>0</v>
          </cell>
          <cell r="V5786">
            <v>1</v>
          </cell>
          <cell r="W5786">
            <v>0</v>
          </cell>
          <cell r="X5786">
            <v>0</v>
          </cell>
          <cell r="Y5786">
            <v>0</v>
          </cell>
        </row>
        <row r="5787">
          <cell r="D5787">
            <v>304523</v>
          </cell>
          <cell r="E5787" t="str">
            <v>Colon NHS</v>
          </cell>
          <cell r="F5787">
            <v>1</v>
          </cell>
          <cell r="G5787">
            <v>0</v>
          </cell>
          <cell r="H5787">
            <v>1</v>
          </cell>
          <cell r="I5787">
            <v>0</v>
          </cell>
          <cell r="J5787">
            <v>0</v>
          </cell>
          <cell r="K5787">
            <v>0</v>
          </cell>
          <cell r="L5787">
            <v>1</v>
          </cell>
          <cell r="M5787" t="str">
            <v>As need arises</v>
          </cell>
          <cell r="N5787">
            <v>1</v>
          </cell>
          <cell r="O5787">
            <v>43248</v>
          </cell>
          <cell r="P5787">
            <v>43279</v>
          </cell>
          <cell r="Q5787">
            <v>0</v>
          </cell>
          <cell r="R5787">
            <v>0</v>
          </cell>
          <cell r="S5787">
            <v>0</v>
          </cell>
          <cell r="T5787">
            <v>1</v>
          </cell>
          <cell r="U5787" t="str">
            <v>As need arises</v>
          </cell>
          <cell r="V5787">
            <v>1</v>
          </cell>
          <cell r="W5787">
            <v>1</v>
          </cell>
          <cell r="X5787">
            <v>0</v>
          </cell>
          <cell r="Y5787">
            <v>0</v>
          </cell>
        </row>
        <row r="5788">
          <cell r="D5788">
            <v>304540</v>
          </cell>
          <cell r="E5788" t="str">
            <v>Upper Mainit NHS</v>
          </cell>
          <cell r="F5788">
            <v>1</v>
          </cell>
          <cell r="G5788">
            <v>1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</row>
        <row r="5789">
          <cell r="D5789">
            <v>500264</v>
          </cell>
          <cell r="E5789" t="str">
            <v>Rogaya Bajunaid IS</v>
          </cell>
          <cell r="F5789">
            <v>1</v>
          </cell>
          <cell r="G5789">
            <v>0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</row>
        <row r="5790">
          <cell r="D5790">
            <v>304539</v>
          </cell>
          <cell r="E5790" t="str">
            <v>San Roque NHS</v>
          </cell>
          <cell r="F5790">
            <v>0</v>
          </cell>
          <cell r="G5790">
            <v>0</v>
          </cell>
          <cell r="H5790">
            <v>1</v>
          </cell>
          <cell r="I5790">
            <v>0</v>
          </cell>
          <cell r="J5790">
            <v>0</v>
          </cell>
          <cell r="K5790">
            <v>1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</row>
        <row r="5791">
          <cell r="D5791">
            <v>304519</v>
          </cell>
          <cell r="E5791" t="str">
            <v>Alegria NHS</v>
          </cell>
          <cell r="F5791">
            <v>1</v>
          </cell>
          <cell r="G5791">
            <v>1</v>
          </cell>
          <cell r="H5791">
            <v>1</v>
          </cell>
          <cell r="I5791">
            <v>0</v>
          </cell>
          <cell r="J5791">
            <v>1</v>
          </cell>
          <cell r="K5791">
            <v>0</v>
          </cell>
          <cell r="L5791">
            <v>0</v>
          </cell>
          <cell r="M5791">
            <v>0</v>
          </cell>
          <cell r="N5791">
            <v>1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</row>
        <row r="5792">
          <cell r="D5792">
            <v>500285</v>
          </cell>
          <cell r="E5792" t="str">
            <v>Tagaytay Integrated School</v>
          </cell>
          <cell r="F5792">
            <v>0</v>
          </cell>
          <cell r="G5792">
            <v>0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</row>
        <row r="5793">
          <cell r="D5793">
            <v>500266</v>
          </cell>
          <cell r="E5793" t="str">
            <v>Nomoh Integrated School</v>
          </cell>
          <cell r="F5793">
            <v>1</v>
          </cell>
          <cell r="G5793">
            <v>1</v>
          </cell>
          <cell r="H5793">
            <v>1</v>
          </cell>
          <cell r="I5793">
            <v>0</v>
          </cell>
          <cell r="J5793">
            <v>1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1</v>
          </cell>
          <cell r="U5793" t="str">
            <v>TIME TO TIME</v>
          </cell>
          <cell r="V5793">
            <v>1</v>
          </cell>
          <cell r="W5793">
            <v>0</v>
          </cell>
          <cell r="X5793">
            <v>0</v>
          </cell>
          <cell r="Y5793">
            <v>0</v>
          </cell>
        </row>
        <row r="5794">
          <cell r="D5794">
            <v>500288</v>
          </cell>
          <cell r="E5794" t="str">
            <v>Kinabalan Integrated School</v>
          </cell>
          <cell r="F5794">
            <v>1</v>
          </cell>
          <cell r="G5794">
            <v>1</v>
          </cell>
          <cell r="H5794">
            <v>1</v>
          </cell>
          <cell r="I5794">
            <v>0</v>
          </cell>
          <cell r="J5794">
            <v>1</v>
          </cell>
          <cell r="K5794">
            <v>0</v>
          </cell>
          <cell r="L5794">
            <v>0</v>
          </cell>
          <cell r="M5794">
            <v>0</v>
          </cell>
          <cell r="N5794">
            <v>1</v>
          </cell>
          <cell r="O5794">
            <v>0</v>
          </cell>
          <cell r="P5794">
            <v>0</v>
          </cell>
          <cell r="Q5794">
            <v>0</v>
          </cell>
          <cell r="R5794">
            <v>1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</row>
        <row r="5795">
          <cell r="D5795">
            <v>304538</v>
          </cell>
          <cell r="E5795" t="str">
            <v>Malungon National High School</v>
          </cell>
          <cell r="F5795">
            <v>1</v>
          </cell>
          <cell r="G5795">
            <v>0</v>
          </cell>
          <cell r="H5795">
            <v>1</v>
          </cell>
          <cell r="I5795">
            <v>0</v>
          </cell>
          <cell r="J5795">
            <v>1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1</v>
          </cell>
          <cell r="S5795">
            <v>0</v>
          </cell>
          <cell r="T5795">
            <v>1</v>
          </cell>
          <cell r="U5795" t="str">
            <v>for precautionary measures only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</row>
        <row r="5796">
          <cell r="D5796">
            <v>304518</v>
          </cell>
          <cell r="E5796" t="str">
            <v>Alabel National High School</v>
          </cell>
          <cell r="F5796">
            <v>1</v>
          </cell>
          <cell r="G5796">
            <v>0</v>
          </cell>
          <cell r="H5796">
            <v>1</v>
          </cell>
          <cell r="I5796">
            <v>0</v>
          </cell>
          <cell r="J5796">
            <v>1</v>
          </cell>
          <cell r="K5796">
            <v>0</v>
          </cell>
          <cell r="L5796">
            <v>0</v>
          </cell>
          <cell r="M5796">
            <v>0</v>
          </cell>
          <cell r="N5796">
            <v>1</v>
          </cell>
          <cell r="O5796">
            <v>0</v>
          </cell>
          <cell r="P5796">
            <v>43733</v>
          </cell>
          <cell r="Q5796">
            <v>0</v>
          </cell>
          <cell r="R5796">
            <v>1</v>
          </cell>
          <cell r="S5796">
            <v>0</v>
          </cell>
          <cell r="T5796">
            <v>0</v>
          </cell>
          <cell r="U5796">
            <v>0</v>
          </cell>
          <cell r="V5796">
            <v>1</v>
          </cell>
          <cell r="W5796">
            <v>2</v>
          </cell>
          <cell r="X5796">
            <v>2</v>
          </cell>
          <cell r="Y5796">
            <v>2</v>
          </cell>
        </row>
        <row r="5797">
          <cell r="D5797">
            <v>500284</v>
          </cell>
          <cell r="E5797" t="str">
            <v>Policarpo H. Millona Central Integrated School</v>
          </cell>
          <cell r="F5797">
            <v>1</v>
          </cell>
          <cell r="G5797">
            <v>0</v>
          </cell>
          <cell r="H5797">
            <v>1</v>
          </cell>
          <cell r="I5797">
            <v>0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</row>
        <row r="5798">
          <cell r="D5798">
            <v>316601</v>
          </cell>
          <cell r="E5798" t="str">
            <v>San Vicente NHS</v>
          </cell>
          <cell r="F5798">
            <v>0</v>
          </cell>
          <cell r="G5798">
            <v>0</v>
          </cell>
          <cell r="H5798">
            <v>1</v>
          </cell>
          <cell r="I5798">
            <v>0</v>
          </cell>
          <cell r="J5798">
            <v>0</v>
          </cell>
          <cell r="K5798">
            <v>1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</row>
        <row r="5799">
          <cell r="D5799">
            <v>500279</v>
          </cell>
          <cell r="E5799" t="str">
            <v>Malabod Integrated School</v>
          </cell>
          <cell r="F5799">
            <v>0</v>
          </cell>
          <cell r="G5799">
            <v>0</v>
          </cell>
          <cell r="H5799">
            <v>1</v>
          </cell>
          <cell r="I5799">
            <v>0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</row>
        <row r="5800">
          <cell r="D5800">
            <v>304542</v>
          </cell>
          <cell r="E5800" t="str">
            <v>Talus NHS</v>
          </cell>
          <cell r="F5800">
            <v>1</v>
          </cell>
          <cell r="G5800">
            <v>1</v>
          </cell>
          <cell r="H5800">
            <v>1</v>
          </cell>
          <cell r="I5800">
            <v>0</v>
          </cell>
          <cell r="J5800">
            <v>1</v>
          </cell>
          <cell r="K5800">
            <v>0</v>
          </cell>
          <cell r="L5800">
            <v>0</v>
          </cell>
          <cell r="M5800">
            <v>0</v>
          </cell>
          <cell r="N5800">
            <v>1</v>
          </cell>
          <cell r="O5800">
            <v>43768</v>
          </cell>
          <cell r="P5800">
            <v>43768</v>
          </cell>
          <cell r="Q5800">
            <v>0</v>
          </cell>
          <cell r="R5800">
            <v>1</v>
          </cell>
          <cell r="S5800">
            <v>0</v>
          </cell>
          <cell r="T5800">
            <v>1</v>
          </cell>
          <cell r="U5800">
            <v>0</v>
          </cell>
          <cell r="V5800">
            <v>1</v>
          </cell>
          <cell r="W5800">
            <v>3</v>
          </cell>
          <cell r="X5800">
            <v>0</v>
          </cell>
          <cell r="Y5800">
            <v>0</v>
          </cell>
        </row>
        <row r="5801">
          <cell r="D5801">
            <v>316603</v>
          </cell>
          <cell r="E5801" t="str">
            <v>Malungon Gamay National High School</v>
          </cell>
          <cell r="F5801">
            <v>1</v>
          </cell>
          <cell r="G5801">
            <v>0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</row>
        <row r="5802">
          <cell r="D5802">
            <v>500707</v>
          </cell>
          <cell r="E5802" t="str">
            <v>Tonga Lim Siao Sr. Integrated School</v>
          </cell>
          <cell r="F5802">
            <v>1</v>
          </cell>
          <cell r="G5802">
            <v>0</v>
          </cell>
          <cell r="H5802">
            <v>1</v>
          </cell>
          <cell r="I5802">
            <v>0</v>
          </cell>
          <cell r="J5802">
            <v>1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1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</row>
        <row r="5803">
          <cell r="D5803">
            <v>304533</v>
          </cell>
          <cell r="E5803" t="str">
            <v>Malalag Cogon NHS</v>
          </cell>
          <cell r="F5803">
            <v>1</v>
          </cell>
          <cell r="G5803">
            <v>1</v>
          </cell>
          <cell r="H5803">
            <v>1</v>
          </cell>
          <cell r="I5803">
            <v>0</v>
          </cell>
          <cell r="J5803">
            <v>0</v>
          </cell>
          <cell r="K5803">
            <v>1</v>
          </cell>
          <cell r="L5803">
            <v>0</v>
          </cell>
          <cell r="M5803">
            <v>0</v>
          </cell>
          <cell r="N5803">
            <v>0</v>
          </cell>
          <cell r="O5803" t="str">
            <v>1/21/2019</v>
          </cell>
          <cell r="P5803">
            <v>43622</v>
          </cell>
          <cell r="Q5803">
            <v>0</v>
          </cell>
          <cell r="R5803">
            <v>0</v>
          </cell>
          <cell r="S5803">
            <v>1</v>
          </cell>
          <cell r="T5803">
            <v>0</v>
          </cell>
          <cell r="U5803">
            <v>0</v>
          </cell>
          <cell r="V5803">
            <v>1</v>
          </cell>
          <cell r="W5803">
            <v>0</v>
          </cell>
          <cell r="X5803">
            <v>0</v>
          </cell>
          <cell r="Y5803">
            <v>0</v>
          </cell>
        </row>
        <row r="5804">
          <cell r="D5804">
            <v>500272</v>
          </cell>
          <cell r="E5804" t="str">
            <v>Daan Suyan Integrated School</v>
          </cell>
          <cell r="F5804">
            <v>0</v>
          </cell>
          <cell r="G5804">
            <v>0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</row>
        <row r="5805">
          <cell r="D5805">
            <v>304529</v>
          </cell>
          <cell r="E5805" t="str">
            <v>James L. Chiongbian National Trade School</v>
          </cell>
          <cell r="F5805">
            <v>1</v>
          </cell>
          <cell r="G5805">
            <v>1</v>
          </cell>
          <cell r="H5805">
            <v>1</v>
          </cell>
          <cell r="I5805">
            <v>0</v>
          </cell>
          <cell r="J5805">
            <v>1</v>
          </cell>
          <cell r="K5805">
            <v>0</v>
          </cell>
          <cell r="L5805">
            <v>0</v>
          </cell>
          <cell r="M5805">
            <v>0</v>
          </cell>
          <cell r="N5805">
            <v>1</v>
          </cell>
          <cell r="O5805" t="str">
            <v>JUNE 4, 2019</v>
          </cell>
          <cell r="P5805" t="str">
            <v>JULY 18, 2019</v>
          </cell>
          <cell r="Q5805">
            <v>0</v>
          </cell>
          <cell r="R5805">
            <v>1</v>
          </cell>
          <cell r="S5805">
            <v>0</v>
          </cell>
          <cell r="T5805">
            <v>0</v>
          </cell>
          <cell r="U5805">
            <v>0</v>
          </cell>
          <cell r="V5805">
            <v>1</v>
          </cell>
          <cell r="W5805">
            <v>2</v>
          </cell>
          <cell r="X5805">
            <v>0</v>
          </cell>
          <cell r="Y5805">
            <v>0</v>
          </cell>
        </row>
        <row r="5806">
          <cell r="D5806">
            <v>500267</v>
          </cell>
          <cell r="E5806" t="str">
            <v>Mangelen IS</v>
          </cell>
          <cell r="F5806">
            <v>1</v>
          </cell>
          <cell r="G5806">
            <v>0</v>
          </cell>
          <cell r="H5806">
            <v>1</v>
          </cell>
          <cell r="I5806">
            <v>0</v>
          </cell>
          <cell r="J5806">
            <v>1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</row>
        <row r="5807">
          <cell r="D5807">
            <v>500281</v>
          </cell>
          <cell r="E5807" t="str">
            <v>Wali Integrated School</v>
          </cell>
          <cell r="F5807">
            <v>0</v>
          </cell>
          <cell r="G5807">
            <v>0</v>
          </cell>
          <cell r="H5807">
            <v>0</v>
          </cell>
          <cell r="I5807">
            <v>0</v>
          </cell>
          <cell r="J5807">
            <v>1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 t="str">
            <v>NONE</v>
          </cell>
          <cell r="P5807" t="str">
            <v>NONE</v>
          </cell>
          <cell r="Q5807">
            <v>0</v>
          </cell>
          <cell r="R5807">
            <v>0</v>
          </cell>
          <cell r="S5807">
            <v>0</v>
          </cell>
          <cell r="T5807">
            <v>1</v>
          </cell>
          <cell r="U5807" t="str">
            <v>NONE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</row>
        <row r="5808">
          <cell r="D5808">
            <v>304527</v>
          </cell>
          <cell r="E5808" t="str">
            <v>Kiamba National High School</v>
          </cell>
          <cell r="F5808">
            <v>1</v>
          </cell>
          <cell r="G5808">
            <v>0</v>
          </cell>
          <cell r="H5808">
            <v>1</v>
          </cell>
          <cell r="I5808">
            <v>0</v>
          </cell>
          <cell r="J5808">
            <v>1</v>
          </cell>
          <cell r="K5808">
            <v>0</v>
          </cell>
          <cell r="L5808">
            <v>0</v>
          </cell>
          <cell r="M5808">
            <v>0</v>
          </cell>
          <cell r="N5808">
            <v>1</v>
          </cell>
          <cell r="O5808">
            <v>0</v>
          </cell>
          <cell r="P5808">
            <v>0</v>
          </cell>
          <cell r="Q5808">
            <v>0</v>
          </cell>
          <cell r="R5808">
            <v>1</v>
          </cell>
          <cell r="S5808">
            <v>0</v>
          </cell>
          <cell r="T5808">
            <v>0</v>
          </cell>
          <cell r="U5808">
            <v>0</v>
          </cell>
          <cell r="V5808">
            <v>1</v>
          </cell>
          <cell r="W5808">
            <v>0</v>
          </cell>
          <cell r="X5808">
            <v>0</v>
          </cell>
          <cell r="Y5808">
            <v>0</v>
          </cell>
        </row>
        <row r="5809">
          <cell r="D5809">
            <v>500777</v>
          </cell>
          <cell r="E5809" t="str">
            <v>Domolok Integrated School</v>
          </cell>
          <cell r="F5809">
            <v>0</v>
          </cell>
          <cell r="G5809">
            <v>0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3</v>
          </cell>
          <cell r="X5809">
            <v>2</v>
          </cell>
          <cell r="Y5809">
            <v>0</v>
          </cell>
        </row>
        <row r="5810">
          <cell r="D5810">
            <v>500297</v>
          </cell>
          <cell r="E5810" t="str">
            <v>Spring IS</v>
          </cell>
          <cell r="F5810">
            <v>1</v>
          </cell>
          <cell r="G5810">
            <v>1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2</v>
          </cell>
          <cell r="X5810">
            <v>0</v>
          </cell>
          <cell r="Y5810">
            <v>0</v>
          </cell>
        </row>
        <row r="5811">
          <cell r="D5811">
            <v>316606</v>
          </cell>
          <cell r="E5811" t="str">
            <v>Aniceto C. Lopez Sr. NHS</v>
          </cell>
          <cell r="F5811">
            <v>1</v>
          </cell>
          <cell r="G5811">
            <v>1</v>
          </cell>
          <cell r="H5811">
            <v>1</v>
          </cell>
          <cell r="I5811">
            <v>0</v>
          </cell>
          <cell r="J5811">
            <v>1</v>
          </cell>
          <cell r="K5811">
            <v>0</v>
          </cell>
          <cell r="L5811">
            <v>0</v>
          </cell>
          <cell r="M5811">
            <v>0</v>
          </cell>
          <cell r="N5811">
            <v>1</v>
          </cell>
          <cell r="O5811">
            <v>43293</v>
          </cell>
          <cell r="P5811">
            <v>43293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1</v>
          </cell>
          <cell r="W5811">
            <v>5</v>
          </cell>
          <cell r="X5811">
            <v>5</v>
          </cell>
          <cell r="Y5811">
            <v>5</v>
          </cell>
        </row>
        <row r="5812">
          <cell r="D5812">
            <v>500714</v>
          </cell>
          <cell r="E5812" t="str">
            <v>Laginan Integrated School</v>
          </cell>
          <cell r="F5812">
            <v>0</v>
          </cell>
          <cell r="G5812">
            <v>0</v>
          </cell>
          <cell r="H5812">
            <v>1</v>
          </cell>
          <cell r="I5812">
            <v>0</v>
          </cell>
          <cell r="J5812">
            <v>0</v>
          </cell>
          <cell r="K5812">
            <v>1</v>
          </cell>
          <cell r="L5812">
            <v>0</v>
          </cell>
          <cell r="M5812">
            <v>0</v>
          </cell>
          <cell r="N5812">
            <v>1</v>
          </cell>
          <cell r="O5812">
            <v>43628</v>
          </cell>
          <cell r="P5812">
            <v>0</v>
          </cell>
          <cell r="Q5812">
            <v>0</v>
          </cell>
          <cell r="R5812">
            <v>1</v>
          </cell>
          <cell r="S5812">
            <v>0</v>
          </cell>
          <cell r="T5812">
            <v>0</v>
          </cell>
          <cell r="U5812">
            <v>0</v>
          </cell>
          <cell r="V5812">
            <v>1</v>
          </cell>
          <cell r="W5812">
            <v>0</v>
          </cell>
          <cell r="X5812">
            <v>0</v>
          </cell>
          <cell r="Y5812">
            <v>0</v>
          </cell>
        </row>
        <row r="5813">
          <cell r="D5813">
            <v>304521</v>
          </cell>
          <cell r="E5813" t="str">
            <v>Tanao Bantilan Tao NHS (Baliton NHS)</v>
          </cell>
          <cell r="F5813">
            <v>1</v>
          </cell>
          <cell r="G5813">
            <v>0</v>
          </cell>
          <cell r="H5813">
            <v>1</v>
          </cell>
          <cell r="I5813">
            <v>0</v>
          </cell>
          <cell r="J5813">
            <v>1</v>
          </cell>
          <cell r="K5813">
            <v>0</v>
          </cell>
          <cell r="L5813">
            <v>0</v>
          </cell>
          <cell r="M5813">
            <v>0</v>
          </cell>
          <cell r="N5813">
            <v>1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</row>
        <row r="5814">
          <cell r="D5814">
            <v>500262</v>
          </cell>
          <cell r="E5814" t="str">
            <v>Cabales-Enarbia Sr. Integrated School</v>
          </cell>
          <cell r="F5814">
            <v>1</v>
          </cell>
          <cell r="G5814">
            <v>1</v>
          </cell>
          <cell r="H5814">
            <v>1</v>
          </cell>
          <cell r="I5814">
            <v>1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1</v>
          </cell>
          <cell r="O5814">
            <v>0</v>
          </cell>
          <cell r="P5814">
            <v>0</v>
          </cell>
          <cell r="Q5814">
            <v>1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1</v>
          </cell>
          <cell r="X5814">
            <v>1</v>
          </cell>
          <cell r="Y5814">
            <v>1</v>
          </cell>
        </row>
        <row r="5815">
          <cell r="D5815">
            <v>304517</v>
          </cell>
          <cell r="E5815" t="str">
            <v>Alabel National Science High School</v>
          </cell>
          <cell r="F5815">
            <v>1</v>
          </cell>
          <cell r="G5815">
            <v>1</v>
          </cell>
          <cell r="H5815">
            <v>1</v>
          </cell>
          <cell r="I5815">
            <v>0</v>
          </cell>
          <cell r="J5815">
            <v>1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1</v>
          </cell>
          <cell r="U5815" t="str">
            <v>No stores nearby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</row>
        <row r="5816">
          <cell r="D5816">
            <v>304535</v>
          </cell>
          <cell r="E5816" t="str">
            <v>Malandag National High School</v>
          </cell>
          <cell r="F5816">
            <v>1</v>
          </cell>
          <cell r="G5816">
            <v>1</v>
          </cell>
          <cell r="H5816">
            <v>1</v>
          </cell>
          <cell r="I5816">
            <v>0</v>
          </cell>
          <cell r="J5816">
            <v>1</v>
          </cell>
          <cell r="K5816">
            <v>0</v>
          </cell>
          <cell r="L5816">
            <v>0</v>
          </cell>
          <cell r="M5816">
            <v>0</v>
          </cell>
          <cell r="N5816">
            <v>1</v>
          </cell>
          <cell r="O5816">
            <v>0</v>
          </cell>
          <cell r="P5816">
            <v>43683</v>
          </cell>
          <cell r="Q5816">
            <v>0</v>
          </cell>
          <cell r="R5816">
            <v>1</v>
          </cell>
          <cell r="S5816">
            <v>0</v>
          </cell>
          <cell r="T5816">
            <v>0</v>
          </cell>
          <cell r="U5816">
            <v>0</v>
          </cell>
          <cell r="V5816">
            <v>1</v>
          </cell>
          <cell r="W5816">
            <v>3</v>
          </cell>
          <cell r="X5816">
            <v>0</v>
          </cell>
          <cell r="Y5816">
            <v>0</v>
          </cell>
        </row>
        <row r="5817">
          <cell r="D5817">
            <v>500270</v>
          </cell>
          <cell r="E5817" t="str">
            <v>Datal Batong Integrated School</v>
          </cell>
          <cell r="F5817">
            <v>0</v>
          </cell>
          <cell r="G5817">
            <v>0</v>
          </cell>
          <cell r="H5817">
            <v>1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</row>
        <row r="5818">
          <cell r="D5818">
            <v>500259</v>
          </cell>
          <cell r="E5818" t="str">
            <v>Valeria B. Lopez IS</v>
          </cell>
          <cell r="F5818">
            <v>1</v>
          </cell>
          <cell r="G5818">
            <v>1</v>
          </cell>
          <cell r="H5818">
            <v>0</v>
          </cell>
          <cell r="I5818">
            <v>0</v>
          </cell>
          <cell r="J5818">
            <v>0</v>
          </cell>
          <cell r="K5818">
            <v>1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1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</row>
        <row r="5819">
          <cell r="D5819">
            <v>304541</v>
          </cell>
          <cell r="E5819" t="str">
            <v>Pangyan National High School</v>
          </cell>
          <cell r="F5819">
            <v>1</v>
          </cell>
          <cell r="G5819">
            <v>1</v>
          </cell>
          <cell r="H5819">
            <v>1</v>
          </cell>
          <cell r="I5819">
            <v>0</v>
          </cell>
          <cell r="J5819">
            <v>1</v>
          </cell>
          <cell r="K5819">
            <v>0</v>
          </cell>
          <cell r="L5819">
            <v>0</v>
          </cell>
          <cell r="M5819">
            <v>0</v>
          </cell>
          <cell r="N5819">
            <v>1</v>
          </cell>
          <cell r="O5819">
            <v>43762</v>
          </cell>
          <cell r="P5819">
            <v>0</v>
          </cell>
          <cell r="Q5819">
            <v>0</v>
          </cell>
          <cell r="R5819">
            <v>1</v>
          </cell>
          <cell r="S5819">
            <v>0</v>
          </cell>
          <cell r="T5819">
            <v>0</v>
          </cell>
          <cell r="U5819">
            <v>0</v>
          </cell>
          <cell r="V5819">
            <v>1</v>
          </cell>
          <cell r="W5819">
            <v>9</v>
          </cell>
          <cell r="X5819">
            <v>4</v>
          </cell>
          <cell r="Y5819">
            <v>9</v>
          </cell>
        </row>
        <row r="5820">
          <cell r="D5820">
            <v>304530</v>
          </cell>
          <cell r="E5820" t="str">
            <v>Leonard Young Sr. National High School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1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1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</row>
        <row r="5821">
          <cell r="D5821">
            <v>316710</v>
          </cell>
          <cell r="E5821" t="str">
            <v>Lamsugod NHS</v>
          </cell>
          <cell r="F5821">
            <v>0</v>
          </cell>
          <cell r="G5821">
            <v>0</v>
          </cell>
          <cell r="H5821">
            <v>1</v>
          </cell>
          <cell r="I5821">
            <v>0</v>
          </cell>
          <cell r="J5821">
            <v>0</v>
          </cell>
          <cell r="K5821">
            <v>1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1</v>
          </cell>
          <cell r="T5821">
            <v>0</v>
          </cell>
          <cell r="U5821">
            <v>0</v>
          </cell>
          <cell r="V5821">
            <v>1</v>
          </cell>
          <cell r="W5821">
            <v>0</v>
          </cell>
          <cell r="X5821">
            <v>0</v>
          </cell>
          <cell r="Y5821">
            <v>0</v>
          </cell>
        </row>
        <row r="5822">
          <cell r="D5822">
            <v>304570</v>
          </cell>
          <cell r="E5822" t="str">
            <v>Tampakan NHS</v>
          </cell>
          <cell r="F5822">
            <v>1</v>
          </cell>
          <cell r="G5822">
            <v>0</v>
          </cell>
          <cell r="H5822">
            <v>1</v>
          </cell>
          <cell r="I5822">
            <v>1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1</v>
          </cell>
          <cell r="O5822">
            <v>0</v>
          </cell>
          <cell r="P5822">
            <v>43718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1</v>
          </cell>
          <cell r="W5822">
            <v>0</v>
          </cell>
          <cell r="X5822">
            <v>0</v>
          </cell>
          <cell r="Y5822">
            <v>0</v>
          </cell>
        </row>
        <row r="5823">
          <cell r="D5823">
            <v>304569</v>
          </cell>
          <cell r="E5823" t="str">
            <v>Sto. Niño NSAT</v>
          </cell>
          <cell r="F5823">
            <v>1</v>
          </cell>
          <cell r="G5823">
            <v>0</v>
          </cell>
          <cell r="H5823">
            <v>1</v>
          </cell>
          <cell r="I5823">
            <v>0</v>
          </cell>
          <cell r="J5823">
            <v>0</v>
          </cell>
          <cell r="K5823">
            <v>1</v>
          </cell>
          <cell r="L5823">
            <v>0</v>
          </cell>
          <cell r="M5823">
            <v>0</v>
          </cell>
          <cell r="N5823">
            <v>1</v>
          </cell>
          <cell r="O5823">
            <v>43619</v>
          </cell>
          <cell r="P5823">
            <v>43259</v>
          </cell>
          <cell r="Q5823">
            <v>0</v>
          </cell>
          <cell r="R5823">
            <v>0</v>
          </cell>
          <cell r="S5823">
            <v>1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</row>
        <row r="5824">
          <cell r="D5824">
            <v>316705</v>
          </cell>
          <cell r="E5824" t="str">
            <v>Punong Grande NHS - Banga NHS Annex</v>
          </cell>
          <cell r="F5824">
            <v>1</v>
          </cell>
          <cell r="G5824">
            <v>1</v>
          </cell>
          <cell r="H5824">
            <v>1</v>
          </cell>
          <cell r="I5824">
            <v>1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1</v>
          </cell>
          <cell r="O5824">
            <v>0</v>
          </cell>
          <cell r="P5824" t="str">
            <v>07/31/2019</v>
          </cell>
          <cell r="Q5824">
            <v>1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1</v>
          </cell>
          <cell r="W5824">
            <v>2</v>
          </cell>
          <cell r="X5824">
            <v>2</v>
          </cell>
          <cell r="Y5824">
            <v>1</v>
          </cell>
        </row>
        <row r="5825">
          <cell r="D5825">
            <v>304565</v>
          </cell>
          <cell r="E5825" t="str">
            <v>Bukay Pait NHS</v>
          </cell>
          <cell r="F5825">
            <v>1</v>
          </cell>
          <cell r="G5825">
            <v>1</v>
          </cell>
          <cell r="H5825">
            <v>1</v>
          </cell>
          <cell r="I5825">
            <v>0</v>
          </cell>
          <cell r="J5825">
            <v>1</v>
          </cell>
          <cell r="K5825">
            <v>0</v>
          </cell>
          <cell r="L5825">
            <v>0</v>
          </cell>
          <cell r="M5825">
            <v>0</v>
          </cell>
          <cell r="N5825">
            <v>1</v>
          </cell>
          <cell r="O5825" t="str">
            <v>November 15, 2018</v>
          </cell>
          <cell r="P5825">
            <v>43252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6</v>
          </cell>
          <cell r="X5825">
            <v>2</v>
          </cell>
          <cell r="Y5825">
            <v>0</v>
          </cell>
        </row>
        <row r="5826">
          <cell r="D5826">
            <v>304555</v>
          </cell>
          <cell r="E5826" t="str">
            <v>Libertad NHS</v>
          </cell>
          <cell r="F5826">
            <v>1</v>
          </cell>
          <cell r="G5826">
            <v>0</v>
          </cell>
          <cell r="H5826">
            <v>1</v>
          </cell>
          <cell r="I5826">
            <v>0</v>
          </cell>
          <cell r="J5826">
            <v>1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</row>
        <row r="5827">
          <cell r="D5827">
            <v>304556</v>
          </cell>
          <cell r="E5827" t="str">
            <v>Maltana NHS</v>
          </cell>
          <cell r="F5827">
            <v>1</v>
          </cell>
          <cell r="G5827">
            <v>1</v>
          </cell>
          <cell r="H5827">
            <v>1</v>
          </cell>
          <cell r="I5827">
            <v>1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1</v>
          </cell>
          <cell r="O5827">
            <v>43649</v>
          </cell>
          <cell r="P5827">
            <v>43693</v>
          </cell>
          <cell r="Q5827">
            <v>1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1</v>
          </cell>
          <cell r="W5827">
            <v>10</v>
          </cell>
          <cell r="X5827">
            <v>4</v>
          </cell>
          <cell r="Y5827">
            <v>10</v>
          </cell>
        </row>
        <row r="5828">
          <cell r="D5828">
            <v>304558</v>
          </cell>
          <cell r="E5828" t="str">
            <v>Panay NHS</v>
          </cell>
          <cell r="F5828">
            <v>1</v>
          </cell>
          <cell r="G5828">
            <v>1</v>
          </cell>
          <cell r="H5828">
            <v>1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1</v>
          </cell>
          <cell r="O5828">
            <v>0</v>
          </cell>
          <cell r="P5828">
            <v>42524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</row>
        <row r="5829">
          <cell r="D5829">
            <v>316708</v>
          </cell>
          <cell r="E5829" t="str">
            <v>Kibang NHS - Lake Sebu NHS Annex</v>
          </cell>
          <cell r="F5829">
            <v>1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</row>
        <row r="5830">
          <cell r="D5830">
            <v>316709</v>
          </cell>
          <cell r="E5830" t="str">
            <v>Proper Ned NHS - Lake Sebu NHS Annex</v>
          </cell>
          <cell r="F5830">
            <v>1</v>
          </cell>
          <cell r="G5830">
            <v>0</v>
          </cell>
          <cell r="H5830">
            <v>1</v>
          </cell>
          <cell r="I5830">
            <v>0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 t="str">
            <v>N/A</v>
          </cell>
          <cell r="P5830" t="str">
            <v>N/A</v>
          </cell>
          <cell r="Q5830">
            <v>1</v>
          </cell>
          <cell r="R5830">
            <v>0</v>
          </cell>
          <cell r="S5830">
            <v>0</v>
          </cell>
          <cell r="T5830">
            <v>1</v>
          </cell>
          <cell r="U5830" t="str">
            <v>N/A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</row>
        <row r="5831">
          <cell r="D5831">
            <v>316925</v>
          </cell>
          <cell r="E5831" t="str">
            <v>Talufo IS</v>
          </cell>
          <cell r="F5831">
            <v>0</v>
          </cell>
          <cell r="G5831">
            <v>0</v>
          </cell>
          <cell r="H5831">
            <v>1</v>
          </cell>
          <cell r="I5831">
            <v>0</v>
          </cell>
          <cell r="J5831">
            <v>0</v>
          </cell>
          <cell r="K5831">
            <v>1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</row>
        <row r="5832">
          <cell r="D5832">
            <v>304544</v>
          </cell>
          <cell r="E5832" t="str">
            <v>Bentung Sulit NHS</v>
          </cell>
          <cell r="F5832">
            <v>1</v>
          </cell>
          <cell r="G5832">
            <v>1</v>
          </cell>
          <cell r="H5832">
            <v>1</v>
          </cell>
          <cell r="I5832">
            <v>0</v>
          </cell>
          <cell r="J5832">
            <v>1</v>
          </cell>
          <cell r="K5832">
            <v>0</v>
          </cell>
          <cell r="L5832">
            <v>0</v>
          </cell>
          <cell r="M5832">
            <v>0</v>
          </cell>
          <cell r="N5832">
            <v>1</v>
          </cell>
          <cell r="O5832">
            <v>0</v>
          </cell>
          <cell r="P5832">
            <v>0</v>
          </cell>
          <cell r="Q5832">
            <v>1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1</v>
          </cell>
          <cell r="W5832">
            <v>0</v>
          </cell>
          <cell r="X5832">
            <v>0</v>
          </cell>
          <cell r="Y5832">
            <v>0</v>
          </cell>
        </row>
        <row r="5833">
          <cell r="D5833">
            <v>304572</v>
          </cell>
          <cell r="E5833" t="str">
            <v>Tantangan NHS</v>
          </cell>
          <cell r="F5833">
            <v>0</v>
          </cell>
          <cell r="G5833">
            <v>0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</row>
        <row r="5834">
          <cell r="D5834">
            <v>316721</v>
          </cell>
          <cell r="E5834" t="str">
            <v>Lampari NHS - Banga Annex</v>
          </cell>
          <cell r="F5834">
            <v>1</v>
          </cell>
          <cell r="G5834">
            <v>1</v>
          </cell>
          <cell r="H5834">
            <v>1</v>
          </cell>
          <cell r="I5834">
            <v>0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1</v>
          </cell>
          <cell r="U5834" t="str">
            <v>None</v>
          </cell>
          <cell r="V5834">
            <v>1</v>
          </cell>
          <cell r="W5834">
            <v>0</v>
          </cell>
          <cell r="X5834">
            <v>0</v>
          </cell>
          <cell r="Y5834">
            <v>0</v>
          </cell>
        </row>
        <row r="5835">
          <cell r="D5835">
            <v>304543</v>
          </cell>
          <cell r="E5835" t="str">
            <v>Banga NHS</v>
          </cell>
          <cell r="F5835">
            <v>1</v>
          </cell>
          <cell r="G5835">
            <v>0</v>
          </cell>
          <cell r="H5835">
            <v>1</v>
          </cell>
          <cell r="I5835">
            <v>1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1</v>
          </cell>
          <cell r="O5835" t="str">
            <v>Sept.2019</v>
          </cell>
          <cell r="P5835" t="str">
            <v>September</v>
          </cell>
          <cell r="Q5835">
            <v>1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1</v>
          </cell>
          <cell r="W5835">
            <v>0</v>
          </cell>
          <cell r="X5835">
            <v>0</v>
          </cell>
          <cell r="Y5835">
            <v>0</v>
          </cell>
        </row>
        <row r="5836">
          <cell r="D5836">
            <v>500432</v>
          </cell>
          <cell r="E5836" t="str">
            <v>Godwino Integrated School</v>
          </cell>
          <cell r="F5836">
            <v>1</v>
          </cell>
          <cell r="G5836">
            <v>0</v>
          </cell>
          <cell r="H5836">
            <v>1</v>
          </cell>
          <cell r="I5836">
            <v>0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</row>
        <row r="5837">
          <cell r="D5837">
            <v>316926</v>
          </cell>
          <cell r="E5837" t="str">
            <v>Laconon Is</v>
          </cell>
          <cell r="F5837">
            <v>1</v>
          </cell>
          <cell r="G5837">
            <v>1</v>
          </cell>
          <cell r="H5837">
            <v>1</v>
          </cell>
          <cell r="I5837">
            <v>0</v>
          </cell>
          <cell r="J5837">
            <v>1</v>
          </cell>
          <cell r="K5837">
            <v>0</v>
          </cell>
          <cell r="L5837">
            <v>0</v>
          </cell>
          <cell r="M5837">
            <v>0</v>
          </cell>
          <cell r="N5837">
            <v>1</v>
          </cell>
          <cell r="O5837">
            <v>0</v>
          </cell>
          <cell r="P5837" t="str">
            <v>08/30/2019</v>
          </cell>
          <cell r="Q5837">
            <v>0</v>
          </cell>
          <cell r="R5837">
            <v>1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</row>
        <row r="5838">
          <cell r="D5838">
            <v>316723</v>
          </cell>
          <cell r="E5838" t="str">
            <v>Rizal 3 NHS - Banga Annex</v>
          </cell>
          <cell r="F5838">
            <v>0</v>
          </cell>
          <cell r="G5838">
            <v>0</v>
          </cell>
          <cell r="H5838">
            <v>0</v>
          </cell>
          <cell r="I5838">
            <v>0</v>
          </cell>
          <cell r="J5838">
            <v>0</v>
          </cell>
          <cell r="K5838">
            <v>1</v>
          </cell>
          <cell r="L5838">
            <v>0</v>
          </cell>
          <cell r="M5838">
            <v>0</v>
          </cell>
          <cell r="N5838">
            <v>0</v>
          </cell>
          <cell r="O5838" t="str">
            <v>N/A</v>
          </cell>
          <cell r="P5838" t="str">
            <v>N/A</v>
          </cell>
          <cell r="Q5838">
            <v>0</v>
          </cell>
          <cell r="R5838">
            <v>0</v>
          </cell>
          <cell r="S5838">
            <v>0</v>
          </cell>
          <cell r="T5838">
            <v>1</v>
          </cell>
          <cell r="U5838" t="str">
            <v>N/A</v>
          </cell>
          <cell r="V5838">
            <v>0</v>
          </cell>
          <cell r="W5838">
            <v>5</v>
          </cell>
          <cell r="X5838">
            <v>5</v>
          </cell>
          <cell r="Y5838">
            <v>0</v>
          </cell>
        </row>
        <row r="5839">
          <cell r="D5839">
            <v>316921</v>
          </cell>
          <cell r="E5839" t="str">
            <v>Lusok IS</v>
          </cell>
          <cell r="F5839">
            <v>0</v>
          </cell>
          <cell r="G5839">
            <v>0</v>
          </cell>
          <cell r="H5839">
            <v>1</v>
          </cell>
          <cell r="I5839">
            <v>0</v>
          </cell>
          <cell r="J5839">
            <v>1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</row>
        <row r="5840">
          <cell r="D5840">
            <v>316706</v>
          </cell>
          <cell r="E5840" t="str">
            <v>New Dumangas NHS</v>
          </cell>
          <cell r="F5840">
            <v>0</v>
          </cell>
          <cell r="G5840">
            <v>0</v>
          </cell>
          <cell r="H5840">
            <v>1</v>
          </cell>
          <cell r="I5840">
            <v>0</v>
          </cell>
          <cell r="J5840">
            <v>0</v>
          </cell>
          <cell r="K5840">
            <v>1</v>
          </cell>
          <cell r="L5840">
            <v>0</v>
          </cell>
          <cell r="M5840">
            <v>0</v>
          </cell>
          <cell r="N5840">
            <v>0</v>
          </cell>
          <cell r="O5840" t="str">
            <v>n/a</v>
          </cell>
          <cell r="P5840" t="str">
            <v>n/a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</row>
        <row r="5841">
          <cell r="D5841">
            <v>316707</v>
          </cell>
          <cell r="E5841" t="str">
            <v>Danlag NHS - Tampakan NHS Annex</v>
          </cell>
          <cell r="F5841">
            <v>1</v>
          </cell>
          <cell r="G5841">
            <v>1</v>
          </cell>
          <cell r="H5841">
            <v>1</v>
          </cell>
          <cell r="I5841">
            <v>0</v>
          </cell>
          <cell r="J5841">
            <v>1</v>
          </cell>
          <cell r="K5841">
            <v>0</v>
          </cell>
          <cell r="L5841">
            <v>0</v>
          </cell>
          <cell r="M5841">
            <v>0</v>
          </cell>
          <cell r="N5841">
            <v>1</v>
          </cell>
          <cell r="O5841">
            <v>0</v>
          </cell>
          <cell r="P5841" t="str">
            <v>09/25/2019</v>
          </cell>
          <cell r="Q5841">
            <v>0</v>
          </cell>
          <cell r="R5841">
            <v>1</v>
          </cell>
          <cell r="S5841">
            <v>0</v>
          </cell>
          <cell r="T5841">
            <v>0</v>
          </cell>
          <cell r="U5841">
            <v>0</v>
          </cell>
          <cell r="V5841">
            <v>1</v>
          </cell>
          <cell r="W5841">
            <v>0</v>
          </cell>
          <cell r="X5841">
            <v>0</v>
          </cell>
          <cell r="Y5841">
            <v>0</v>
          </cell>
        </row>
        <row r="5842">
          <cell r="D5842">
            <v>304559</v>
          </cell>
          <cell r="E5842" t="str">
            <v>Poblacion Polomolok NHS</v>
          </cell>
          <cell r="F5842">
            <v>0</v>
          </cell>
          <cell r="G5842">
            <v>0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</row>
        <row r="5843">
          <cell r="D5843">
            <v>316920</v>
          </cell>
          <cell r="E5843" t="str">
            <v>Pulo Subong IS</v>
          </cell>
          <cell r="F5843">
            <v>1</v>
          </cell>
          <cell r="G5843">
            <v>1</v>
          </cell>
          <cell r="H5843">
            <v>1</v>
          </cell>
          <cell r="I5843">
            <v>0</v>
          </cell>
          <cell r="J5843">
            <v>1</v>
          </cell>
          <cell r="K5843">
            <v>0</v>
          </cell>
          <cell r="L5843">
            <v>1</v>
          </cell>
          <cell r="M5843">
            <v>0</v>
          </cell>
          <cell r="N5843">
            <v>1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1</v>
          </cell>
          <cell r="W5843">
            <v>0</v>
          </cell>
          <cell r="X5843">
            <v>0</v>
          </cell>
          <cell r="Y5843">
            <v>0</v>
          </cell>
        </row>
        <row r="5844">
          <cell r="D5844">
            <v>304548</v>
          </cell>
          <cell r="E5844" t="str">
            <v>Guinsang-an NHS</v>
          </cell>
          <cell r="F5844">
            <v>1</v>
          </cell>
          <cell r="G5844">
            <v>1</v>
          </cell>
          <cell r="H5844">
            <v>1</v>
          </cell>
          <cell r="I5844">
            <v>0</v>
          </cell>
          <cell r="J5844">
            <v>1</v>
          </cell>
          <cell r="K5844">
            <v>0</v>
          </cell>
          <cell r="L5844">
            <v>0</v>
          </cell>
          <cell r="M5844">
            <v>0</v>
          </cell>
          <cell r="N5844">
            <v>1</v>
          </cell>
          <cell r="O5844">
            <v>43663</v>
          </cell>
          <cell r="P5844">
            <v>43696</v>
          </cell>
          <cell r="Q5844">
            <v>1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1</v>
          </cell>
          <cell r="W5844">
            <v>0</v>
          </cell>
          <cell r="X5844">
            <v>0</v>
          </cell>
          <cell r="Y5844">
            <v>0</v>
          </cell>
        </row>
        <row r="5845">
          <cell r="D5845">
            <v>304574</v>
          </cell>
          <cell r="E5845" t="str">
            <v>Tboli NHS</v>
          </cell>
          <cell r="F5845">
            <v>0</v>
          </cell>
          <cell r="G5845">
            <v>0</v>
          </cell>
          <cell r="H5845">
            <v>1</v>
          </cell>
          <cell r="I5845">
            <v>0</v>
          </cell>
          <cell r="J5845">
            <v>1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</row>
        <row r="5846">
          <cell r="D5846">
            <v>316719</v>
          </cell>
          <cell r="E5846" t="str">
            <v>Maan NHS - Tboli Annex</v>
          </cell>
          <cell r="F5846">
            <v>1</v>
          </cell>
          <cell r="G5846">
            <v>1</v>
          </cell>
          <cell r="H5846">
            <v>1</v>
          </cell>
          <cell r="I5846">
            <v>0</v>
          </cell>
          <cell r="J5846">
            <v>1</v>
          </cell>
          <cell r="K5846">
            <v>0</v>
          </cell>
          <cell r="L5846">
            <v>0</v>
          </cell>
          <cell r="M5846">
            <v>0</v>
          </cell>
          <cell r="N5846">
            <v>1</v>
          </cell>
          <cell r="O5846">
            <v>43710</v>
          </cell>
          <cell r="P5846">
            <v>0</v>
          </cell>
          <cell r="Q5846">
            <v>1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1</v>
          </cell>
          <cell r="W5846">
            <v>0</v>
          </cell>
          <cell r="X5846">
            <v>0</v>
          </cell>
          <cell r="Y5846">
            <v>0</v>
          </cell>
        </row>
        <row r="5847">
          <cell r="D5847">
            <v>316713</v>
          </cell>
          <cell r="E5847" t="str">
            <v>Colongulo NHS</v>
          </cell>
          <cell r="F5847">
            <v>1</v>
          </cell>
          <cell r="G5847">
            <v>1</v>
          </cell>
          <cell r="H5847">
            <v>1</v>
          </cell>
          <cell r="I5847">
            <v>1</v>
          </cell>
          <cell r="J5847">
            <v>0</v>
          </cell>
          <cell r="K5847">
            <v>0</v>
          </cell>
          <cell r="L5847">
            <v>1</v>
          </cell>
          <cell r="M5847">
            <v>0</v>
          </cell>
          <cell r="N5847">
            <v>1</v>
          </cell>
          <cell r="O5847">
            <v>43702</v>
          </cell>
          <cell r="P5847" t="str">
            <v>none</v>
          </cell>
          <cell r="Q5847">
            <v>0</v>
          </cell>
          <cell r="R5847">
            <v>1</v>
          </cell>
          <cell r="S5847">
            <v>0</v>
          </cell>
          <cell r="T5847">
            <v>0</v>
          </cell>
          <cell r="U5847">
            <v>0</v>
          </cell>
          <cell r="V5847">
            <v>1</v>
          </cell>
          <cell r="W5847">
            <v>0</v>
          </cell>
          <cell r="X5847">
            <v>0</v>
          </cell>
          <cell r="Y5847">
            <v>0</v>
          </cell>
        </row>
        <row r="5848">
          <cell r="D5848">
            <v>316715</v>
          </cell>
          <cell r="E5848" t="str">
            <v>San Jose NHS - Lapuz NHS Annex</v>
          </cell>
          <cell r="F5848">
            <v>1</v>
          </cell>
          <cell r="G5848">
            <v>0</v>
          </cell>
          <cell r="H5848">
            <v>1</v>
          </cell>
          <cell r="I5848">
            <v>0</v>
          </cell>
          <cell r="J5848">
            <v>1</v>
          </cell>
          <cell r="K5848">
            <v>0</v>
          </cell>
          <cell r="L5848">
            <v>0</v>
          </cell>
          <cell r="M5848">
            <v>0</v>
          </cell>
          <cell r="N5848">
            <v>1</v>
          </cell>
          <cell r="O5848">
            <v>43686</v>
          </cell>
          <cell r="P5848">
            <v>0</v>
          </cell>
          <cell r="Q5848">
            <v>1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1</v>
          </cell>
          <cell r="W5848">
            <v>0</v>
          </cell>
          <cell r="X5848">
            <v>0</v>
          </cell>
          <cell r="Y5848">
            <v>0</v>
          </cell>
        </row>
        <row r="5849">
          <cell r="D5849">
            <v>304551</v>
          </cell>
          <cell r="E5849" t="str">
            <v>Ned NHS</v>
          </cell>
          <cell r="F5849">
            <v>1</v>
          </cell>
          <cell r="G5849">
            <v>1</v>
          </cell>
          <cell r="H5849">
            <v>1</v>
          </cell>
          <cell r="I5849">
            <v>0</v>
          </cell>
          <cell r="J5849">
            <v>0</v>
          </cell>
          <cell r="K5849">
            <v>0</v>
          </cell>
          <cell r="L5849">
            <v>1</v>
          </cell>
          <cell r="M5849" t="str">
            <v>SOMETIMES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</row>
        <row r="5850">
          <cell r="D5850">
            <v>316923</v>
          </cell>
          <cell r="E5850" t="str">
            <v>Lamhako IS</v>
          </cell>
          <cell r="F5850">
            <v>0</v>
          </cell>
          <cell r="G5850">
            <v>0</v>
          </cell>
          <cell r="H5850">
            <v>1</v>
          </cell>
          <cell r="I5850">
            <v>0</v>
          </cell>
          <cell r="J5850">
            <v>0</v>
          </cell>
          <cell r="K5850">
            <v>1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1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</row>
        <row r="5851">
          <cell r="D5851">
            <v>304562</v>
          </cell>
          <cell r="E5851" t="str">
            <v>Jose D. Escobillo NHS - Polonuling NHS Annex</v>
          </cell>
          <cell r="F5851">
            <v>0</v>
          </cell>
          <cell r="G5851">
            <v>0</v>
          </cell>
          <cell r="H5851">
            <v>1</v>
          </cell>
          <cell r="I5851">
            <v>0</v>
          </cell>
          <cell r="J5851">
            <v>1</v>
          </cell>
          <cell r="K5851">
            <v>0</v>
          </cell>
          <cell r="L5851">
            <v>0</v>
          </cell>
          <cell r="M5851">
            <v>0</v>
          </cell>
          <cell r="N5851">
            <v>1</v>
          </cell>
          <cell r="O5851">
            <v>0</v>
          </cell>
          <cell r="P5851">
            <v>0</v>
          </cell>
          <cell r="Q5851">
            <v>0</v>
          </cell>
          <cell r="R5851">
            <v>1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</row>
        <row r="5852">
          <cell r="D5852">
            <v>304571</v>
          </cell>
          <cell r="E5852" t="str">
            <v>Liberty NHS</v>
          </cell>
          <cell r="F5852">
            <v>1</v>
          </cell>
          <cell r="G5852">
            <v>1</v>
          </cell>
          <cell r="H5852">
            <v>1</v>
          </cell>
          <cell r="I5852">
            <v>0</v>
          </cell>
          <cell r="J5852">
            <v>1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3</v>
          </cell>
          <cell r="X5852">
            <v>0</v>
          </cell>
          <cell r="Y5852">
            <v>0</v>
          </cell>
        </row>
        <row r="5853">
          <cell r="D5853">
            <v>304560</v>
          </cell>
          <cell r="E5853" t="str">
            <v>Polomolok NHS</v>
          </cell>
          <cell r="F5853">
            <v>1</v>
          </cell>
          <cell r="G5853">
            <v>1</v>
          </cell>
          <cell r="H5853">
            <v>1</v>
          </cell>
          <cell r="I5853">
            <v>1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1</v>
          </cell>
          <cell r="O5853">
            <v>0</v>
          </cell>
          <cell r="P5853">
            <v>0</v>
          </cell>
          <cell r="Q5853">
            <v>0</v>
          </cell>
          <cell r="R5853">
            <v>1</v>
          </cell>
          <cell r="S5853">
            <v>0</v>
          </cell>
          <cell r="T5853">
            <v>0</v>
          </cell>
          <cell r="U5853">
            <v>0</v>
          </cell>
          <cell r="V5853">
            <v>1</v>
          </cell>
          <cell r="W5853">
            <v>0</v>
          </cell>
          <cell r="X5853">
            <v>0</v>
          </cell>
          <cell r="Y5853">
            <v>0</v>
          </cell>
        </row>
        <row r="5854">
          <cell r="D5854">
            <v>304553</v>
          </cell>
          <cell r="E5854" t="str">
            <v>Lambontong NHS</v>
          </cell>
          <cell r="F5854">
            <v>1</v>
          </cell>
          <cell r="G5854">
            <v>0</v>
          </cell>
          <cell r="H5854">
            <v>1</v>
          </cell>
          <cell r="I5854">
            <v>0</v>
          </cell>
          <cell r="J5854">
            <v>1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 t="str">
            <v>AUGUST 19, 2019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</row>
        <row r="5855">
          <cell r="D5855">
            <v>316718</v>
          </cell>
          <cell r="E5855" t="str">
            <v>San Vicente NHS - Banga NHS Annex</v>
          </cell>
          <cell r="F5855">
            <v>0</v>
          </cell>
          <cell r="G5855">
            <v>0</v>
          </cell>
          <cell r="H5855">
            <v>0</v>
          </cell>
          <cell r="I5855">
            <v>0</v>
          </cell>
          <cell r="J5855">
            <v>1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 t="str">
            <v>SEPT. 7, 2018</v>
          </cell>
          <cell r="P5855">
            <v>0</v>
          </cell>
          <cell r="Q5855">
            <v>0</v>
          </cell>
          <cell r="R5855">
            <v>1</v>
          </cell>
          <cell r="S5855">
            <v>0</v>
          </cell>
          <cell r="T5855">
            <v>0</v>
          </cell>
          <cell r="U5855">
            <v>0</v>
          </cell>
          <cell r="V5855">
            <v>1</v>
          </cell>
          <cell r="W5855">
            <v>1</v>
          </cell>
          <cell r="X5855">
            <v>1</v>
          </cell>
          <cell r="Y5855">
            <v>0</v>
          </cell>
        </row>
        <row r="5856">
          <cell r="D5856">
            <v>304550</v>
          </cell>
          <cell r="E5856" t="str">
            <v>Lake Sebu NHS</v>
          </cell>
          <cell r="F5856">
            <v>0</v>
          </cell>
          <cell r="G5856">
            <v>0</v>
          </cell>
          <cell r="H5856">
            <v>1</v>
          </cell>
          <cell r="I5856">
            <v>0</v>
          </cell>
          <cell r="J5856">
            <v>1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</row>
        <row r="5857">
          <cell r="D5857">
            <v>304576</v>
          </cell>
          <cell r="E5857" t="str">
            <v>Cebuano NHS</v>
          </cell>
          <cell r="F5857">
            <v>1</v>
          </cell>
          <cell r="G5857">
            <v>0</v>
          </cell>
          <cell r="H5857">
            <v>1</v>
          </cell>
          <cell r="I5857">
            <v>0</v>
          </cell>
          <cell r="J5857">
            <v>1</v>
          </cell>
          <cell r="K5857">
            <v>0</v>
          </cell>
          <cell r="L5857">
            <v>0</v>
          </cell>
          <cell r="M5857">
            <v>0</v>
          </cell>
          <cell r="N5857">
            <v>1</v>
          </cell>
          <cell r="O5857">
            <v>43630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1</v>
          </cell>
          <cell r="U5857" t="str">
            <v>2-3 TIMES IN EVERY QUARTER</v>
          </cell>
          <cell r="V5857">
            <v>1</v>
          </cell>
          <cell r="W5857">
            <v>4</v>
          </cell>
          <cell r="X5857">
            <v>3</v>
          </cell>
          <cell r="Y5857">
            <v>3</v>
          </cell>
        </row>
        <row r="5858">
          <cell r="D5858">
            <v>316725</v>
          </cell>
          <cell r="E5858" t="str">
            <v>Upper Maculan NHS - Lake Sebu NHS Annex</v>
          </cell>
          <cell r="F5858">
            <v>1</v>
          </cell>
          <cell r="G5858">
            <v>1</v>
          </cell>
          <cell r="H5858">
            <v>1</v>
          </cell>
          <cell r="I5858">
            <v>0</v>
          </cell>
          <cell r="J5858">
            <v>1</v>
          </cell>
          <cell r="K5858">
            <v>0</v>
          </cell>
          <cell r="L5858">
            <v>0</v>
          </cell>
          <cell r="M5858">
            <v>0</v>
          </cell>
          <cell r="N5858">
            <v>1</v>
          </cell>
          <cell r="O5858">
            <v>0</v>
          </cell>
          <cell r="P5858">
            <v>0</v>
          </cell>
          <cell r="Q5858">
            <v>1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1</v>
          </cell>
          <cell r="W5858">
            <v>1</v>
          </cell>
          <cell r="X5858">
            <v>1</v>
          </cell>
          <cell r="Y5858">
            <v>1</v>
          </cell>
        </row>
        <row r="5859">
          <cell r="D5859">
            <v>316720</v>
          </cell>
          <cell r="E5859" t="str">
            <v>Basag NHS - Tboli Annex</v>
          </cell>
          <cell r="F5859">
            <v>1</v>
          </cell>
          <cell r="G5859">
            <v>1</v>
          </cell>
          <cell r="H5859">
            <v>1</v>
          </cell>
          <cell r="I5859">
            <v>0</v>
          </cell>
          <cell r="J5859">
            <v>1</v>
          </cell>
          <cell r="K5859">
            <v>0</v>
          </cell>
          <cell r="L5859">
            <v>0</v>
          </cell>
          <cell r="M5859">
            <v>0</v>
          </cell>
          <cell r="N5859">
            <v>1</v>
          </cell>
          <cell r="O5859">
            <v>43472</v>
          </cell>
          <cell r="P5859">
            <v>43504</v>
          </cell>
          <cell r="Q5859">
            <v>1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1</v>
          </cell>
          <cell r="W5859">
            <v>5</v>
          </cell>
          <cell r="X5859">
            <v>4</v>
          </cell>
          <cell r="Y5859">
            <v>5</v>
          </cell>
        </row>
        <row r="5860">
          <cell r="D5860">
            <v>316711</v>
          </cell>
          <cell r="E5860" t="str">
            <v>Lampitak NHS - Tampakan NHS Annex</v>
          </cell>
          <cell r="F5860">
            <v>1</v>
          </cell>
          <cell r="G5860">
            <v>1</v>
          </cell>
          <cell r="H5860">
            <v>1</v>
          </cell>
          <cell r="I5860">
            <v>0</v>
          </cell>
          <cell r="J5860">
            <v>0</v>
          </cell>
          <cell r="K5860">
            <v>1</v>
          </cell>
          <cell r="L5860">
            <v>0</v>
          </cell>
          <cell r="M5860">
            <v>0</v>
          </cell>
          <cell r="N5860">
            <v>1</v>
          </cell>
          <cell r="O5860">
            <v>43482</v>
          </cell>
          <cell r="P5860">
            <v>43482</v>
          </cell>
          <cell r="Q5860">
            <v>0</v>
          </cell>
          <cell r="R5860">
            <v>0</v>
          </cell>
          <cell r="S5860">
            <v>1</v>
          </cell>
          <cell r="T5860">
            <v>0</v>
          </cell>
          <cell r="U5860">
            <v>0</v>
          </cell>
          <cell r="V5860">
            <v>0</v>
          </cell>
          <cell r="W5860">
            <v>1</v>
          </cell>
          <cell r="X5860">
            <v>0</v>
          </cell>
          <cell r="Y5860">
            <v>0</v>
          </cell>
        </row>
        <row r="5861">
          <cell r="D5861">
            <v>304568</v>
          </cell>
          <cell r="E5861" t="str">
            <v>Sto. Niño NHS</v>
          </cell>
          <cell r="F5861">
            <v>1</v>
          </cell>
          <cell r="G5861">
            <v>1</v>
          </cell>
          <cell r="H5861">
            <v>1</v>
          </cell>
          <cell r="I5861">
            <v>0</v>
          </cell>
          <cell r="J5861">
            <v>1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43635</v>
          </cell>
          <cell r="Q5861">
            <v>0</v>
          </cell>
          <cell r="R5861">
            <v>1</v>
          </cell>
          <cell r="S5861">
            <v>0</v>
          </cell>
          <cell r="T5861">
            <v>0</v>
          </cell>
          <cell r="U5861">
            <v>0</v>
          </cell>
          <cell r="V5861">
            <v>1</v>
          </cell>
          <cell r="W5861">
            <v>4</v>
          </cell>
          <cell r="X5861">
            <v>0</v>
          </cell>
          <cell r="Y5861">
            <v>0</v>
          </cell>
        </row>
        <row r="5862">
          <cell r="D5862">
            <v>316722</v>
          </cell>
          <cell r="E5862" t="str">
            <v>Kusan NHS - Banga NHS Annex</v>
          </cell>
          <cell r="F5862">
            <v>1</v>
          </cell>
          <cell r="G5862">
            <v>1</v>
          </cell>
          <cell r="H5862">
            <v>0</v>
          </cell>
          <cell r="I5862">
            <v>1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1</v>
          </cell>
          <cell r="O5862">
            <v>43760</v>
          </cell>
          <cell r="P5862">
            <v>43763</v>
          </cell>
          <cell r="Q5862">
            <v>1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1</v>
          </cell>
          <cell r="W5862">
            <v>0</v>
          </cell>
          <cell r="X5862">
            <v>0</v>
          </cell>
          <cell r="Y5862">
            <v>0</v>
          </cell>
        </row>
        <row r="5863">
          <cell r="D5863">
            <v>316724</v>
          </cell>
          <cell r="E5863" t="str">
            <v>Sergio L. Legayada NHS - Norala NHS Annex</v>
          </cell>
          <cell r="F5863">
            <v>1</v>
          </cell>
          <cell r="G5863">
            <v>1</v>
          </cell>
          <cell r="H5863">
            <v>1</v>
          </cell>
          <cell r="I5863">
            <v>0</v>
          </cell>
          <cell r="J5863">
            <v>0</v>
          </cell>
          <cell r="K5863">
            <v>1</v>
          </cell>
          <cell r="L5863">
            <v>0</v>
          </cell>
          <cell r="M5863">
            <v>0</v>
          </cell>
          <cell r="N5863">
            <v>1</v>
          </cell>
          <cell r="O5863">
            <v>43617</v>
          </cell>
          <cell r="P5863">
            <v>43617</v>
          </cell>
          <cell r="Q5863">
            <v>0</v>
          </cell>
          <cell r="R5863">
            <v>1</v>
          </cell>
          <cell r="S5863">
            <v>0</v>
          </cell>
          <cell r="T5863">
            <v>0</v>
          </cell>
          <cell r="U5863">
            <v>0</v>
          </cell>
          <cell r="V5863">
            <v>1</v>
          </cell>
          <cell r="W5863">
            <v>4</v>
          </cell>
          <cell r="X5863">
            <v>0</v>
          </cell>
          <cell r="Y5863">
            <v>0</v>
          </cell>
        </row>
        <row r="5864">
          <cell r="D5864">
            <v>304561</v>
          </cell>
          <cell r="E5864" t="str">
            <v>Polonuling NHS</v>
          </cell>
          <cell r="F5864">
            <v>1</v>
          </cell>
          <cell r="G5864">
            <v>1</v>
          </cell>
          <cell r="H5864">
            <v>1</v>
          </cell>
          <cell r="I5864">
            <v>0</v>
          </cell>
          <cell r="J5864">
            <v>0</v>
          </cell>
          <cell r="K5864">
            <v>1</v>
          </cell>
          <cell r="L5864">
            <v>0</v>
          </cell>
          <cell r="M5864">
            <v>0</v>
          </cell>
          <cell r="N5864">
            <v>1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1</v>
          </cell>
          <cell r="T5864">
            <v>0</v>
          </cell>
          <cell r="U5864">
            <v>0</v>
          </cell>
          <cell r="V5864">
            <v>1</v>
          </cell>
          <cell r="W5864">
            <v>4</v>
          </cell>
          <cell r="X5864">
            <v>0</v>
          </cell>
          <cell r="Y5864">
            <v>0</v>
          </cell>
        </row>
        <row r="5865">
          <cell r="D5865">
            <v>304557</v>
          </cell>
          <cell r="E5865" t="str">
            <v>Norala NHS</v>
          </cell>
          <cell r="F5865">
            <v>1</v>
          </cell>
          <cell r="G5865">
            <v>1</v>
          </cell>
          <cell r="H5865">
            <v>1</v>
          </cell>
          <cell r="I5865">
            <v>1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1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1</v>
          </cell>
          <cell r="W5865">
            <v>0</v>
          </cell>
          <cell r="X5865">
            <v>0</v>
          </cell>
          <cell r="Y5865">
            <v>0</v>
          </cell>
        </row>
        <row r="5866">
          <cell r="D5866">
            <v>304547</v>
          </cell>
          <cell r="E5866" t="str">
            <v>Edwards NHS</v>
          </cell>
          <cell r="F5866">
            <v>1</v>
          </cell>
          <cell r="G5866">
            <v>1</v>
          </cell>
          <cell r="H5866">
            <v>0</v>
          </cell>
          <cell r="I5866">
            <v>1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1</v>
          </cell>
          <cell r="O5866">
            <v>43627</v>
          </cell>
          <cell r="P5866">
            <v>43627</v>
          </cell>
          <cell r="Q5866">
            <v>1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1</v>
          </cell>
          <cell r="W5866">
            <v>3</v>
          </cell>
          <cell r="X5866">
            <v>0</v>
          </cell>
          <cell r="Y5866">
            <v>0</v>
          </cell>
        </row>
        <row r="5867">
          <cell r="D5867">
            <v>304554</v>
          </cell>
          <cell r="E5867" t="str">
            <v>Lapuz NHS</v>
          </cell>
          <cell r="F5867">
            <v>1</v>
          </cell>
          <cell r="G5867">
            <v>1</v>
          </cell>
          <cell r="H5867">
            <v>1</v>
          </cell>
          <cell r="I5867">
            <v>0</v>
          </cell>
          <cell r="J5867">
            <v>1</v>
          </cell>
          <cell r="K5867">
            <v>0</v>
          </cell>
          <cell r="L5867">
            <v>0</v>
          </cell>
          <cell r="M5867">
            <v>0</v>
          </cell>
          <cell r="N5867">
            <v>1</v>
          </cell>
          <cell r="O5867">
            <v>0</v>
          </cell>
          <cell r="P5867">
            <v>0</v>
          </cell>
          <cell r="Q5867">
            <v>1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1</v>
          </cell>
          <cell r="W5867">
            <v>6</v>
          </cell>
          <cell r="X5867">
            <v>2</v>
          </cell>
          <cell r="Y5867">
            <v>0</v>
          </cell>
        </row>
        <row r="5868">
          <cell r="D5868">
            <v>316915</v>
          </cell>
          <cell r="E5868" t="str">
            <v>Rang-ay IS</v>
          </cell>
          <cell r="F5868">
            <v>1</v>
          </cell>
          <cell r="G5868">
            <v>1</v>
          </cell>
          <cell r="H5868">
            <v>1</v>
          </cell>
          <cell r="I5868">
            <v>0</v>
          </cell>
          <cell r="J5868">
            <v>0</v>
          </cell>
          <cell r="K5868">
            <v>1</v>
          </cell>
          <cell r="L5868">
            <v>0</v>
          </cell>
          <cell r="M5868">
            <v>0</v>
          </cell>
          <cell r="N5868">
            <v>1</v>
          </cell>
          <cell r="O5868">
            <v>0</v>
          </cell>
          <cell r="P5868">
            <v>0</v>
          </cell>
          <cell r="Q5868">
            <v>0</v>
          </cell>
          <cell r="R5868">
            <v>1</v>
          </cell>
          <cell r="S5868">
            <v>0</v>
          </cell>
          <cell r="T5868">
            <v>0</v>
          </cell>
          <cell r="U5868">
            <v>0</v>
          </cell>
          <cell r="V5868">
            <v>1</v>
          </cell>
          <cell r="W5868">
            <v>0</v>
          </cell>
          <cell r="X5868">
            <v>0</v>
          </cell>
          <cell r="Y5868">
            <v>0</v>
          </cell>
        </row>
        <row r="5869">
          <cell r="D5869">
            <v>316909</v>
          </cell>
          <cell r="E5869" t="str">
            <v>Fabiola Villa-Gasis NHS - San Miguel NHS Annex</v>
          </cell>
          <cell r="F5869">
            <v>1</v>
          </cell>
          <cell r="G5869">
            <v>1</v>
          </cell>
          <cell r="H5869">
            <v>1</v>
          </cell>
          <cell r="I5869">
            <v>0</v>
          </cell>
          <cell r="J5869">
            <v>1</v>
          </cell>
          <cell r="K5869">
            <v>0</v>
          </cell>
          <cell r="L5869">
            <v>0</v>
          </cell>
          <cell r="M5869">
            <v>0</v>
          </cell>
          <cell r="N5869">
            <v>1</v>
          </cell>
          <cell r="O5869" t="str">
            <v>September 20, 2019</v>
          </cell>
          <cell r="P5869">
            <v>0</v>
          </cell>
          <cell r="Q5869">
            <v>0</v>
          </cell>
          <cell r="R5869">
            <v>1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</row>
        <row r="5870">
          <cell r="D5870">
            <v>316714</v>
          </cell>
          <cell r="E5870" t="str">
            <v>Malaya NHS - Banga NHS Annex</v>
          </cell>
          <cell r="F5870">
            <v>1</v>
          </cell>
          <cell r="G5870">
            <v>1</v>
          </cell>
          <cell r="H5870">
            <v>1</v>
          </cell>
          <cell r="I5870">
            <v>0</v>
          </cell>
          <cell r="J5870">
            <v>1</v>
          </cell>
          <cell r="K5870">
            <v>0</v>
          </cell>
          <cell r="L5870">
            <v>0</v>
          </cell>
          <cell r="M5870">
            <v>0</v>
          </cell>
          <cell r="N5870">
            <v>1</v>
          </cell>
          <cell r="O5870">
            <v>43466</v>
          </cell>
          <cell r="P5870">
            <v>43466</v>
          </cell>
          <cell r="Q5870">
            <v>0</v>
          </cell>
          <cell r="R5870">
            <v>1</v>
          </cell>
          <cell r="S5870">
            <v>0</v>
          </cell>
          <cell r="T5870">
            <v>0</v>
          </cell>
          <cell r="U5870">
            <v>0</v>
          </cell>
          <cell r="V5870">
            <v>1</v>
          </cell>
          <cell r="W5870">
            <v>5</v>
          </cell>
          <cell r="X5870">
            <v>1</v>
          </cell>
          <cell r="Y5870">
            <v>1</v>
          </cell>
        </row>
        <row r="5871">
          <cell r="D5871">
            <v>500458</v>
          </cell>
          <cell r="E5871" t="str">
            <v>Bonifacio R. Tagaban Sr. ES</v>
          </cell>
          <cell r="F5871">
            <v>1</v>
          </cell>
          <cell r="G5871">
            <v>1</v>
          </cell>
          <cell r="H5871">
            <v>1</v>
          </cell>
          <cell r="I5871">
            <v>0</v>
          </cell>
          <cell r="J5871">
            <v>1</v>
          </cell>
          <cell r="K5871">
            <v>0</v>
          </cell>
          <cell r="L5871">
            <v>0</v>
          </cell>
          <cell r="M5871">
            <v>0</v>
          </cell>
          <cell r="N5871">
            <v>1</v>
          </cell>
          <cell r="O5871">
            <v>0</v>
          </cell>
          <cell r="P5871">
            <v>43647</v>
          </cell>
          <cell r="Q5871">
            <v>0</v>
          </cell>
          <cell r="R5871">
            <v>1</v>
          </cell>
          <cell r="S5871">
            <v>0</v>
          </cell>
          <cell r="T5871">
            <v>0</v>
          </cell>
          <cell r="U5871">
            <v>0</v>
          </cell>
          <cell r="V5871">
            <v>1</v>
          </cell>
          <cell r="W5871">
            <v>0</v>
          </cell>
          <cell r="X5871">
            <v>0</v>
          </cell>
          <cell r="Y5871">
            <v>0</v>
          </cell>
        </row>
        <row r="5872">
          <cell r="D5872">
            <v>316916</v>
          </cell>
          <cell r="E5872" t="str">
            <v>Naci IS</v>
          </cell>
          <cell r="F5872">
            <v>1</v>
          </cell>
          <cell r="G5872">
            <v>0</v>
          </cell>
          <cell r="H5872">
            <v>1</v>
          </cell>
          <cell r="I5872">
            <v>0</v>
          </cell>
          <cell r="J5872">
            <v>0</v>
          </cell>
          <cell r="K5872">
            <v>1</v>
          </cell>
          <cell r="L5872">
            <v>0</v>
          </cell>
          <cell r="M5872">
            <v>0</v>
          </cell>
          <cell r="N5872">
            <v>1</v>
          </cell>
          <cell r="O5872">
            <v>43565</v>
          </cell>
          <cell r="P5872">
            <v>0</v>
          </cell>
          <cell r="Q5872">
            <v>0</v>
          </cell>
          <cell r="R5872">
            <v>0</v>
          </cell>
          <cell r="S5872">
            <v>1</v>
          </cell>
          <cell r="T5872">
            <v>0</v>
          </cell>
          <cell r="U5872">
            <v>0</v>
          </cell>
          <cell r="V5872">
            <v>1</v>
          </cell>
          <cell r="W5872">
            <v>10</v>
          </cell>
          <cell r="X5872">
            <v>0</v>
          </cell>
          <cell r="Y5872">
            <v>0</v>
          </cell>
        </row>
        <row r="5873">
          <cell r="D5873">
            <v>304549</v>
          </cell>
          <cell r="E5873" t="str">
            <v>Katipunan NHS</v>
          </cell>
          <cell r="F5873">
            <v>1</v>
          </cell>
          <cell r="G5873">
            <v>1</v>
          </cell>
          <cell r="H5873">
            <v>1</v>
          </cell>
          <cell r="I5873">
            <v>0</v>
          </cell>
          <cell r="J5873">
            <v>1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</row>
        <row r="5874">
          <cell r="D5874">
            <v>316911</v>
          </cell>
          <cell r="E5874" t="str">
            <v>New Lambunao IS</v>
          </cell>
          <cell r="F5874">
            <v>1</v>
          </cell>
          <cell r="G5874">
            <v>0</v>
          </cell>
          <cell r="H5874">
            <v>1</v>
          </cell>
          <cell r="I5874">
            <v>0</v>
          </cell>
          <cell r="J5874">
            <v>1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</row>
        <row r="5875">
          <cell r="D5875">
            <v>304577</v>
          </cell>
          <cell r="E5875" t="str">
            <v>Upper Klinan NHS</v>
          </cell>
          <cell r="F5875">
            <v>1</v>
          </cell>
          <cell r="G5875">
            <v>1</v>
          </cell>
          <cell r="H5875">
            <v>1</v>
          </cell>
          <cell r="I5875">
            <v>0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1</v>
          </cell>
          <cell r="S5875">
            <v>0</v>
          </cell>
          <cell r="T5875">
            <v>0</v>
          </cell>
          <cell r="U5875">
            <v>0</v>
          </cell>
          <cell r="V5875">
            <v>1</v>
          </cell>
          <cell r="W5875">
            <v>0</v>
          </cell>
          <cell r="X5875">
            <v>0</v>
          </cell>
          <cell r="Y5875">
            <v>0</v>
          </cell>
        </row>
        <row r="5876">
          <cell r="D5876">
            <v>316727</v>
          </cell>
          <cell r="E5876" t="str">
            <v>Aflek NHS - Edwards NHS Annex</v>
          </cell>
          <cell r="F5876">
            <v>1</v>
          </cell>
          <cell r="G5876">
            <v>1</v>
          </cell>
          <cell r="H5876">
            <v>1</v>
          </cell>
          <cell r="I5876">
            <v>0</v>
          </cell>
          <cell r="J5876">
            <v>1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 t="str">
            <v>07/18/2019</v>
          </cell>
          <cell r="Q5876">
            <v>0</v>
          </cell>
          <cell r="R5876">
            <v>1</v>
          </cell>
          <cell r="S5876">
            <v>0</v>
          </cell>
          <cell r="T5876">
            <v>0</v>
          </cell>
          <cell r="U5876">
            <v>0</v>
          </cell>
          <cell r="V5876">
            <v>1</v>
          </cell>
          <cell r="W5876">
            <v>0</v>
          </cell>
          <cell r="X5876">
            <v>0</v>
          </cell>
          <cell r="Y5876">
            <v>0</v>
          </cell>
        </row>
        <row r="5877">
          <cell r="D5877">
            <v>316712</v>
          </cell>
          <cell r="E5877" t="str">
            <v>Landan NHS</v>
          </cell>
          <cell r="F5877">
            <v>1</v>
          </cell>
          <cell r="G5877">
            <v>1</v>
          </cell>
          <cell r="H5877">
            <v>1</v>
          </cell>
          <cell r="I5877">
            <v>0</v>
          </cell>
          <cell r="J5877">
            <v>0</v>
          </cell>
          <cell r="K5877">
            <v>1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1</v>
          </cell>
          <cell r="T5877">
            <v>0</v>
          </cell>
          <cell r="U5877">
            <v>0</v>
          </cell>
          <cell r="V5877">
            <v>1</v>
          </cell>
          <cell r="W5877">
            <v>0</v>
          </cell>
          <cell r="X5877">
            <v>0</v>
          </cell>
          <cell r="Y5877">
            <v>0</v>
          </cell>
        </row>
        <row r="5878">
          <cell r="D5878">
            <v>316703</v>
          </cell>
          <cell r="E5878" t="str">
            <v>San Jose NHS</v>
          </cell>
          <cell r="F5878">
            <v>0</v>
          </cell>
          <cell r="G5878">
            <v>0</v>
          </cell>
          <cell r="H5878">
            <v>1</v>
          </cell>
          <cell r="I5878">
            <v>0</v>
          </cell>
          <cell r="J5878">
            <v>1</v>
          </cell>
          <cell r="K5878">
            <v>0</v>
          </cell>
          <cell r="L5878">
            <v>0</v>
          </cell>
          <cell r="M5878">
            <v>0</v>
          </cell>
          <cell r="N5878">
            <v>1</v>
          </cell>
          <cell r="O5878" t="str">
            <v>08/15/19</v>
          </cell>
          <cell r="P5878">
            <v>43475</v>
          </cell>
          <cell r="Q5878">
            <v>1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1</v>
          </cell>
          <cell r="W5878">
            <v>2</v>
          </cell>
          <cell r="X5878">
            <v>0</v>
          </cell>
          <cell r="Y5878">
            <v>0</v>
          </cell>
        </row>
        <row r="5879">
          <cell r="D5879">
            <v>316918</v>
          </cell>
          <cell r="E5879" t="str">
            <v>Talisay IS</v>
          </cell>
          <cell r="F5879">
            <v>1</v>
          </cell>
          <cell r="G5879">
            <v>1</v>
          </cell>
          <cell r="H5879">
            <v>1</v>
          </cell>
          <cell r="I5879">
            <v>0</v>
          </cell>
          <cell r="J5879">
            <v>0</v>
          </cell>
          <cell r="K5879">
            <v>1</v>
          </cell>
          <cell r="L5879">
            <v>0</v>
          </cell>
          <cell r="M5879">
            <v>0</v>
          </cell>
          <cell r="N5879">
            <v>1</v>
          </cell>
          <cell r="O5879">
            <v>43690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3</v>
          </cell>
          <cell r="X5879">
            <v>0</v>
          </cell>
          <cell r="Y5879">
            <v>0</v>
          </cell>
        </row>
        <row r="5880">
          <cell r="D5880">
            <v>304552</v>
          </cell>
          <cell r="E5880" t="str">
            <v>Lamian NHS</v>
          </cell>
          <cell r="F5880">
            <v>1</v>
          </cell>
          <cell r="G5880">
            <v>1</v>
          </cell>
          <cell r="H5880">
            <v>1</v>
          </cell>
          <cell r="I5880">
            <v>0</v>
          </cell>
          <cell r="J5880">
            <v>1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1</v>
          </cell>
          <cell r="T5880">
            <v>0</v>
          </cell>
          <cell r="U5880">
            <v>0</v>
          </cell>
          <cell r="V5880">
            <v>1</v>
          </cell>
          <cell r="W5880">
            <v>0</v>
          </cell>
          <cell r="X5880">
            <v>0</v>
          </cell>
          <cell r="Y5880">
            <v>0</v>
          </cell>
        </row>
        <row r="5881">
          <cell r="D5881">
            <v>316701</v>
          </cell>
          <cell r="E5881" t="str">
            <v>Surallah NHS</v>
          </cell>
          <cell r="F5881">
            <v>1</v>
          </cell>
          <cell r="G5881">
            <v>1</v>
          </cell>
          <cell r="H5881">
            <v>1</v>
          </cell>
          <cell r="I5881">
            <v>0</v>
          </cell>
          <cell r="J5881">
            <v>1</v>
          </cell>
          <cell r="K5881">
            <v>0</v>
          </cell>
          <cell r="L5881">
            <v>0</v>
          </cell>
          <cell r="M5881">
            <v>43636</v>
          </cell>
          <cell r="N5881">
            <v>1</v>
          </cell>
          <cell r="O5881">
            <v>0</v>
          </cell>
          <cell r="P5881">
            <v>43710</v>
          </cell>
          <cell r="Q5881">
            <v>1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3</v>
          </cell>
          <cell r="X5881">
            <v>3</v>
          </cell>
          <cell r="Y5881">
            <v>3</v>
          </cell>
        </row>
        <row r="5882">
          <cell r="D5882">
            <v>304546</v>
          </cell>
          <cell r="E5882" t="str">
            <v>Centrala NHS</v>
          </cell>
          <cell r="F5882">
            <v>1</v>
          </cell>
          <cell r="G5882">
            <v>1</v>
          </cell>
          <cell r="H5882">
            <v>1</v>
          </cell>
          <cell r="I5882">
            <v>0</v>
          </cell>
          <cell r="J5882">
            <v>1</v>
          </cell>
          <cell r="K5882">
            <v>0</v>
          </cell>
          <cell r="L5882">
            <v>0</v>
          </cell>
          <cell r="M5882">
            <v>0</v>
          </cell>
          <cell r="N5882">
            <v>1</v>
          </cell>
          <cell r="O5882">
            <v>43749</v>
          </cell>
          <cell r="P5882">
            <v>43749</v>
          </cell>
          <cell r="Q5882">
            <v>0</v>
          </cell>
          <cell r="R5882">
            <v>1</v>
          </cell>
          <cell r="S5882">
            <v>0</v>
          </cell>
          <cell r="T5882">
            <v>0</v>
          </cell>
          <cell r="U5882">
            <v>0</v>
          </cell>
          <cell r="V5882">
            <v>1</v>
          </cell>
          <cell r="W5882">
            <v>0</v>
          </cell>
          <cell r="X5882">
            <v>0</v>
          </cell>
          <cell r="Y5882">
            <v>0</v>
          </cell>
        </row>
        <row r="5883">
          <cell r="D5883">
            <v>304573</v>
          </cell>
          <cell r="E5883" t="str">
            <v>Tantangan NTHS</v>
          </cell>
          <cell r="F5883">
            <v>1</v>
          </cell>
          <cell r="G5883">
            <v>0</v>
          </cell>
          <cell r="H5883">
            <v>1</v>
          </cell>
          <cell r="I5883">
            <v>0</v>
          </cell>
          <cell r="J5883">
            <v>0</v>
          </cell>
          <cell r="K5883">
            <v>1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 t="str">
            <v>5/30/2019</v>
          </cell>
          <cell r="Q5883">
            <v>0</v>
          </cell>
          <cell r="R5883">
            <v>0</v>
          </cell>
          <cell r="S5883">
            <v>1</v>
          </cell>
          <cell r="T5883">
            <v>0</v>
          </cell>
          <cell r="U5883">
            <v>0</v>
          </cell>
          <cell r="V5883">
            <v>1</v>
          </cell>
          <cell r="W5883">
            <v>0</v>
          </cell>
          <cell r="X5883">
            <v>0</v>
          </cell>
          <cell r="Y5883">
            <v>0</v>
          </cell>
        </row>
        <row r="5884">
          <cell r="D5884">
            <v>304578</v>
          </cell>
          <cell r="E5884" t="str">
            <v>Palkan NHS - Upper Klinan Annex</v>
          </cell>
          <cell r="F5884">
            <v>1</v>
          </cell>
          <cell r="G5884">
            <v>1</v>
          </cell>
          <cell r="H5884">
            <v>1</v>
          </cell>
          <cell r="I5884">
            <v>0</v>
          </cell>
          <cell r="J5884">
            <v>0</v>
          </cell>
          <cell r="K5884">
            <v>1</v>
          </cell>
          <cell r="L5884">
            <v>0</v>
          </cell>
          <cell r="M5884">
            <v>0</v>
          </cell>
          <cell r="N5884">
            <v>1</v>
          </cell>
          <cell r="O5884">
            <v>43646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</row>
        <row r="5885">
          <cell r="D5885">
            <v>316919</v>
          </cell>
          <cell r="E5885" t="str">
            <v>Lake Soluton IS</v>
          </cell>
          <cell r="F5885">
            <v>0</v>
          </cell>
          <cell r="G5885">
            <v>0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</row>
        <row r="5886">
          <cell r="D5886">
            <v>316702</v>
          </cell>
          <cell r="E5886" t="str">
            <v>Pablo Valencia NHS - Pob. Polomolok NHS Annex</v>
          </cell>
          <cell r="F5886">
            <v>1</v>
          </cell>
          <cell r="G5886">
            <v>0</v>
          </cell>
          <cell r="H5886">
            <v>1</v>
          </cell>
          <cell r="I5886">
            <v>0</v>
          </cell>
          <cell r="J5886">
            <v>1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1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4</v>
          </cell>
          <cell r="X5886">
            <v>2</v>
          </cell>
          <cell r="Y5886">
            <v>4</v>
          </cell>
        </row>
        <row r="5887">
          <cell r="D5887">
            <v>304563</v>
          </cell>
          <cell r="E5887" t="str">
            <v>Teodoro P. Prudente NHS - Polonuling NHS Annex</v>
          </cell>
          <cell r="F5887">
            <v>1</v>
          </cell>
          <cell r="G5887">
            <v>1</v>
          </cell>
          <cell r="H5887">
            <v>1</v>
          </cell>
          <cell r="I5887">
            <v>1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 t="str">
            <v>JUNE 24, 2019</v>
          </cell>
          <cell r="P5887" t="str">
            <v>JUNE 26, 2019</v>
          </cell>
          <cell r="Q5887">
            <v>0</v>
          </cell>
          <cell r="R5887">
            <v>1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1</v>
          </cell>
          <cell r="X5887">
            <v>0</v>
          </cell>
          <cell r="Y5887">
            <v>0</v>
          </cell>
        </row>
        <row r="5888">
          <cell r="D5888">
            <v>316917</v>
          </cell>
          <cell r="E5888" t="str">
            <v>Lubol IS</v>
          </cell>
          <cell r="F5888">
            <v>1</v>
          </cell>
          <cell r="G5888">
            <v>1</v>
          </cell>
          <cell r="H5888">
            <v>0</v>
          </cell>
          <cell r="I5888">
            <v>0</v>
          </cell>
          <cell r="J5888">
            <v>1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</row>
        <row r="5889">
          <cell r="D5889">
            <v>304566</v>
          </cell>
          <cell r="E5889" t="str">
            <v>San Miguel NHS</v>
          </cell>
          <cell r="F5889">
            <v>1</v>
          </cell>
          <cell r="G5889">
            <v>1</v>
          </cell>
          <cell r="H5889">
            <v>1</v>
          </cell>
          <cell r="I5889">
            <v>0</v>
          </cell>
          <cell r="J5889">
            <v>1</v>
          </cell>
          <cell r="K5889">
            <v>0</v>
          </cell>
          <cell r="L5889">
            <v>0</v>
          </cell>
          <cell r="M5889">
            <v>0</v>
          </cell>
          <cell r="N5889">
            <v>1</v>
          </cell>
          <cell r="O5889">
            <v>0</v>
          </cell>
          <cell r="P5889">
            <v>0</v>
          </cell>
          <cell r="Q5889">
            <v>1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1</v>
          </cell>
          <cell r="W5889">
            <v>0</v>
          </cell>
          <cell r="X5889">
            <v>0</v>
          </cell>
          <cell r="Y5889">
            <v>0</v>
          </cell>
        </row>
        <row r="5890">
          <cell r="D5890">
            <v>316716</v>
          </cell>
          <cell r="E5890" t="str">
            <v>Tablu NHS - Tampakan NHS Annex</v>
          </cell>
          <cell r="F5890">
            <v>0</v>
          </cell>
          <cell r="G5890">
            <v>0</v>
          </cell>
          <cell r="H5890">
            <v>0</v>
          </cell>
          <cell r="I5890">
            <v>0</v>
          </cell>
          <cell r="J5890">
            <v>1</v>
          </cell>
          <cell r="K5890">
            <v>0</v>
          </cell>
          <cell r="L5890">
            <v>0</v>
          </cell>
          <cell r="M5890">
            <v>0</v>
          </cell>
          <cell r="N5890">
            <v>1</v>
          </cell>
          <cell r="O5890">
            <v>0</v>
          </cell>
          <cell r="P5890">
            <v>0</v>
          </cell>
          <cell r="Q5890">
            <v>0</v>
          </cell>
          <cell r="R5890">
            <v>1</v>
          </cell>
          <cell r="S5890">
            <v>0</v>
          </cell>
          <cell r="T5890">
            <v>0</v>
          </cell>
          <cell r="U5890">
            <v>0</v>
          </cell>
          <cell r="V5890">
            <v>1</v>
          </cell>
          <cell r="W5890">
            <v>0</v>
          </cell>
          <cell r="X5890">
            <v>0</v>
          </cell>
          <cell r="Y5890">
            <v>0</v>
          </cell>
        </row>
        <row r="5891">
          <cell r="D5891">
            <v>304567</v>
          </cell>
          <cell r="E5891" t="str">
            <v>Silway-8 NHS</v>
          </cell>
          <cell r="F5891">
            <v>1</v>
          </cell>
          <cell r="G5891">
            <v>1</v>
          </cell>
          <cell r="H5891">
            <v>1</v>
          </cell>
          <cell r="I5891">
            <v>0</v>
          </cell>
          <cell r="J5891">
            <v>1</v>
          </cell>
          <cell r="K5891">
            <v>0</v>
          </cell>
          <cell r="L5891">
            <v>0</v>
          </cell>
          <cell r="M5891">
            <v>0</v>
          </cell>
          <cell r="N5891">
            <v>1</v>
          </cell>
          <cell r="O5891" t="str">
            <v>JUNE 21, 2019</v>
          </cell>
          <cell r="P5891" t="str">
            <v>JUNE 24, 2019</v>
          </cell>
          <cell r="Q5891">
            <v>0</v>
          </cell>
          <cell r="R5891">
            <v>1</v>
          </cell>
          <cell r="S5891">
            <v>0</v>
          </cell>
          <cell r="T5891">
            <v>0</v>
          </cell>
          <cell r="U5891">
            <v>0</v>
          </cell>
          <cell r="V5891">
            <v>1</v>
          </cell>
          <cell r="W5891">
            <v>1</v>
          </cell>
          <cell r="X5891">
            <v>1</v>
          </cell>
          <cell r="Y5891">
            <v>1</v>
          </cell>
        </row>
        <row r="5892">
          <cell r="D5892">
            <v>304564</v>
          </cell>
          <cell r="E5892" t="str">
            <v>Kablon NHS - Polonuling NHS Annex</v>
          </cell>
          <cell r="F5892">
            <v>1</v>
          </cell>
          <cell r="G5892">
            <v>1</v>
          </cell>
          <cell r="H5892">
            <v>1</v>
          </cell>
          <cell r="I5892">
            <v>0</v>
          </cell>
          <cell r="J5892">
            <v>1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</row>
        <row r="5893">
          <cell r="D5893">
            <v>304575</v>
          </cell>
          <cell r="E5893" t="str">
            <v>Tupi NHS</v>
          </cell>
          <cell r="F5893">
            <v>1</v>
          </cell>
          <cell r="G5893">
            <v>1</v>
          </cell>
          <cell r="H5893">
            <v>1</v>
          </cell>
          <cell r="I5893">
            <v>0</v>
          </cell>
          <cell r="J5893">
            <v>0</v>
          </cell>
          <cell r="K5893">
            <v>1</v>
          </cell>
          <cell r="L5893">
            <v>0</v>
          </cell>
          <cell r="M5893">
            <v>0</v>
          </cell>
          <cell r="N5893">
            <v>1</v>
          </cell>
          <cell r="O5893">
            <v>0</v>
          </cell>
          <cell r="P5893">
            <v>0</v>
          </cell>
          <cell r="Q5893">
            <v>0</v>
          </cell>
          <cell r="R5893">
            <v>1</v>
          </cell>
          <cell r="S5893">
            <v>0</v>
          </cell>
          <cell r="T5893">
            <v>0</v>
          </cell>
          <cell r="U5893">
            <v>0</v>
          </cell>
          <cell r="V5893">
            <v>1</v>
          </cell>
          <cell r="W5893">
            <v>0</v>
          </cell>
          <cell r="X5893">
            <v>0</v>
          </cell>
          <cell r="Y5893">
            <v>0</v>
          </cell>
        </row>
        <row r="5894">
          <cell r="D5894">
            <v>304545</v>
          </cell>
          <cell r="E5894" t="str">
            <v>Nicolas B. Barreras NHS - Bentung Sulit NHS Annex</v>
          </cell>
          <cell r="F5894">
            <v>1</v>
          </cell>
          <cell r="G5894">
            <v>1</v>
          </cell>
          <cell r="H5894">
            <v>1</v>
          </cell>
          <cell r="I5894">
            <v>0</v>
          </cell>
          <cell r="J5894">
            <v>1</v>
          </cell>
          <cell r="K5894">
            <v>0</v>
          </cell>
          <cell r="L5894">
            <v>0</v>
          </cell>
          <cell r="M5894">
            <v>0</v>
          </cell>
          <cell r="N5894">
            <v>1</v>
          </cell>
          <cell r="O5894">
            <v>0</v>
          </cell>
          <cell r="P5894">
            <v>0</v>
          </cell>
          <cell r="Q5894">
            <v>0</v>
          </cell>
          <cell r="R5894">
            <v>1</v>
          </cell>
          <cell r="S5894">
            <v>0</v>
          </cell>
          <cell r="T5894">
            <v>0</v>
          </cell>
          <cell r="U5894">
            <v>0</v>
          </cell>
          <cell r="V5894">
            <v>1</v>
          </cell>
          <cell r="W5894">
            <v>10</v>
          </cell>
          <cell r="X5894">
            <v>10</v>
          </cell>
          <cell r="Y5894">
            <v>0</v>
          </cell>
        </row>
        <row r="5895">
          <cell r="D5895">
            <v>360849</v>
          </cell>
          <cell r="E5895" t="str">
            <v>Tboli Sbu SHS</v>
          </cell>
          <cell r="F5895">
            <v>1</v>
          </cell>
          <cell r="G5895">
            <v>0</v>
          </cell>
          <cell r="H5895">
            <v>1</v>
          </cell>
          <cell r="I5895">
            <v>0</v>
          </cell>
          <cell r="J5895">
            <v>0</v>
          </cell>
          <cell r="K5895">
            <v>1</v>
          </cell>
          <cell r="L5895">
            <v>0</v>
          </cell>
          <cell r="M5895">
            <v>0</v>
          </cell>
          <cell r="N5895">
            <v>0</v>
          </cell>
          <cell r="O5895" t="str">
            <v>n/a</v>
          </cell>
          <cell r="P5895" t="str">
            <v>n/a</v>
          </cell>
          <cell r="Q5895">
            <v>0</v>
          </cell>
          <cell r="R5895">
            <v>0</v>
          </cell>
          <cell r="S5895">
            <v>0</v>
          </cell>
          <cell r="T5895">
            <v>1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</row>
        <row r="5896">
          <cell r="D5896">
            <v>316914</v>
          </cell>
          <cell r="E5896" t="str">
            <v>El Nonok IS</v>
          </cell>
          <cell r="F5896">
            <v>0</v>
          </cell>
          <cell r="G5896">
            <v>0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</row>
        <row r="5897">
          <cell r="D5897">
            <v>316704</v>
          </cell>
          <cell r="E5897" t="str">
            <v>Lamba NHS - Banga NHS Annex</v>
          </cell>
          <cell r="F5897">
            <v>1</v>
          </cell>
          <cell r="G5897">
            <v>1</v>
          </cell>
          <cell r="H5897">
            <v>0</v>
          </cell>
          <cell r="I5897">
            <v>0</v>
          </cell>
          <cell r="J5897">
            <v>0</v>
          </cell>
          <cell r="K5897">
            <v>1</v>
          </cell>
          <cell r="L5897">
            <v>0</v>
          </cell>
          <cell r="M5897">
            <v>0</v>
          </cell>
          <cell r="N5897">
            <v>1</v>
          </cell>
          <cell r="O5897">
            <v>43806</v>
          </cell>
          <cell r="P5897">
            <v>43806</v>
          </cell>
          <cell r="Q5897">
            <v>0</v>
          </cell>
          <cell r="R5897">
            <v>0</v>
          </cell>
          <cell r="S5897">
            <v>1</v>
          </cell>
          <cell r="T5897">
            <v>0</v>
          </cell>
          <cell r="U5897">
            <v>0</v>
          </cell>
          <cell r="V5897">
            <v>1</v>
          </cell>
          <cell r="W5897">
            <v>0</v>
          </cell>
          <cell r="X5897">
            <v>0</v>
          </cell>
          <cell r="Y5897">
            <v>0</v>
          </cell>
        </row>
        <row r="5898">
          <cell r="D5898">
            <v>316717</v>
          </cell>
          <cell r="E5898" t="str">
            <v>Emiliano P. Baquial NHS - Tupi NHS Annex</v>
          </cell>
          <cell r="F5898">
            <v>0</v>
          </cell>
          <cell r="G5898">
            <v>0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</row>
        <row r="5899">
          <cell r="D5899">
            <v>304608</v>
          </cell>
          <cell r="E5899" t="str">
            <v>Maligaya National High School</v>
          </cell>
          <cell r="F5899">
            <v>1</v>
          </cell>
          <cell r="G5899">
            <v>1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 t="str">
            <v>weekly</v>
          </cell>
          <cell r="V5899">
            <v>1</v>
          </cell>
          <cell r="W5899">
            <v>0</v>
          </cell>
          <cell r="X5899">
            <v>0</v>
          </cell>
          <cell r="Y5899">
            <v>0</v>
          </cell>
        </row>
        <row r="5900">
          <cell r="D5900">
            <v>304598</v>
          </cell>
          <cell r="E5900" t="str">
            <v>Pimbalayan National High School - Lambayong Annex</v>
          </cell>
          <cell r="F5900">
            <v>1</v>
          </cell>
          <cell r="G5900">
            <v>0</v>
          </cell>
          <cell r="H5900">
            <v>1</v>
          </cell>
          <cell r="I5900">
            <v>0</v>
          </cell>
          <cell r="J5900">
            <v>0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 t="str">
            <v>n/a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</row>
        <row r="5901">
          <cell r="D5901">
            <v>304617</v>
          </cell>
          <cell r="E5901" t="str">
            <v>President Quirino National High School</v>
          </cell>
          <cell r="F5901">
            <v>0</v>
          </cell>
          <cell r="G5901">
            <v>0</v>
          </cell>
          <cell r="H5901">
            <v>1</v>
          </cell>
          <cell r="I5901">
            <v>0</v>
          </cell>
          <cell r="J5901">
            <v>1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</row>
        <row r="5902">
          <cell r="D5902">
            <v>304605</v>
          </cell>
          <cell r="E5902" t="str">
            <v>Lebak Legislated National High School</v>
          </cell>
          <cell r="F5902">
            <v>1</v>
          </cell>
          <cell r="G5902">
            <v>1</v>
          </cell>
          <cell r="H5902">
            <v>1</v>
          </cell>
          <cell r="I5902">
            <v>0</v>
          </cell>
          <cell r="J5902">
            <v>0</v>
          </cell>
          <cell r="K5902">
            <v>1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</row>
        <row r="5903">
          <cell r="D5903">
            <v>304615</v>
          </cell>
          <cell r="E5903" t="str">
            <v>Palimbang National High School</v>
          </cell>
          <cell r="F5903">
            <v>1</v>
          </cell>
          <cell r="G5903">
            <v>0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1</v>
          </cell>
          <cell r="U5903">
            <v>0</v>
          </cell>
          <cell r="V5903">
            <v>0</v>
          </cell>
          <cell r="W5903">
            <v>2</v>
          </cell>
          <cell r="X5903">
            <v>2</v>
          </cell>
          <cell r="Y5903">
            <v>2</v>
          </cell>
        </row>
        <row r="5904">
          <cell r="D5904">
            <v>304607</v>
          </cell>
          <cell r="E5904" t="str">
            <v>Madanding National High School</v>
          </cell>
          <cell r="F5904">
            <v>1</v>
          </cell>
          <cell r="G5904">
            <v>1</v>
          </cell>
          <cell r="H5904">
            <v>1</v>
          </cell>
          <cell r="I5904">
            <v>0</v>
          </cell>
          <cell r="J5904">
            <v>1</v>
          </cell>
          <cell r="K5904">
            <v>0</v>
          </cell>
          <cell r="L5904">
            <v>0</v>
          </cell>
          <cell r="M5904">
            <v>0</v>
          </cell>
          <cell r="N5904">
            <v>1</v>
          </cell>
          <cell r="O5904" t="str">
            <v>JUNE 14, 2019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</row>
        <row r="5905">
          <cell r="D5905">
            <v>304590</v>
          </cell>
          <cell r="E5905" t="str">
            <v>Isulan National High School</v>
          </cell>
          <cell r="F5905">
            <v>1</v>
          </cell>
          <cell r="G5905">
            <v>1</v>
          </cell>
          <cell r="H5905">
            <v>1</v>
          </cell>
          <cell r="I5905">
            <v>0</v>
          </cell>
          <cell r="J5905">
            <v>1</v>
          </cell>
          <cell r="K5905">
            <v>0</v>
          </cell>
          <cell r="L5905">
            <v>0</v>
          </cell>
          <cell r="M5905">
            <v>0</v>
          </cell>
          <cell r="N5905">
            <v>1</v>
          </cell>
          <cell r="O5905">
            <v>0</v>
          </cell>
          <cell r="P5905">
            <v>0</v>
          </cell>
          <cell r="Q5905">
            <v>0</v>
          </cell>
          <cell r="R5905">
            <v>1</v>
          </cell>
          <cell r="S5905">
            <v>0</v>
          </cell>
          <cell r="T5905">
            <v>0</v>
          </cell>
          <cell r="U5905">
            <v>0</v>
          </cell>
          <cell r="V5905">
            <v>1</v>
          </cell>
          <cell r="W5905">
            <v>0</v>
          </cell>
          <cell r="X5905">
            <v>0</v>
          </cell>
          <cell r="Y5905">
            <v>0</v>
          </cell>
        </row>
        <row r="5906">
          <cell r="D5906">
            <v>304585</v>
          </cell>
          <cell r="E5906" t="str">
            <v>Bambad National High School</v>
          </cell>
          <cell r="F5906">
            <v>1</v>
          </cell>
          <cell r="G5906">
            <v>1</v>
          </cell>
          <cell r="H5906">
            <v>1</v>
          </cell>
          <cell r="I5906">
            <v>1</v>
          </cell>
          <cell r="J5906">
            <v>0</v>
          </cell>
          <cell r="K5906">
            <v>0</v>
          </cell>
          <cell r="L5906">
            <v>0</v>
          </cell>
          <cell r="M5906">
            <v>0</v>
          </cell>
          <cell r="N5906">
            <v>1</v>
          </cell>
          <cell r="O5906">
            <v>0</v>
          </cell>
          <cell r="P5906">
            <v>0</v>
          </cell>
          <cell r="Q5906">
            <v>1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5</v>
          </cell>
          <cell r="Y5906">
            <v>0</v>
          </cell>
        </row>
        <row r="5907">
          <cell r="D5907">
            <v>316804</v>
          </cell>
          <cell r="E5907" t="str">
            <v>Mangudadatu National High School - Villamonte Annex</v>
          </cell>
          <cell r="F5907">
            <v>1</v>
          </cell>
          <cell r="G5907">
            <v>1</v>
          </cell>
          <cell r="H5907">
            <v>1</v>
          </cell>
          <cell r="I5907">
            <v>0</v>
          </cell>
          <cell r="J5907">
            <v>1</v>
          </cell>
          <cell r="K5907">
            <v>0</v>
          </cell>
          <cell r="L5907">
            <v>0</v>
          </cell>
          <cell r="M5907">
            <v>0</v>
          </cell>
          <cell r="N5907">
            <v>1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1</v>
          </cell>
          <cell r="T5907">
            <v>0</v>
          </cell>
          <cell r="U5907">
            <v>0</v>
          </cell>
          <cell r="V5907">
            <v>1</v>
          </cell>
          <cell r="W5907">
            <v>0</v>
          </cell>
          <cell r="X5907">
            <v>0</v>
          </cell>
          <cell r="Y5907">
            <v>0</v>
          </cell>
        </row>
        <row r="5908">
          <cell r="D5908">
            <v>304597</v>
          </cell>
          <cell r="E5908" t="str">
            <v>Lambayong National High School</v>
          </cell>
          <cell r="F5908">
            <v>1</v>
          </cell>
          <cell r="G5908">
            <v>0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1</v>
          </cell>
          <cell r="X5908">
            <v>0</v>
          </cell>
          <cell r="Y5908">
            <v>0</v>
          </cell>
        </row>
        <row r="5909">
          <cell r="D5909">
            <v>304623</v>
          </cell>
          <cell r="E5909" t="str">
            <v>Sta. Clara National High School</v>
          </cell>
          <cell r="F5909">
            <v>0</v>
          </cell>
          <cell r="G5909">
            <v>1</v>
          </cell>
          <cell r="H5909">
            <v>0</v>
          </cell>
          <cell r="I5909">
            <v>0</v>
          </cell>
          <cell r="J5909">
            <v>0</v>
          </cell>
          <cell r="K5909">
            <v>1</v>
          </cell>
          <cell r="L5909">
            <v>0</v>
          </cell>
          <cell r="M5909">
            <v>0</v>
          </cell>
          <cell r="N5909">
            <v>1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1</v>
          </cell>
          <cell r="T5909">
            <v>0</v>
          </cell>
          <cell r="U5909">
            <v>0</v>
          </cell>
          <cell r="V5909">
            <v>1</v>
          </cell>
          <cell r="W5909">
            <v>3</v>
          </cell>
          <cell r="X5909">
            <v>0</v>
          </cell>
          <cell r="Y5909">
            <v>0</v>
          </cell>
        </row>
        <row r="5910">
          <cell r="D5910">
            <v>304626</v>
          </cell>
          <cell r="E5910" t="str">
            <v>Tran National High School</v>
          </cell>
          <cell r="F5910">
            <v>0</v>
          </cell>
          <cell r="G5910">
            <v>0</v>
          </cell>
          <cell r="H5910">
            <v>1</v>
          </cell>
          <cell r="I5910">
            <v>0</v>
          </cell>
          <cell r="J5910">
            <v>1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</row>
        <row r="5911">
          <cell r="D5911">
            <v>304619</v>
          </cell>
          <cell r="E5911" t="str">
            <v>Purikay  National High School</v>
          </cell>
          <cell r="F5911">
            <v>1</v>
          </cell>
          <cell r="G5911">
            <v>1</v>
          </cell>
          <cell r="H5911">
            <v>1</v>
          </cell>
          <cell r="I5911">
            <v>0</v>
          </cell>
          <cell r="J5911">
            <v>1</v>
          </cell>
          <cell r="K5911">
            <v>0</v>
          </cell>
          <cell r="L5911">
            <v>0</v>
          </cell>
          <cell r="M5911">
            <v>0</v>
          </cell>
          <cell r="N5911">
            <v>1</v>
          </cell>
          <cell r="O5911" t="str">
            <v>06/28/2019</v>
          </cell>
          <cell r="P5911" t="str">
            <v>06/29/2019</v>
          </cell>
          <cell r="Q5911">
            <v>1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1</v>
          </cell>
          <cell r="W5911">
            <v>0</v>
          </cell>
          <cell r="X5911">
            <v>0</v>
          </cell>
          <cell r="Y5911">
            <v>0</v>
          </cell>
        </row>
        <row r="5912">
          <cell r="D5912">
            <v>304610</v>
          </cell>
          <cell r="E5912" t="str">
            <v>Milbuk National High School</v>
          </cell>
          <cell r="F5912">
            <v>1</v>
          </cell>
          <cell r="G5912">
            <v>1</v>
          </cell>
          <cell r="H5912">
            <v>1</v>
          </cell>
          <cell r="I5912">
            <v>0</v>
          </cell>
          <cell r="J5912">
            <v>1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43631</v>
          </cell>
          <cell r="Q5912">
            <v>1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1</v>
          </cell>
          <cell r="W5912">
            <v>0</v>
          </cell>
          <cell r="X5912">
            <v>0</v>
          </cell>
          <cell r="Y5912">
            <v>0</v>
          </cell>
        </row>
        <row r="5913">
          <cell r="D5913">
            <v>304606</v>
          </cell>
          <cell r="E5913" t="str">
            <v>Lutayan National High Schoool</v>
          </cell>
          <cell r="F5913">
            <v>1</v>
          </cell>
          <cell r="G5913">
            <v>1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</row>
        <row r="5914">
          <cell r="D5914">
            <v>304603</v>
          </cell>
          <cell r="E5914" t="str">
            <v>Lebak National High School</v>
          </cell>
          <cell r="F5914">
            <v>1</v>
          </cell>
          <cell r="G5914">
            <v>1</v>
          </cell>
          <cell r="H5914">
            <v>1</v>
          </cell>
          <cell r="I5914">
            <v>0</v>
          </cell>
          <cell r="J5914">
            <v>1</v>
          </cell>
          <cell r="K5914">
            <v>0</v>
          </cell>
          <cell r="L5914">
            <v>0</v>
          </cell>
          <cell r="M5914">
            <v>0</v>
          </cell>
          <cell r="N5914">
            <v>1</v>
          </cell>
          <cell r="O5914">
            <v>43644</v>
          </cell>
          <cell r="P5914">
            <v>43675</v>
          </cell>
          <cell r="Q5914">
            <v>1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1</v>
          </cell>
          <cell r="W5914">
            <v>0</v>
          </cell>
          <cell r="X5914">
            <v>0</v>
          </cell>
          <cell r="Y5914">
            <v>0</v>
          </cell>
        </row>
        <row r="5915">
          <cell r="D5915">
            <v>304609</v>
          </cell>
          <cell r="E5915" t="str">
            <v>Mamali National High School</v>
          </cell>
          <cell r="F5915">
            <v>0</v>
          </cell>
          <cell r="G5915">
            <v>0</v>
          </cell>
          <cell r="H5915">
            <v>1</v>
          </cell>
          <cell r="I5915">
            <v>0</v>
          </cell>
          <cell r="J5915">
            <v>1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</row>
        <row r="5916">
          <cell r="D5916">
            <v>304596</v>
          </cell>
          <cell r="E5916" t="str">
            <v>Laguilayan National High School</v>
          </cell>
          <cell r="F5916">
            <v>0</v>
          </cell>
          <cell r="G5916">
            <v>0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</row>
        <row r="5917">
          <cell r="D5917">
            <v>304586</v>
          </cell>
          <cell r="E5917" t="str">
            <v>E. Arcaño Memorial National High School</v>
          </cell>
          <cell r="F5917">
            <v>0</v>
          </cell>
          <cell r="G5917">
            <v>0</v>
          </cell>
          <cell r="H5917">
            <v>1</v>
          </cell>
          <cell r="I5917">
            <v>0</v>
          </cell>
          <cell r="J5917">
            <v>1</v>
          </cell>
          <cell r="K5917">
            <v>0</v>
          </cell>
          <cell r="L5917">
            <v>0</v>
          </cell>
          <cell r="M5917">
            <v>0</v>
          </cell>
          <cell r="N5917">
            <v>1</v>
          </cell>
          <cell r="O5917">
            <v>43619</v>
          </cell>
          <cell r="P5917">
            <v>43626</v>
          </cell>
          <cell r="Q5917">
            <v>0</v>
          </cell>
          <cell r="R5917">
            <v>1</v>
          </cell>
          <cell r="S5917">
            <v>0</v>
          </cell>
          <cell r="T5917">
            <v>0</v>
          </cell>
          <cell r="U5917">
            <v>0</v>
          </cell>
          <cell r="V5917">
            <v>1</v>
          </cell>
          <cell r="W5917">
            <v>0</v>
          </cell>
          <cell r="X5917">
            <v>0</v>
          </cell>
          <cell r="Y5917">
            <v>0</v>
          </cell>
        </row>
        <row r="5918">
          <cell r="D5918">
            <v>304591</v>
          </cell>
          <cell r="E5918" t="str">
            <v>Kalamansig National High School</v>
          </cell>
          <cell r="F5918">
            <v>1</v>
          </cell>
          <cell r="G5918">
            <v>0</v>
          </cell>
          <cell r="H5918">
            <v>1</v>
          </cell>
          <cell r="I5918">
            <v>0</v>
          </cell>
          <cell r="J5918">
            <v>1</v>
          </cell>
          <cell r="K5918">
            <v>0</v>
          </cell>
          <cell r="L5918">
            <v>0</v>
          </cell>
          <cell r="M5918">
            <v>0</v>
          </cell>
          <cell r="N5918">
            <v>1</v>
          </cell>
          <cell r="O5918">
            <v>0</v>
          </cell>
          <cell r="P5918">
            <v>0</v>
          </cell>
          <cell r="Q5918">
            <v>1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1</v>
          </cell>
          <cell r="W5918">
            <v>0</v>
          </cell>
          <cell r="X5918">
            <v>0</v>
          </cell>
          <cell r="Y5918">
            <v>0</v>
          </cell>
        </row>
        <row r="5919">
          <cell r="D5919">
            <v>304593</v>
          </cell>
          <cell r="E5919" t="str">
            <v>Datu Wasay National High School</v>
          </cell>
          <cell r="F5919">
            <v>1</v>
          </cell>
          <cell r="G5919">
            <v>0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 t="str">
            <v>n/a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</row>
        <row r="5920">
          <cell r="D5920">
            <v>304618</v>
          </cell>
          <cell r="E5920" t="str">
            <v>Central  Mangilala High School - President Quirino Annex</v>
          </cell>
          <cell r="F5920">
            <v>1</v>
          </cell>
          <cell r="G5920">
            <v>0</v>
          </cell>
          <cell r="H5920">
            <v>1</v>
          </cell>
          <cell r="I5920">
            <v>0</v>
          </cell>
          <cell r="J5920">
            <v>0</v>
          </cell>
          <cell r="K5920">
            <v>1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 t="str">
            <v>-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1</v>
          </cell>
          <cell r="W5920">
            <v>0</v>
          </cell>
          <cell r="X5920">
            <v>0</v>
          </cell>
          <cell r="Y5920">
            <v>0</v>
          </cell>
        </row>
        <row r="5921">
          <cell r="D5921">
            <v>304580</v>
          </cell>
          <cell r="E5921" t="str">
            <v>Bagumbayan National High School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</row>
        <row r="5922">
          <cell r="D5922">
            <v>304589</v>
          </cell>
          <cell r="E5922" t="str">
            <v>Esperanza National High School</v>
          </cell>
          <cell r="F5922">
            <v>1</v>
          </cell>
          <cell r="G5922">
            <v>1</v>
          </cell>
          <cell r="H5922">
            <v>1</v>
          </cell>
          <cell r="I5922">
            <v>0</v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1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1</v>
          </cell>
          <cell r="W5922">
            <v>0</v>
          </cell>
          <cell r="X5922">
            <v>0</v>
          </cell>
          <cell r="Y5922">
            <v>0</v>
          </cell>
        </row>
        <row r="5923">
          <cell r="D5923">
            <v>304592</v>
          </cell>
          <cell r="E5923" t="str">
            <v>Sangay National High School</v>
          </cell>
          <cell r="F5923">
            <v>1</v>
          </cell>
          <cell r="G5923">
            <v>1</v>
          </cell>
          <cell r="H5923">
            <v>1</v>
          </cell>
          <cell r="I5923">
            <v>0</v>
          </cell>
          <cell r="J5923">
            <v>1</v>
          </cell>
          <cell r="K5923">
            <v>0</v>
          </cell>
          <cell r="L5923">
            <v>0</v>
          </cell>
          <cell r="M5923">
            <v>0</v>
          </cell>
          <cell r="N5923">
            <v>1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1</v>
          </cell>
          <cell r="T5923">
            <v>0</v>
          </cell>
          <cell r="U5923">
            <v>0</v>
          </cell>
          <cell r="V5923">
            <v>1</v>
          </cell>
          <cell r="W5923">
            <v>0</v>
          </cell>
          <cell r="X5923">
            <v>0</v>
          </cell>
          <cell r="Y5923">
            <v>0</v>
          </cell>
        </row>
        <row r="5924">
          <cell r="D5924">
            <v>500721</v>
          </cell>
          <cell r="E5924" t="str">
            <v>Plamango Integrated School</v>
          </cell>
          <cell r="F5924">
            <v>0</v>
          </cell>
          <cell r="G5924">
            <v>0</v>
          </cell>
          <cell r="H5924">
            <v>1</v>
          </cell>
          <cell r="I5924">
            <v>0</v>
          </cell>
          <cell r="J5924">
            <v>0</v>
          </cell>
          <cell r="K5924">
            <v>1</v>
          </cell>
          <cell r="L5924">
            <v>0</v>
          </cell>
          <cell r="M5924">
            <v>0</v>
          </cell>
          <cell r="N5924">
            <v>1</v>
          </cell>
          <cell r="O5924" t="str">
            <v>June 15,2019</v>
          </cell>
          <cell r="P5924">
            <v>0</v>
          </cell>
          <cell r="Q5924">
            <v>0</v>
          </cell>
          <cell r="R5924">
            <v>1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</row>
        <row r="5925">
          <cell r="D5925">
            <v>304612</v>
          </cell>
          <cell r="E5925" t="str">
            <v>Mamansual Abdul National High School - Palimbang Annex</v>
          </cell>
          <cell r="F5925">
            <v>0</v>
          </cell>
          <cell r="G5925">
            <v>0</v>
          </cell>
          <cell r="H5925">
            <v>0</v>
          </cell>
          <cell r="I5925">
            <v>0</v>
          </cell>
          <cell r="J5925">
            <v>1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</row>
        <row r="5926">
          <cell r="D5926">
            <v>500718</v>
          </cell>
          <cell r="E5926" t="str">
            <v>Datu Etang Integrated School</v>
          </cell>
          <cell r="F5926">
            <v>1</v>
          </cell>
          <cell r="G5926">
            <v>1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3</v>
          </cell>
          <cell r="X5926">
            <v>3</v>
          </cell>
          <cell r="Y5926">
            <v>3</v>
          </cell>
        </row>
        <row r="5927">
          <cell r="D5927">
            <v>304613</v>
          </cell>
          <cell r="E5927" t="str">
            <v>New Panay National High School</v>
          </cell>
          <cell r="F5927">
            <v>1</v>
          </cell>
          <cell r="G5927">
            <v>1</v>
          </cell>
          <cell r="H5927">
            <v>1</v>
          </cell>
          <cell r="I5927">
            <v>0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1</v>
          </cell>
          <cell r="O5927" t="str">
            <v>JUNE 2019</v>
          </cell>
          <cell r="P5927" t="str">
            <v>JUNE 2019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1</v>
          </cell>
          <cell r="W5927">
            <v>0</v>
          </cell>
          <cell r="X5927">
            <v>0</v>
          </cell>
          <cell r="Y5927">
            <v>0</v>
          </cell>
        </row>
        <row r="5928">
          <cell r="D5928">
            <v>500722</v>
          </cell>
          <cell r="E5928" t="str">
            <v>Sultan Sinanggayan Integrated School</v>
          </cell>
          <cell r="F5928">
            <v>1</v>
          </cell>
          <cell r="G5928">
            <v>1</v>
          </cell>
          <cell r="H5928">
            <v>1</v>
          </cell>
          <cell r="I5928">
            <v>0</v>
          </cell>
          <cell r="J5928">
            <v>0</v>
          </cell>
          <cell r="K5928">
            <v>1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</row>
        <row r="5929">
          <cell r="D5929">
            <v>304599</v>
          </cell>
          <cell r="E5929" t="str">
            <v>Langgal National High School</v>
          </cell>
          <cell r="F5929">
            <v>0</v>
          </cell>
          <cell r="G5929">
            <v>0</v>
          </cell>
          <cell r="H5929">
            <v>1</v>
          </cell>
          <cell r="I5929">
            <v>0</v>
          </cell>
          <cell r="J5929">
            <v>1</v>
          </cell>
          <cell r="K5929">
            <v>0</v>
          </cell>
          <cell r="L5929">
            <v>0</v>
          </cell>
          <cell r="M5929">
            <v>0</v>
          </cell>
          <cell r="N5929">
            <v>1</v>
          </cell>
          <cell r="O5929" t="str">
            <v>JULY 14,2018</v>
          </cell>
          <cell r="P5929">
            <v>0</v>
          </cell>
          <cell r="Q5929">
            <v>1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2</v>
          </cell>
          <cell r="X5929">
            <v>0</v>
          </cell>
          <cell r="Y5929">
            <v>0</v>
          </cell>
        </row>
        <row r="5930">
          <cell r="D5930">
            <v>304587</v>
          </cell>
          <cell r="E5930" t="str">
            <v>Busok National High School</v>
          </cell>
          <cell r="F5930">
            <v>1</v>
          </cell>
          <cell r="G5930">
            <v>1</v>
          </cell>
          <cell r="H5930">
            <v>1</v>
          </cell>
          <cell r="I5930">
            <v>0</v>
          </cell>
          <cell r="J5930">
            <v>0</v>
          </cell>
          <cell r="K5930">
            <v>1</v>
          </cell>
          <cell r="L5930">
            <v>0</v>
          </cell>
          <cell r="M5930">
            <v>0</v>
          </cell>
          <cell r="N5930">
            <v>1</v>
          </cell>
          <cell r="O5930" t="str">
            <v>JUNE 26, 2019</v>
          </cell>
          <cell r="P5930" t="str">
            <v>JUNE 26, 2019</v>
          </cell>
          <cell r="Q5930">
            <v>0</v>
          </cell>
          <cell r="R5930">
            <v>0</v>
          </cell>
          <cell r="S5930">
            <v>1</v>
          </cell>
          <cell r="T5930">
            <v>0</v>
          </cell>
          <cell r="U5930">
            <v>0</v>
          </cell>
          <cell r="V5930">
            <v>1</v>
          </cell>
          <cell r="W5930">
            <v>0</v>
          </cell>
          <cell r="X5930">
            <v>0</v>
          </cell>
          <cell r="Y5930">
            <v>0</v>
          </cell>
        </row>
        <row r="5931">
          <cell r="D5931">
            <v>304614</v>
          </cell>
          <cell r="E5931" t="str">
            <v>New Pangasinan National High School</v>
          </cell>
          <cell r="F5931">
            <v>1</v>
          </cell>
          <cell r="G5931">
            <v>1</v>
          </cell>
          <cell r="H5931">
            <v>1</v>
          </cell>
          <cell r="I5931">
            <v>0</v>
          </cell>
          <cell r="J5931">
            <v>1</v>
          </cell>
          <cell r="K5931">
            <v>0</v>
          </cell>
          <cell r="L5931">
            <v>0</v>
          </cell>
          <cell r="M5931">
            <v>0</v>
          </cell>
          <cell r="N5931">
            <v>1</v>
          </cell>
          <cell r="O5931">
            <v>43635</v>
          </cell>
          <cell r="P5931">
            <v>43635</v>
          </cell>
          <cell r="Q5931">
            <v>0</v>
          </cell>
          <cell r="R5931">
            <v>1</v>
          </cell>
          <cell r="S5931">
            <v>0</v>
          </cell>
          <cell r="T5931">
            <v>0</v>
          </cell>
          <cell r="U5931">
            <v>0</v>
          </cell>
          <cell r="V5931">
            <v>1</v>
          </cell>
          <cell r="W5931">
            <v>0</v>
          </cell>
          <cell r="X5931">
            <v>0</v>
          </cell>
          <cell r="Y5931">
            <v>0</v>
          </cell>
        </row>
        <row r="5932">
          <cell r="D5932">
            <v>304616</v>
          </cell>
          <cell r="E5932" t="str">
            <v>Kalibuhan National High School - Palimbang ANNEX</v>
          </cell>
          <cell r="F5932">
            <v>1</v>
          </cell>
          <cell r="G5932">
            <v>1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</row>
        <row r="5933">
          <cell r="D5933">
            <v>304595</v>
          </cell>
          <cell r="E5933" t="str">
            <v>Kapingkong National High School</v>
          </cell>
          <cell r="F5933">
            <v>1</v>
          </cell>
          <cell r="G5933">
            <v>1</v>
          </cell>
          <cell r="H5933">
            <v>1</v>
          </cell>
          <cell r="I5933">
            <v>0</v>
          </cell>
          <cell r="J5933">
            <v>1</v>
          </cell>
          <cell r="K5933">
            <v>0</v>
          </cell>
          <cell r="L5933">
            <v>0</v>
          </cell>
          <cell r="M5933">
            <v>0</v>
          </cell>
          <cell r="N5933">
            <v>1</v>
          </cell>
          <cell r="O5933">
            <v>43650</v>
          </cell>
          <cell r="P5933">
            <v>43651</v>
          </cell>
          <cell r="Q5933">
            <v>1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1</v>
          </cell>
          <cell r="W5933">
            <v>0</v>
          </cell>
          <cell r="X5933">
            <v>0</v>
          </cell>
          <cell r="Y5933">
            <v>0</v>
          </cell>
        </row>
        <row r="5934">
          <cell r="D5934">
            <v>304594</v>
          </cell>
          <cell r="E5934" t="str">
            <v>Kalanawe II National High School</v>
          </cell>
          <cell r="F5934">
            <v>0</v>
          </cell>
          <cell r="G5934">
            <v>0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</row>
        <row r="5935">
          <cell r="D5935">
            <v>304604</v>
          </cell>
          <cell r="E5935" t="str">
            <v>Keytodac National High School</v>
          </cell>
          <cell r="F5935">
            <v>0</v>
          </cell>
          <cell r="G5935">
            <v>0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</row>
        <row r="5936">
          <cell r="D5936">
            <v>316801</v>
          </cell>
          <cell r="E5936" t="str">
            <v>Sultan Ali Akbar Sinenggayan National High School - Laguilayan Annex</v>
          </cell>
          <cell r="F5936">
            <v>1</v>
          </cell>
          <cell r="G5936">
            <v>0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</row>
        <row r="5937">
          <cell r="D5937">
            <v>304600</v>
          </cell>
          <cell r="E5937" t="str">
            <v>Datu Ampak Kawan National High School</v>
          </cell>
          <cell r="F5937">
            <v>0</v>
          </cell>
          <cell r="G5937">
            <v>0</v>
          </cell>
          <cell r="H5937">
            <v>1</v>
          </cell>
          <cell r="I5937">
            <v>0</v>
          </cell>
          <cell r="J5937">
            <v>0</v>
          </cell>
          <cell r="K5937">
            <v>1</v>
          </cell>
          <cell r="L5937">
            <v>0</v>
          </cell>
          <cell r="M5937">
            <v>0</v>
          </cell>
          <cell r="N5937">
            <v>1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</row>
        <row r="5938">
          <cell r="D5938">
            <v>304582</v>
          </cell>
          <cell r="E5938" t="str">
            <v>Masiag National High School - Bagumbayan Annex</v>
          </cell>
          <cell r="F5938">
            <v>1</v>
          </cell>
          <cell r="G5938">
            <v>1</v>
          </cell>
          <cell r="H5938">
            <v>0</v>
          </cell>
          <cell r="I5938">
            <v>0</v>
          </cell>
          <cell r="J5938">
            <v>0</v>
          </cell>
          <cell r="K5938">
            <v>1</v>
          </cell>
          <cell r="L5938">
            <v>0</v>
          </cell>
          <cell r="M5938">
            <v>0</v>
          </cell>
          <cell r="N5938">
            <v>1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1</v>
          </cell>
          <cell r="T5938">
            <v>0</v>
          </cell>
          <cell r="U5938">
            <v>0</v>
          </cell>
          <cell r="V5938">
            <v>1</v>
          </cell>
          <cell r="W5938">
            <v>0</v>
          </cell>
          <cell r="X5938">
            <v>0</v>
          </cell>
          <cell r="Y5938">
            <v>0</v>
          </cell>
        </row>
        <row r="5939">
          <cell r="D5939">
            <v>304584</v>
          </cell>
          <cell r="E5939" t="str">
            <v>Bai Saripinang National High School</v>
          </cell>
          <cell r="F5939">
            <v>0</v>
          </cell>
          <cell r="G5939">
            <v>0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</row>
        <row r="5940">
          <cell r="D5940">
            <v>304581</v>
          </cell>
          <cell r="E5940" t="str">
            <v>Kapaya National High School</v>
          </cell>
          <cell r="F5940">
            <v>1</v>
          </cell>
          <cell r="G5940">
            <v>1</v>
          </cell>
          <cell r="H5940">
            <v>1</v>
          </cell>
          <cell r="I5940">
            <v>0</v>
          </cell>
          <cell r="J5940">
            <v>0</v>
          </cell>
          <cell r="K5940">
            <v>1</v>
          </cell>
          <cell r="L5940">
            <v>0</v>
          </cell>
          <cell r="M5940">
            <v>0</v>
          </cell>
          <cell r="N5940">
            <v>1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1</v>
          </cell>
          <cell r="T5940">
            <v>0</v>
          </cell>
          <cell r="U5940">
            <v>0</v>
          </cell>
          <cell r="V5940">
            <v>1</v>
          </cell>
          <cell r="W5940">
            <v>0</v>
          </cell>
          <cell r="X5940">
            <v>0</v>
          </cell>
          <cell r="Y5940">
            <v>0</v>
          </cell>
        </row>
        <row r="5941">
          <cell r="D5941">
            <v>500717</v>
          </cell>
          <cell r="E5941" t="str">
            <v>Dante Integrated School</v>
          </cell>
          <cell r="F5941">
            <v>1</v>
          </cell>
          <cell r="G5941">
            <v>1</v>
          </cell>
          <cell r="H5941">
            <v>1</v>
          </cell>
          <cell r="I5941">
            <v>0</v>
          </cell>
          <cell r="J5941">
            <v>1</v>
          </cell>
          <cell r="K5941">
            <v>0</v>
          </cell>
          <cell r="L5941">
            <v>0</v>
          </cell>
          <cell r="M5941">
            <v>0</v>
          </cell>
          <cell r="N5941">
            <v>1</v>
          </cell>
          <cell r="O5941" t="str">
            <v>6/14/19</v>
          </cell>
          <cell r="P5941" t="str">
            <v>6/14/19</v>
          </cell>
          <cell r="Q5941">
            <v>0</v>
          </cell>
          <cell r="R5941">
            <v>1</v>
          </cell>
          <cell r="S5941">
            <v>0</v>
          </cell>
          <cell r="T5941">
            <v>0</v>
          </cell>
          <cell r="U5941">
            <v>0</v>
          </cell>
          <cell r="V5941">
            <v>1</v>
          </cell>
          <cell r="W5941">
            <v>0</v>
          </cell>
          <cell r="X5941">
            <v>0</v>
          </cell>
          <cell r="Y5941">
            <v>0</v>
          </cell>
        </row>
        <row r="5942">
          <cell r="D5942">
            <v>304602</v>
          </cell>
          <cell r="E5942" t="str">
            <v>Senator Ninoy Aquino National High School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</row>
        <row r="5943">
          <cell r="D5943">
            <v>316808</v>
          </cell>
          <cell r="E5943" t="str">
            <v>Sabanal National High School - Kalamansig Annex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</row>
        <row r="5944">
          <cell r="D5944">
            <v>304611</v>
          </cell>
          <cell r="E5944" t="str">
            <v>Baluan National High School</v>
          </cell>
          <cell r="F5944">
            <v>1</v>
          </cell>
          <cell r="G5944">
            <v>1</v>
          </cell>
          <cell r="H5944">
            <v>1</v>
          </cell>
          <cell r="I5944">
            <v>0</v>
          </cell>
          <cell r="J5944">
            <v>0</v>
          </cell>
          <cell r="K5944">
            <v>1</v>
          </cell>
          <cell r="L5944">
            <v>0</v>
          </cell>
          <cell r="M5944">
            <v>0</v>
          </cell>
          <cell r="N5944">
            <v>1</v>
          </cell>
          <cell r="O5944">
            <v>0</v>
          </cell>
          <cell r="P5944">
            <v>0</v>
          </cell>
          <cell r="Q5944">
            <v>1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2</v>
          </cell>
          <cell r="Y5944">
            <v>0</v>
          </cell>
        </row>
        <row r="5945">
          <cell r="D5945">
            <v>304621</v>
          </cell>
          <cell r="E5945" t="str">
            <v>Salabaca National High School</v>
          </cell>
          <cell r="F5945">
            <v>1</v>
          </cell>
          <cell r="G5945">
            <v>1</v>
          </cell>
          <cell r="H5945">
            <v>1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1</v>
          </cell>
          <cell r="O5945">
            <v>43651</v>
          </cell>
          <cell r="P5945">
            <v>0</v>
          </cell>
          <cell r="Q5945">
            <v>0</v>
          </cell>
          <cell r="R5945">
            <v>1</v>
          </cell>
          <cell r="S5945">
            <v>0</v>
          </cell>
          <cell r="T5945">
            <v>0</v>
          </cell>
          <cell r="U5945">
            <v>0</v>
          </cell>
          <cell r="V5945">
            <v>1</v>
          </cell>
          <cell r="W5945">
            <v>0</v>
          </cell>
          <cell r="X5945">
            <v>0</v>
          </cell>
          <cell r="Y5945">
            <v>0</v>
          </cell>
        </row>
        <row r="5946">
          <cell r="D5946">
            <v>304588</v>
          </cell>
          <cell r="E5946" t="str">
            <v>Columbio National High School</v>
          </cell>
          <cell r="F5946">
            <v>0</v>
          </cell>
          <cell r="G5946">
            <v>0</v>
          </cell>
          <cell r="H5946">
            <v>1</v>
          </cell>
          <cell r="I5946">
            <v>0</v>
          </cell>
          <cell r="J5946">
            <v>1</v>
          </cell>
          <cell r="K5946">
            <v>0</v>
          </cell>
          <cell r="L5946">
            <v>0</v>
          </cell>
          <cell r="M5946">
            <v>0</v>
          </cell>
          <cell r="N5946">
            <v>1</v>
          </cell>
          <cell r="O5946" t="str">
            <v>JULY 19, 2019</v>
          </cell>
          <cell r="P5946" t="str">
            <v>JUNE 28, 2019</v>
          </cell>
          <cell r="Q5946">
            <v>1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1</v>
          </cell>
          <cell r="W5946">
            <v>0</v>
          </cell>
          <cell r="X5946">
            <v>0</v>
          </cell>
          <cell r="Y5946">
            <v>0</v>
          </cell>
        </row>
        <row r="5947">
          <cell r="D5947">
            <v>316803</v>
          </cell>
          <cell r="E5947" t="str">
            <v>Biwang NHS - Bagumbayan Annex</v>
          </cell>
          <cell r="F5947">
            <v>1</v>
          </cell>
          <cell r="G5947">
            <v>0</v>
          </cell>
          <cell r="H5947">
            <v>1</v>
          </cell>
          <cell r="I5947">
            <v>0</v>
          </cell>
          <cell r="J5947">
            <v>1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43680</v>
          </cell>
          <cell r="P5947">
            <v>0</v>
          </cell>
          <cell r="Q5947">
            <v>0</v>
          </cell>
          <cell r="R5947">
            <v>1</v>
          </cell>
          <cell r="S5947">
            <v>0</v>
          </cell>
          <cell r="T5947">
            <v>0</v>
          </cell>
          <cell r="U5947">
            <v>0</v>
          </cell>
          <cell r="V5947">
            <v>1</v>
          </cell>
          <cell r="W5947">
            <v>0</v>
          </cell>
          <cell r="X5947">
            <v>0</v>
          </cell>
          <cell r="Y5947">
            <v>0</v>
          </cell>
        </row>
        <row r="5948">
          <cell r="D5948">
            <v>316802</v>
          </cell>
          <cell r="E5948" t="str">
            <v>Sewod National High School - Langgal Annex</v>
          </cell>
          <cell r="F5948">
            <v>0</v>
          </cell>
          <cell r="G5948">
            <v>0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</row>
        <row r="5949">
          <cell r="D5949">
            <v>304601</v>
          </cell>
          <cell r="E5949" t="str">
            <v>Gapok National High School - Langgal Annex</v>
          </cell>
          <cell r="F5949">
            <v>0</v>
          </cell>
          <cell r="G5949">
            <v>0</v>
          </cell>
          <cell r="H5949">
            <v>1</v>
          </cell>
          <cell r="I5949">
            <v>0</v>
          </cell>
          <cell r="J5949">
            <v>1</v>
          </cell>
          <cell r="K5949">
            <v>0</v>
          </cell>
          <cell r="L5949">
            <v>0</v>
          </cell>
          <cell r="M5949">
            <v>0</v>
          </cell>
          <cell r="N5949">
            <v>1</v>
          </cell>
          <cell r="O5949">
            <v>43626</v>
          </cell>
          <cell r="P5949">
            <v>43644</v>
          </cell>
          <cell r="Q5949">
            <v>1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10</v>
          </cell>
          <cell r="X5949">
            <v>5</v>
          </cell>
          <cell r="Y5949">
            <v>2</v>
          </cell>
        </row>
        <row r="5950">
          <cell r="D5950">
            <v>304625</v>
          </cell>
          <cell r="E5950" t="str">
            <v>Telafas National High School</v>
          </cell>
          <cell r="F5950">
            <v>1</v>
          </cell>
          <cell r="G5950">
            <v>1</v>
          </cell>
          <cell r="H5950">
            <v>0</v>
          </cell>
          <cell r="I5950">
            <v>0</v>
          </cell>
          <cell r="J5950">
            <v>1</v>
          </cell>
          <cell r="K5950">
            <v>0</v>
          </cell>
          <cell r="L5950">
            <v>0</v>
          </cell>
          <cell r="M5950">
            <v>0</v>
          </cell>
          <cell r="N5950">
            <v>1</v>
          </cell>
          <cell r="O5950">
            <v>43635</v>
          </cell>
          <cell r="P5950">
            <v>43672</v>
          </cell>
          <cell r="Q5950">
            <v>0</v>
          </cell>
          <cell r="R5950">
            <v>0</v>
          </cell>
          <cell r="S5950">
            <v>0</v>
          </cell>
          <cell r="T5950">
            <v>1</v>
          </cell>
          <cell r="U5950" t="str">
            <v>EVERYDAY</v>
          </cell>
          <cell r="V5950">
            <v>1</v>
          </cell>
          <cell r="W5950">
            <v>1</v>
          </cell>
          <cell r="X5950">
            <v>0</v>
          </cell>
          <cell r="Y5950">
            <v>0</v>
          </cell>
        </row>
        <row r="5951">
          <cell r="D5951">
            <v>316805</v>
          </cell>
          <cell r="E5951" t="str">
            <v>Salumping National High School - Esperanza Annex</v>
          </cell>
          <cell r="F5951">
            <v>1</v>
          </cell>
          <cell r="G5951">
            <v>0</v>
          </cell>
          <cell r="H5951">
            <v>0</v>
          </cell>
          <cell r="I5951">
            <v>0</v>
          </cell>
          <cell r="J5951">
            <v>1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 t="str">
            <v>July 18, 2015</v>
          </cell>
          <cell r="P5951" t="str">
            <v>August 20, 2019</v>
          </cell>
          <cell r="Q5951">
            <v>1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1</v>
          </cell>
          <cell r="W5951">
            <v>2</v>
          </cell>
          <cell r="X5951">
            <v>1</v>
          </cell>
          <cell r="Y5951">
            <v>0</v>
          </cell>
        </row>
        <row r="5952">
          <cell r="D5952">
            <v>500723</v>
          </cell>
          <cell r="E5952" t="str">
            <v>Tapudi Integrated School</v>
          </cell>
          <cell r="F5952">
            <v>1</v>
          </cell>
          <cell r="G5952">
            <v>1</v>
          </cell>
          <cell r="H5952">
            <v>0</v>
          </cell>
          <cell r="I5952">
            <v>0</v>
          </cell>
          <cell r="J5952">
            <v>0</v>
          </cell>
          <cell r="K5952">
            <v>1</v>
          </cell>
          <cell r="L5952">
            <v>0</v>
          </cell>
          <cell r="M5952">
            <v>0</v>
          </cell>
          <cell r="N5952">
            <v>0</v>
          </cell>
          <cell r="O5952">
            <v>43665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1</v>
          </cell>
          <cell r="W5952">
            <v>1</v>
          </cell>
          <cell r="X5952">
            <v>0</v>
          </cell>
          <cell r="Y5952">
            <v>0</v>
          </cell>
        </row>
        <row r="5953">
          <cell r="D5953">
            <v>304628</v>
          </cell>
          <cell r="E5953" t="str">
            <v>CANIZARES NATIONAL HIGH SCHOOL- School of Arts and Trades</v>
          </cell>
          <cell r="F5953">
            <v>1</v>
          </cell>
          <cell r="G5953">
            <v>1</v>
          </cell>
          <cell r="H5953">
            <v>1</v>
          </cell>
          <cell r="I5953">
            <v>0</v>
          </cell>
          <cell r="J5953">
            <v>1</v>
          </cell>
          <cell r="K5953">
            <v>0</v>
          </cell>
          <cell r="L5953">
            <v>1</v>
          </cell>
          <cell r="M5953">
            <v>0</v>
          </cell>
          <cell r="N5953">
            <v>1</v>
          </cell>
          <cell r="O5953">
            <v>0</v>
          </cell>
          <cell r="P5953">
            <v>0</v>
          </cell>
          <cell r="Q5953">
            <v>0</v>
          </cell>
          <cell r="R5953">
            <v>1</v>
          </cell>
          <cell r="S5953">
            <v>0</v>
          </cell>
          <cell r="T5953">
            <v>0</v>
          </cell>
          <cell r="U5953">
            <v>0</v>
          </cell>
          <cell r="V5953">
            <v>1</v>
          </cell>
          <cell r="W5953">
            <v>9</v>
          </cell>
          <cell r="X5953">
            <v>7</v>
          </cell>
          <cell r="Y5953">
            <v>12</v>
          </cell>
        </row>
        <row r="5954">
          <cell r="D5954">
            <v>316905</v>
          </cell>
          <cell r="E5954" t="str">
            <v>CCNHS - Annex (LR Sebastian Site)</v>
          </cell>
          <cell r="F5954">
            <v>1</v>
          </cell>
          <cell r="G5954">
            <v>1</v>
          </cell>
          <cell r="H5954">
            <v>0</v>
          </cell>
          <cell r="I5954">
            <v>0</v>
          </cell>
          <cell r="J5954">
            <v>1</v>
          </cell>
          <cell r="K5954">
            <v>0</v>
          </cell>
          <cell r="L5954">
            <v>0</v>
          </cell>
          <cell r="M5954">
            <v>0</v>
          </cell>
          <cell r="N5954">
            <v>1</v>
          </cell>
          <cell r="O5954">
            <v>43644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2</v>
          </cell>
          <cell r="X5954">
            <v>0</v>
          </cell>
          <cell r="Y5954">
            <v>0</v>
          </cell>
        </row>
        <row r="5955">
          <cell r="D5955">
            <v>304634</v>
          </cell>
          <cell r="E5955" t="str">
            <v>Notre Dame Village National High School</v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</row>
        <row r="5956">
          <cell r="D5956">
            <v>304631</v>
          </cell>
          <cell r="E5956" t="str">
            <v>Datu Ayunan National High School</v>
          </cell>
          <cell r="F5956">
            <v>1</v>
          </cell>
          <cell r="G5956">
            <v>1</v>
          </cell>
          <cell r="H5956">
            <v>1</v>
          </cell>
          <cell r="I5956">
            <v>0</v>
          </cell>
          <cell r="J5956">
            <v>1</v>
          </cell>
          <cell r="K5956">
            <v>0</v>
          </cell>
          <cell r="L5956">
            <v>0</v>
          </cell>
          <cell r="M5956">
            <v>0</v>
          </cell>
          <cell r="N5956">
            <v>1</v>
          </cell>
          <cell r="O5956">
            <v>43678</v>
          </cell>
          <cell r="P5956">
            <v>43678</v>
          </cell>
          <cell r="Q5956">
            <v>0</v>
          </cell>
          <cell r="R5956">
            <v>1</v>
          </cell>
          <cell r="S5956">
            <v>0</v>
          </cell>
          <cell r="T5956">
            <v>0</v>
          </cell>
          <cell r="U5956">
            <v>0</v>
          </cell>
          <cell r="V5956">
            <v>1</v>
          </cell>
          <cell r="W5956">
            <v>6</v>
          </cell>
          <cell r="X5956">
            <v>0</v>
          </cell>
          <cell r="Y5956">
            <v>0</v>
          </cell>
        </row>
        <row r="5957">
          <cell r="D5957">
            <v>316903</v>
          </cell>
          <cell r="E5957" t="str">
            <v>CCNHS - ANNEX ( Bubong Site)</v>
          </cell>
          <cell r="F5957">
            <v>1</v>
          </cell>
          <cell r="G5957">
            <v>1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1</v>
          </cell>
          <cell r="O5957" t="str">
            <v>8/20/2019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5</v>
          </cell>
          <cell r="X5957">
            <v>5</v>
          </cell>
          <cell r="Y5957">
            <v>4</v>
          </cell>
        </row>
        <row r="5958">
          <cell r="D5958">
            <v>316907</v>
          </cell>
          <cell r="E5958" t="str">
            <v>CCNHS - Annex (Don E. Sero Site)</v>
          </cell>
          <cell r="F5958">
            <v>1</v>
          </cell>
          <cell r="G5958">
            <v>1</v>
          </cell>
          <cell r="H5958">
            <v>1</v>
          </cell>
          <cell r="I5958">
            <v>0</v>
          </cell>
          <cell r="J5958">
            <v>1</v>
          </cell>
          <cell r="K5958">
            <v>0</v>
          </cell>
          <cell r="L5958">
            <v>0</v>
          </cell>
          <cell r="M5958">
            <v>0</v>
          </cell>
          <cell r="N5958">
            <v>1</v>
          </cell>
          <cell r="O5958">
            <v>43174</v>
          </cell>
          <cell r="P5958">
            <v>0</v>
          </cell>
          <cell r="Q5958">
            <v>0</v>
          </cell>
          <cell r="R5958">
            <v>1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</row>
        <row r="5959">
          <cell r="D5959">
            <v>304633</v>
          </cell>
          <cell r="E5959" t="str">
            <v>J. Marquez NHS</v>
          </cell>
          <cell r="F5959">
            <v>1</v>
          </cell>
          <cell r="G5959">
            <v>0</v>
          </cell>
          <cell r="H5959">
            <v>1</v>
          </cell>
          <cell r="I5959">
            <v>0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</row>
        <row r="5960">
          <cell r="D5960">
            <v>316906</v>
          </cell>
          <cell r="E5960" t="str">
            <v>CCNHS - Annex (Diocolano Site)</v>
          </cell>
          <cell r="F5960">
            <v>1</v>
          </cell>
          <cell r="G5960">
            <v>1</v>
          </cell>
          <cell r="H5960">
            <v>1</v>
          </cell>
          <cell r="I5960">
            <v>0</v>
          </cell>
          <cell r="J5960">
            <v>1</v>
          </cell>
          <cell r="K5960">
            <v>0</v>
          </cell>
          <cell r="L5960">
            <v>0</v>
          </cell>
          <cell r="M5960">
            <v>0</v>
          </cell>
          <cell r="N5960">
            <v>1</v>
          </cell>
          <cell r="O5960">
            <v>43661</v>
          </cell>
          <cell r="P5960">
            <v>43807</v>
          </cell>
          <cell r="Q5960">
            <v>1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1</v>
          </cell>
          <cell r="W5960">
            <v>0</v>
          </cell>
          <cell r="X5960">
            <v>0</v>
          </cell>
          <cell r="Y5960">
            <v>0</v>
          </cell>
        </row>
        <row r="5961">
          <cell r="D5961">
            <v>316904</v>
          </cell>
          <cell r="E5961" t="str">
            <v>CCNHS-ANNEX (Buaya-Buaya Site)</v>
          </cell>
          <cell r="F5961">
            <v>1</v>
          </cell>
          <cell r="G5961">
            <v>0</v>
          </cell>
          <cell r="H5961">
            <v>1</v>
          </cell>
          <cell r="I5961">
            <v>0</v>
          </cell>
          <cell r="J5961">
            <v>1</v>
          </cell>
          <cell r="K5961">
            <v>0</v>
          </cell>
          <cell r="L5961">
            <v>0</v>
          </cell>
          <cell r="M5961">
            <v>0</v>
          </cell>
          <cell r="N5961">
            <v>1</v>
          </cell>
          <cell r="O5961">
            <v>43667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</row>
        <row r="5962">
          <cell r="D5962">
            <v>304632</v>
          </cell>
          <cell r="E5962" t="str">
            <v>Datu Siang NHS</v>
          </cell>
          <cell r="F5962">
            <v>1</v>
          </cell>
          <cell r="G5962">
            <v>1</v>
          </cell>
          <cell r="H5962">
            <v>1</v>
          </cell>
          <cell r="I5962">
            <v>1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1</v>
          </cell>
          <cell r="O5962">
            <v>43711</v>
          </cell>
          <cell r="P5962">
            <v>0</v>
          </cell>
          <cell r="Q5962">
            <v>0</v>
          </cell>
          <cell r="R5962">
            <v>1</v>
          </cell>
          <cell r="S5962">
            <v>0</v>
          </cell>
          <cell r="T5962">
            <v>0</v>
          </cell>
          <cell r="U5962">
            <v>0</v>
          </cell>
          <cell r="V5962">
            <v>1</v>
          </cell>
          <cell r="W5962">
            <v>2</v>
          </cell>
          <cell r="X5962">
            <v>0</v>
          </cell>
          <cell r="Y5962">
            <v>0</v>
          </cell>
        </row>
        <row r="5963">
          <cell r="D5963">
            <v>304630</v>
          </cell>
          <cell r="E5963" t="str">
            <v>Cotabato City NHS - Main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1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1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</row>
        <row r="5964">
          <cell r="D5964">
            <v>304629</v>
          </cell>
          <cell r="E5964" t="str">
            <v>Cotabato City NHS - Rojas #13</v>
          </cell>
          <cell r="F5964">
            <v>1</v>
          </cell>
          <cell r="G5964">
            <v>1</v>
          </cell>
          <cell r="H5964">
            <v>0</v>
          </cell>
          <cell r="I5964">
            <v>0</v>
          </cell>
          <cell r="J5964">
            <v>1</v>
          </cell>
          <cell r="K5964">
            <v>0</v>
          </cell>
          <cell r="L5964">
            <v>0</v>
          </cell>
          <cell r="M5964">
            <v>0</v>
          </cell>
          <cell r="N5964">
            <v>1</v>
          </cell>
          <cell r="O5964">
            <v>0</v>
          </cell>
          <cell r="P5964">
            <v>0</v>
          </cell>
          <cell r="Q5964">
            <v>0</v>
          </cell>
          <cell r="R5964">
            <v>1</v>
          </cell>
          <cell r="S5964">
            <v>0</v>
          </cell>
          <cell r="T5964">
            <v>0</v>
          </cell>
          <cell r="U5964">
            <v>0</v>
          </cell>
          <cell r="V5964">
            <v>1</v>
          </cell>
          <cell r="W5964">
            <v>2</v>
          </cell>
          <cell r="X5964">
            <v>2</v>
          </cell>
          <cell r="Y5964">
            <v>2</v>
          </cell>
        </row>
        <row r="5965">
          <cell r="D5965">
            <v>316902</v>
          </cell>
          <cell r="E5965" t="str">
            <v>CCNHS - Datu Sema Kalantungan Site</v>
          </cell>
          <cell r="F5965">
            <v>1</v>
          </cell>
          <cell r="G5965">
            <v>1</v>
          </cell>
          <cell r="H5965">
            <v>1</v>
          </cell>
          <cell r="I5965">
            <v>1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1</v>
          </cell>
          <cell r="O5965">
            <v>0</v>
          </cell>
          <cell r="P5965">
            <v>0</v>
          </cell>
          <cell r="Q5965">
            <v>1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1</v>
          </cell>
          <cell r="W5965">
            <v>1</v>
          </cell>
          <cell r="X5965">
            <v>1</v>
          </cell>
          <cell r="Y5965">
            <v>1</v>
          </cell>
        </row>
        <row r="5966">
          <cell r="D5966">
            <v>304635</v>
          </cell>
          <cell r="E5966" t="str">
            <v>Pilot Provincial Science High School and Technology</v>
          </cell>
          <cell r="F5966">
            <v>1</v>
          </cell>
          <cell r="G5966">
            <v>1</v>
          </cell>
          <cell r="H5966">
            <v>1</v>
          </cell>
          <cell r="I5966">
            <v>0</v>
          </cell>
          <cell r="J5966">
            <v>1</v>
          </cell>
          <cell r="K5966">
            <v>0</v>
          </cell>
          <cell r="L5966">
            <v>0</v>
          </cell>
          <cell r="M5966">
            <v>0</v>
          </cell>
          <cell r="N5966">
            <v>1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</row>
        <row r="5967">
          <cell r="D5967">
            <v>317005</v>
          </cell>
          <cell r="E5967" t="str">
            <v>Dadiangas North High School</v>
          </cell>
          <cell r="F5967">
            <v>1</v>
          </cell>
          <cell r="G5967">
            <v>1</v>
          </cell>
          <cell r="H5967">
            <v>1</v>
          </cell>
          <cell r="I5967">
            <v>1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1</v>
          </cell>
          <cell r="O5967">
            <v>0</v>
          </cell>
          <cell r="P5967">
            <v>43700</v>
          </cell>
          <cell r="Q5967">
            <v>0</v>
          </cell>
          <cell r="R5967">
            <v>1</v>
          </cell>
          <cell r="S5967">
            <v>0</v>
          </cell>
          <cell r="T5967">
            <v>0</v>
          </cell>
          <cell r="U5967">
            <v>0</v>
          </cell>
          <cell r="V5967">
            <v>1</v>
          </cell>
          <cell r="W5967">
            <v>5</v>
          </cell>
          <cell r="X5967">
            <v>5</v>
          </cell>
          <cell r="Y5967">
            <v>3</v>
          </cell>
        </row>
        <row r="5968">
          <cell r="D5968">
            <v>304636</v>
          </cell>
          <cell r="E5968" t="str">
            <v>A.G. Busano, Sr. High School</v>
          </cell>
          <cell r="F5968">
            <v>1</v>
          </cell>
          <cell r="G5968">
            <v>0</v>
          </cell>
          <cell r="H5968">
            <v>1</v>
          </cell>
          <cell r="I5968">
            <v>0</v>
          </cell>
          <cell r="J5968">
            <v>1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1</v>
          </cell>
          <cell r="S5968">
            <v>0</v>
          </cell>
          <cell r="T5968">
            <v>0</v>
          </cell>
          <cell r="U5968">
            <v>0</v>
          </cell>
          <cell r="V5968">
            <v>1</v>
          </cell>
          <cell r="W5968">
            <v>0</v>
          </cell>
          <cell r="X5968">
            <v>0</v>
          </cell>
          <cell r="Y5968">
            <v>0</v>
          </cell>
        </row>
        <row r="5969">
          <cell r="D5969">
            <v>304640</v>
          </cell>
          <cell r="E5969" t="str">
            <v>Engracia L. Valdomar National High School</v>
          </cell>
          <cell r="F5969">
            <v>1</v>
          </cell>
          <cell r="G5969">
            <v>1</v>
          </cell>
          <cell r="H5969">
            <v>1</v>
          </cell>
          <cell r="I5969">
            <v>0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 t="str">
            <v>NONE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 t="str">
            <v>NONE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</row>
        <row r="5970">
          <cell r="D5970">
            <v>500302</v>
          </cell>
          <cell r="E5970" t="str">
            <v>General Santos City SPED Integrated School</v>
          </cell>
          <cell r="F5970">
            <v>1</v>
          </cell>
          <cell r="G5970">
            <v>1</v>
          </cell>
          <cell r="H5970">
            <v>1</v>
          </cell>
          <cell r="I5970">
            <v>0</v>
          </cell>
          <cell r="J5970">
            <v>0</v>
          </cell>
          <cell r="K5970">
            <v>1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</row>
        <row r="5971">
          <cell r="D5971">
            <v>304637</v>
          </cell>
          <cell r="E5971" t="str">
            <v>Datu Andiam Manza National High School</v>
          </cell>
          <cell r="F5971">
            <v>1</v>
          </cell>
          <cell r="G5971">
            <v>1</v>
          </cell>
          <cell r="H5971">
            <v>1</v>
          </cell>
          <cell r="I5971">
            <v>1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1</v>
          </cell>
          <cell r="O5971">
            <v>0</v>
          </cell>
          <cell r="P5971">
            <v>0</v>
          </cell>
          <cell r="Q5971">
            <v>0</v>
          </cell>
          <cell r="R5971">
            <v>1</v>
          </cell>
          <cell r="S5971">
            <v>0</v>
          </cell>
          <cell r="T5971">
            <v>0</v>
          </cell>
          <cell r="U5971">
            <v>0</v>
          </cell>
          <cell r="V5971">
            <v>1</v>
          </cell>
          <cell r="W5971">
            <v>0</v>
          </cell>
          <cell r="X5971">
            <v>0</v>
          </cell>
          <cell r="Y5971">
            <v>0</v>
          </cell>
        </row>
        <row r="5972">
          <cell r="D5972">
            <v>304645</v>
          </cell>
          <cell r="E5972" t="str">
            <v>Johnny Ang National High  School</v>
          </cell>
          <cell r="F5972">
            <v>1</v>
          </cell>
          <cell r="G5972">
            <v>1</v>
          </cell>
          <cell r="H5972">
            <v>1</v>
          </cell>
          <cell r="I5972">
            <v>0</v>
          </cell>
          <cell r="J5972">
            <v>0</v>
          </cell>
          <cell r="K5972">
            <v>1</v>
          </cell>
          <cell r="L5972">
            <v>0</v>
          </cell>
          <cell r="M5972">
            <v>0</v>
          </cell>
          <cell r="N5972">
            <v>1</v>
          </cell>
          <cell r="O5972">
            <v>43657</v>
          </cell>
          <cell r="P5972">
            <v>43657</v>
          </cell>
          <cell r="Q5972">
            <v>0</v>
          </cell>
          <cell r="R5972">
            <v>0</v>
          </cell>
          <cell r="S5972">
            <v>1</v>
          </cell>
          <cell r="T5972">
            <v>0</v>
          </cell>
          <cell r="U5972">
            <v>0</v>
          </cell>
          <cell r="V5972">
            <v>1</v>
          </cell>
          <cell r="W5972">
            <v>0</v>
          </cell>
          <cell r="X5972">
            <v>0</v>
          </cell>
          <cell r="Y5972">
            <v>0</v>
          </cell>
        </row>
        <row r="5973">
          <cell r="D5973">
            <v>304655</v>
          </cell>
          <cell r="E5973" t="str">
            <v>GSC National Secondary School of Arts &amp; Trades</v>
          </cell>
          <cell r="F5973">
            <v>1</v>
          </cell>
          <cell r="G5973">
            <v>1</v>
          </cell>
          <cell r="H5973">
            <v>1</v>
          </cell>
          <cell r="I5973">
            <v>0</v>
          </cell>
          <cell r="J5973">
            <v>0</v>
          </cell>
          <cell r="K5973">
            <v>1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43605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1</v>
          </cell>
          <cell r="W5973">
            <v>0</v>
          </cell>
          <cell r="X5973">
            <v>0</v>
          </cell>
          <cell r="Y5973">
            <v>0</v>
          </cell>
        </row>
        <row r="5974">
          <cell r="D5974">
            <v>304639</v>
          </cell>
          <cell r="E5974" t="str">
            <v>Bula National School of Fisheries</v>
          </cell>
          <cell r="F5974">
            <v>1</v>
          </cell>
          <cell r="G5974">
            <v>1</v>
          </cell>
          <cell r="H5974">
            <v>1</v>
          </cell>
          <cell r="I5974">
            <v>0</v>
          </cell>
          <cell r="J5974">
            <v>1</v>
          </cell>
          <cell r="K5974">
            <v>0</v>
          </cell>
          <cell r="L5974">
            <v>0</v>
          </cell>
          <cell r="M5974">
            <v>0</v>
          </cell>
          <cell r="N5974">
            <v>1</v>
          </cell>
          <cell r="O5974" t="str">
            <v>MAY 28, 2019</v>
          </cell>
          <cell r="P5974">
            <v>0</v>
          </cell>
          <cell r="Q5974">
            <v>0</v>
          </cell>
          <cell r="R5974">
            <v>1</v>
          </cell>
          <cell r="S5974">
            <v>0</v>
          </cell>
          <cell r="T5974">
            <v>0</v>
          </cell>
          <cell r="U5974">
            <v>0</v>
          </cell>
          <cell r="V5974">
            <v>1</v>
          </cell>
          <cell r="W5974">
            <v>0</v>
          </cell>
          <cell r="X5974">
            <v>0</v>
          </cell>
          <cell r="Y5974">
            <v>0</v>
          </cell>
        </row>
        <row r="5975">
          <cell r="D5975">
            <v>304654</v>
          </cell>
          <cell r="E5975" t="str">
            <v>Lagao National High School Annex</v>
          </cell>
          <cell r="F5975">
            <v>1</v>
          </cell>
          <cell r="G5975">
            <v>1</v>
          </cell>
          <cell r="H5975">
            <v>1</v>
          </cell>
          <cell r="I5975">
            <v>0</v>
          </cell>
          <cell r="J5975">
            <v>1</v>
          </cell>
          <cell r="K5975">
            <v>0</v>
          </cell>
          <cell r="L5975">
            <v>0</v>
          </cell>
          <cell r="M5975">
            <v>0</v>
          </cell>
          <cell r="N5975">
            <v>1</v>
          </cell>
          <cell r="O5975">
            <v>43637</v>
          </cell>
          <cell r="P5975">
            <v>43637</v>
          </cell>
          <cell r="Q5975">
            <v>0</v>
          </cell>
          <cell r="R5975">
            <v>1</v>
          </cell>
          <cell r="S5975">
            <v>0</v>
          </cell>
          <cell r="T5975">
            <v>0</v>
          </cell>
          <cell r="U5975">
            <v>0</v>
          </cell>
          <cell r="V5975">
            <v>1</v>
          </cell>
          <cell r="W5975">
            <v>0</v>
          </cell>
          <cell r="X5975">
            <v>0</v>
          </cell>
          <cell r="Y5975">
            <v>0</v>
          </cell>
        </row>
        <row r="5976">
          <cell r="D5976">
            <v>317002</v>
          </cell>
          <cell r="E5976" t="str">
            <v>Pao-Pao High School</v>
          </cell>
          <cell r="F5976">
            <v>1</v>
          </cell>
          <cell r="G5976">
            <v>0</v>
          </cell>
          <cell r="H5976">
            <v>1</v>
          </cell>
          <cell r="I5976">
            <v>0</v>
          </cell>
          <cell r="J5976">
            <v>1</v>
          </cell>
          <cell r="K5976">
            <v>0</v>
          </cell>
          <cell r="L5976">
            <v>0</v>
          </cell>
          <cell r="M5976">
            <v>0</v>
          </cell>
          <cell r="N5976">
            <v>1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</row>
        <row r="5977">
          <cell r="D5977">
            <v>304643</v>
          </cell>
          <cell r="E5977" t="str">
            <v>Banisil National High School</v>
          </cell>
          <cell r="F5977">
            <v>1</v>
          </cell>
          <cell r="G5977">
            <v>1</v>
          </cell>
          <cell r="H5977">
            <v>1</v>
          </cell>
          <cell r="I5977">
            <v>0</v>
          </cell>
          <cell r="J5977">
            <v>1</v>
          </cell>
          <cell r="K5977">
            <v>0</v>
          </cell>
          <cell r="L5977">
            <v>0</v>
          </cell>
          <cell r="M5977">
            <v>0</v>
          </cell>
          <cell r="N5977">
            <v>1</v>
          </cell>
          <cell r="O5977">
            <v>43586</v>
          </cell>
          <cell r="P5977">
            <v>43647</v>
          </cell>
          <cell r="Q5977">
            <v>0</v>
          </cell>
          <cell r="R5977">
            <v>1</v>
          </cell>
          <cell r="S5977">
            <v>0</v>
          </cell>
          <cell r="T5977">
            <v>0</v>
          </cell>
          <cell r="U5977">
            <v>0</v>
          </cell>
          <cell r="V5977">
            <v>1</v>
          </cell>
          <cell r="W5977">
            <v>0</v>
          </cell>
          <cell r="X5977">
            <v>0</v>
          </cell>
          <cell r="Y5977">
            <v>0</v>
          </cell>
        </row>
        <row r="5978">
          <cell r="D5978">
            <v>304638</v>
          </cell>
          <cell r="E5978" t="str">
            <v>Buayan National High School</v>
          </cell>
          <cell r="F5978">
            <v>1</v>
          </cell>
          <cell r="G5978">
            <v>1</v>
          </cell>
          <cell r="H5978">
            <v>1</v>
          </cell>
          <cell r="I5978">
            <v>0</v>
          </cell>
          <cell r="J5978">
            <v>1</v>
          </cell>
          <cell r="K5978">
            <v>0</v>
          </cell>
          <cell r="L5978">
            <v>0</v>
          </cell>
          <cell r="M5978">
            <v>0</v>
          </cell>
          <cell r="N5978">
            <v>1</v>
          </cell>
          <cell r="O5978">
            <v>43299</v>
          </cell>
          <cell r="P5978">
            <v>43731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1</v>
          </cell>
          <cell r="X5978">
            <v>0</v>
          </cell>
          <cell r="Y5978">
            <v>0</v>
          </cell>
        </row>
        <row r="5979">
          <cell r="D5979">
            <v>304651</v>
          </cell>
          <cell r="E5979" t="str">
            <v>Ligaya High School</v>
          </cell>
          <cell r="F5979">
            <v>1</v>
          </cell>
          <cell r="G5979">
            <v>0</v>
          </cell>
          <cell r="H5979">
            <v>1</v>
          </cell>
          <cell r="I5979">
            <v>0</v>
          </cell>
          <cell r="J5979">
            <v>0</v>
          </cell>
          <cell r="K5979">
            <v>1</v>
          </cell>
          <cell r="L5979">
            <v>0</v>
          </cell>
          <cell r="M5979">
            <v>0</v>
          </cell>
          <cell r="N5979">
            <v>0</v>
          </cell>
          <cell r="O5979" t="str">
            <v>n/a</v>
          </cell>
          <cell r="P5979" t="str">
            <v>n/a</v>
          </cell>
          <cell r="Q5979">
            <v>0</v>
          </cell>
          <cell r="R5979">
            <v>0</v>
          </cell>
          <cell r="S5979">
            <v>0</v>
          </cell>
          <cell r="T5979">
            <v>1</v>
          </cell>
          <cell r="U5979" t="str">
            <v>no stores w/in 100-m perimeter of the school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</row>
        <row r="5980">
          <cell r="D5980">
            <v>304641</v>
          </cell>
          <cell r="E5980" t="str">
            <v>Fatima National High School</v>
          </cell>
          <cell r="F5980">
            <v>1</v>
          </cell>
          <cell r="G5980">
            <v>1</v>
          </cell>
          <cell r="H5980">
            <v>1</v>
          </cell>
          <cell r="I5980">
            <v>0</v>
          </cell>
          <cell r="J5980">
            <v>1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43355</v>
          </cell>
          <cell r="P5980" t="str">
            <v>NONE</v>
          </cell>
          <cell r="Q5980">
            <v>0</v>
          </cell>
          <cell r="R5980">
            <v>0</v>
          </cell>
          <cell r="S5980">
            <v>1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</row>
        <row r="5981">
          <cell r="D5981">
            <v>304648</v>
          </cell>
          <cell r="E5981" t="str">
            <v>Irineo Santiago National High School of Metro Dadiangas (Main)</v>
          </cell>
          <cell r="F5981">
            <v>1</v>
          </cell>
          <cell r="G5981">
            <v>1</v>
          </cell>
          <cell r="H5981">
            <v>0</v>
          </cell>
          <cell r="I5981">
            <v>0</v>
          </cell>
          <cell r="J5981">
            <v>0</v>
          </cell>
          <cell r="K5981">
            <v>1</v>
          </cell>
          <cell r="L5981">
            <v>0</v>
          </cell>
          <cell r="M5981">
            <v>0</v>
          </cell>
          <cell r="N5981">
            <v>1</v>
          </cell>
          <cell r="O5981">
            <v>0</v>
          </cell>
          <cell r="P5981">
            <v>0</v>
          </cell>
          <cell r="Q5981">
            <v>0</v>
          </cell>
          <cell r="R5981">
            <v>1</v>
          </cell>
          <cell r="S5981">
            <v>0</v>
          </cell>
          <cell r="T5981">
            <v>0</v>
          </cell>
          <cell r="U5981">
            <v>0</v>
          </cell>
          <cell r="V5981">
            <v>1</v>
          </cell>
          <cell r="W5981">
            <v>0</v>
          </cell>
          <cell r="X5981">
            <v>0</v>
          </cell>
          <cell r="Y5981">
            <v>0</v>
          </cell>
        </row>
        <row r="5982">
          <cell r="D5982">
            <v>317004</v>
          </cell>
          <cell r="E5982" t="str">
            <v>Elias Buscano Sr. High School</v>
          </cell>
          <cell r="F5982">
            <v>1</v>
          </cell>
          <cell r="G5982">
            <v>0</v>
          </cell>
          <cell r="H5982">
            <v>1</v>
          </cell>
          <cell r="I5982">
            <v>0</v>
          </cell>
          <cell r="J5982">
            <v>1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 t="str">
            <v>n/a</v>
          </cell>
          <cell r="P5982" t="str">
            <v>n/a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</row>
        <row r="5983">
          <cell r="D5983">
            <v>317003</v>
          </cell>
          <cell r="E5983" t="str">
            <v>Baluan National High School</v>
          </cell>
          <cell r="F5983">
            <v>1</v>
          </cell>
          <cell r="G5983">
            <v>1</v>
          </cell>
          <cell r="H5983">
            <v>1</v>
          </cell>
          <cell r="I5983">
            <v>1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1</v>
          </cell>
          <cell r="O5983">
            <v>0</v>
          </cell>
          <cell r="P5983">
            <v>43700</v>
          </cell>
          <cell r="Q5983">
            <v>1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1</v>
          </cell>
          <cell r="W5983">
            <v>0</v>
          </cell>
          <cell r="X5983">
            <v>0</v>
          </cell>
          <cell r="Y5983">
            <v>0</v>
          </cell>
        </row>
        <row r="5984">
          <cell r="D5984">
            <v>304644</v>
          </cell>
          <cell r="E5984" t="str">
            <v>Bawing National High School</v>
          </cell>
          <cell r="F5984">
            <v>0</v>
          </cell>
          <cell r="G5984">
            <v>0</v>
          </cell>
          <cell r="H5984">
            <v>1</v>
          </cell>
          <cell r="I5984">
            <v>0</v>
          </cell>
          <cell r="J5984">
            <v>0</v>
          </cell>
          <cell r="K5984">
            <v>1</v>
          </cell>
          <cell r="L5984">
            <v>0</v>
          </cell>
          <cell r="M5984">
            <v>0</v>
          </cell>
          <cell r="N5984">
            <v>1</v>
          </cell>
          <cell r="O5984" t="str">
            <v>OCTOBER 11, 2019</v>
          </cell>
          <cell r="P5984" t="str">
            <v>NA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3</v>
          </cell>
          <cell r="X5984">
            <v>0</v>
          </cell>
          <cell r="Y5984">
            <v>0</v>
          </cell>
        </row>
        <row r="5985">
          <cell r="D5985">
            <v>304649</v>
          </cell>
          <cell r="E5985" t="str">
            <v>Datu B. Balunto National High School</v>
          </cell>
          <cell r="F5985">
            <v>1</v>
          </cell>
          <cell r="G5985">
            <v>0</v>
          </cell>
          <cell r="H5985">
            <v>1</v>
          </cell>
          <cell r="I5985">
            <v>0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43346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1</v>
          </cell>
          <cell r="W5985">
            <v>0</v>
          </cell>
          <cell r="X5985">
            <v>0</v>
          </cell>
          <cell r="Y5985">
            <v>0</v>
          </cell>
        </row>
        <row r="5986">
          <cell r="D5986">
            <v>317006</v>
          </cell>
          <cell r="E5986" t="str">
            <v>Samboang-Ngilay High School</v>
          </cell>
          <cell r="F5986">
            <v>1</v>
          </cell>
          <cell r="G5986">
            <v>1</v>
          </cell>
          <cell r="H5986">
            <v>1</v>
          </cell>
          <cell r="I5986">
            <v>0</v>
          </cell>
          <cell r="J5986">
            <v>1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 t="str">
            <v>none</v>
          </cell>
          <cell r="P5986" t="str">
            <v>none</v>
          </cell>
          <cell r="Q5986">
            <v>0</v>
          </cell>
          <cell r="R5986">
            <v>0</v>
          </cell>
          <cell r="S5986">
            <v>0</v>
          </cell>
          <cell r="T5986">
            <v>1</v>
          </cell>
          <cell r="U5986" t="str">
            <v>none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</row>
        <row r="5987">
          <cell r="D5987">
            <v>304652</v>
          </cell>
          <cell r="E5987" t="str">
            <v>Upper Labay High School</v>
          </cell>
          <cell r="F5987">
            <v>0</v>
          </cell>
          <cell r="G5987">
            <v>0</v>
          </cell>
          <cell r="H5987">
            <v>1</v>
          </cell>
          <cell r="I5987">
            <v>0</v>
          </cell>
          <cell r="J5987">
            <v>1</v>
          </cell>
          <cell r="K5987">
            <v>0</v>
          </cell>
          <cell r="L5987">
            <v>0</v>
          </cell>
          <cell r="M5987">
            <v>0</v>
          </cell>
          <cell r="N5987">
            <v>1</v>
          </cell>
          <cell r="O5987">
            <v>43626</v>
          </cell>
          <cell r="P5987">
            <v>43626</v>
          </cell>
          <cell r="Q5987">
            <v>0</v>
          </cell>
          <cell r="R5987">
            <v>0</v>
          </cell>
          <cell r="S5987">
            <v>1</v>
          </cell>
          <cell r="T5987">
            <v>0</v>
          </cell>
          <cell r="U5987">
            <v>0</v>
          </cell>
          <cell r="V5987">
            <v>1</v>
          </cell>
          <cell r="W5987">
            <v>0</v>
          </cell>
          <cell r="X5987">
            <v>0</v>
          </cell>
          <cell r="Y5987">
            <v>0</v>
          </cell>
        </row>
        <row r="5988">
          <cell r="D5988">
            <v>304650</v>
          </cell>
          <cell r="E5988" t="str">
            <v>Labangal National High School (Main)</v>
          </cell>
          <cell r="F5988">
            <v>1</v>
          </cell>
          <cell r="G5988">
            <v>1</v>
          </cell>
          <cell r="H5988">
            <v>1</v>
          </cell>
          <cell r="I5988">
            <v>0</v>
          </cell>
          <cell r="J5988">
            <v>0</v>
          </cell>
          <cell r="K5988">
            <v>0</v>
          </cell>
          <cell r="L5988">
            <v>1</v>
          </cell>
          <cell r="M5988">
            <v>0</v>
          </cell>
          <cell r="N5988">
            <v>1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1</v>
          </cell>
          <cell r="U5988" t="str">
            <v>AS THE NEED ARISES</v>
          </cell>
          <cell r="V5988">
            <v>1</v>
          </cell>
          <cell r="W5988">
            <v>0</v>
          </cell>
          <cell r="X5988">
            <v>0</v>
          </cell>
          <cell r="Y5988">
            <v>0</v>
          </cell>
        </row>
        <row r="5989">
          <cell r="D5989">
            <v>304647</v>
          </cell>
          <cell r="E5989" t="str">
            <v>New Society National High School</v>
          </cell>
          <cell r="F5989">
            <v>0</v>
          </cell>
          <cell r="G5989">
            <v>0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1</v>
          </cell>
          <cell r="M5989" t="str">
            <v>N/A</v>
          </cell>
          <cell r="N5989">
            <v>0</v>
          </cell>
          <cell r="O5989" t="str">
            <v>N/A</v>
          </cell>
          <cell r="P5989" t="str">
            <v>N/A</v>
          </cell>
          <cell r="Q5989">
            <v>0</v>
          </cell>
          <cell r="R5989">
            <v>0</v>
          </cell>
          <cell r="S5989">
            <v>0</v>
          </cell>
          <cell r="T5989">
            <v>1</v>
          </cell>
          <cell r="U5989" t="str">
            <v>N/A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</row>
        <row r="5990">
          <cell r="D5990">
            <v>304653</v>
          </cell>
          <cell r="E5990" t="str">
            <v>Lagao National High School (Main)</v>
          </cell>
          <cell r="F5990">
            <v>1</v>
          </cell>
          <cell r="G5990">
            <v>1</v>
          </cell>
          <cell r="H5990">
            <v>1</v>
          </cell>
          <cell r="I5990">
            <v>0</v>
          </cell>
          <cell r="J5990">
            <v>0</v>
          </cell>
          <cell r="K5990">
            <v>0</v>
          </cell>
          <cell r="L5990">
            <v>1</v>
          </cell>
          <cell r="M5990" t="str">
            <v>When Need Arises</v>
          </cell>
          <cell r="N5990">
            <v>1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1</v>
          </cell>
          <cell r="T5990">
            <v>0</v>
          </cell>
          <cell r="U5990">
            <v>0</v>
          </cell>
          <cell r="V5990">
            <v>1</v>
          </cell>
          <cell r="W5990">
            <v>0</v>
          </cell>
          <cell r="X5990">
            <v>0</v>
          </cell>
          <cell r="Y5990">
            <v>0</v>
          </cell>
        </row>
        <row r="5991">
          <cell r="D5991">
            <v>304642</v>
          </cell>
          <cell r="E5991" t="str">
            <v>General Santos City National High School (Main)</v>
          </cell>
          <cell r="F5991">
            <v>1</v>
          </cell>
          <cell r="G5991">
            <v>0</v>
          </cell>
          <cell r="H5991">
            <v>1</v>
          </cell>
          <cell r="I5991">
            <v>0</v>
          </cell>
          <cell r="J5991">
            <v>1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1</v>
          </cell>
          <cell r="U5991">
            <v>0</v>
          </cell>
          <cell r="V5991">
            <v>0</v>
          </cell>
          <cell r="W5991">
            <v>5</v>
          </cell>
          <cell r="X5991">
            <v>0</v>
          </cell>
          <cell r="Y5991">
            <v>0</v>
          </cell>
        </row>
        <row r="5992">
          <cell r="D5992">
            <v>304666</v>
          </cell>
          <cell r="E5992" t="str">
            <v>Spottswood NHS</v>
          </cell>
          <cell r="F5992">
            <v>1</v>
          </cell>
          <cell r="G5992">
            <v>1</v>
          </cell>
          <cell r="H5992">
            <v>1</v>
          </cell>
          <cell r="I5992">
            <v>0</v>
          </cell>
          <cell r="J5992">
            <v>1</v>
          </cell>
          <cell r="K5992">
            <v>0</v>
          </cell>
          <cell r="L5992">
            <v>0</v>
          </cell>
          <cell r="M5992">
            <v>0</v>
          </cell>
          <cell r="N5992">
            <v>1</v>
          </cell>
          <cell r="O5992">
            <v>43101</v>
          </cell>
          <cell r="P5992">
            <v>43497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1</v>
          </cell>
          <cell r="W5992">
            <v>0</v>
          </cell>
          <cell r="X5992">
            <v>0</v>
          </cell>
          <cell r="Y5992">
            <v>0</v>
          </cell>
        </row>
        <row r="5993">
          <cell r="D5993">
            <v>304661</v>
          </cell>
          <cell r="E5993" t="str">
            <v>Kidapawan City National High School</v>
          </cell>
          <cell r="F5993">
            <v>1</v>
          </cell>
          <cell r="G5993">
            <v>1</v>
          </cell>
          <cell r="H5993">
            <v>1</v>
          </cell>
          <cell r="I5993">
            <v>0</v>
          </cell>
          <cell r="J5993">
            <v>1</v>
          </cell>
          <cell r="K5993">
            <v>0</v>
          </cell>
          <cell r="L5993">
            <v>0</v>
          </cell>
          <cell r="M5993">
            <v>0</v>
          </cell>
          <cell r="N5993">
            <v>1</v>
          </cell>
          <cell r="O5993">
            <v>43610</v>
          </cell>
          <cell r="P5993">
            <v>43610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1</v>
          </cell>
          <cell r="W5993">
            <v>2</v>
          </cell>
          <cell r="X5993">
            <v>2</v>
          </cell>
          <cell r="Y5993">
            <v>2</v>
          </cell>
        </row>
        <row r="5994">
          <cell r="D5994">
            <v>304658</v>
          </cell>
          <cell r="E5994" t="str">
            <v>Ginatilan National High School</v>
          </cell>
          <cell r="F5994">
            <v>1</v>
          </cell>
          <cell r="G5994">
            <v>1</v>
          </cell>
          <cell r="H5994">
            <v>1</v>
          </cell>
          <cell r="I5994">
            <v>0</v>
          </cell>
          <cell r="J5994">
            <v>1</v>
          </cell>
          <cell r="K5994">
            <v>0</v>
          </cell>
          <cell r="L5994">
            <v>0</v>
          </cell>
          <cell r="M5994">
            <v>0</v>
          </cell>
          <cell r="N5994">
            <v>1</v>
          </cell>
          <cell r="O5994">
            <v>0</v>
          </cell>
          <cell r="P5994" t="str">
            <v>June 21, 2019</v>
          </cell>
          <cell r="Q5994">
            <v>1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1</v>
          </cell>
          <cell r="W5994">
            <v>0</v>
          </cell>
          <cell r="X5994">
            <v>0</v>
          </cell>
          <cell r="Y5994">
            <v>0</v>
          </cell>
        </row>
        <row r="5995">
          <cell r="D5995">
            <v>304659</v>
          </cell>
          <cell r="E5995" t="str">
            <v>Manongol National High School</v>
          </cell>
          <cell r="F5995">
            <v>1</v>
          </cell>
          <cell r="G5995">
            <v>1</v>
          </cell>
          <cell r="H5995">
            <v>1</v>
          </cell>
          <cell r="I5995">
            <v>0</v>
          </cell>
          <cell r="J5995">
            <v>0</v>
          </cell>
          <cell r="K5995">
            <v>1</v>
          </cell>
          <cell r="L5995">
            <v>0</v>
          </cell>
          <cell r="M5995">
            <v>0</v>
          </cell>
          <cell r="N5995">
            <v>1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1</v>
          </cell>
          <cell r="T5995">
            <v>0</v>
          </cell>
          <cell r="U5995">
            <v>0</v>
          </cell>
          <cell r="V5995">
            <v>1</v>
          </cell>
          <cell r="W5995">
            <v>0</v>
          </cell>
          <cell r="X5995">
            <v>0</v>
          </cell>
          <cell r="Y5995">
            <v>0</v>
          </cell>
        </row>
        <row r="5996">
          <cell r="D5996">
            <v>304663</v>
          </cell>
          <cell r="E5996" t="str">
            <v>Kalaisan National High School</v>
          </cell>
          <cell r="F5996">
            <v>1</v>
          </cell>
          <cell r="G5996">
            <v>1</v>
          </cell>
          <cell r="H5996">
            <v>1</v>
          </cell>
          <cell r="I5996">
            <v>0</v>
          </cell>
          <cell r="J5996">
            <v>1</v>
          </cell>
          <cell r="K5996">
            <v>0</v>
          </cell>
          <cell r="L5996">
            <v>0</v>
          </cell>
          <cell r="M5996">
            <v>0</v>
          </cell>
          <cell r="N5996">
            <v>1</v>
          </cell>
          <cell r="O5996">
            <v>0</v>
          </cell>
          <cell r="P5996">
            <v>0</v>
          </cell>
          <cell r="Q5996">
            <v>0</v>
          </cell>
          <cell r="R5996">
            <v>1</v>
          </cell>
          <cell r="S5996">
            <v>0</v>
          </cell>
          <cell r="T5996">
            <v>0</v>
          </cell>
          <cell r="U5996">
            <v>0</v>
          </cell>
          <cell r="V5996">
            <v>1</v>
          </cell>
          <cell r="W5996">
            <v>0</v>
          </cell>
          <cell r="X5996">
            <v>0</v>
          </cell>
          <cell r="Y5996">
            <v>0</v>
          </cell>
        </row>
        <row r="5997">
          <cell r="D5997">
            <v>304668</v>
          </cell>
          <cell r="E5997" t="str">
            <v>Paco National High School</v>
          </cell>
          <cell r="F5997">
            <v>1</v>
          </cell>
          <cell r="G5997">
            <v>0</v>
          </cell>
          <cell r="H5997">
            <v>1</v>
          </cell>
          <cell r="I5997">
            <v>0</v>
          </cell>
          <cell r="J5997">
            <v>1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1</v>
          </cell>
          <cell r="S5997">
            <v>0</v>
          </cell>
          <cell r="T5997">
            <v>0</v>
          </cell>
          <cell r="U5997">
            <v>0</v>
          </cell>
          <cell r="V5997">
            <v>1</v>
          </cell>
          <cell r="W5997">
            <v>3</v>
          </cell>
          <cell r="X5997">
            <v>1</v>
          </cell>
          <cell r="Y5997">
            <v>0</v>
          </cell>
        </row>
        <row r="5998">
          <cell r="D5998">
            <v>317101</v>
          </cell>
          <cell r="E5998" t="str">
            <v>Linangkob National High School</v>
          </cell>
          <cell r="F5998">
            <v>1</v>
          </cell>
          <cell r="G5998">
            <v>1</v>
          </cell>
          <cell r="H5998">
            <v>1</v>
          </cell>
          <cell r="I5998">
            <v>0</v>
          </cell>
          <cell r="J5998">
            <v>1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</row>
        <row r="5999">
          <cell r="D5999">
            <v>304662</v>
          </cell>
          <cell r="E5999" t="str">
            <v>Juan P. Jalipa Memorial National High School</v>
          </cell>
          <cell r="F5999">
            <v>1</v>
          </cell>
          <cell r="G5999">
            <v>1</v>
          </cell>
          <cell r="H5999">
            <v>1</v>
          </cell>
          <cell r="I5999">
            <v>0</v>
          </cell>
          <cell r="J5999">
            <v>1</v>
          </cell>
          <cell r="K5999">
            <v>0</v>
          </cell>
          <cell r="L5999">
            <v>0</v>
          </cell>
          <cell r="M5999">
            <v>0</v>
          </cell>
          <cell r="N5999">
            <v>1</v>
          </cell>
          <cell r="O5999" t="str">
            <v>06/28/2019</v>
          </cell>
          <cell r="P5999">
            <v>43473</v>
          </cell>
          <cell r="Q5999">
            <v>0</v>
          </cell>
          <cell r="R5999">
            <v>1</v>
          </cell>
          <cell r="S5999">
            <v>0</v>
          </cell>
          <cell r="T5999">
            <v>0</v>
          </cell>
          <cell r="U5999">
            <v>0</v>
          </cell>
          <cell r="V5999">
            <v>1</v>
          </cell>
          <cell r="W5999">
            <v>0</v>
          </cell>
          <cell r="X5999">
            <v>0</v>
          </cell>
          <cell r="Y5999">
            <v>0</v>
          </cell>
        </row>
        <row r="6000">
          <cell r="D6000">
            <v>304665</v>
          </cell>
          <cell r="E6000" t="str">
            <v>Saniel Cruz National High School</v>
          </cell>
          <cell r="F6000">
            <v>1</v>
          </cell>
          <cell r="G6000">
            <v>1</v>
          </cell>
          <cell r="H6000">
            <v>1</v>
          </cell>
          <cell r="I6000">
            <v>0</v>
          </cell>
          <cell r="J6000">
            <v>1</v>
          </cell>
          <cell r="K6000">
            <v>0</v>
          </cell>
          <cell r="L6000">
            <v>0</v>
          </cell>
          <cell r="M6000">
            <v>0</v>
          </cell>
          <cell r="N6000">
            <v>1</v>
          </cell>
          <cell r="O6000">
            <v>43638</v>
          </cell>
          <cell r="P6000">
            <v>43638</v>
          </cell>
          <cell r="Q6000">
            <v>1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1</v>
          </cell>
          <cell r="W6000">
            <v>0</v>
          </cell>
          <cell r="X6000">
            <v>0</v>
          </cell>
          <cell r="Y6000">
            <v>0</v>
          </cell>
        </row>
        <row r="6001">
          <cell r="D6001">
            <v>304657</v>
          </cell>
          <cell r="E6001" t="str">
            <v>Gayola National High School</v>
          </cell>
          <cell r="F6001">
            <v>1</v>
          </cell>
          <cell r="G6001">
            <v>1</v>
          </cell>
          <cell r="H6001">
            <v>1</v>
          </cell>
          <cell r="I6001">
            <v>0</v>
          </cell>
          <cell r="J6001">
            <v>1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 t="str">
            <v>DECEMBER 10, 2019</v>
          </cell>
          <cell r="P6001">
            <v>0</v>
          </cell>
          <cell r="Q6001">
            <v>0</v>
          </cell>
          <cell r="R6001">
            <v>1</v>
          </cell>
          <cell r="S6001">
            <v>0</v>
          </cell>
          <cell r="T6001">
            <v>0</v>
          </cell>
          <cell r="U6001">
            <v>0</v>
          </cell>
          <cell r="V6001">
            <v>1</v>
          </cell>
          <cell r="W6001">
            <v>0</v>
          </cell>
          <cell r="X6001">
            <v>0</v>
          </cell>
          <cell r="Y6001">
            <v>0</v>
          </cell>
        </row>
        <row r="6002">
          <cell r="D6002">
            <v>317102</v>
          </cell>
          <cell r="E6002" t="str">
            <v>Juan L. Gantuangco School of Arts and Trades</v>
          </cell>
          <cell r="F6002">
            <v>1</v>
          </cell>
          <cell r="G6002">
            <v>1</v>
          </cell>
          <cell r="H6002">
            <v>1</v>
          </cell>
          <cell r="I6002">
            <v>0</v>
          </cell>
          <cell r="J6002">
            <v>0</v>
          </cell>
          <cell r="K6002">
            <v>0</v>
          </cell>
          <cell r="L6002">
            <v>1</v>
          </cell>
          <cell r="M6002" t="str">
            <v>WHEN PROBLEM OCCUR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1</v>
          </cell>
          <cell r="U6002" t="str">
            <v>WHEN PROBLEM OCCUR</v>
          </cell>
          <cell r="V6002">
            <v>1</v>
          </cell>
          <cell r="W6002">
            <v>0</v>
          </cell>
          <cell r="X6002">
            <v>0</v>
          </cell>
          <cell r="Y6002">
            <v>0</v>
          </cell>
        </row>
        <row r="6003">
          <cell r="D6003">
            <v>317103</v>
          </cell>
          <cell r="E6003" t="str">
            <v>Patadon National High School</v>
          </cell>
          <cell r="F6003">
            <v>1</v>
          </cell>
          <cell r="G6003">
            <v>1</v>
          </cell>
          <cell r="H6003">
            <v>0</v>
          </cell>
          <cell r="I6003">
            <v>0</v>
          </cell>
          <cell r="J6003">
            <v>1</v>
          </cell>
          <cell r="K6003">
            <v>0</v>
          </cell>
          <cell r="L6003">
            <v>0</v>
          </cell>
          <cell r="M6003">
            <v>0</v>
          </cell>
          <cell r="N6003">
            <v>1</v>
          </cell>
          <cell r="O6003">
            <v>0</v>
          </cell>
          <cell r="P6003">
            <v>0</v>
          </cell>
          <cell r="Q6003">
            <v>1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1</v>
          </cell>
          <cell r="W6003">
            <v>0</v>
          </cell>
          <cell r="X6003">
            <v>0</v>
          </cell>
          <cell r="Y6003">
            <v>0</v>
          </cell>
        </row>
        <row r="6004">
          <cell r="D6004">
            <v>304656</v>
          </cell>
          <cell r="E6004" t="str">
            <v>Amas National High School</v>
          </cell>
          <cell r="F6004">
            <v>1</v>
          </cell>
          <cell r="G6004">
            <v>1</v>
          </cell>
          <cell r="H6004">
            <v>1</v>
          </cell>
          <cell r="I6004">
            <v>0</v>
          </cell>
          <cell r="J6004">
            <v>1</v>
          </cell>
          <cell r="K6004">
            <v>0</v>
          </cell>
          <cell r="L6004">
            <v>0</v>
          </cell>
          <cell r="M6004">
            <v>0</v>
          </cell>
          <cell r="N6004">
            <v>1</v>
          </cell>
          <cell r="O6004">
            <v>0</v>
          </cell>
          <cell r="P6004">
            <v>0</v>
          </cell>
          <cell r="Q6004">
            <v>0</v>
          </cell>
          <cell r="R6004">
            <v>1</v>
          </cell>
          <cell r="S6004">
            <v>0</v>
          </cell>
          <cell r="T6004">
            <v>0</v>
          </cell>
          <cell r="U6004">
            <v>0</v>
          </cell>
          <cell r="V6004">
            <v>1</v>
          </cell>
          <cell r="W6004">
            <v>0</v>
          </cell>
          <cell r="X6004">
            <v>0</v>
          </cell>
          <cell r="Y6004">
            <v>0</v>
          </cell>
        </row>
        <row r="6005">
          <cell r="D6005">
            <v>304664</v>
          </cell>
          <cell r="E6005" t="str">
            <v>Mt. Apo National High School</v>
          </cell>
          <cell r="F6005">
            <v>1</v>
          </cell>
          <cell r="G6005">
            <v>1</v>
          </cell>
          <cell r="H6005">
            <v>1</v>
          </cell>
          <cell r="I6005">
            <v>0</v>
          </cell>
          <cell r="J6005">
            <v>0</v>
          </cell>
          <cell r="K6005">
            <v>0</v>
          </cell>
          <cell r="L6005">
            <v>1</v>
          </cell>
          <cell r="M6005" t="str">
            <v>as needed</v>
          </cell>
          <cell r="N6005">
            <v>1</v>
          </cell>
          <cell r="O6005" t="str">
            <v>June 21, 2019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1</v>
          </cell>
          <cell r="W6005">
            <v>0</v>
          </cell>
          <cell r="X6005">
            <v>0</v>
          </cell>
          <cell r="Y6005">
            <v>0</v>
          </cell>
        </row>
        <row r="6006">
          <cell r="D6006">
            <v>304667</v>
          </cell>
          <cell r="E6006" t="str">
            <v>Onica National High School</v>
          </cell>
          <cell r="F6006">
            <v>1</v>
          </cell>
          <cell r="G6006">
            <v>1</v>
          </cell>
          <cell r="H6006">
            <v>1</v>
          </cell>
          <cell r="I6006">
            <v>0</v>
          </cell>
          <cell r="J6006">
            <v>1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43468</v>
          </cell>
          <cell r="P6006">
            <v>0</v>
          </cell>
          <cell r="Q6006">
            <v>1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1</v>
          </cell>
          <cell r="W6006">
            <v>0</v>
          </cell>
          <cell r="X6006">
            <v>0</v>
          </cell>
          <cell r="Y6006">
            <v>0</v>
          </cell>
        </row>
        <row r="6007">
          <cell r="D6007">
            <v>304660</v>
          </cell>
          <cell r="E6007" t="str">
            <v>Perez National High School</v>
          </cell>
          <cell r="F6007">
            <v>0</v>
          </cell>
          <cell r="G6007">
            <v>1</v>
          </cell>
          <cell r="H6007">
            <v>1</v>
          </cell>
          <cell r="I6007">
            <v>0</v>
          </cell>
          <cell r="J6007">
            <v>0</v>
          </cell>
          <cell r="K6007">
            <v>1</v>
          </cell>
          <cell r="L6007">
            <v>0</v>
          </cell>
          <cell r="M6007">
            <v>0</v>
          </cell>
          <cell r="N6007">
            <v>1</v>
          </cell>
          <cell r="O6007">
            <v>43651</v>
          </cell>
          <cell r="P6007">
            <v>43651</v>
          </cell>
          <cell r="Q6007">
            <v>0</v>
          </cell>
          <cell r="R6007">
            <v>0</v>
          </cell>
          <cell r="S6007">
            <v>1</v>
          </cell>
          <cell r="T6007">
            <v>0</v>
          </cell>
          <cell r="U6007">
            <v>0</v>
          </cell>
          <cell r="V6007">
            <v>1</v>
          </cell>
          <cell r="W6007">
            <v>0</v>
          </cell>
          <cell r="X6007">
            <v>0</v>
          </cell>
          <cell r="Y6007">
            <v>0</v>
          </cell>
        </row>
        <row r="6008">
          <cell r="D6008">
            <v>317203</v>
          </cell>
          <cell r="E6008" t="str">
            <v>Rotonda National High School</v>
          </cell>
          <cell r="F6008">
            <v>1</v>
          </cell>
          <cell r="G6008">
            <v>1</v>
          </cell>
          <cell r="H6008">
            <v>1</v>
          </cell>
          <cell r="I6008">
            <v>0</v>
          </cell>
          <cell r="J6008">
            <v>0</v>
          </cell>
          <cell r="K6008">
            <v>1</v>
          </cell>
          <cell r="L6008">
            <v>0</v>
          </cell>
          <cell r="M6008">
            <v>0</v>
          </cell>
          <cell r="N6008">
            <v>1</v>
          </cell>
          <cell r="O6008">
            <v>0</v>
          </cell>
          <cell r="P6008">
            <v>43617</v>
          </cell>
          <cell r="Q6008">
            <v>0</v>
          </cell>
          <cell r="R6008">
            <v>0</v>
          </cell>
          <cell r="S6008">
            <v>1</v>
          </cell>
          <cell r="T6008">
            <v>0</v>
          </cell>
          <cell r="U6008">
            <v>0</v>
          </cell>
          <cell r="V6008">
            <v>1</v>
          </cell>
          <cell r="W6008">
            <v>2</v>
          </cell>
          <cell r="X6008">
            <v>1</v>
          </cell>
          <cell r="Y6008">
            <v>1</v>
          </cell>
        </row>
        <row r="6009">
          <cell r="D6009">
            <v>304672</v>
          </cell>
          <cell r="E6009" t="str">
            <v>Marbel 7 National High School</v>
          </cell>
          <cell r="F6009">
            <v>1</v>
          </cell>
          <cell r="G6009">
            <v>1</v>
          </cell>
          <cell r="H6009">
            <v>1</v>
          </cell>
          <cell r="I6009">
            <v>0</v>
          </cell>
          <cell r="J6009">
            <v>0</v>
          </cell>
          <cell r="K6009">
            <v>1</v>
          </cell>
          <cell r="L6009">
            <v>0</v>
          </cell>
          <cell r="M6009">
            <v>0</v>
          </cell>
          <cell r="N6009">
            <v>1</v>
          </cell>
          <cell r="O6009" t="str">
            <v>01/20/2019</v>
          </cell>
          <cell r="P6009">
            <v>0</v>
          </cell>
          <cell r="Q6009">
            <v>0</v>
          </cell>
          <cell r="R6009">
            <v>0</v>
          </cell>
          <cell r="S6009">
            <v>1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</row>
        <row r="6010">
          <cell r="D6010">
            <v>317201</v>
          </cell>
          <cell r="E6010" t="str">
            <v>Bacongco National High School</v>
          </cell>
          <cell r="F6010">
            <v>1</v>
          </cell>
          <cell r="G6010">
            <v>1</v>
          </cell>
          <cell r="H6010">
            <v>1</v>
          </cell>
          <cell r="I6010">
            <v>0</v>
          </cell>
          <cell r="J6010">
            <v>1</v>
          </cell>
          <cell r="K6010">
            <v>0</v>
          </cell>
          <cell r="L6010">
            <v>0</v>
          </cell>
          <cell r="M6010">
            <v>0</v>
          </cell>
          <cell r="N6010">
            <v>1</v>
          </cell>
          <cell r="O6010">
            <v>43687</v>
          </cell>
          <cell r="P6010" t="str">
            <v>none</v>
          </cell>
          <cell r="Q6010">
            <v>1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1</v>
          </cell>
          <cell r="W6010">
            <v>2</v>
          </cell>
          <cell r="X6010">
            <v>0</v>
          </cell>
          <cell r="Y6010">
            <v>0</v>
          </cell>
        </row>
        <row r="6011">
          <cell r="D6011">
            <v>304669</v>
          </cell>
          <cell r="E6011" t="str">
            <v>Concepcion NHS</v>
          </cell>
          <cell r="F6011">
            <v>1</v>
          </cell>
          <cell r="G6011">
            <v>0</v>
          </cell>
          <cell r="H6011">
            <v>1</v>
          </cell>
          <cell r="I6011">
            <v>0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</row>
        <row r="6012">
          <cell r="D6012">
            <v>317202</v>
          </cell>
          <cell r="E6012" t="str">
            <v>Saravia NHS</v>
          </cell>
          <cell r="F6012">
            <v>0</v>
          </cell>
          <cell r="G6012">
            <v>0</v>
          </cell>
          <cell r="H6012">
            <v>1</v>
          </cell>
          <cell r="I6012">
            <v>0</v>
          </cell>
          <cell r="J6012">
            <v>1</v>
          </cell>
          <cell r="K6012">
            <v>0</v>
          </cell>
          <cell r="L6012">
            <v>0</v>
          </cell>
          <cell r="M6012">
            <v>0</v>
          </cell>
          <cell r="N6012">
            <v>1</v>
          </cell>
          <cell r="O6012">
            <v>43625</v>
          </cell>
          <cell r="P6012">
            <v>0</v>
          </cell>
          <cell r="Q6012">
            <v>0</v>
          </cell>
          <cell r="R6012">
            <v>0</v>
          </cell>
          <cell r="S6012">
            <v>1</v>
          </cell>
          <cell r="T6012">
            <v>0</v>
          </cell>
          <cell r="U6012">
            <v>0</v>
          </cell>
          <cell r="V6012">
            <v>1</v>
          </cell>
          <cell r="W6012">
            <v>0</v>
          </cell>
          <cell r="X6012">
            <v>0</v>
          </cell>
          <cell r="Y6012">
            <v>0</v>
          </cell>
        </row>
        <row r="6013">
          <cell r="D6013">
            <v>304671</v>
          </cell>
          <cell r="E6013" t="str">
            <v>Koronadal NCHS</v>
          </cell>
          <cell r="F6013">
            <v>0</v>
          </cell>
          <cell r="G6013">
            <v>0</v>
          </cell>
          <cell r="H6013">
            <v>1</v>
          </cell>
          <cell r="I6013">
            <v>0</v>
          </cell>
          <cell r="J6013">
            <v>0</v>
          </cell>
          <cell r="K6013">
            <v>1</v>
          </cell>
          <cell r="L6013">
            <v>0</v>
          </cell>
          <cell r="M6013">
            <v>0</v>
          </cell>
          <cell r="N6013">
            <v>0</v>
          </cell>
          <cell r="O6013" t="str">
            <v>none</v>
          </cell>
          <cell r="P6013" t="str">
            <v>none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</row>
        <row r="6014">
          <cell r="D6014">
            <v>304670</v>
          </cell>
          <cell r="E6014" t="str">
            <v>Esperanza NHS</v>
          </cell>
          <cell r="F6014">
            <v>1</v>
          </cell>
          <cell r="G6014">
            <v>0</v>
          </cell>
          <cell r="H6014">
            <v>1</v>
          </cell>
          <cell r="I6014">
            <v>0</v>
          </cell>
          <cell r="J6014">
            <v>1</v>
          </cell>
          <cell r="K6014">
            <v>0</v>
          </cell>
          <cell r="L6014">
            <v>0</v>
          </cell>
          <cell r="M6014">
            <v>0</v>
          </cell>
          <cell r="N6014">
            <v>1</v>
          </cell>
          <cell r="O6014" t="str">
            <v>6/28/2019</v>
          </cell>
          <cell r="P6014" t="str">
            <v>09/14/2019</v>
          </cell>
          <cell r="Q6014">
            <v>0</v>
          </cell>
          <cell r="R6014">
            <v>1</v>
          </cell>
          <cell r="S6014">
            <v>0</v>
          </cell>
          <cell r="T6014">
            <v>0</v>
          </cell>
          <cell r="U6014">
            <v>0</v>
          </cell>
          <cell r="V6014">
            <v>1</v>
          </cell>
          <cell r="W6014">
            <v>1</v>
          </cell>
          <cell r="X6014">
            <v>1</v>
          </cell>
          <cell r="Y6014">
            <v>1</v>
          </cell>
        </row>
        <row r="6015">
          <cell r="D6015">
            <v>330521</v>
          </cell>
          <cell r="E6015" t="str">
            <v>Philippine Science High School - SOCCSKSARGEN Region Campus</v>
          </cell>
          <cell r="F6015">
            <v>1</v>
          </cell>
          <cell r="G6015">
            <v>0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</row>
        <row r="6016">
          <cell r="D6016">
            <v>304627</v>
          </cell>
          <cell r="E6016" t="str">
            <v>Virginia F. Griño National High School</v>
          </cell>
          <cell r="F6016">
            <v>0</v>
          </cell>
          <cell r="G6016">
            <v>0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</row>
        <row r="6017">
          <cell r="D6017">
            <v>304622</v>
          </cell>
          <cell r="E6017" t="str">
            <v>San Emmanuel NHS</v>
          </cell>
          <cell r="F6017">
            <v>1</v>
          </cell>
          <cell r="G6017">
            <v>1</v>
          </cell>
          <cell r="H6017">
            <v>1</v>
          </cell>
          <cell r="I6017">
            <v>0</v>
          </cell>
          <cell r="J6017">
            <v>1</v>
          </cell>
          <cell r="K6017">
            <v>0</v>
          </cell>
          <cell r="L6017">
            <v>0</v>
          </cell>
          <cell r="M6017">
            <v>0</v>
          </cell>
          <cell r="N6017">
            <v>1</v>
          </cell>
          <cell r="O6017" t="str">
            <v>06/28/2019</v>
          </cell>
          <cell r="P6017" t="str">
            <v>07/18/2019</v>
          </cell>
          <cell r="Q6017">
            <v>1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1</v>
          </cell>
          <cell r="W6017">
            <v>0</v>
          </cell>
          <cell r="X6017">
            <v>0</v>
          </cell>
          <cell r="Y6017">
            <v>0</v>
          </cell>
        </row>
        <row r="6018">
          <cell r="D6018">
            <v>304624</v>
          </cell>
          <cell r="E6018" t="str">
            <v>Tacurong NHS</v>
          </cell>
          <cell r="F6018">
            <v>1</v>
          </cell>
          <cell r="G6018">
            <v>1</v>
          </cell>
          <cell r="H6018">
            <v>0</v>
          </cell>
          <cell r="I6018">
            <v>0</v>
          </cell>
          <cell r="J6018">
            <v>0</v>
          </cell>
          <cell r="K6018">
            <v>1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1</v>
          </cell>
          <cell r="T6018">
            <v>0</v>
          </cell>
          <cell r="U6018">
            <v>0</v>
          </cell>
          <cell r="V6018">
            <v>1</v>
          </cell>
          <cell r="W6018">
            <v>0</v>
          </cell>
          <cell r="X6018">
            <v>0</v>
          </cell>
          <cell r="Y6018">
            <v>0</v>
          </cell>
        </row>
        <row r="6019">
          <cell r="D6019">
            <v>304620</v>
          </cell>
          <cell r="E6019" t="str">
            <v>Rajah Muda NHS</v>
          </cell>
          <cell r="F6019">
            <v>0</v>
          </cell>
          <cell r="G6019">
            <v>0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</row>
        <row r="6020">
          <cell r="D6020">
            <v>304579</v>
          </cell>
          <cell r="E6020" t="str">
            <v>Apolinario S. Bernardo National High School</v>
          </cell>
          <cell r="F6020">
            <v>1</v>
          </cell>
          <cell r="G6020">
            <v>1</v>
          </cell>
          <cell r="H6020">
            <v>1</v>
          </cell>
          <cell r="I6020">
            <v>0</v>
          </cell>
          <cell r="J6020">
            <v>1</v>
          </cell>
          <cell r="K6020">
            <v>0</v>
          </cell>
          <cell r="L6020">
            <v>0</v>
          </cell>
          <cell r="M6020">
            <v>0</v>
          </cell>
          <cell r="N6020">
            <v>1</v>
          </cell>
          <cell r="O6020">
            <v>0</v>
          </cell>
          <cell r="P6020">
            <v>0</v>
          </cell>
          <cell r="Q6020">
            <v>0</v>
          </cell>
          <cell r="R6020">
            <v>1</v>
          </cell>
          <cell r="S6020">
            <v>0</v>
          </cell>
          <cell r="T6020">
            <v>0</v>
          </cell>
          <cell r="U6020">
            <v>0</v>
          </cell>
          <cell r="V6020">
            <v>1</v>
          </cell>
          <cell r="W6020">
            <v>4</v>
          </cell>
          <cell r="X6020">
            <v>0</v>
          </cell>
          <cell r="Y6020">
            <v>0</v>
          </cell>
        </row>
        <row r="6021">
          <cell r="D6021">
            <v>317320</v>
          </cell>
          <cell r="E6021" t="str">
            <v>Pupotsan NHS (Magallanes NHS Annex)</v>
          </cell>
          <cell r="F6021">
            <v>1</v>
          </cell>
          <cell r="G6021">
            <v>0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1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1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</row>
        <row r="6022">
          <cell r="D6022">
            <v>317317</v>
          </cell>
          <cell r="E6022" t="str">
            <v>Rizal NHS (Guinabsan NHS Annex)</v>
          </cell>
          <cell r="F6022">
            <v>1</v>
          </cell>
          <cell r="G6022">
            <v>1</v>
          </cell>
          <cell r="H6022">
            <v>1</v>
          </cell>
          <cell r="I6022">
            <v>0</v>
          </cell>
          <cell r="J6022">
            <v>1</v>
          </cell>
          <cell r="K6022">
            <v>0</v>
          </cell>
          <cell r="L6022">
            <v>0</v>
          </cell>
          <cell r="M6022">
            <v>0</v>
          </cell>
          <cell r="N6022">
            <v>1</v>
          </cell>
          <cell r="O6022">
            <v>0</v>
          </cell>
          <cell r="P6022">
            <v>43647</v>
          </cell>
          <cell r="Q6022">
            <v>0</v>
          </cell>
          <cell r="R6022">
            <v>1</v>
          </cell>
          <cell r="S6022">
            <v>0</v>
          </cell>
          <cell r="T6022">
            <v>0</v>
          </cell>
          <cell r="U6022">
            <v>0</v>
          </cell>
          <cell r="V6022">
            <v>1</v>
          </cell>
          <cell r="W6022">
            <v>1</v>
          </cell>
          <cell r="X6022">
            <v>0</v>
          </cell>
          <cell r="Y6022">
            <v>1</v>
          </cell>
        </row>
        <row r="6023">
          <cell r="D6023">
            <v>304688</v>
          </cell>
          <cell r="E6023" t="str">
            <v>Kitcharao NHS</v>
          </cell>
          <cell r="F6023">
            <v>1</v>
          </cell>
          <cell r="G6023">
            <v>0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</row>
        <row r="6024">
          <cell r="D6024">
            <v>500048</v>
          </cell>
          <cell r="E6024" t="str">
            <v>Lawan-Lawan NHS</v>
          </cell>
          <cell r="F6024">
            <v>1</v>
          </cell>
          <cell r="G6024">
            <v>0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</row>
        <row r="6025">
          <cell r="D6025">
            <v>304680</v>
          </cell>
          <cell r="E6025" t="str">
            <v>Casiklan National High School</v>
          </cell>
          <cell r="F6025">
            <v>0</v>
          </cell>
          <cell r="G6025">
            <v>0</v>
          </cell>
          <cell r="H6025">
            <v>1</v>
          </cell>
          <cell r="I6025">
            <v>0</v>
          </cell>
          <cell r="J6025">
            <v>0</v>
          </cell>
          <cell r="K6025">
            <v>1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</row>
        <row r="6026">
          <cell r="D6026">
            <v>317303</v>
          </cell>
          <cell r="E6026" t="str">
            <v>San Vicente NHS</v>
          </cell>
          <cell r="F6026">
            <v>1</v>
          </cell>
          <cell r="G6026">
            <v>1</v>
          </cell>
          <cell r="H6026">
            <v>1</v>
          </cell>
          <cell r="I6026">
            <v>0</v>
          </cell>
          <cell r="J6026">
            <v>1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</row>
        <row r="6027">
          <cell r="D6027">
            <v>317311</v>
          </cell>
          <cell r="E6027" t="str">
            <v>Balangbalang National High School</v>
          </cell>
          <cell r="F6027">
            <v>0</v>
          </cell>
          <cell r="G6027">
            <v>0</v>
          </cell>
          <cell r="H6027">
            <v>1</v>
          </cell>
          <cell r="I6027">
            <v>0</v>
          </cell>
          <cell r="J6027">
            <v>1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</row>
        <row r="6028">
          <cell r="D6028">
            <v>304694</v>
          </cell>
          <cell r="E6028" t="str">
            <v>Marcos Calo NHS</v>
          </cell>
          <cell r="F6028">
            <v>1</v>
          </cell>
          <cell r="G6028">
            <v>1</v>
          </cell>
          <cell r="H6028">
            <v>1</v>
          </cell>
          <cell r="I6028">
            <v>0</v>
          </cell>
          <cell r="J6028">
            <v>1</v>
          </cell>
          <cell r="K6028">
            <v>0</v>
          </cell>
          <cell r="L6028">
            <v>0</v>
          </cell>
          <cell r="M6028">
            <v>0</v>
          </cell>
          <cell r="N6028">
            <v>1</v>
          </cell>
          <cell r="O6028">
            <v>43624</v>
          </cell>
          <cell r="P6028">
            <v>0</v>
          </cell>
          <cell r="Q6028">
            <v>0</v>
          </cell>
          <cell r="R6028">
            <v>1</v>
          </cell>
          <cell r="S6028">
            <v>0</v>
          </cell>
          <cell r="T6028">
            <v>0</v>
          </cell>
          <cell r="U6028">
            <v>0</v>
          </cell>
          <cell r="V6028">
            <v>1</v>
          </cell>
          <cell r="W6028">
            <v>0</v>
          </cell>
          <cell r="X6028">
            <v>0</v>
          </cell>
          <cell r="Y6028">
            <v>0</v>
          </cell>
        </row>
        <row r="6029">
          <cell r="D6029">
            <v>304679</v>
          </cell>
          <cell r="E6029" t="str">
            <v>Durian National High School</v>
          </cell>
          <cell r="F6029">
            <v>1</v>
          </cell>
          <cell r="G6029">
            <v>1</v>
          </cell>
          <cell r="H6029">
            <v>1</v>
          </cell>
          <cell r="I6029">
            <v>0</v>
          </cell>
          <cell r="J6029">
            <v>1</v>
          </cell>
          <cell r="K6029">
            <v>0</v>
          </cell>
          <cell r="L6029">
            <v>0</v>
          </cell>
          <cell r="M6029">
            <v>0</v>
          </cell>
          <cell r="N6029">
            <v>1</v>
          </cell>
          <cell r="O6029">
            <v>43739</v>
          </cell>
          <cell r="P6029">
            <v>43682</v>
          </cell>
          <cell r="Q6029">
            <v>0</v>
          </cell>
          <cell r="R6029">
            <v>1</v>
          </cell>
          <cell r="S6029">
            <v>0</v>
          </cell>
          <cell r="T6029">
            <v>0</v>
          </cell>
          <cell r="U6029">
            <v>0</v>
          </cell>
          <cell r="V6029">
            <v>1</v>
          </cell>
          <cell r="W6029">
            <v>0</v>
          </cell>
          <cell r="X6029">
            <v>0</v>
          </cell>
          <cell r="Y6029">
            <v>0</v>
          </cell>
        </row>
        <row r="6030">
          <cell r="D6030">
            <v>317308</v>
          </cell>
          <cell r="E6030" t="str">
            <v>Culit National High School</v>
          </cell>
          <cell r="F6030">
            <v>1</v>
          </cell>
          <cell r="G6030">
            <v>1</v>
          </cell>
          <cell r="H6030">
            <v>1</v>
          </cell>
          <cell r="I6030">
            <v>0</v>
          </cell>
          <cell r="J6030">
            <v>1</v>
          </cell>
          <cell r="K6030">
            <v>0</v>
          </cell>
          <cell r="L6030">
            <v>0</v>
          </cell>
          <cell r="M6030">
            <v>0</v>
          </cell>
          <cell r="N6030">
            <v>1</v>
          </cell>
          <cell r="O6030">
            <v>43624</v>
          </cell>
          <cell r="P6030">
            <v>43622</v>
          </cell>
          <cell r="Q6030">
            <v>0</v>
          </cell>
          <cell r="R6030">
            <v>1</v>
          </cell>
          <cell r="S6030">
            <v>0</v>
          </cell>
          <cell r="T6030">
            <v>0</v>
          </cell>
          <cell r="U6030">
            <v>0</v>
          </cell>
          <cell r="V6030">
            <v>1</v>
          </cell>
          <cell r="W6030">
            <v>0</v>
          </cell>
          <cell r="X6030">
            <v>0</v>
          </cell>
          <cell r="Y6030">
            <v>0</v>
          </cell>
        </row>
        <row r="6031">
          <cell r="D6031">
            <v>304682</v>
          </cell>
          <cell r="E6031" t="str">
            <v>Guinabsan National High School</v>
          </cell>
          <cell r="F6031">
            <v>1</v>
          </cell>
          <cell r="G6031">
            <v>0</v>
          </cell>
          <cell r="H6031">
            <v>1</v>
          </cell>
          <cell r="I6031">
            <v>0</v>
          </cell>
          <cell r="J6031">
            <v>0</v>
          </cell>
          <cell r="K6031">
            <v>1</v>
          </cell>
          <cell r="L6031">
            <v>0</v>
          </cell>
          <cell r="M6031">
            <v>0</v>
          </cell>
          <cell r="N6031">
            <v>0</v>
          </cell>
          <cell r="O6031">
            <v>0</v>
          </cell>
          <cell r="P6031">
            <v>0</v>
          </cell>
          <cell r="Q6031">
            <v>0</v>
          </cell>
          <cell r="R6031">
            <v>0</v>
          </cell>
          <cell r="S6031">
            <v>0</v>
          </cell>
          <cell r="T6031">
            <v>1</v>
          </cell>
          <cell r="U6031">
            <v>0</v>
          </cell>
          <cell r="V6031">
            <v>0</v>
          </cell>
          <cell r="W6031">
            <v>0</v>
          </cell>
          <cell r="X6031">
            <v>0</v>
          </cell>
          <cell r="Y6031">
            <v>0</v>
          </cell>
        </row>
        <row r="6032">
          <cell r="D6032">
            <v>500047</v>
          </cell>
          <cell r="E6032" t="str">
            <v>Buenavista Special Education HS</v>
          </cell>
          <cell r="F6032">
            <v>1</v>
          </cell>
          <cell r="G6032">
            <v>0</v>
          </cell>
          <cell r="H6032">
            <v>1</v>
          </cell>
          <cell r="I6032">
            <v>0</v>
          </cell>
          <cell r="J6032">
            <v>0</v>
          </cell>
          <cell r="K6032">
            <v>0</v>
          </cell>
          <cell r="L6032">
            <v>0</v>
          </cell>
          <cell r="M6032">
            <v>0</v>
          </cell>
          <cell r="N6032">
            <v>0</v>
          </cell>
          <cell r="O6032">
            <v>0</v>
          </cell>
          <cell r="P6032">
            <v>0</v>
          </cell>
          <cell r="Q6032">
            <v>0</v>
          </cell>
          <cell r="R6032">
            <v>0</v>
          </cell>
          <cell r="S6032">
            <v>0</v>
          </cell>
          <cell r="T6032">
            <v>0</v>
          </cell>
          <cell r="U6032">
            <v>0</v>
          </cell>
          <cell r="V6032">
            <v>0</v>
          </cell>
          <cell r="W6032">
            <v>0</v>
          </cell>
          <cell r="X6032">
            <v>0</v>
          </cell>
          <cell r="Y6032">
            <v>0</v>
          </cell>
        </row>
        <row r="6033">
          <cell r="D6033">
            <v>304701</v>
          </cell>
          <cell r="E6033" t="str">
            <v>Tubay NHS</v>
          </cell>
          <cell r="F6033">
            <v>1</v>
          </cell>
          <cell r="G6033">
            <v>1</v>
          </cell>
          <cell r="H6033">
            <v>1</v>
          </cell>
          <cell r="I6033">
            <v>0</v>
          </cell>
          <cell r="J6033">
            <v>0</v>
          </cell>
          <cell r="K6033">
            <v>1</v>
          </cell>
          <cell r="L6033">
            <v>0</v>
          </cell>
          <cell r="M6033">
            <v>0</v>
          </cell>
          <cell r="N6033">
            <v>1</v>
          </cell>
          <cell r="O6033">
            <v>0</v>
          </cell>
          <cell r="P6033">
            <v>43497</v>
          </cell>
          <cell r="Q6033">
            <v>0</v>
          </cell>
          <cell r="R6033">
            <v>0</v>
          </cell>
          <cell r="S6033">
            <v>1</v>
          </cell>
          <cell r="T6033">
            <v>0</v>
          </cell>
          <cell r="U6033">
            <v>0</v>
          </cell>
          <cell r="V6033">
            <v>1</v>
          </cell>
          <cell r="W6033">
            <v>0</v>
          </cell>
          <cell r="X6033">
            <v>0</v>
          </cell>
          <cell r="Y6033">
            <v>0</v>
          </cell>
        </row>
        <row r="6034">
          <cell r="D6034">
            <v>304692</v>
          </cell>
          <cell r="E6034" t="str">
            <v>Magdagooc NHS</v>
          </cell>
          <cell r="F6034">
            <v>1</v>
          </cell>
          <cell r="G6034">
            <v>0</v>
          </cell>
          <cell r="H6034">
            <v>1</v>
          </cell>
          <cell r="I6034">
            <v>0</v>
          </cell>
          <cell r="J6034">
            <v>1</v>
          </cell>
          <cell r="K6034">
            <v>0</v>
          </cell>
          <cell r="L6034">
            <v>0</v>
          </cell>
          <cell r="M6034">
            <v>0</v>
          </cell>
          <cell r="N6034">
            <v>0</v>
          </cell>
          <cell r="O6034">
            <v>0</v>
          </cell>
          <cell r="P6034">
            <v>0</v>
          </cell>
          <cell r="Q6034">
            <v>0</v>
          </cell>
          <cell r="R6034">
            <v>0</v>
          </cell>
          <cell r="S6034">
            <v>1</v>
          </cell>
          <cell r="T6034">
            <v>0</v>
          </cell>
          <cell r="U6034">
            <v>0</v>
          </cell>
          <cell r="V6034">
            <v>0</v>
          </cell>
          <cell r="W6034">
            <v>0</v>
          </cell>
          <cell r="X6034">
            <v>0</v>
          </cell>
          <cell r="Y6034">
            <v>0</v>
          </cell>
        </row>
        <row r="6035">
          <cell r="D6035">
            <v>304689</v>
          </cell>
          <cell r="E6035" t="str">
            <v>Las Nieves NHS</v>
          </cell>
          <cell r="F6035">
            <v>1</v>
          </cell>
          <cell r="G6035">
            <v>1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0</v>
          </cell>
          <cell r="M6035">
            <v>0</v>
          </cell>
          <cell r="N6035">
            <v>0</v>
          </cell>
          <cell r="O6035">
            <v>0</v>
          </cell>
          <cell r="P6035">
            <v>0</v>
          </cell>
          <cell r="Q6035">
            <v>0</v>
          </cell>
          <cell r="R6035">
            <v>0</v>
          </cell>
          <cell r="S6035">
            <v>0</v>
          </cell>
          <cell r="T6035">
            <v>0</v>
          </cell>
          <cell r="U6035">
            <v>0</v>
          </cell>
          <cell r="V6035">
            <v>0</v>
          </cell>
          <cell r="W6035">
            <v>0</v>
          </cell>
          <cell r="X6035">
            <v>0</v>
          </cell>
          <cell r="Y6035">
            <v>0</v>
          </cell>
        </row>
        <row r="6036">
          <cell r="D6036">
            <v>304683</v>
          </cell>
          <cell r="E6036" t="str">
            <v>Simbalan National High School</v>
          </cell>
          <cell r="F6036">
            <v>1</v>
          </cell>
          <cell r="G6036">
            <v>1</v>
          </cell>
          <cell r="H6036">
            <v>1</v>
          </cell>
          <cell r="I6036">
            <v>0</v>
          </cell>
          <cell r="J6036">
            <v>0</v>
          </cell>
          <cell r="K6036">
            <v>1</v>
          </cell>
          <cell r="L6036">
            <v>0</v>
          </cell>
          <cell r="M6036">
            <v>0</v>
          </cell>
          <cell r="N6036">
            <v>0</v>
          </cell>
          <cell r="O6036">
            <v>0</v>
          </cell>
          <cell r="P6036">
            <v>0</v>
          </cell>
          <cell r="Q6036">
            <v>0</v>
          </cell>
          <cell r="R6036">
            <v>0</v>
          </cell>
          <cell r="S6036">
            <v>0</v>
          </cell>
          <cell r="T6036">
            <v>0</v>
          </cell>
          <cell r="U6036">
            <v>0</v>
          </cell>
          <cell r="V6036">
            <v>0</v>
          </cell>
          <cell r="W6036">
            <v>0</v>
          </cell>
          <cell r="X6036">
            <v>0</v>
          </cell>
          <cell r="Y6036">
            <v>0</v>
          </cell>
        </row>
        <row r="6037">
          <cell r="D6037">
            <v>500313</v>
          </cell>
          <cell r="E6037" t="str">
            <v>F.S. OMAYANA ELEMENTARY SCHOOL</v>
          </cell>
          <cell r="F6037">
            <v>1</v>
          </cell>
          <cell r="G6037">
            <v>1</v>
          </cell>
          <cell r="H6037">
            <v>1</v>
          </cell>
          <cell r="I6037">
            <v>0</v>
          </cell>
          <cell r="J6037">
            <v>1</v>
          </cell>
          <cell r="K6037">
            <v>0</v>
          </cell>
          <cell r="L6037">
            <v>0</v>
          </cell>
          <cell r="M6037">
            <v>0</v>
          </cell>
          <cell r="N6037">
            <v>1</v>
          </cell>
          <cell r="O6037">
            <v>0</v>
          </cell>
          <cell r="P6037" t="str">
            <v>10/23/19</v>
          </cell>
          <cell r="Q6037">
            <v>0</v>
          </cell>
          <cell r="R6037">
            <v>0</v>
          </cell>
          <cell r="S6037">
            <v>0</v>
          </cell>
          <cell r="T6037">
            <v>0</v>
          </cell>
          <cell r="U6037">
            <v>0</v>
          </cell>
          <cell r="V6037">
            <v>1</v>
          </cell>
          <cell r="W6037">
            <v>0</v>
          </cell>
          <cell r="X6037">
            <v>0</v>
          </cell>
          <cell r="Y6037">
            <v>0</v>
          </cell>
        </row>
        <row r="6038">
          <cell r="D6038">
            <v>317319</v>
          </cell>
          <cell r="E6038" t="str">
            <v>Bangonay National High School</v>
          </cell>
          <cell r="F6038">
            <v>1</v>
          </cell>
          <cell r="G6038">
            <v>0</v>
          </cell>
          <cell r="H6038">
            <v>1</v>
          </cell>
          <cell r="I6038">
            <v>0</v>
          </cell>
          <cell r="J6038">
            <v>1</v>
          </cell>
          <cell r="K6038">
            <v>0</v>
          </cell>
          <cell r="L6038">
            <v>0</v>
          </cell>
          <cell r="M6038">
            <v>0</v>
          </cell>
          <cell r="N6038">
            <v>0</v>
          </cell>
          <cell r="O6038">
            <v>0</v>
          </cell>
          <cell r="P6038">
            <v>0</v>
          </cell>
          <cell r="Q6038">
            <v>0</v>
          </cell>
          <cell r="R6038">
            <v>0</v>
          </cell>
          <cell r="S6038">
            <v>0</v>
          </cell>
          <cell r="T6038">
            <v>0</v>
          </cell>
          <cell r="U6038">
            <v>0</v>
          </cell>
          <cell r="V6038">
            <v>0</v>
          </cell>
          <cell r="W6038">
            <v>0</v>
          </cell>
          <cell r="X6038">
            <v>0</v>
          </cell>
          <cell r="Y6038">
            <v>0</v>
          </cell>
        </row>
        <row r="6039">
          <cell r="D6039">
            <v>340204</v>
          </cell>
          <cell r="E6039" t="str">
            <v>SHS in Carmen, Agusan Del Norte</v>
          </cell>
          <cell r="F6039">
            <v>1</v>
          </cell>
          <cell r="G6039">
            <v>0</v>
          </cell>
          <cell r="H6039">
            <v>1</v>
          </cell>
          <cell r="I6039">
            <v>0</v>
          </cell>
          <cell r="J6039">
            <v>1</v>
          </cell>
          <cell r="K6039">
            <v>0</v>
          </cell>
          <cell r="L6039">
            <v>0</v>
          </cell>
          <cell r="M6039">
            <v>0</v>
          </cell>
          <cell r="N6039">
            <v>0</v>
          </cell>
          <cell r="O6039" t="str">
            <v>N/A</v>
          </cell>
          <cell r="P6039">
            <v>43504</v>
          </cell>
          <cell r="Q6039">
            <v>0</v>
          </cell>
          <cell r="R6039">
            <v>1</v>
          </cell>
          <cell r="S6039">
            <v>0</v>
          </cell>
          <cell r="T6039">
            <v>0</v>
          </cell>
          <cell r="U6039">
            <v>0</v>
          </cell>
          <cell r="V6039">
            <v>1</v>
          </cell>
          <cell r="W6039">
            <v>0</v>
          </cell>
          <cell r="X6039">
            <v>0</v>
          </cell>
          <cell r="Y6039">
            <v>0</v>
          </cell>
        </row>
        <row r="6040">
          <cell r="D6040">
            <v>317314</v>
          </cell>
          <cell r="E6040" t="str">
            <v>Abilan National High School</v>
          </cell>
          <cell r="F6040">
            <v>1</v>
          </cell>
          <cell r="G6040">
            <v>0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1</v>
          </cell>
          <cell r="M6040" t="str">
            <v>NONE</v>
          </cell>
          <cell r="N6040">
            <v>0</v>
          </cell>
          <cell r="O6040">
            <v>0</v>
          </cell>
          <cell r="P6040" t="str">
            <v>NONE</v>
          </cell>
          <cell r="Q6040">
            <v>0</v>
          </cell>
          <cell r="R6040">
            <v>0</v>
          </cell>
          <cell r="S6040">
            <v>0</v>
          </cell>
          <cell r="T6040">
            <v>1</v>
          </cell>
          <cell r="U6040" t="str">
            <v>NONE</v>
          </cell>
          <cell r="V6040">
            <v>0</v>
          </cell>
          <cell r="W6040">
            <v>0</v>
          </cell>
          <cell r="X6040">
            <v>0</v>
          </cell>
          <cell r="Y6040">
            <v>0</v>
          </cell>
        </row>
        <row r="6041">
          <cell r="D6041">
            <v>304687</v>
          </cell>
          <cell r="E6041" t="str">
            <v>Jaliobong NHS</v>
          </cell>
          <cell r="F6041">
            <v>1</v>
          </cell>
          <cell r="G6041">
            <v>0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0</v>
          </cell>
          <cell r="M6041">
            <v>0</v>
          </cell>
          <cell r="N6041">
            <v>0</v>
          </cell>
          <cell r="O6041">
            <v>0</v>
          </cell>
          <cell r="P6041">
            <v>0</v>
          </cell>
          <cell r="Q6041">
            <v>0</v>
          </cell>
          <cell r="R6041">
            <v>0</v>
          </cell>
          <cell r="S6041">
            <v>0</v>
          </cell>
          <cell r="T6041">
            <v>0</v>
          </cell>
          <cell r="U6041">
            <v>0</v>
          </cell>
          <cell r="V6041">
            <v>0</v>
          </cell>
          <cell r="W6041">
            <v>0</v>
          </cell>
          <cell r="X6041">
            <v>0</v>
          </cell>
          <cell r="Y6041">
            <v>0</v>
          </cell>
        </row>
        <row r="6042">
          <cell r="D6042">
            <v>304686</v>
          </cell>
          <cell r="E6042" t="str">
            <v>Jagupit NHS</v>
          </cell>
          <cell r="F6042">
            <v>1</v>
          </cell>
          <cell r="G6042">
            <v>0</v>
          </cell>
          <cell r="H6042">
            <v>1</v>
          </cell>
          <cell r="I6042">
            <v>0</v>
          </cell>
          <cell r="J6042">
            <v>1</v>
          </cell>
          <cell r="K6042">
            <v>0</v>
          </cell>
          <cell r="L6042">
            <v>0</v>
          </cell>
          <cell r="M6042">
            <v>0</v>
          </cell>
          <cell r="N6042">
            <v>0</v>
          </cell>
          <cell r="O6042">
            <v>0</v>
          </cell>
          <cell r="P6042">
            <v>0</v>
          </cell>
          <cell r="Q6042">
            <v>0</v>
          </cell>
          <cell r="R6042">
            <v>0</v>
          </cell>
          <cell r="S6042">
            <v>0</v>
          </cell>
          <cell r="T6042">
            <v>0</v>
          </cell>
          <cell r="U6042">
            <v>0</v>
          </cell>
          <cell r="V6042">
            <v>0</v>
          </cell>
          <cell r="W6042">
            <v>0</v>
          </cell>
          <cell r="X6042">
            <v>0</v>
          </cell>
          <cell r="Y6042">
            <v>0</v>
          </cell>
        </row>
        <row r="6043">
          <cell r="D6043">
            <v>304702</v>
          </cell>
          <cell r="E6043" t="str">
            <v>Vinapor NHS</v>
          </cell>
          <cell r="F6043">
            <v>1</v>
          </cell>
          <cell r="G6043">
            <v>0</v>
          </cell>
          <cell r="H6043">
            <v>1</v>
          </cell>
          <cell r="I6043">
            <v>0</v>
          </cell>
          <cell r="J6043">
            <v>0</v>
          </cell>
          <cell r="K6043">
            <v>0</v>
          </cell>
          <cell r="L6043">
            <v>1</v>
          </cell>
          <cell r="M6043" t="str">
            <v>as agreed</v>
          </cell>
          <cell r="N6043">
            <v>0</v>
          </cell>
          <cell r="O6043">
            <v>0</v>
          </cell>
          <cell r="P6043">
            <v>0</v>
          </cell>
          <cell r="Q6043">
            <v>0</v>
          </cell>
          <cell r="R6043">
            <v>0</v>
          </cell>
          <cell r="S6043">
            <v>0</v>
          </cell>
          <cell r="T6043">
            <v>1</v>
          </cell>
          <cell r="U6043" t="str">
            <v>none</v>
          </cell>
          <cell r="V6043">
            <v>0</v>
          </cell>
          <cell r="W6043">
            <v>0</v>
          </cell>
          <cell r="X6043">
            <v>0</v>
          </cell>
          <cell r="Y6043">
            <v>0</v>
          </cell>
        </row>
        <row r="6044">
          <cell r="D6044">
            <v>500049</v>
          </cell>
          <cell r="E6044" t="str">
            <v>Manapa II ES</v>
          </cell>
          <cell r="F6044">
            <v>1</v>
          </cell>
          <cell r="G6044">
            <v>0</v>
          </cell>
          <cell r="H6044">
            <v>1</v>
          </cell>
          <cell r="I6044">
            <v>0</v>
          </cell>
          <cell r="J6044">
            <v>1</v>
          </cell>
          <cell r="K6044">
            <v>0</v>
          </cell>
          <cell r="L6044">
            <v>0</v>
          </cell>
          <cell r="M6044">
            <v>0</v>
          </cell>
          <cell r="N6044">
            <v>1</v>
          </cell>
          <cell r="O6044">
            <v>43647</v>
          </cell>
          <cell r="P6044">
            <v>0</v>
          </cell>
          <cell r="Q6044">
            <v>0</v>
          </cell>
          <cell r="R6044">
            <v>0</v>
          </cell>
          <cell r="S6044">
            <v>0</v>
          </cell>
          <cell r="T6044">
            <v>0</v>
          </cell>
          <cell r="U6044">
            <v>0</v>
          </cell>
          <cell r="V6044">
            <v>0</v>
          </cell>
          <cell r="W6044">
            <v>0</v>
          </cell>
          <cell r="X6044">
            <v>0</v>
          </cell>
          <cell r="Y6044">
            <v>0</v>
          </cell>
        </row>
        <row r="6045">
          <cell r="D6045">
            <v>304685</v>
          </cell>
          <cell r="E6045" t="str">
            <v>Jabonga National High School</v>
          </cell>
          <cell r="F6045">
            <v>1</v>
          </cell>
          <cell r="G6045">
            <v>1</v>
          </cell>
          <cell r="H6045">
            <v>1</v>
          </cell>
          <cell r="I6045">
            <v>0</v>
          </cell>
          <cell r="J6045">
            <v>1</v>
          </cell>
          <cell r="K6045">
            <v>0</v>
          </cell>
          <cell r="L6045">
            <v>0</v>
          </cell>
          <cell r="M6045">
            <v>0</v>
          </cell>
          <cell r="N6045">
            <v>0</v>
          </cell>
          <cell r="O6045">
            <v>0</v>
          </cell>
          <cell r="P6045">
            <v>0</v>
          </cell>
          <cell r="Q6045">
            <v>0</v>
          </cell>
          <cell r="R6045">
            <v>0</v>
          </cell>
          <cell r="S6045">
            <v>0</v>
          </cell>
          <cell r="T6045">
            <v>0</v>
          </cell>
          <cell r="U6045">
            <v>0</v>
          </cell>
          <cell r="V6045">
            <v>0</v>
          </cell>
          <cell r="W6045">
            <v>0</v>
          </cell>
          <cell r="X6045">
            <v>0</v>
          </cell>
          <cell r="Y6045">
            <v>0</v>
          </cell>
        </row>
        <row r="6046">
          <cell r="D6046">
            <v>317304</v>
          </cell>
          <cell r="E6046" t="str">
            <v>Cahayagan National High School</v>
          </cell>
          <cell r="F6046">
            <v>1</v>
          </cell>
          <cell r="G6046">
            <v>0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0</v>
          </cell>
          <cell r="Q6046">
            <v>0</v>
          </cell>
          <cell r="R6046">
            <v>0</v>
          </cell>
          <cell r="S6046">
            <v>0</v>
          </cell>
          <cell r="T6046">
            <v>0</v>
          </cell>
          <cell r="U6046">
            <v>0</v>
          </cell>
          <cell r="V6046">
            <v>0</v>
          </cell>
          <cell r="W6046">
            <v>0</v>
          </cell>
          <cell r="X6046">
            <v>0</v>
          </cell>
          <cell r="Y6046">
            <v>0</v>
          </cell>
        </row>
        <row r="6047">
          <cell r="D6047">
            <v>317305</v>
          </cell>
          <cell r="E6047" t="str">
            <v>Lekda NHS (Guinabsan NHS Annex)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0</v>
          </cell>
          <cell r="M6047">
            <v>0</v>
          </cell>
          <cell r="N6047">
            <v>0</v>
          </cell>
          <cell r="O6047">
            <v>0</v>
          </cell>
          <cell r="P6047">
            <v>0</v>
          </cell>
          <cell r="Q6047">
            <v>0</v>
          </cell>
          <cell r="R6047">
            <v>0</v>
          </cell>
          <cell r="S6047">
            <v>0</v>
          </cell>
          <cell r="T6047">
            <v>0</v>
          </cell>
          <cell r="U6047">
            <v>0</v>
          </cell>
          <cell r="V6047">
            <v>0</v>
          </cell>
          <cell r="W6047">
            <v>0</v>
          </cell>
          <cell r="X6047">
            <v>0</v>
          </cell>
          <cell r="Y6047">
            <v>0</v>
          </cell>
        </row>
        <row r="6048">
          <cell r="D6048">
            <v>304690</v>
          </cell>
          <cell r="E6048" t="str">
            <v>LINGAYAO NATIONAL HIGH SCHOOL</v>
          </cell>
          <cell r="F6048">
            <v>1</v>
          </cell>
          <cell r="G6048">
            <v>0</v>
          </cell>
          <cell r="H6048">
            <v>1</v>
          </cell>
          <cell r="I6048">
            <v>1</v>
          </cell>
          <cell r="J6048">
            <v>0</v>
          </cell>
          <cell r="K6048">
            <v>0</v>
          </cell>
          <cell r="L6048">
            <v>0</v>
          </cell>
          <cell r="M6048">
            <v>0</v>
          </cell>
          <cell r="N6048">
            <v>0</v>
          </cell>
          <cell r="O6048">
            <v>0</v>
          </cell>
          <cell r="P6048">
            <v>0</v>
          </cell>
          <cell r="Q6048">
            <v>1</v>
          </cell>
          <cell r="R6048">
            <v>1</v>
          </cell>
          <cell r="S6048">
            <v>0</v>
          </cell>
          <cell r="T6048">
            <v>0</v>
          </cell>
          <cell r="U6048">
            <v>0</v>
          </cell>
          <cell r="V6048">
            <v>1</v>
          </cell>
          <cell r="W6048">
            <v>0</v>
          </cell>
          <cell r="X6048">
            <v>0</v>
          </cell>
          <cell r="Y6048">
            <v>0</v>
          </cell>
        </row>
        <row r="6049">
          <cell r="D6049">
            <v>500314</v>
          </cell>
          <cell r="E6049" t="str">
            <v>Hinandayan ES</v>
          </cell>
          <cell r="F6049">
            <v>1</v>
          </cell>
          <cell r="G6049">
            <v>0</v>
          </cell>
          <cell r="H6049">
            <v>1</v>
          </cell>
          <cell r="I6049">
            <v>0</v>
          </cell>
          <cell r="J6049">
            <v>0</v>
          </cell>
          <cell r="K6049">
            <v>1</v>
          </cell>
          <cell r="L6049">
            <v>0</v>
          </cell>
          <cell r="M6049">
            <v>0</v>
          </cell>
          <cell r="N6049">
            <v>1</v>
          </cell>
          <cell r="O6049">
            <v>0</v>
          </cell>
          <cell r="P6049" t="str">
            <v>none</v>
          </cell>
          <cell r="Q6049">
            <v>0</v>
          </cell>
          <cell r="R6049">
            <v>0</v>
          </cell>
          <cell r="S6049">
            <v>0</v>
          </cell>
          <cell r="T6049">
            <v>1</v>
          </cell>
          <cell r="U6049" t="str">
            <v>none</v>
          </cell>
          <cell r="V6049">
            <v>0</v>
          </cell>
          <cell r="W6049">
            <v>0</v>
          </cell>
          <cell r="X6049">
            <v>0</v>
          </cell>
          <cell r="Y6049">
            <v>0</v>
          </cell>
        </row>
        <row r="6050">
          <cell r="D6050">
            <v>304696</v>
          </cell>
          <cell r="E6050" t="str">
            <v>Nasipit National Vocational School</v>
          </cell>
          <cell r="F6050">
            <v>1</v>
          </cell>
          <cell r="G6050">
            <v>1</v>
          </cell>
          <cell r="H6050">
            <v>1</v>
          </cell>
          <cell r="I6050">
            <v>0</v>
          </cell>
          <cell r="J6050">
            <v>0</v>
          </cell>
          <cell r="K6050">
            <v>1</v>
          </cell>
          <cell r="L6050">
            <v>0</v>
          </cell>
          <cell r="M6050">
            <v>0</v>
          </cell>
          <cell r="N6050">
            <v>0</v>
          </cell>
          <cell r="O6050">
            <v>0</v>
          </cell>
          <cell r="P6050" t="str">
            <v>None</v>
          </cell>
          <cell r="Q6050">
            <v>0</v>
          </cell>
          <cell r="R6050">
            <v>0</v>
          </cell>
          <cell r="S6050">
            <v>0</v>
          </cell>
          <cell r="T6050">
            <v>1</v>
          </cell>
          <cell r="U6050" t="str">
            <v>None</v>
          </cell>
          <cell r="V6050">
            <v>0</v>
          </cell>
          <cell r="W6050">
            <v>0</v>
          </cell>
          <cell r="X6050">
            <v>0</v>
          </cell>
          <cell r="Y6050">
            <v>0</v>
          </cell>
        </row>
        <row r="6051">
          <cell r="D6051">
            <v>304691</v>
          </cell>
          <cell r="E6051" t="str">
            <v>Magallanes National High School</v>
          </cell>
          <cell r="F6051">
            <v>1</v>
          </cell>
          <cell r="G6051">
            <v>1</v>
          </cell>
          <cell r="H6051">
            <v>1</v>
          </cell>
          <cell r="I6051">
            <v>1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1</v>
          </cell>
          <cell r="O6051">
            <v>0</v>
          </cell>
          <cell r="P6051">
            <v>0</v>
          </cell>
          <cell r="Q6051">
            <v>1</v>
          </cell>
          <cell r="R6051">
            <v>0</v>
          </cell>
          <cell r="S6051">
            <v>0</v>
          </cell>
          <cell r="T6051">
            <v>0</v>
          </cell>
          <cell r="U6051">
            <v>0</v>
          </cell>
          <cell r="V6051">
            <v>0</v>
          </cell>
          <cell r="W6051">
            <v>2</v>
          </cell>
          <cell r="X6051">
            <v>0</v>
          </cell>
          <cell r="Y6051">
            <v>0</v>
          </cell>
        </row>
        <row r="6052">
          <cell r="D6052">
            <v>500311</v>
          </cell>
          <cell r="E6052" t="str">
            <v>Manoligao ES</v>
          </cell>
          <cell r="F6052">
            <v>1</v>
          </cell>
          <cell r="G6052">
            <v>1</v>
          </cell>
          <cell r="H6052">
            <v>1</v>
          </cell>
          <cell r="I6052">
            <v>0</v>
          </cell>
          <cell r="J6052">
            <v>0</v>
          </cell>
          <cell r="K6052">
            <v>1</v>
          </cell>
          <cell r="L6052">
            <v>0</v>
          </cell>
          <cell r="M6052">
            <v>0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  <cell r="R6052">
            <v>1</v>
          </cell>
          <cell r="S6052">
            <v>0</v>
          </cell>
          <cell r="T6052">
            <v>0</v>
          </cell>
          <cell r="U6052">
            <v>0</v>
          </cell>
          <cell r="V6052">
            <v>1</v>
          </cell>
          <cell r="W6052">
            <v>0</v>
          </cell>
          <cell r="X6052">
            <v>0</v>
          </cell>
          <cell r="Y6052">
            <v>0</v>
          </cell>
        </row>
        <row r="6053">
          <cell r="D6053">
            <v>317301</v>
          </cell>
          <cell r="E6053" t="str">
            <v>Sangay National High School</v>
          </cell>
          <cell r="F6053">
            <v>1</v>
          </cell>
          <cell r="G6053">
            <v>0</v>
          </cell>
          <cell r="H6053">
            <v>1</v>
          </cell>
          <cell r="I6053">
            <v>0</v>
          </cell>
          <cell r="J6053">
            <v>0</v>
          </cell>
          <cell r="K6053">
            <v>1</v>
          </cell>
          <cell r="L6053">
            <v>0</v>
          </cell>
          <cell r="M6053">
            <v>0</v>
          </cell>
          <cell r="N6053">
            <v>1</v>
          </cell>
          <cell r="O6053" t="str">
            <v xml:space="preserve">07/01/2019						</v>
          </cell>
          <cell r="P6053">
            <v>43769</v>
          </cell>
          <cell r="Q6053">
            <v>1</v>
          </cell>
          <cell r="R6053">
            <v>0</v>
          </cell>
          <cell r="S6053">
            <v>0</v>
          </cell>
          <cell r="T6053">
            <v>0</v>
          </cell>
          <cell r="U6053">
            <v>0</v>
          </cell>
          <cell r="V6053">
            <v>1</v>
          </cell>
          <cell r="W6053">
            <v>0</v>
          </cell>
          <cell r="X6053">
            <v>0</v>
          </cell>
          <cell r="Y6053">
            <v>0</v>
          </cell>
        </row>
        <row r="6054">
          <cell r="D6054">
            <v>317310</v>
          </cell>
          <cell r="E6054" t="str">
            <v>E. G. Montilla National High School</v>
          </cell>
          <cell r="F6054">
            <v>1</v>
          </cell>
          <cell r="G6054">
            <v>0</v>
          </cell>
          <cell r="H6054">
            <v>1</v>
          </cell>
          <cell r="I6054">
            <v>0</v>
          </cell>
          <cell r="J6054">
            <v>1</v>
          </cell>
          <cell r="K6054">
            <v>0</v>
          </cell>
          <cell r="L6054">
            <v>0</v>
          </cell>
          <cell r="M6054">
            <v>0</v>
          </cell>
          <cell r="N6054">
            <v>1</v>
          </cell>
          <cell r="O6054">
            <v>0</v>
          </cell>
          <cell r="P6054">
            <v>0</v>
          </cell>
          <cell r="Q6054">
            <v>0</v>
          </cell>
          <cell r="R6054">
            <v>0</v>
          </cell>
          <cell r="S6054">
            <v>0</v>
          </cell>
          <cell r="T6054">
            <v>0</v>
          </cell>
          <cell r="U6054">
            <v>0</v>
          </cell>
          <cell r="V6054">
            <v>1</v>
          </cell>
          <cell r="W6054">
            <v>2</v>
          </cell>
          <cell r="X6054">
            <v>2</v>
          </cell>
          <cell r="Y6054">
            <v>2</v>
          </cell>
        </row>
        <row r="6055">
          <cell r="D6055">
            <v>304674</v>
          </cell>
          <cell r="E6055" t="str">
            <v>Buenavista National High School</v>
          </cell>
          <cell r="F6055">
            <v>0</v>
          </cell>
          <cell r="G6055">
            <v>0</v>
          </cell>
          <cell r="H6055">
            <v>1</v>
          </cell>
          <cell r="I6055">
            <v>0</v>
          </cell>
          <cell r="J6055">
            <v>1</v>
          </cell>
          <cell r="K6055">
            <v>0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>
            <v>0</v>
          </cell>
          <cell r="V6055">
            <v>0</v>
          </cell>
          <cell r="W6055">
            <v>0</v>
          </cell>
          <cell r="X6055">
            <v>0</v>
          </cell>
          <cell r="Y6055">
            <v>0</v>
          </cell>
        </row>
        <row r="6056">
          <cell r="D6056">
            <v>317302</v>
          </cell>
          <cell r="E6056" t="str">
            <v>Nasipit NHS</v>
          </cell>
          <cell r="F6056">
            <v>1</v>
          </cell>
          <cell r="G6056">
            <v>0</v>
          </cell>
          <cell r="H6056">
            <v>1</v>
          </cell>
          <cell r="I6056">
            <v>0</v>
          </cell>
          <cell r="J6056">
            <v>0</v>
          </cell>
          <cell r="K6056">
            <v>1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>
            <v>0</v>
          </cell>
          <cell r="V6056">
            <v>0</v>
          </cell>
          <cell r="W6056">
            <v>0</v>
          </cell>
          <cell r="X6056">
            <v>0</v>
          </cell>
          <cell r="Y6056">
            <v>0</v>
          </cell>
        </row>
        <row r="6057">
          <cell r="D6057">
            <v>317315</v>
          </cell>
          <cell r="E6057" t="str">
            <v>Agong-ong National High School</v>
          </cell>
          <cell r="F6057">
            <v>1</v>
          </cell>
          <cell r="G6057">
            <v>1</v>
          </cell>
          <cell r="H6057">
            <v>1</v>
          </cell>
          <cell r="I6057">
            <v>0</v>
          </cell>
          <cell r="J6057">
            <v>0</v>
          </cell>
          <cell r="K6057">
            <v>1</v>
          </cell>
          <cell r="L6057">
            <v>0</v>
          </cell>
          <cell r="M6057">
            <v>0</v>
          </cell>
          <cell r="N6057">
            <v>1</v>
          </cell>
          <cell r="O6057">
            <v>0</v>
          </cell>
          <cell r="P6057">
            <v>43617</v>
          </cell>
          <cell r="Q6057">
            <v>0</v>
          </cell>
          <cell r="R6057">
            <v>0</v>
          </cell>
          <cell r="S6057">
            <v>1</v>
          </cell>
          <cell r="T6057">
            <v>0</v>
          </cell>
          <cell r="U6057">
            <v>0</v>
          </cell>
          <cell r="V6057">
            <v>1</v>
          </cell>
          <cell r="W6057">
            <v>2</v>
          </cell>
          <cell r="X6057">
            <v>1</v>
          </cell>
          <cell r="Y6057">
            <v>0</v>
          </cell>
        </row>
        <row r="6058">
          <cell r="D6058">
            <v>304700</v>
          </cell>
          <cell r="E6058" t="str">
            <v>Tinigbasan NHS</v>
          </cell>
          <cell r="F6058">
            <v>1</v>
          </cell>
          <cell r="G6058">
            <v>1</v>
          </cell>
          <cell r="H6058">
            <v>1</v>
          </cell>
          <cell r="I6058">
            <v>0</v>
          </cell>
          <cell r="J6058">
            <v>1</v>
          </cell>
          <cell r="K6058">
            <v>0</v>
          </cell>
          <cell r="L6058">
            <v>0</v>
          </cell>
          <cell r="M6058">
            <v>0</v>
          </cell>
          <cell r="N6058">
            <v>1</v>
          </cell>
          <cell r="O6058" t="str">
            <v>Septerber 18, 2019</v>
          </cell>
          <cell r="P6058" t="str">
            <v>September 18, 2019</v>
          </cell>
          <cell r="Q6058">
            <v>0</v>
          </cell>
          <cell r="R6058">
            <v>1</v>
          </cell>
          <cell r="S6058">
            <v>0</v>
          </cell>
          <cell r="T6058">
            <v>0</v>
          </cell>
          <cell r="U6058">
            <v>0</v>
          </cell>
          <cell r="V6058">
            <v>1</v>
          </cell>
          <cell r="W6058">
            <v>1</v>
          </cell>
          <cell r="X6058">
            <v>0</v>
          </cell>
          <cell r="Y6058">
            <v>0</v>
          </cell>
        </row>
        <row r="6059">
          <cell r="D6059">
            <v>304695</v>
          </cell>
          <cell r="E6059" t="str">
            <v>Mat-i NHS</v>
          </cell>
          <cell r="F6059">
            <v>0</v>
          </cell>
          <cell r="G6059">
            <v>0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0</v>
          </cell>
          <cell r="U6059">
            <v>0</v>
          </cell>
          <cell r="V6059">
            <v>0</v>
          </cell>
          <cell r="W6059">
            <v>0</v>
          </cell>
          <cell r="X6059">
            <v>0</v>
          </cell>
          <cell r="Y6059">
            <v>0</v>
          </cell>
        </row>
        <row r="6060">
          <cell r="D6060">
            <v>304698</v>
          </cell>
          <cell r="E6060" t="str">
            <v>Santiago NHS</v>
          </cell>
          <cell r="F6060">
            <v>1</v>
          </cell>
          <cell r="G6060">
            <v>1</v>
          </cell>
          <cell r="H6060">
            <v>1</v>
          </cell>
          <cell r="I6060">
            <v>0</v>
          </cell>
          <cell r="J6060">
            <v>0</v>
          </cell>
          <cell r="K6060">
            <v>0</v>
          </cell>
          <cell r="L6060">
            <v>0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>
            <v>0</v>
          </cell>
          <cell r="V6060">
            <v>1</v>
          </cell>
          <cell r="W6060">
            <v>0</v>
          </cell>
          <cell r="X6060">
            <v>0</v>
          </cell>
          <cell r="Y6060">
            <v>0</v>
          </cell>
        </row>
        <row r="6061">
          <cell r="D6061">
            <v>317309</v>
          </cell>
          <cell r="E6061" t="str">
            <v>Dona Rosario National High School</v>
          </cell>
          <cell r="F6061">
            <v>0</v>
          </cell>
          <cell r="G6061">
            <v>0</v>
          </cell>
          <cell r="H6061">
            <v>1</v>
          </cell>
          <cell r="I6061">
            <v>0</v>
          </cell>
          <cell r="J6061">
            <v>0</v>
          </cell>
          <cell r="K6061">
            <v>1</v>
          </cell>
          <cell r="L6061">
            <v>0</v>
          </cell>
          <cell r="M6061">
            <v>0</v>
          </cell>
          <cell r="N6061">
            <v>1</v>
          </cell>
          <cell r="O6061">
            <v>43620</v>
          </cell>
          <cell r="P6061">
            <v>43620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>
            <v>0</v>
          </cell>
          <cell r="V6061">
            <v>1</v>
          </cell>
          <cell r="W6061">
            <v>0</v>
          </cell>
          <cell r="X6061">
            <v>0</v>
          </cell>
          <cell r="Y6061">
            <v>0</v>
          </cell>
        </row>
        <row r="6062">
          <cell r="D6062">
            <v>304693</v>
          </cell>
          <cell r="E6062" t="str">
            <v>Maningalao NHS</v>
          </cell>
          <cell r="F6062">
            <v>1</v>
          </cell>
          <cell r="G6062">
            <v>0</v>
          </cell>
          <cell r="H6062">
            <v>1</v>
          </cell>
          <cell r="I6062">
            <v>0</v>
          </cell>
          <cell r="J6062">
            <v>0</v>
          </cell>
          <cell r="K6062">
            <v>1</v>
          </cell>
          <cell r="L6062">
            <v>0</v>
          </cell>
          <cell r="M6062">
            <v>0</v>
          </cell>
          <cell r="N6062">
            <v>1</v>
          </cell>
          <cell r="O6062">
            <v>0</v>
          </cell>
          <cell r="P6062">
            <v>0</v>
          </cell>
          <cell r="Q6062">
            <v>0</v>
          </cell>
          <cell r="R6062">
            <v>1</v>
          </cell>
          <cell r="S6062">
            <v>0</v>
          </cell>
          <cell r="T6062">
            <v>0</v>
          </cell>
          <cell r="U6062">
            <v>0</v>
          </cell>
          <cell r="V6062">
            <v>1</v>
          </cell>
          <cell r="W6062">
            <v>2</v>
          </cell>
          <cell r="X6062">
            <v>2</v>
          </cell>
          <cell r="Y6062">
            <v>2</v>
          </cell>
        </row>
        <row r="6063">
          <cell r="D6063">
            <v>304678</v>
          </cell>
          <cell r="E6063" t="str">
            <v>Cuyago National High School</v>
          </cell>
          <cell r="F6063">
            <v>1</v>
          </cell>
          <cell r="G6063">
            <v>1</v>
          </cell>
          <cell r="H6063">
            <v>1</v>
          </cell>
          <cell r="I6063">
            <v>0</v>
          </cell>
          <cell r="J6063">
            <v>1</v>
          </cell>
          <cell r="K6063">
            <v>0</v>
          </cell>
          <cell r="L6063">
            <v>0</v>
          </cell>
          <cell r="M6063">
            <v>0</v>
          </cell>
          <cell r="N6063">
            <v>1</v>
          </cell>
          <cell r="O6063">
            <v>43617</v>
          </cell>
          <cell r="P6063">
            <v>0</v>
          </cell>
          <cell r="Q6063">
            <v>0</v>
          </cell>
          <cell r="R6063">
            <v>1</v>
          </cell>
          <cell r="S6063">
            <v>0</v>
          </cell>
          <cell r="T6063">
            <v>0</v>
          </cell>
          <cell r="U6063">
            <v>0</v>
          </cell>
          <cell r="V6063">
            <v>1</v>
          </cell>
          <cell r="W6063">
            <v>1</v>
          </cell>
          <cell r="X6063">
            <v>1</v>
          </cell>
          <cell r="Y6063">
            <v>1</v>
          </cell>
        </row>
        <row r="6064">
          <cell r="D6064">
            <v>304673</v>
          </cell>
          <cell r="E6064" t="str">
            <v>Agay National High School</v>
          </cell>
          <cell r="F6064">
            <v>1</v>
          </cell>
          <cell r="G6064">
            <v>1</v>
          </cell>
          <cell r="H6064">
            <v>1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>
            <v>0</v>
          </cell>
          <cell r="V6064">
            <v>1</v>
          </cell>
          <cell r="W6064">
            <v>0</v>
          </cell>
          <cell r="X6064">
            <v>0</v>
          </cell>
          <cell r="Y6064">
            <v>0</v>
          </cell>
        </row>
        <row r="6065">
          <cell r="D6065">
            <v>304737</v>
          </cell>
          <cell r="E6065" t="str">
            <v>Anislagan NHS</v>
          </cell>
          <cell r="F6065">
            <v>0</v>
          </cell>
          <cell r="G6065">
            <v>0</v>
          </cell>
          <cell r="H6065">
            <v>1</v>
          </cell>
          <cell r="I6065">
            <v>0</v>
          </cell>
          <cell r="J6065">
            <v>0</v>
          </cell>
          <cell r="K6065">
            <v>1</v>
          </cell>
          <cell r="L6065">
            <v>0</v>
          </cell>
          <cell r="M6065">
            <v>0</v>
          </cell>
          <cell r="N6065">
            <v>1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>
            <v>0</v>
          </cell>
          <cell r="V6065">
            <v>1</v>
          </cell>
          <cell r="W6065">
            <v>0</v>
          </cell>
          <cell r="X6065">
            <v>0</v>
          </cell>
          <cell r="Y6065">
            <v>0</v>
          </cell>
        </row>
        <row r="6066">
          <cell r="D6066">
            <v>317443</v>
          </cell>
          <cell r="E6066" t="str">
            <v>San Isidro National High School</v>
          </cell>
          <cell r="F6066">
            <v>0</v>
          </cell>
          <cell r="G6066">
            <v>0</v>
          </cell>
          <cell r="H6066">
            <v>1</v>
          </cell>
          <cell r="I6066">
            <v>0</v>
          </cell>
          <cell r="J6066">
            <v>1</v>
          </cell>
          <cell r="K6066">
            <v>0</v>
          </cell>
          <cell r="L6066">
            <v>0</v>
          </cell>
          <cell r="M6066">
            <v>0</v>
          </cell>
          <cell r="N6066">
            <v>0</v>
          </cell>
          <cell r="O6066">
            <v>0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0</v>
          </cell>
          <cell r="U6066">
            <v>0</v>
          </cell>
          <cell r="V6066">
            <v>0</v>
          </cell>
          <cell r="W6066">
            <v>0</v>
          </cell>
          <cell r="X6066">
            <v>0</v>
          </cell>
          <cell r="Y6066">
            <v>0</v>
          </cell>
        </row>
        <row r="6067">
          <cell r="D6067">
            <v>304745</v>
          </cell>
          <cell r="E6067" t="str">
            <v>Bayugan III NHS</v>
          </cell>
          <cell r="F6067">
            <v>1</v>
          </cell>
          <cell r="G6067">
            <v>1</v>
          </cell>
          <cell r="H6067">
            <v>1</v>
          </cell>
          <cell r="I6067">
            <v>0</v>
          </cell>
          <cell r="J6067">
            <v>1</v>
          </cell>
          <cell r="K6067">
            <v>0</v>
          </cell>
          <cell r="L6067">
            <v>0</v>
          </cell>
          <cell r="M6067">
            <v>0</v>
          </cell>
          <cell r="N6067">
            <v>1</v>
          </cell>
          <cell r="O6067">
            <v>0</v>
          </cell>
          <cell r="P6067">
            <v>0</v>
          </cell>
          <cell r="Q6067">
            <v>0</v>
          </cell>
          <cell r="R6067">
            <v>1</v>
          </cell>
          <cell r="S6067">
            <v>0</v>
          </cell>
          <cell r="T6067">
            <v>0</v>
          </cell>
          <cell r="U6067">
            <v>0</v>
          </cell>
          <cell r="V6067">
            <v>1</v>
          </cell>
          <cell r="W6067">
            <v>0</v>
          </cell>
          <cell r="X6067">
            <v>3</v>
          </cell>
          <cell r="Y6067">
            <v>3</v>
          </cell>
        </row>
        <row r="6068">
          <cell r="D6068">
            <v>317427</v>
          </cell>
          <cell r="E6068" t="str">
            <v>Nueva Gracia Nhs</v>
          </cell>
          <cell r="F6068">
            <v>1</v>
          </cell>
          <cell r="G6068">
            <v>1</v>
          </cell>
          <cell r="H6068">
            <v>1</v>
          </cell>
          <cell r="I6068">
            <v>0</v>
          </cell>
          <cell r="J6068">
            <v>1</v>
          </cell>
          <cell r="K6068">
            <v>0</v>
          </cell>
          <cell r="L6068">
            <v>0</v>
          </cell>
          <cell r="M6068">
            <v>0</v>
          </cell>
          <cell r="N6068">
            <v>1</v>
          </cell>
          <cell r="O6068">
            <v>43647</v>
          </cell>
          <cell r="P6068">
            <v>43647</v>
          </cell>
          <cell r="Q6068">
            <v>0</v>
          </cell>
          <cell r="R6068">
            <v>1</v>
          </cell>
          <cell r="S6068">
            <v>0</v>
          </cell>
          <cell r="T6068">
            <v>0</v>
          </cell>
          <cell r="U6068">
            <v>0</v>
          </cell>
          <cell r="V6068">
            <v>1</v>
          </cell>
          <cell r="W6068">
            <v>0</v>
          </cell>
          <cell r="X6068">
            <v>0</v>
          </cell>
          <cell r="Y6068">
            <v>0</v>
          </cell>
        </row>
        <row r="6069">
          <cell r="D6069">
            <v>317402</v>
          </cell>
          <cell r="E6069" t="str">
            <v>Bayugan II National High School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0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>
            <v>0</v>
          </cell>
          <cell r="V6069">
            <v>0</v>
          </cell>
          <cell r="W6069">
            <v>0</v>
          </cell>
          <cell r="X6069">
            <v>0</v>
          </cell>
          <cell r="Y6069">
            <v>0</v>
          </cell>
        </row>
        <row r="6070">
          <cell r="D6070">
            <v>304708</v>
          </cell>
          <cell r="E6070" t="str">
            <v>Binucayan NHS</v>
          </cell>
          <cell r="F6070">
            <v>0</v>
          </cell>
          <cell r="G6070">
            <v>0</v>
          </cell>
          <cell r="H6070">
            <v>1</v>
          </cell>
          <cell r="I6070">
            <v>0</v>
          </cell>
          <cell r="J6070">
            <v>1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0</v>
          </cell>
          <cell r="Q6070">
            <v>0</v>
          </cell>
          <cell r="R6070">
            <v>0</v>
          </cell>
          <cell r="S6070">
            <v>0</v>
          </cell>
          <cell r="T6070">
            <v>0</v>
          </cell>
          <cell r="U6070">
            <v>0</v>
          </cell>
          <cell r="V6070">
            <v>0</v>
          </cell>
          <cell r="W6070">
            <v>0</v>
          </cell>
          <cell r="X6070">
            <v>0</v>
          </cell>
          <cell r="Y6070">
            <v>0</v>
          </cell>
        </row>
        <row r="6071">
          <cell r="D6071">
            <v>304721</v>
          </cell>
          <cell r="E6071" t="str">
            <v>Mabuhay National High School</v>
          </cell>
          <cell r="F6071">
            <v>1</v>
          </cell>
          <cell r="G6071">
            <v>1</v>
          </cell>
          <cell r="H6071">
            <v>1</v>
          </cell>
          <cell r="I6071">
            <v>0</v>
          </cell>
          <cell r="J6071">
            <v>1</v>
          </cell>
          <cell r="K6071">
            <v>0</v>
          </cell>
          <cell r="L6071">
            <v>0</v>
          </cell>
          <cell r="M6071">
            <v>0</v>
          </cell>
          <cell r="N6071">
            <v>1</v>
          </cell>
          <cell r="O6071" t="str">
            <v>September 2, 2019</v>
          </cell>
          <cell r="P6071" t="str">
            <v>October 18, 2019</v>
          </cell>
          <cell r="Q6071">
            <v>0</v>
          </cell>
          <cell r="R6071">
            <v>0</v>
          </cell>
          <cell r="S6071">
            <v>0</v>
          </cell>
          <cell r="T6071">
            <v>1</v>
          </cell>
          <cell r="U6071" t="str">
            <v>Weekly</v>
          </cell>
          <cell r="V6071">
            <v>1</v>
          </cell>
          <cell r="W6071">
            <v>1</v>
          </cell>
          <cell r="X6071">
            <v>0</v>
          </cell>
          <cell r="Y6071">
            <v>0</v>
          </cell>
        </row>
        <row r="6072">
          <cell r="D6072">
            <v>317440</v>
          </cell>
          <cell r="E6072" t="str">
            <v>Catmonon National High School</v>
          </cell>
          <cell r="F6072">
            <v>1</v>
          </cell>
          <cell r="G6072">
            <v>1</v>
          </cell>
          <cell r="H6072">
            <v>1</v>
          </cell>
          <cell r="I6072">
            <v>0</v>
          </cell>
          <cell r="J6072">
            <v>1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  <cell r="O6072">
            <v>0</v>
          </cell>
          <cell r="P6072">
            <v>0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>
            <v>0</v>
          </cell>
          <cell r="V6072">
            <v>0</v>
          </cell>
          <cell r="W6072">
            <v>0</v>
          </cell>
          <cell r="X6072">
            <v>0</v>
          </cell>
          <cell r="Y6072">
            <v>0</v>
          </cell>
        </row>
        <row r="6073">
          <cell r="D6073">
            <v>304722</v>
          </cell>
          <cell r="E6073" t="str">
            <v>Lucena NHS</v>
          </cell>
          <cell r="F6073">
            <v>1</v>
          </cell>
          <cell r="G6073">
            <v>1</v>
          </cell>
          <cell r="H6073">
            <v>1</v>
          </cell>
          <cell r="I6073">
            <v>0</v>
          </cell>
          <cell r="J6073">
            <v>0</v>
          </cell>
          <cell r="K6073">
            <v>1</v>
          </cell>
          <cell r="L6073">
            <v>0</v>
          </cell>
          <cell r="M6073">
            <v>0</v>
          </cell>
          <cell r="N6073">
            <v>1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>
            <v>0</v>
          </cell>
          <cell r="V6073">
            <v>1</v>
          </cell>
          <cell r="W6073">
            <v>2</v>
          </cell>
          <cell r="X6073">
            <v>0</v>
          </cell>
          <cell r="Y6073">
            <v>0</v>
          </cell>
        </row>
        <row r="6074">
          <cell r="D6074">
            <v>317411</v>
          </cell>
          <cell r="E6074" t="str">
            <v>Desamparados Nhs</v>
          </cell>
          <cell r="F6074">
            <v>0</v>
          </cell>
          <cell r="G6074">
            <v>0</v>
          </cell>
          <cell r="H6074">
            <v>1</v>
          </cell>
          <cell r="I6074">
            <v>0</v>
          </cell>
          <cell r="J6074">
            <v>0</v>
          </cell>
          <cell r="K6074">
            <v>1</v>
          </cell>
          <cell r="L6074">
            <v>0</v>
          </cell>
          <cell r="M6074">
            <v>0</v>
          </cell>
          <cell r="N6074">
            <v>0</v>
          </cell>
          <cell r="O6074" t="str">
            <v>N/A</v>
          </cell>
          <cell r="P6074" t="str">
            <v>N/A</v>
          </cell>
          <cell r="Q6074">
            <v>0</v>
          </cell>
          <cell r="R6074">
            <v>0</v>
          </cell>
          <cell r="S6074">
            <v>0</v>
          </cell>
          <cell r="T6074">
            <v>1</v>
          </cell>
          <cell r="U6074" t="str">
            <v>N/A</v>
          </cell>
          <cell r="V6074">
            <v>0</v>
          </cell>
          <cell r="W6074">
            <v>1</v>
          </cell>
          <cell r="X6074">
            <v>0</v>
          </cell>
          <cell r="Y6074">
            <v>0</v>
          </cell>
        </row>
        <row r="6075">
          <cell r="D6075">
            <v>317409</v>
          </cell>
          <cell r="E6075" t="str">
            <v>Kapatungan National High School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0</v>
          </cell>
          <cell r="M6075">
            <v>0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>
            <v>0</v>
          </cell>
          <cell r="V6075">
            <v>0</v>
          </cell>
          <cell r="W6075">
            <v>0</v>
          </cell>
          <cell r="X6075">
            <v>0</v>
          </cell>
          <cell r="Y6075">
            <v>0</v>
          </cell>
        </row>
        <row r="6076">
          <cell r="D6076">
            <v>304739</v>
          </cell>
          <cell r="E6076" t="str">
            <v>Laminga NHS</v>
          </cell>
          <cell r="F6076">
            <v>1</v>
          </cell>
          <cell r="G6076">
            <v>1</v>
          </cell>
          <cell r="H6076">
            <v>1</v>
          </cell>
          <cell r="I6076">
            <v>0</v>
          </cell>
          <cell r="J6076">
            <v>1</v>
          </cell>
          <cell r="K6076">
            <v>0</v>
          </cell>
          <cell r="L6076">
            <v>0</v>
          </cell>
          <cell r="M6076">
            <v>0</v>
          </cell>
          <cell r="N6076">
            <v>0</v>
          </cell>
          <cell r="O6076">
            <v>43647</v>
          </cell>
          <cell r="P6076">
            <v>43648</v>
          </cell>
          <cell r="Q6076">
            <v>0</v>
          </cell>
          <cell r="R6076">
            <v>1</v>
          </cell>
          <cell r="S6076">
            <v>0</v>
          </cell>
          <cell r="T6076">
            <v>0</v>
          </cell>
          <cell r="U6076">
            <v>0</v>
          </cell>
          <cell r="V6076">
            <v>0</v>
          </cell>
          <cell r="W6076">
            <v>0</v>
          </cell>
          <cell r="X6076">
            <v>0</v>
          </cell>
          <cell r="Y6076">
            <v>0</v>
          </cell>
        </row>
        <row r="6077">
          <cell r="D6077">
            <v>304709</v>
          </cell>
          <cell r="E6077" t="str">
            <v>Bunawan National High School</v>
          </cell>
          <cell r="F6077">
            <v>0</v>
          </cell>
          <cell r="G6077">
            <v>0</v>
          </cell>
          <cell r="H6077">
            <v>1</v>
          </cell>
          <cell r="I6077">
            <v>0</v>
          </cell>
          <cell r="J6077">
            <v>0</v>
          </cell>
          <cell r="K6077">
            <v>0</v>
          </cell>
          <cell r="L6077">
            <v>0</v>
          </cell>
          <cell r="M6077">
            <v>0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>
            <v>0</v>
          </cell>
          <cell r="V6077">
            <v>0</v>
          </cell>
          <cell r="W6077">
            <v>0</v>
          </cell>
          <cell r="X6077">
            <v>0</v>
          </cell>
          <cell r="Y6077">
            <v>0</v>
          </cell>
        </row>
        <row r="6078">
          <cell r="D6078">
            <v>317422</v>
          </cell>
          <cell r="E6078" t="str">
            <v>Corpuz Nhs</v>
          </cell>
          <cell r="F6078">
            <v>1</v>
          </cell>
          <cell r="G6078">
            <v>0</v>
          </cell>
          <cell r="H6078">
            <v>1</v>
          </cell>
          <cell r="I6078">
            <v>0</v>
          </cell>
          <cell r="J6078">
            <v>0</v>
          </cell>
          <cell r="K6078">
            <v>0</v>
          </cell>
          <cell r="L6078">
            <v>0</v>
          </cell>
          <cell r="M6078">
            <v>0</v>
          </cell>
          <cell r="N6078">
            <v>0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>
            <v>0</v>
          </cell>
          <cell r="V6078">
            <v>0</v>
          </cell>
          <cell r="W6078">
            <v>0</v>
          </cell>
          <cell r="X6078">
            <v>0</v>
          </cell>
          <cell r="Y6078">
            <v>0</v>
          </cell>
        </row>
        <row r="6079">
          <cell r="D6079">
            <v>317418</v>
          </cell>
          <cell r="E6079" t="str">
            <v>San Luis National High School - Balit Annex</v>
          </cell>
          <cell r="F6079">
            <v>1</v>
          </cell>
          <cell r="G6079">
            <v>1</v>
          </cell>
          <cell r="H6079">
            <v>1</v>
          </cell>
          <cell r="I6079">
            <v>0</v>
          </cell>
          <cell r="J6079">
            <v>1</v>
          </cell>
          <cell r="K6079">
            <v>0</v>
          </cell>
          <cell r="L6079">
            <v>0</v>
          </cell>
          <cell r="M6079">
            <v>0</v>
          </cell>
          <cell r="N6079">
            <v>1</v>
          </cell>
          <cell r="O6079">
            <v>0</v>
          </cell>
          <cell r="P6079">
            <v>0</v>
          </cell>
          <cell r="Q6079">
            <v>0</v>
          </cell>
          <cell r="R6079">
            <v>1</v>
          </cell>
          <cell r="S6079">
            <v>0</v>
          </cell>
          <cell r="T6079">
            <v>0</v>
          </cell>
          <cell r="U6079">
            <v>0</v>
          </cell>
          <cell r="V6079">
            <v>1</v>
          </cell>
          <cell r="W6079">
            <v>0</v>
          </cell>
          <cell r="X6079">
            <v>0</v>
          </cell>
          <cell r="Y6079">
            <v>0</v>
          </cell>
        </row>
        <row r="6080">
          <cell r="D6080">
            <v>317423</v>
          </cell>
          <cell r="E6080" t="str">
            <v>Nato National High School</v>
          </cell>
          <cell r="F6080">
            <v>1</v>
          </cell>
          <cell r="G6080">
            <v>1</v>
          </cell>
          <cell r="H6080">
            <v>0</v>
          </cell>
          <cell r="I6080">
            <v>0</v>
          </cell>
          <cell r="J6080">
            <v>1</v>
          </cell>
          <cell r="K6080">
            <v>0</v>
          </cell>
          <cell r="L6080">
            <v>0</v>
          </cell>
          <cell r="M6080">
            <v>0</v>
          </cell>
          <cell r="N6080">
            <v>1</v>
          </cell>
          <cell r="O6080" t="str">
            <v>July 16, 2019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>
            <v>0</v>
          </cell>
          <cell r="V6080">
            <v>1</v>
          </cell>
          <cell r="W6080">
            <v>2</v>
          </cell>
          <cell r="X6080">
            <v>2</v>
          </cell>
          <cell r="Y6080">
            <v>2</v>
          </cell>
        </row>
        <row r="6081">
          <cell r="D6081">
            <v>317424</v>
          </cell>
          <cell r="E6081" t="str">
            <v>Duangan Nhs</v>
          </cell>
          <cell r="F6081">
            <v>1</v>
          </cell>
          <cell r="G6081">
            <v>0</v>
          </cell>
          <cell r="H6081">
            <v>1</v>
          </cell>
          <cell r="I6081">
            <v>0</v>
          </cell>
          <cell r="J6081">
            <v>0</v>
          </cell>
          <cell r="K6081">
            <v>1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  <cell r="R6081">
            <v>1</v>
          </cell>
          <cell r="S6081">
            <v>0</v>
          </cell>
          <cell r="T6081">
            <v>0</v>
          </cell>
          <cell r="U6081">
            <v>0</v>
          </cell>
          <cell r="V6081">
            <v>0</v>
          </cell>
          <cell r="W6081">
            <v>0</v>
          </cell>
          <cell r="X6081">
            <v>0</v>
          </cell>
          <cell r="Y6081">
            <v>0</v>
          </cell>
        </row>
        <row r="6082">
          <cell r="D6082">
            <v>317407</v>
          </cell>
          <cell r="E6082" t="str">
            <v>Manat NHS</v>
          </cell>
          <cell r="F6082">
            <v>1</v>
          </cell>
          <cell r="G6082">
            <v>1</v>
          </cell>
          <cell r="H6082">
            <v>1</v>
          </cell>
          <cell r="I6082">
            <v>0</v>
          </cell>
          <cell r="J6082">
            <v>0</v>
          </cell>
          <cell r="K6082">
            <v>0</v>
          </cell>
          <cell r="L6082">
            <v>0</v>
          </cell>
          <cell r="M6082">
            <v>0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>
            <v>0</v>
          </cell>
          <cell r="V6082">
            <v>0</v>
          </cell>
          <cell r="W6082">
            <v>0</v>
          </cell>
          <cell r="X6082">
            <v>0</v>
          </cell>
          <cell r="Y6082">
            <v>0</v>
          </cell>
        </row>
        <row r="6083">
          <cell r="D6083">
            <v>317412</v>
          </cell>
          <cell r="E6083" t="str">
            <v>Pulang Lupa NHS</v>
          </cell>
          <cell r="F6083">
            <v>0</v>
          </cell>
          <cell r="G6083">
            <v>0</v>
          </cell>
          <cell r="H6083">
            <v>1</v>
          </cell>
          <cell r="I6083">
            <v>0</v>
          </cell>
          <cell r="J6083">
            <v>1</v>
          </cell>
          <cell r="K6083">
            <v>0</v>
          </cell>
          <cell r="L6083">
            <v>0</v>
          </cell>
          <cell r="M6083">
            <v>0</v>
          </cell>
          <cell r="N6083">
            <v>1</v>
          </cell>
          <cell r="O6083">
            <v>43693</v>
          </cell>
          <cell r="P6083">
            <v>0</v>
          </cell>
          <cell r="Q6083">
            <v>0</v>
          </cell>
          <cell r="R6083">
            <v>1</v>
          </cell>
          <cell r="S6083">
            <v>0</v>
          </cell>
          <cell r="T6083">
            <v>0</v>
          </cell>
          <cell r="U6083">
            <v>0</v>
          </cell>
          <cell r="V6083">
            <v>1</v>
          </cell>
          <cell r="W6083">
            <v>0</v>
          </cell>
          <cell r="X6083">
            <v>0</v>
          </cell>
          <cell r="Y6083">
            <v>0</v>
          </cell>
        </row>
        <row r="6084">
          <cell r="D6084">
            <v>317405</v>
          </cell>
          <cell r="E6084" t="str">
            <v>Azpetia NHS</v>
          </cell>
          <cell r="F6084">
            <v>0</v>
          </cell>
          <cell r="G6084">
            <v>0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0</v>
          </cell>
          <cell r="M6084">
            <v>0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0</v>
          </cell>
          <cell r="U6084">
            <v>0</v>
          </cell>
          <cell r="V6084">
            <v>0</v>
          </cell>
          <cell r="W6084">
            <v>1</v>
          </cell>
          <cell r="X6084">
            <v>0</v>
          </cell>
          <cell r="Y6084">
            <v>0</v>
          </cell>
        </row>
        <row r="6085">
          <cell r="D6085">
            <v>304720</v>
          </cell>
          <cell r="E6085" t="str">
            <v>Los Arcos NHS</v>
          </cell>
          <cell r="F6085">
            <v>0</v>
          </cell>
          <cell r="G6085">
            <v>0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0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0</v>
          </cell>
          <cell r="U6085">
            <v>0</v>
          </cell>
          <cell r="V6085">
            <v>0</v>
          </cell>
          <cell r="W6085">
            <v>0</v>
          </cell>
          <cell r="X6085">
            <v>0</v>
          </cell>
          <cell r="Y6085">
            <v>0</v>
          </cell>
        </row>
        <row r="6086">
          <cell r="D6086">
            <v>317445</v>
          </cell>
          <cell r="E6086" t="str">
            <v>Veruela NHS Annex - Nueva Era HS</v>
          </cell>
          <cell r="F6086">
            <v>1</v>
          </cell>
          <cell r="G6086">
            <v>1</v>
          </cell>
          <cell r="H6086">
            <v>1</v>
          </cell>
          <cell r="I6086">
            <v>1</v>
          </cell>
          <cell r="J6086">
            <v>0</v>
          </cell>
          <cell r="K6086">
            <v>0</v>
          </cell>
          <cell r="L6086">
            <v>0</v>
          </cell>
          <cell r="M6086">
            <v>0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0</v>
          </cell>
          <cell r="U6086">
            <v>0</v>
          </cell>
          <cell r="V6086">
            <v>0</v>
          </cell>
          <cell r="W6086">
            <v>0</v>
          </cell>
          <cell r="X6086">
            <v>0</v>
          </cell>
          <cell r="Y6086">
            <v>0</v>
          </cell>
        </row>
        <row r="6087">
          <cell r="D6087">
            <v>317442</v>
          </cell>
          <cell r="E6087" t="str">
            <v>Afga Nhs</v>
          </cell>
          <cell r="F6087">
            <v>1</v>
          </cell>
          <cell r="G6087">
            <v>1</v>
          </cell>
          <cell r="H6087">
            <v>1</v>
          </cell>
          <cell r="I6087">
            <v>0</v>
          </cell>
          <cell r="J6087">
            <v>1</v>
          </cell>
          <cell r="K6087">
            <v>0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1</v>
          </cell>
          <cell r="T6087">
            <v>0</v>
          </cell>
          <cell r="U6087">
            <v>0</v>
          </cell>
          <cell r="V6087">
            <v>0</v>
          </cell>
          <cell r="W6087">
            <v>0</v>
          </cell>
          <cell r="X6087">
            <v>0</v>
          </cell>
          <cell r="Y6087">
            <v>0</v>
          </cell>
        </row>
        <row r="6088">
          <cell r="D6088">
            <v>304704</v>
          </cell>
          <cell r="E6088" t="str">
            <v>Agusan del Sur National Science High School</v>
          </cell>
          <cell r="F6088">
            <v>1</v>
          </cell>
          <cell r="G6088">
            <v>1</v>
          </cell>
          <cell r="H6088">
            <v>1</v>
          </cell>
          <cell r="I6088">
            <v>0</v>
          </cell>
          <cell r="J6088">
            <v>1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  <cell r="R6088">
            <v>1</v>
          </cell>
          <cell r="S6088">
            <v>0</v>
          </cell>
          <cell r="T6088">
            <v>0</v>
          </cell>
          <cell r="U6088">
            <v>0</v>
          </cell>
          <cell r="V6088">
            <v>0</v>
          </cell>
          <cell r="W6088">
            <v>0</v>
          </cell>
          <cell r="X6088">
            <v>0</v>
          </cell>
          <cell r="Y6088">
            <v>0</v>
          </cell>
        </row>
        <row r="6089">
          <cell r="D6089">
            <v>317429</v>
          </cell>
          <cell r="E6089" t="str">
            <v>Novele National High School</v>
          </cell>
          <cell r="F6089">
            <v>0</v>
          </cell>
          <cell r="G6089">
            <v>0</v>
          </cell>
          <cell r="H6089">
            <v>1</v>
          </cell>
          <cell r="I6089">
            <v>0</v>
          </cell>
          <cell r="J6089">
            <v>0</v>
          </cell>
          <cell r="K6089">
            <v>1</v>
          </cell>
          <cell r="L6089">
            <v>0</v>
          </cell>
          <cell r="M6089">
            <v>0</v>
          </cell>
          <cell r="N6089">
            <v>1</v>
          </cell>
          <cell r="O6089">
            <v>0</v>
          </cell>
          <cell r="P6089">
            <v>43471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>
            <v>0</v>
          </cell>
          <cell r="V6089">
            <v>1</v>
          </cell>
          <cell r="W6089">
            <v>1</v>
          </cell>
          <cell r="X6089">
            <v>0</v>
          </cell>
          <cell r="Y6089">
            <v>0</v>
          </cell>
        </row>
        <row r="6090">
          <cell r="D6090">
            <v>317415</v>
          </cell>
          <cell r="E6090" t="str">
            <v>San Toribio NHS</v>
          </cell>
          <cell r="F6090">
            <v>1</v>
          </cell>
          <cell r="G6090">
            <v>1</v>
          </cell>
          <cell r="H6090">
            <v>1</v>
          </cell>
          <cell r="I6090">
            <v>0</v>
          </cell>
          <cell r="J6090">
            <v>0</v>
          </cell>
          <cell r="K6090">
            <v>1</v>
          </cell>
          <cell r="L6090">
            <v>0</v>
          </cell>
          <cell r="M6090">
            <v>0</v>
          </cell>
          <cell r="N6090">
            <v>1</v>
          </cell>
          <cell r="O6090" t="str">
            <v>07-24-19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0</v>
          </cell>
          <cell r="U6090">
            <v>0</v>
          </cell>
          <cell r="V6090">
            <v>0</v>
          </cell>
          <cell r="W6090">
            <v>0</v>
          </cell>
          <cell r="X6090">
            <v>0</v>
          </cell>
          <cell r="Y6090">
            <v>0</v>
          </cell>
        </row>
        <row r="6091">
          <cell r="D6091">
            <v>317426</v>
          </cell>
          <cell r="E6091" t="str">
            <v>Buenasuerte National High School</v>
          </cell>
          <cell r="F6091">
            <v>1</v>
          </cell>
          <cell r="G6091">
            <v>1</v>
          </cell>
          <cell r="H6091">
            <v>1</v>
          </cell>
          <cell r="I6091">
            <v>0</v>
          </cell>
          <cell r="J6091">
            <v>1</v>
          </cell>
          <cell r="K6091">
            <v>0</v>
          </cell>
          <cell r="L6091">
            <v>0</v>
          </cell>
          <cell r="M6091">
            <v>0</v>
          </cell>
          <cell r="N6091">
            <v>1</v>
          </cell>
          <cell r="O6091">
            <v>0</v>
          </cell>
          <cell r="P6091">
            <v>0</v>
          </cell>
          <cell r="Q6091">
            <v>1</v>
          </cell>
          <cell r="R6091">
            <v>0</v>
          </cell>
          <cell r="S6091">
            <v>0</v>
          </cell>
          <cell r="T6091">
            <v>0</v>
          </cell>
          <cell r="U6091">
            <v>0</v>
          </cell>
          <cell r="V6091">
            <v>1</v>
          </cell>
          <cell r="W6091">
            <v>0</v>
          </cell>
          <cell r="X6091">
            <v>0</v>
          </cell>
          <cell r="Y6091">
            <v>0</v>
          </cell>
        </row>
        <row r="6092">
          <cell r="D6092">
            <v>317435</v>
          </cell>
          <cell r="E6092" t="str">
            <v>Talacogon National High School - Maharlika Annex</v>
          </cell>
          <cell r="F6092">
            <v>1</v>
          </cell>
          <cell r="G6092">
            <v>0</v>
          </cell>
          <cell r="H6092">
            <v>1</v>
          </cell>
          <cell r="I6092">
            <v>0</v>
          </cell>
          <cell r="J6092">
            <v>0</v>
          </cell>
          <cell r="K6092">
            <v>1</v>
          </cell>
          <cell r="L6092">
            <v>0</v>
          </cell>
          <cell r="M6092">
            <v>0</v>
          </cell>
          <cell r="N6092">
            <v>1</v>
          </cell>
          <cell r="O6092">
            <v>0</v>
          </cell>
          <cell r="P6092">
            <v>0</v>
          </cell>
          <cell r="Q6092">
            <v>0</v>
          </cell>
          <cell r="R6092">
            <v>0</v>
          </cell>
          <cell r="S6092">
            <v>1</v>
          </cell>
          <cell r="T6092">
            <v>0</v>
          </cell>
          <cell r="U6092">
            <v>0</v>
          </cell>
          <cell r="V6092">
            <v>1</v>
          </cell>
          <cell r="W6092">
            <v>0</v>
          </cell>
          <cell r="X6092">
            <v>0</v>
          </cell>
          <cell r="Y6092">
            <v>0</v>
          </cell>
        </row>
        <row r="6093">
          <cell r="D6093">
            <v>304710</v>
          </cell>
          <cell r="E6093" t="str">
            <v>Del Monte NHS</v>
          </cell>
          <cell r="F6093">
            <v>1</v>
          </cell>
          <cell r="G6093">
            <v>1</v>
          </cell>
          <cell r="H6093">
            <v>1</v>
          </cell>
          <cell r="I6093">
            <v>0</v>
          </cell>
          <cell r="J6093">
            <v>0</v>
          </cell>
          <cell r="K6093">
            <v>1</v>
          </cell>
          <cell r="L6093">
            <v>0</v>
          </cell>
          <cell r="M6093">
            <v>0</v>
          </cell>
          <cell r="N6093">
            <v>1</v>
          </cell>
          <cell r="O6093">
            <v>0</v>
          </cell>
          <cell r="P6093">
            <v>0</v>
          </cell>
          <cell r="Q6093">
            <v>0</v>
          </cell>
          <cell r="R6093">
            <v>1</v>
          </cell>
          <cell r="S6093">
            <v>0</v>
          </cell>
          <cell r="T6093">
            <v>0</v>
          </cell>
          <cell r="U6093">
            <v>0</v>
          </cell>
          <cell r="V6093">
            <v>1</v>
          </cell>
          <cell r="W6093">
            <v>0</v>
          </cell>
          <cell r="X6093">
            <v>0</v>
          </cell>
          <cell r="Y6093">
            <v>0</v>
          </cell>
        </row>
        <row r="6094">
          <cell r="D6094">
            <v>317444</v>
          </cell>
          <cell r="E6094" t="str">
            <v>Aurora Nhs</v>
          </cell>
          <cell r="F6094">
            <v>0</v>
          </cell>
          <cell r="G6094">
            <v>0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0</v>
          </cell>
          <cell r="M6094">
            <v>0</v>
          </cell>
          <cell r="N6094">
            <v>0</v>
          </cell>
          <cell r="O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>
            <v>0</v>
          </cell>
          <cell r="V6094">
            <v>0</v>
          </cell>
          <cell r="W6094">
            <v>0</v>
          </cell>
          <cell r="X6094">
            <v>0</v>
          </cell>
          <cell r="Y6094">
            <v>0</v>
          </cell>
        </row>
        <row r="6095">
          <cell r="D6095">
            <v>317416</v>
          </cell>
          <cell r="E6095" t="str">
            <v>Causwagan National High School</v>
          </cell>
          <cell r="F6095">
            <v>1</v>
          </cell>
          <cell r="G6095">
            <v>1</v>
          </cell>
          <cell r="H6095">
            <v>1</v>
          </cell>
          <cell r="I6095">
            <v>0</v>
          </cell>
          <cell r="J6095">
            <v>1</v>
          </cell>
          <cell r="K6095">
            <v>0</v>
          </cell>
          <cell r="L6095">
            <v>0</v>
          </cell>
          <cell r="M6095">
            <v>0</v>
          </cell>
          <cell r="N6095">
            <v>1</v>
          </cell>
          <cell r="O6095">
            <v>0</v>
          </cell>
          <cell r="P6095">
            <v>43617</v>
          </cell>
          <cell r="Q6095">
            <v>0</v>
          </cell>
          <cell r="R6095">
            <v>1</v>
          </cell>
          <cell r="S6095">
            <v>0</v>
          </cell>
          <cell r="T6095">
            <v>0</v>
          </cell>
          <cell r="U6095">
            <v>0</v>
          </cell>
          <cell r="V6095">
            <v>1</v>
          </cell>
          <cell r="W6095">
            <v>0</v>
          </cell>
          <cell r="X6095">
            <v>0</v>
          </cell>
          <cell r="Y6095">
            <v>0</v>
          </cell>
        </row>
        <row r="6096">
          <cell r="D6096">
            <v>317428</v>
          </cell>
          <cell r="E6096" t="str">
            <v>West Prosperidad Nhs</v>
          </cell>
          <cell r="F6096">
            <v>1</v>
          </cell>
          <cell r="G6096">
            <v>0</v>
          </cell>
          <cell r="H6096">
            <v>1</v>
          </cell>
          <cell r="I6096">
            <v>0</v>
          </cell>
          <cell r="J6096">
            <v>0</v>
          </cell>
          <cell r="K6096">
            <v>0</v>
          </cell>
          <cell r="L6096">
            <v>0</v>
          </cell>
          <cell r="M6096">
            <v>0</v>
          </cell>
          <cell r="N6096">
            <v>1</v>
          </cell>
          <cell r="O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>
            <v>0</v>
          </cell>
          <cell r="V6096">
            <v>0</v>
          </cell>
          <cell r="W6096">
            <v>0</v>
          </cell>
          <cell r="X6096">
            <v>0</v>
          </cell>
          <cell r="Y6096">
            <v>0</v>
          </cell>
        </row>
        <row r="6097">
          <cell r="D6097">
            <v>304716</v>
          </cell>
          <cell r="E6097" t="str">
            <v>La Paz NHS</v>
          </cell>
          <cell r="F6097">
            <v>1</v>
          </cell>
          <cell r="G6097">
            <v>1</v>
          </cell>
          <cell r="H6097">
            <v>1</v>
          </cell>
          <cell r="I6097">
            <v>0</v>
          </cell>
          <cell r="J6097">
            <v>1</v>
          </cell>
          <cell r="K6097">
            <v>0</v>
          </cell>
          <cell r="L6097">
            <v>0</v>
          </cell>
          <cell r="M6097">
            <v>0</v>
          </cell>
          <cell r="N6097">
            <v>1</v>
          </cell>
          <cell r="O6097">
            <v>43586</v>
          </cell>
          <cell r="P6097">
            <v>0</v>
          </cell>
          <cell r="Q6097">
            <v>0</v>
          </cell>
          <cell r="R6097">
            <v>1</v>
          </cell>
          <cell r="S6097">
            <v>0</v>
          </cell>
          <cell r="T6097">
            <v>0</v>
          </cell>
          <cell r="U6097">
            <v>43709</v>
          </cell>
          <cell r="V6097">
            <v>1</v>
          </cell>
          <cell r="W6097">
            <v>1</v>
          </cell>
          <cell r="X6097">
            <v>0</v>
          </cell>
          <cell r="Y6097">
            <v>0</v>
          </cell>
        </row>
        <row r="6098">
          <cell r="D6098">
            <v>304744</v>
          </cell>
          <cell r="E6098" t="str">
            <v>Sta. Cruz NHS</v>
          </cell>
          <cell r="F6098">
            <v>0</v>
          </cell>
          <cell r="G6098">
            <v>0</v>
          </cell>
          <cell r="H6098">
            <v>1</v>
          </cell>
          <cell r="I6098">
            <v>0</v>
          </cell>
          <cell r="J6098">
            <v>0</v>
          </cell>
          <cell r="K6098">
            <v>1</v>
          </cell>
          <cell r="L6098">
            <v>0</v>
          </cell>
          <cell r="M6098">
            <v>0</v>
          </cell>
          <cell r="N6098">
            <v>0</v>
          </cell>
          <cell r="O6098">
            <v>0</v>
          </cell>
          <cell r="P6098">
            <v>0</v>
          </cell>
          <cell r="Q6098">
            <v>0</v>
          </cell>
          <cell r="R6098">
            <v>0</v>
          </cell>
          <cell r="S6098">
            <v>1</v>
          </cell>
          <cell r="T6098">
            <v>0</v>
          </cell>
          <cell r="U6098">
            <v>0</v>
          </cell>
          <cell r="V6098">
            <v>1</v>
          </cell>
          <cell r="W6098">
            <v>0</v>
          </cell>
          <cell r="X6098">
            <v>0</v>
          </cell>
          <cell r="Y6098">
            <v>0</v>
          </cell>
        </row>
        <row r="6099">
          <cell r="D6099">
            <v>304741</v>
          </cell>
          <cell r="E6099" t="str">
            <v>Magsaysay Nhs</v>
          </cell>
          <cell r="F6099">
            <v>1</v>
          </cell>
          <cell r="G6099">
            <v>1</v>
          </cell>
          <cell r="H6099">
            <v>1</v>
          </cell>
          <cell r="I6099">
            <v>0</v>
          </cell>
          <cell r="J6099">
            <v>0</v>
          </cell>
          <cell r="K6099">
            <v>1</v>
          </cell>
          <cell r="L6099">
            <v>0</v>
          </cell>
          <cell r="M6099">
            <v>0</v>
          </cell>
          <cell r="N6099">
            <v>0</v>
          </cell>
          <cell r="O6099">
            <v>0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>
            <v>0</v>
          </cell>
          <cell r="V6099">
            <v>0</v>
          </cell>
          <cell r="W6099">
            <v>2</v>
          </cell>
          <cell r="X6099">
            <v>0</v>
          </cell>
          <cell r="Y6099">
            <v>0</v>
          </cell>
        </row>
        <row r="6100">
          <cell r="D6100">
            <v>304755</v>
          </cell>
          <cell r="E6100" t="str">
            <v>Zillovia NHS</v>
          </cell>
          <cell r="F6100">
            <v>1</v>
          </cell>
          <cell r="G6100">
            <v>1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>
            <v>0</v>
          </cell>
          <cell r="M6100">
            <v>0</v>
          </cell>
          <cell r="N6100">
            <v>0</v>
          </cell>
          <cell r="O6100">
            <v>0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>
            <v>0</v>
          </cell>
          <cell r="V6100">
            <v>0</v>
          </cell>
          <cell r="W6100">
            <v>0</v>
          </cell>
          <cell r="X6100">
            <v>0</v>
          </cell>
          <cell r="Y6100">
            <v>0</v>
          </cell>
        </row>
        <row r="6101">
          <cell r="D6101">
            <v>317441</v>
          </cell>
          <cell r="E6101" t="str">
            <v>Salug Nhs</v>
          </cell>
          <cell r="F6101">
            <v>1</v>
          </cell>
          <cell r="G6101">
            <v>0</v>
          </cell>
          <cell r="H6101">
            <v>1</v>
          </cell>
          <cell r="I6101">
            <v>0</v>
          </cell>
          <cell r="J6101">
            <v>0</v>
          </cell>
          <cell r="K6101">
            <v>1</v>
          </cell>
          <cell r="L6101">
            <v>0</v>
          </cell>
          <cell r="M6101">
            <v>0</v>
          </cell>
          <cell r="N6101">
            <v>0</v>
          </cell>
          <cell r="O6101">
            <v>0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>
            <v>0</v>
          </cell>
          <cell r="V6101">
            <v>0</v>
          </cell>
          <cell r="W6101">
            <v>0</v>
          </cell>
          <cell r="X6101">
            <v>0</v>
          </cell>
          <cell r="Y6101">
            <v>0</v>
          </cell>
        </row>
        <row r="6102">
          <cell r="D6102">
            <v>317414</v>
          </cell>
          <cell r="E6102" t="str">
            <v>Hawilian National High School</v>
          </cell>
          <cell r="F6102">
            <v>1</v>
          </cell>
          <cell r="G6102">
            <v>1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0</v>
          </cell>
          <cell r="M6102">
            <v>0</v>
          </cell>
          <cell r="N6102">
            <v>0</v>
          </cell>
          <cell r="O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>
            <v>0</v>
          </cell>
          <cell r="V6102">
            <v>0</v>
          </cell>
          <cell r="W6102">
            <v>0</v>
          </cell>
          <cell r="X6102">
            <v>0</v>
          </cell>
          <cell r="Y6102">
            <v>0</v>
          </cell>
        </row>
        <row r="6103">
          <cell r="D6103">
            <v>317403</v>
          </cell>
          <cell r="E6103" t="str">
            <v>Lapinigan NHS - New Visayas Ext.</v>
          </cell>
          <cell r="F6103">
            <v>0</v>
          </cell>
          <cell r="G6103">
            <v>0</v>
          </cell>
          <cell r="H6103">
            <v>0</v>
          </cell>
          <cell r="I6103">
            <v>0</v>
          </cell>
          <cell r="J6103">
            <v>1</v>
          </cell>
          <cell r="K6103">
            <v>0</v>
          </cell>
          <cell r="L6103">
            <v>0</v>
          </cell>
          <cell r="M6103">
            <v>0</v>
          </cell>
          <cell r="N6103">
            <v>1</v>
          </cell>
          <cell r="O6103">
            <v>0</v>
          </cell>
          <cell r="P6103">
            <v>0</v>
          </cell>
          <cell r="Q6103">
            <v>0</v>
          </cell>
          <cell r="R6103">
            <v>1</v>
          </cell>
          <cell r="S6103">
            <v>0</v>
          </cell>
          <cell r="T6103">
            <v>0</v>
          </cell>
          <cell r="U6103">
            <v>0</v>
          </cell>
          <cell r="V6103">
            <v>1</v>
          </cell>
          <cell r="W6103">
            <v>0</v>
          </cell>
          <cell r="X6103">
            <v>0</v>
          </cell>
          <cell r="Y6103">
            <v>0</v>
          </cell>
        </row>
        <row r="6104">
          <cell r="D6104">
            <v>317431</v>
          </cell>
          <cell r="E6104" t="str">
            <v>Magaud National High School</v>
          </cell>
          <cell r="F6104">
            <v>0</v>
          </cell>
          <cell r="G6104">
            <v>0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0</v>
          </cell>
          <cell r="M6104">
            <v>0</v>
          </cell>
          <cell r="N6104">
            <v>0</v>
          </cell>
          <cell r="O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>
            <v>0</v>
          </cell>
          <cell r="V6104">
            <v>0</v>
          </cell>
          <cell r="W6104">
            <v>0</v>
          </cell>
          <cell r="X6104">
            <v>0</v>
          </cell>
          <cell r="Y6104">
            <v>0</v>
          </cell>
        </row>
        <row r="6105">
          <cell r="D6105">
            <v>304711</v>
          </cell>
          <cell r="E6105" t="str">
            <v>Democrito O. Plaza MHS</v>
          </cell>
          <cell r="F6105">
            <v>0</v>
          </cell>
          <cell r="G6105">
            <v>0</v>
          </cell>
          <cell r="H6105">
            <v>1</v>
          </cell>
          <cell r="I6105">
            <v>0</v>
          </cell>
          <cell r="J6105">
            <v>1</v>
          </cell>
          <cell r="K6105">
            <v>0</v>
          </cell>
          <cell r="L6105">
            <v>0</v>
          </cell>
          <cell r="M6105">
            <v>0</v>
          </cell>
          <cell r="N6105">
            <v>0</v>
          </cell>
          <cell r="O6105">
            <v>0</v>
          </cell>
          <cell r="P6105">
            <v>43621</v>
          </cell>
          <cell r="Q6105">
            <v>0</v>
          </cell>
          <cell r="R6105">
            <v>1</v>
          </cell>
          <cell r="S6105">
            <v>0</v>
          </cell>
          <cell r="T6105">
            <v>0</v>
          </cell>
          <cell r="U6105">
            <v>0</v>
          </cell>
          <cell r="V6105">
            <v>1</v>
          </cell>
          <cell r="W6105">
            <v>10</v>
          </cell>
          <cell r="X6105">
            <v>4</v>
          </cell>
          <cell r="Y6105">
            <v>0</v>
          </cell>
        </row>
        <row r="6106">
          <cell r="D6106">
            <v>500315</v>
          </cell>
          <cell r="E6106" t="str">
            <v>Sabang Gibong Nhs</v>
          </cell>
          <cell r="F6106">
            <v>0</v>
          </cell>
          <cell r="G6106">
            <v>0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0</v>
          </cell>
          <cell r="M6106">
            <v>0</v>
          </cell>
          <cell r="N6106">
            <v>0</v>
          </cell>
          <cell r="O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>
            <v>0</v>
          </cell>
          <cell r="V6106">
            <v>0</v>
          </cell>
          <cell r="W6106">
            <v>0</v>
          </cell>
          <cell r="X6106">
            <v>0</v>
          </cell>
          <cell r="Y6106">
            <v>0</v>
          </cell>
        </row>
        <row r="6107">
          <cell r="D6107">
            <v>304730</v>
          </cell>
          <cell r="E6107" t="str">
            <v>Patin-ay National High School</v>
          </cell>
          <cell r="F6107">
            <v>0</v>
          </cell>
          <cell r="G6107">
            <v>0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0</v>
          </cell>
          <cell r="M6107">
            <v>0</v>
          </cell>
          <cell r="N6107">
            <v>0</v>
          </cell>
          <cell r="O6107">
            <v>0</v>
          </cell>
          <cell r="P6107">
            <v>0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>
            <v>0</v>
          </cell>
          <cell r="V6107">
            <v>0</v>
          </cell>
          <cell r="W6107">
            <v>0</v>
          </cell>
          <cell r="X6107">
            <v>0</v>
          </cell>
          <cell r="Y6107">
            <v>0</v>
          </cell>
        </row>
        <row r="6108">
          <cell r="D6108">
            <v>304715</v>
          </cell>
          <cell r="E6108" t="str">
            <v>Waloe National High School</v>
          </cell>
          <cell r="F6108">
            <v>0</v>
          </cell>
          <cell r="G6108">
            <v>0</v>
          </cell>
          <cell r="H6108">
            <v>1</v>
          </cell>
          <cell r="I6108">
            <v>0</v>
          </cell>
          <cell r="J6108">
            <v>0</v>
          </cell>
          <cell r="K6108">
            <v>0</v>
          </cell>
          <cell r="L6108">
            <v>0</v>
          </cell>
          <cell r="M6108">
            <v>0</v>
          </cell>
          <cell r="N6108">
            <v>1</v>
          </cell>
          <cell r="O6108" t="str">
            <v>09/27/2019</v>
          </cell>
          <cell r="P6108">
            <v>43506</v>
          </cell>
          <cell r="Q6108">
            <v>0</v>
          </cell>
          <cell r="R6108">
            <v>0</v>
          </cell>
          <cell r="S6108">
            <v>0</v>
          </cell>
          <cell r="T6108">
            <v>1</v>
          </cell>
          <cell r="U6108" t="str">
            <v>weekly done by school guard</v>
          </cell>
          <cell r="V6108">
            <v>0</v>
          </cell>
          <cell r="W6108">
            <v>0</v>
          </cell>
          <cell r="X6108">
            <v>0</v>
          </cell>
          <cell r="Y6108">
            <v>0</v>
          </cell>
        </row>
        <row r="6109">
          <cell r="D6109">
            <v>317432</v>
          </cell>
          <cell r="E6109" t="str">
            <v>Labnig NHS</v>
          </cell>
          <cell r="F6109">
            <v>1</v>
          </cell>
          <cell r="G6109">
            <v>1</v>
          </cell>
          <cell r="H6109">
            <v>1</v>
          </cell>
          <cell r="I6109">
            <v>0</v>
          </cell>
          <cell r="J6109">
            <v>1</v>
          </cell>
          <cell r="K6109">
            <v>0</v>
          </cell>
          <cell r="L6109">
            <v>0</v>
          </cell>
          <cell r="M6109">
            <v>0</v>
          </cell>
          <cell r="N6109">
            <v>1</v>
          </cell>
          <cell r="O6109">
            <v>43759</v>
          </cell>
          <cell r="P6109" t="str">
            <v>NONE</v>
          </cell>
          <cell r="Q6109">
            <v>0</v>
          </cell>
          <cell r="R6109">
            <v>0</v>
          </cell>
          <cell r="S6109">
            <v>0</v>
          </cell>
          <cell r="T6109">
            <v>1</v>
          </cell>
          <cell r="U6109" t="str">
            <v>NONE</v>
          </cell>
          <cell r="V6109">
            <v>0</v>
          </cell>
          <cell r="W6109">
            <v>0</v>
          </cell>
          <cell r="X6109">
            <v>0</v>
          </cell>
          <cell r="Y6109">
            <v>0</v>
          </cell>
        </row>
        <row r="6110">
          <cell r="D6110">
            <v>317425</v>
          </cell>
          <cell r="E6110" t="str">
            <v>Oro Nhs</v>
          </cell>
          <cell r="F6110">
            <v>1</v>
          </cell>
          <cell r="G6110">
            <v>0</v>
          </cell>
          <cell r="H6110">
            <v>1</v>
          </cell>
          <cell r="I6110">
            <v>0</v>
          </cell>
          <cell r="J6110">
            <v>0</v>
          </cell>
          <cell r="K6110">
            <v>0</v>
          </cell>
          <cell r="L6110">
            <v>0</v>
          </cell>
          <cell r="M6110" t="str">
            <v>Every GPTA Meeting</v>
          </cell>
          <cell r="N6110">
            <v>1</v>
          </cell>
          <cell r="O6110">
            <v>43722</v>
          </cell>
          <cell r="P6110">
            <v>43700</v>
          </cell>
          <cell r="Q6110">
            <v>0</v>
          </cell>
          <cell r="R6110">
            <v>0</v>
          </cell>
          <cell r="S6110">
            <v>0</v>
          </cell>
          <cell r="T6110">
            <v>0</v>
          </cell>
          <cell r="U6110">
            <v>0</v>
          </cell>
          <cell r="V6110">
            <v>1</v>
          </cell>
          <cell r="W6110">
            <v>0</v>
          </cell>
          <cell r="X6110">
            <v>0</v>
          </cell>
          <cell r="Y6110">
            <v>0</v>
          </cell>
        </row>
        <row r="6111">
          <cell r="D6111">
            <v>304717</v>
          </cell>
          <cell r="E6111" t="str">
            <v>Lapinigan National High School</v>
          </cell>
          <cell r="F6111">
            <v>1</v>
          </cell>
          <cell r="G6111">
            <v>1</v>
          </cell>
          <cell r="H6111">
            <v>1</v>
          </cell>
          <cell r="I6111">
            <v>0</v>
          </cell>
          <cell r="J6111">
            <v>1</v>
          </cell>
          <cell r="K6111">
            <v>0</v>
          </cell>
          <cell r="L6111">
            <v>0</v>
          </cell>
          <cell r="M6111">
            <v>0</v>
          </cell>
          <cell r="N6111">
            <v>1</v>
          </cell>
          <cell r="O6111">
            <v>0</v>
          </cell>
          <cell r="P6111">
            <v>0</v>
          </cell>
          <cell r="Q6111">
            <v>0</v>
          </cell>
          <cell r="R6111">
            <v>1</v>
          </cell>
          <cell r="S6111">
            <v>0</v>
          </cell>
          <cell r="T6111">
            <v>0</v>
          </cell>
          <cell r="U6111">
            <v>0</v>
          </cell>
          <cell r="V6111">
            <v>1</v>
          </cell>
          <cell r="W6111">
            <v>1</v>
          </cell>
          <cell r="X6111">
            <v>1</v>
          </cell>
          <cell r="Y6111">
            <v>1</v>
          </cell>
        </row>
        <row r="6112">
          <cell r="D6112">
            <v>304751</v>
          </cell>
          <cell r="E6112" t="str">
            <v>STO. TOMAS NATIONAL HIGH SCHOOL</v>
          </cell>
          <cell r="F6112">
            <v>1</v>
          </cell>
          <cell r="G6112">
            <v>1</v>
          </cell>
          <cell r="H6112">
            <v>1</v>
          </cell>
          <cell r="I6112">
            <v>0</v>
          </cell>
          <cell r="J6112">
            <v>1</v>
          </cell>
          <cell r="K6112">
            <v>0</v>
          </cell>
          <cell r="L6112">
            <v>0</v>
          </cell>
          <cell r="M6112">
            <v>0</v>
          </cell>
          <cell r="N6112">
            <v>1</v>
          </cell>
          <cell r="O6112">
            <v>0</v>
          </cell>
          <cell r="P6112">
            <v>0</v>
          </cell>
          <cell r="Q6112">
            <v>0</v>
          </cell>
          <cell r="R6112">
            <v>1</v>
          </cell>
          <cell r="S6112">
            <v>0</v>
          </cell>
          <cell r="T6112">
            <v>0</v>
          </cell>
          <cell r="U6112">
            <v>0</v>
          </cell>
          <cell r="V6112">
            <v>1</v>
          </cell>
          <cell r="W6112">
            <v>5</v>
          </cell>
          <cell r="X6112">
            <v>0</v>
          </cell>
          <cell r="Y6112">
            <v>0</v>
          </cell>
        </row>
        <row r="6113">
          <cell r="D6113">
            <v>304738</v>
          </cell>
          <cell r="E6113" t="str">
            <v>Cecilia NHS</v>
          </cell>
          <cell r="F6113">
            <v>1</v>
          </cell>
          <cell r="G6113">
            <v>1</v>
          </cell>
          <cell r="H6113">
            <v>1</v>
          </cell>
          <cell r="I6113">
            <v>0</v>
          </cell>
          <cell r="J6113">
            <v>0</v>
          </cell>
          <cell r="K6113">
            <v>1</v>
          </cell>
          <cell r="L6113">
            <v>0</v>
          </cell>
          <cell r="M6113">
            <v>0</v>
          </cell>
          <cell r="N6113">
            <v>1</v>
          </cell>
          <cell r="O6113">
            <v>43374</v>
          </cell>
          <cell r="P6113">
            <v>43374</v>
          </cell>
          <cell r="Q6113">
            <v>0</v>
          </cell>
          <cell r="R6113">
            <v>0</v>
          </cell>
          <cell r="S6113">
            <v>1</v>
          </cell>
          <cell r="T6113">
            <v>0</v>
          </cell>
          <cell r="U6113">
            <v>0</v>
          </cell>
          <cell r="V6113">
            <v>1</v>
          </cell>
          <cell r="W6113">
            <v>0</v>
          </cell>
          <cell r="X6113">
            <v>0</v>
          </cell>
          <cell r="Y6113">
            <v>0</v>
          </cell>
        </row>
        <row r="6114">
          <cell r="D6114">
            <v>304747</v>
          </cell>
          <cell r="E6114" t="str">
            <v>Datu Lipus Makapandong National High School</v>
          </cell>
          <cell r="F6114">
            <v>1</v>
          </cell>
          <cell r="G6114">
            <v>0</v>
          </cell>
          <cell r="H6114">
            <v>1</v>
          </cell>
          <cell r="I6114">
            <v>0</v>
          </cell>
          <cell r="J6114">
            <v>1</v>
          </cell>
          <cell r="K6114">
            <v>0</v>
          </cell>
          <cell r="L6114">
            <v>0</v>
          </cell>
          <cell r="M6114">
            <v>0</v>
          </cell>
          <cell r="N6114">
            <v>0</v>
          </cell>
          <cell r="O6114">
            <v>0</v>
          </cell>
          <cell r="P6114">
            <v>0</v>
          </cell>
          <cell r="Q6114">
            <v>0</v>
          </cell>
          <cell r="R6114">
            <v>1</v>
          </cell>
          <cell r="S6114">
            <v>0</v>
          </cell>
          <cell r="T6114">
            <v>0</v>
          </cell>
          <cell r="U6114">
            <v>0</v>
          </cell>
          <cell r="V6114">
            <v>1</v>
          </cell>
          <cell r="W6114">
            <v>0</v>
          </cell>
          <cell r="X6114">
            <v>0</v>
          </cell>
          <cell r="Y6114">
            <v>0</v>
          </cell>
        </row>
        <row r="6115">
          <cell r="D6115">
            <v>304718</v>
          </cell>
          <cell r="E6115" t="str">
            <v>Libertad NHS</v>
          </cell>
          <cell r="F6115">
            <v>0</v>
          </cell>
          <cell r="G6115">
            <v>0</v>
          </cell>
          <cell r="H6115">
            <v>1</v>
          </cell>
          <cell r="I6115">
            <v>0</v>
          </cell>
          <cell r="J6115">
            <v>0</v>
          </cell>
          <cell r="K6115">
            <v>1</v>
          </cell>
          <cell r="L6115">
            <v>0</v>
          </cell>
          <cell r="M6115">
            <v>0</v>
          </cell>
          <cell r="N6115">
            <v>0</v>
          </cell>
          <cell r="O6115">
            <v>0</v>
          </cell>
          <cell r="P6115">
            <v>0</v>
          </cell>
          <cell r="Q6115">
            <v>0</v>
          </cell>
          <cell r="R6115">
            <v>1</v>
          </cell>
          <cell r="S6115">
            <v>0</v>
          </cell>
          <cell r="T6115">
            <v>0</v>
          </cell>
          <cell r="U6115">
            <v>0</v>
          </cell>
          <cell r="V6115">
            <v>1</v>
          </cell>
          <cell r="W6115">
            <v>3</v>
          </cell>
          <cell r="X6115">
            <v>0</v>
          </cell>
          <cell r="Y6115">
            <v>0</v>
          </cell>
        </row>
        <row r="6116">
          <cell r="D6116">
            <v>317434</v>
          </cell>
          <cell r="E6116" t="str">
            <v>Marbon Nhs</v>
          </cell>
          <cell r="F6116">
            <v>0</v>
          </cell>
          <cell r="G6116">
            <v>0</v>
          </cell>
          <cell r="H6116">
            <v>0</v>
          </cell>
          <cell r="I6116">
            <v>0</v>
          </cell>
          <cell r="J6116">
            <v>1</v>
          </cell>
          <cell r="K6116">
            <v>0</v>
          </cell>
          <cell r="L6116">
            <v>0</v>
          </cell>
          <cell r="M6116">
            <v>0</v>
          </cell>
          <cell r="N6116">
            <v>1</v>
          </cell>
          <cell r="O6116">
            <v>0</v>
          </cell>
          <cell r="P6116">
            <v>0</v>
          </cell>
          <cell r="Q6116">
            <v>1</v>
          </cell>
          <cell r="R6116">
            <v>0</v>
          </cell>
          <cell r="S6116">
            <v>0</v>
          </cell>
          <cell r="T6116">
            <v>0</v>
          </cell>
          <cell r="U6116">
            <v>0</v>
          </cell>
          <cell r="V6116">
            <v>0</v>
          </cell>
          <cell r="W6116">
            <v>0</v>
          </cell>
          <cell r="X6116">
            <v>0</v>
          </cell>
          <cell r="Y6116">
            <v>0</v>
          </cell>
        </row>
        <row r="6117">
          <cell r="D6117">
            <v>304714</v>
          </cell>
          <cell r="E6117" t="str">
            <v>Kasapa National High School</v>
          </cell>
          <cell r="F6117">
            <v>1</v>
          </cell>
          <cell r="G6117">
            <v>1</v>
          </cell>
          <cell r="H6117">
            <v>1</v>
          </cell>
          <cell r="I6117">
            <v>1</v>
          </cell>
          <cell r="J6117">
            <v>0</v>
          </cell>
          <cell r="K6117">
            <v>0</v>
          </cell>
          <cell r="L6117">
            <v>0</v>
          </cell>
          <cell r="M6117">
            <v>0</v>
          </cell>
          <cell r="N6117">
            <v>1</v>
          </cell>
          <cell r="O6117">
            <v>0</v>
          </cell>
          <cell r="P6117">
            <v>0</v>
          </cell>
          <cell r="Q6117">
            <v>0</v>
          </cell>
          <cell r="R6117">
            <v>1</v>
          </cell>
          <cell r="S6117">
            <v>0</v>
          </cell>
          <cell r="T6117">
            <v>0</v>
          </cell>
          <cell r="U6117">
            <v>0</v>
          </cell>
          <cell r="V6117">
            <v>0</v>
          </cell>
          <cell r="W6117">
            <v>0</v>
          </cell>
          <cell r="X6117">
            <v>0</v>
          </cell>
          <cell r="Y6117">
            <v>0</v>
          </cell>
        </row>
        <row r="6118">
          <cell r="D6118">
            <v>317404</v>
          </cell>
          <cell r="E6118" t="str">
            <v>San Vicente NHS</v>
          </cell>
          <cell r="F6118">
            <v>1</v>
          </cell>
          <cell r="G6118">
            <v>1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0</v>
          </cell>
          <cell r="M6118">
            <v>0</v>
          </cell>
          <cell r="N6118">
            <v>0</v>
          </cell>
          <cell r="O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>
            <v>0</v>
          </cell>
          <cell r="V6118">
            <v>1</v>
          </cell>
          <cell r="W6118">
            <v>0</v>
          </cell>
          <cell r="X6118">
            <v>0</v>
          </cell>
          <cell r="Y6118">
            <v>0</v>
          </cell>
        </row>
        <row r="6119">
          <cell r="D6119">
            <v>317437</v>
          </cell>
          <cell r="E6119" t="str">
            <v>Salvacion Nhs</v>
          </cell>
          <cell r="F6119">
            <v>1</v>
          </cell>
          <cell r="G6119">
            <v>1</v>
          </cell>
          <cell r="H6119">
            <v>1</v>
          </cell>
          <cell r="I6119">
            <v>0</v>
          </cell>
          <cell r="J6119">
            <v>1</v>
          </cell>
          <cell r="K6119">
            <v>0</v>
          </cell>
          <cell r="L6119">
            <v>0</v>
          </cell>
          <cell r="M6119">
            <v>0</v>
          </cell>
          <cell r="N6119">
            <v>1</v>
          </cell>
          <cell r="O6119">
            <v>43634</v>
          </cell>
          <cell r="P6119">
            <v>43636</v>
          </cell>
          <cell r="Q6119">
            <v>0</v>
          </cell>
          <cell r="R6119">
            <v>1</v>
          </cell>
          <cell r="S6119">
            <v>0</v>
          </cell>
          <cell r="T6119">
            <v>0</v>
          </cell>
          <cell r="U6119">
            <v>0</v>
          </cell>
          <cell r="V6119">
            <v>1</v>
          </cell>
          <cell r="W6119">
            <v>2</v>
          </cell>
          <cell r="X6119">
            <v>0</v>
          </cell>
          <cell r="Y6119">
            <v>0</v>
          </cell>
        </row>
        <row r="6120">
          <cell r="D6120">
            <v>304743</v>
          </cell>
          <cell r="E6120" t="str">
            <v>Padiay NHSHI</v>
          </cell>
          <cell r="F6120">
            <v>1</v>
          </cell>
          <cell r="G6120">
            <v>1</v>
          </cell>
          <cell r="H6120">
            <v>1</v>
          </cell>
          <cell r="I6120">
            <v>0</v>
          </cell>
          <cell r="J6120">
            <v>0</v>
          </cell>
          <cell r="K6120">
            <v>1</v>
          </cell>
          <cell r="L6120">
            <v>0</v>
          </cell>
          <cell r="M6120">
            <v>0</v>
          </cell>
          <cell r="N6120">
            <v>1</v>
          </cell>
          <cell r="O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1</v>
          </cell>
          <cell r="T6120">
            <v>0</v>
          </cell>
          <cell r="U6120">
            <v>0</v>
          </cell>
          <cell r="V6120">
            <v>1</v>
          </cell>
          <cell r="W6120">
            <v>0</v>
          </cell>
          <cell r="X6120">
            <v>0</v>
          </cell>
          <cell r="Y6120">
            <v>0</v>
          </cell>
        </row>
        <row r="6121">
          <cell r="D6121">
            <v>304703</v>
          </cell>
          <cell r="E6121" t="str">
            <v>Agusan del Sur National High School</v>
          </cell>
          <cell r="F6121">
            <v>1</v>
          </cell>
          <cell r="G6121">
            <v>1</v>
          </cell>
          <cell r="H6121">
            <v>1</v>
          </cell>
          <cell r="I6121">
            <v>0</v>
          </cell>
          <cell r="J6121">
            <v>1</v>
          </cell>
          <cell r="K6121">
            <v>0</v>
          </cell>
          <cell r="L6121">
            <v>0</v>
          </cell>
          <cell r="M6121">
            <v>0</v>
          </cell>
          <cell r="N6121">
            <v>1</v>
          </cell>
          <cell r="O6121">
            <v>0</v>
          </cell>
          <cell r="P6121">
            <v>0</v>
          </cell>
          <cell r="Q6121">
            <v>0</v>
          </cell>
          <cell r="R6121">
            <v>1</v>
          </cell>
          <cell r="S6121">
            <v>0</v>
          </cell>
          <cell r="T6121">
            <v>0</v>
          </cell>
          <cell r="U6121">
            <v>0</v>
          </cell>
          <cell r="V6121">
            <v>1</v>
          </cell>
          <cell r="W6121">
            <v>15</v>
          </cell>
          <cell r="X6121">
            <v>2</v>
          </cell>
          <cell r="Y6121">
            <v>0</v>
          </cell>
        </row>
        <row r="6122">
          <cell r="D6122">
            <v>304705</v>
          </cell>
          <cell r="E6122" t="str">
            <v>Sta. Maria NHS</v>
          </cell>
          <cell r="F6122">
            <v>1</v>
          </cell>
          <cell r="G6122">
            <v>1</v>
          </cell>
          <cell r="H6122">
            <v>1</v>
          </cell>
          <cell r="I6122">
            <v>0</v>
          </cell>
          <cell r="J6122">
            <v>0</v>
          </cell>
          <cell r="K6122">
            <v>1</v>
          </cell>
          <cell r="L6122">
            <v>0</v>
          </cell>
          <cell r="M6122">
            <v>0</v>
          </cell>
          <cell r="N6122">
            <v>1</v>
          </cell>
          <cell r="O6122">
            <v>43630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>
            <v>0</v>
          </cell>
          <cell r="V6122">
            <v>0</v>
          </cell>
          <cell r="W6122">
            <v>0</v>
          </cell>
          <cell r="X6122">
            <v>0</v>
          </cell>
          <cell r="Y6122">
            <v>0</v>
          </cell>
        </row>
        <row r="6123">
          <cell r="D6123">
            <v>304726</v>
          </cell>
          <cell r="E6123" t="str">
            <v>New Tubigon High School of Home Industries</v>
          </cell>
          <cell r="F6123">
            <v>1</v>
          </cell>
          <cell r="G6123">
            <v>1</v>
          </cell>
          <cell r="H6123">
            <v>1</v>
          </cell>
          <cell r="I6123">
            <v>1</v>
          </cell>
          <cell r="J6123">
            <v>0</v>
          </cell>
          <cell r="K6123">
            <v>0</v>
          </cell>
          <cell r="L6123">
            <v>0</v>
          </cell>
          <cell r="M6123">
            <v>0</v>
          </cell>
          <cell r="N6123">
            <v>1</v>
          </cell>
          <cell r="O6123">
            <v>43617</v>
          </cell>
          <cell r="P6123">
            <v>43617</v>
          </cell>
          <cell r="Q6123">
            <v>0</v>
          </cell>
          <cell r="R6123">
            <v>0</v>
          </cell>
          <cell r="S6123">
            <v>1</v>
          </cell>
          <cell r="T6123">
            <v>0</v>
          </cell>
          <cell r="U6123">
            <v>0</v>
          </cell>
          <cell r="V6123">
            <v>1</v>
          </cell>
          <cell r="W6123">
            <v>0</v>
          </cell>
          <cell r="X6123">
            <v>0</v>
          </cell>
          <cell r="Y6123">
            <v>0</v>
          </cell>
        </row>
        <row r="6124">
          <cell r="D6124">
            <v>317408</v>
          </cell>
          <cell r="E6124" t="str">
            <v>Sinobong NHS</v>
          </cell>
          <cell r="F6124">
            <v>0</v>
          </cell>
          <cell r="G6124">
            <v>0</v>
          </cell>
          <cell r="H6124">
            <v>1</v>
          </cell>
          <cell r="I6124">
            <v>0</v>
          </cell>
          <cell r="J6124">
            <v>1</v>
          </cell>
          <cell r="K6124">
            <v>0</v>
          </cell>
          <cell r="L6124">
            <v>0</v>
          </cell>
          <cell r="M6124">
            <v>0</v>
          </cell>
          <cell r="N6124">
            <v>1</v>
          </cell>
          <cell r="O6124">
            <v>0</v>
          </cell>
          <cell r="P6124">
            <v>0</v>
          </cell>
          <cell r="Q6124">
            <v>0</v>
          </cell>
          <cell r="R6124">
            <v>0</v>
          </cell>
          <cell r="S6124">
            <v>1</v>
          </cell>
          <cell r="T6124">
            <v>0</v>
          </cell>
          <cell r="U6124">
            <v>0</v>
          </cell>
          <cell r="V6124">
            <v>0</v>
          </cell>
          <cell r="W6124">
            <v>0</v>
          </cell>
          <cell r="X6124">
            <v>0</v>
          </cell>
          <cell r="Y6124">
            <v>0</v>
          </cell>
        </row>
        <row r="6125">
          <cell r="D6125">
            <v>317447</v>
          </cell>
          <cell r="E6125" t="str">
            <v>KAUSWAGAN National High School</v>
          </cell>
          <cell r="F6125">
            <v>1</v>
          </cell>
          <cell r="G6125">
            <v>1</v>
          </cell>
          <cell r="H6125">
            <v>1</v>
          </cell>
          <cell r="I6125">
            <v>0</v>
          </cell>
          <cell r="J6125">
            <v>1</v>
          </cell>
          <cell r="K6125">
            <v>0</v>
          </cell>
          <cell r="L6125">
            <v>0</v>
          </cell>
          <cell r="M6125">
            <v>0</v>
          </cell>
          <cell r="N6125">
            <v>0</v>
          </cell>
          <cell r="O6125">
            <v>43806</v>
          </cell>
          <cell r="P6125">
            <v>43506</v>
          </cell>
          <cell r="Q6125">
            <v>0</v>
          </cell>
          <cell r="R6125">
            <v>1</v>
          </cell>
          <cell r="S6125">
            <v>0</v>
          </cell>
          <cell r="T6125">
            <v>0</v>
          </cell>
          <cell r="U6125">
            <v>0</v>
          </cell>
          <cell r="V6125">
            <v>1</v>
          </cell>
          <cell r="W6125">
            <v>2</v>
          </cell>
          <cell r="X6125">
            <v>0</v>
          </cell>
          <cell r="Y6125">
            <v>0</v>
          </cell>
        </row>
        <row r="6126">
          <cell r="D6126">
            <v>317401</v>
          </cell>
          <cell r="E6126" t="str">
            <v>Panagangan NHS</v>
          </cell>
          <cell r="F6126">
            <v>1</v>
          </cell>
          <cell r="G6126">
            <v>1</v>
          </cell>
          <cell r="H6126">
            <v>1</v>
          </cell>
          <cell r="I6126">
            <v>0</v>
          </cell>
          <cell r="J6126">
            <v>0</v>
          </cell>
          <cell r="K6126">
            <v>1</v>
          </cell>
          <cell r="L6126">
            <v>0</v>
          </cell>
          <cell r="M6126">
            <v>0</v>
          </cell>
          <cell r="N6126">
            <v>1</v>
          </cell>
          <cell r="O6126">
            <v>43439</v>
          </cell>
          <cell r="P6126">
            <v>43617</v>
          </cell>
          <cell r="Q6126">
            <v>0</v>
          </cell>
          <cell r="R6126">
            <v>0</v>
          </cell>
          <cell r="S6126">
            <v>1</v>
          </cell>
          <cell r="T6126">
            <v>0</v>
          </cell>
          <cell r="U6126">
            <v>0</v>
          </cell>
          <cell r="V6126">
            <v>1</v>
          </cell>
          <cell r="W6126">
            <v>2</v>
          </cell>
          <cell r="X6126">
            <v>2</v>
          </cell>
          <cell r="Y6126">
            <v>2</v>
          </cell>
        </row>
        <row r="6127">
          <cell r="D6127">
            <v>304736</v>
          </cell>
          <cell r="E6127" t="str">
            <v>San Luis NHS</v>
          </cell>
          <cell r="F6127">
            <v>1</v>
          </cell>
          <cell r="G6127">
            <v>1</v>
          </cell>
          <cell r="H6127">
            <v>1</v>
          </cell>
          <cell r="I6127">
            <v>0</v>
          </cell>
          <cell r="J6127">
            <v>1</v>
          </cell>
          <cell r="K6127">
            <v>0</v>
          </cell>
          <cell r="L6127">
            <v>0</v>
          </cell>
          <cell r="M6127">
            <v>0</v>
          </cell>
          <cell r="N6127">
            <v>1</v>
          </cell>
          <cell r="O6127">
            <v>0</v>
          </cell>
          <cell r="P6127">
            <v>0</v>
          </cell>
          <cell r="Q6127">
            <v>0</v>
          </cell>
          <cell r="R6127">
            <v>1</v>
          </cell>
          <cell r="S6127">
            <v>0</v>
          </cell>
          <cell r="T6127">
            <v>0</v>
          </cell>
          <cell r="U6127">
            <v>0</v>
          </cell>
          <cell r="V6127">
            <v>1</v>
          </cell>
          <cell r="W6127">
            <v>5</v>
          </cell>
          <cell r="X6127">
            <v>0</v>
          </cell>
          <cell r="Y6127">
            <v>0</v>
          </cell>
        </row>
        <row r="6128">
          <cell r="D6128">
            <v>317421</v>
          </cell>
          <cell r="E6128" t="str">
            <v>Johnson Nhs</v>
          </cell>
          <cell r="F6128">
            <v>0</v>
          </cell>
          <cell r="G6128">
            <v>0</v>
          </cell>
          <cell r="H6128">
            <v>1</v>
          </cell>
          <cell r="I6128">
            <v>0</v>
          </cell>
          <cell r="J6128">
            <v>1</v>
          </cell>
          <cell r="K6128">
            <v>0</v>
          </cell>
          <cell r="L6128">
            <v>0</v>
          </cell>
          <cell r="M6128">
            <v>0</v>
          </cell>
          <cell r="N6128">
            <v>0</v>
          </cell>
          <cell r="O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>
            <v>0</v>
          </cell>
          <cell r="V6128">
            <v>0</v>
          </cell>
          <cell r="W6128">
            <v>0</v>
          </cell>
          <cell r="X6128">
            <v>0</v>
          </cell>
          <cell r="Y6128">
            <v>0</v>
          </cell>
        </row>
        <row r="6129">
          <cell r="D6129">
            <v>317406</v>
          </cell>
          <cell r="E6129" t="str">
            <v>La Fortuna NHS</v>
          </cell>
          <cell r="F6129">
            <v>0</v>
          </cell>
          <cell r="G6129">
            <v>0</v>
          </cell>
          <cell r="H6129">
            <v>1</v>
          </cell>
          <cell r="I6129">
            <v>0</v>
          </cell>
          <cell r="J6129">
            <v>1</v>
          </cell>
          <cell r="K6129">
            <v>0</v>
          </cell>
          <cell r="L6129">
            <v>0</v>
          </cell>
          <cell r="M6129">
            <v>0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>
            <v>0</v>
          </cell>
          <cell r="V6129">
            <v>0</v>
          </cell>
          <cell r="W6129">
            <v>0</v>
          </cell>
          <cell r="X6129">
            <v>0</v>
          </cell>
          <cell r="Y6129">
            <v>0</v>
          </cell>
        </row>
        <row r="6130">
          <cell r="D6130">
            <v>317433</v>
          </cell>
          <cell r="E6130" t="str">
            <v>Buena Gracia National High School</v>
          </cell>
          <cell r="F6130">
            <v>0</v>
          </cell>
          <cell r="G6130">
            <v>0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0</v>
          </cell>
          <cell r="M6130">
            <v>0</v>
          </cell>
          <cell r="N6130">
            <v>0</v>
          </cell>
          <cell r="O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>
            <v>0</v>
          </cell>
          <cell r="V6130">
            <v>0</v>
          </cell>
          <cell r="W6130">
            <v>0</v>
          </cell>
          <cell r="X6130">
            <v>0</v>
          </cell>
          <cell r="Y6130">
            <v>0</v>
          </cell>
        </row>
        <row r="6131">
          <cell r="D6131">
            <v>317438</v>
          </cell>
          <cell r="E6131" t="str">
            <v>SAN ROQUE NATIONAL HIGH SCHOOL</v>
          </cell>
          <cell r="F6131">
            <v>0</v>
          </cell>
          <cell r="G6131">
            <v>0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0</v>
          </cell>
          <cell r="M6131">
            <v>0</v>
          </cell>
          <cell r="N6131">
            <v>0</v>
          </cell>
          <cell r="O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1</v>
          </cell>
          <cell r="U6131">
            <v>0</v>
          </cell>
          <cell r="V6131">
            <v>0</v>
          </cell>
          <cell r="W6131">
            <v>0</v>
          </cell>
          <cell r="X6131">
            <v>0</v>
          </cell>
          <cell r="Y6131">
            <v>0</v>
          </cell>
        </row>
        <row r="6132">
          <cell r="D6132">
            <v>304750</v>
          </cell>
          <cell r="E6132" t="str">
            <v>Sta. Josefa National High School</v>
          </cell>
          <cell r="F6132">
            <v>0</v>
          </cell>
          <cell r="G6132">
            <v>0</v>
          </cell>
          <cell r="H6132">
            <v>1</v>
          </cell>
          <cell r="I6132">
            <v>0</v>
          </cell>
          <cell r="J6132">
            <v>1</v>
          </cell>
          <cell r="K6132">
            <v>0</v>
          </cell>
          <cell r="L6132">
            <v>0</v>
          </cell>
          <cell r="M6132">
            <v>0</v>
          </cell>
          <cell r="N6132">
            <v>0</v>
          </cell>
          <cell r="O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>
            <v>0</v>
          </cell>
          <cell r="V6132">
            <v>0</v>
          </cell>
          <cell r="W6132">
            <v>2</v>
          </cell>
          <cell r="X6132">
            <v>2</v>
          </cell>
          <cell r="Y6132">
            <v>0</v>
          </cell>
        </row>
        <row r="6133">
          <cell r="D6133">
            <v>304748</v>
          </cell>
          <cell r="E6133" t="str">
            <v>Marfil NHS</v>
          </cell>
          <cell r="F6133">
            <v>1</v>
          </cell>
          <cell r="G6133">
            <v>1</v>
          </cell>
          <cell r="H6133">
            <v>1</v>
          </cell>
          <cell r="I6133">
            <v>0</v>
          </cell>
          <cell r="J6133">
            <v>1</v>
          </cell>
          <cell r="K6133">
            <v>0</v>
          </cell>
          <cell r="L6133">
            <v>0</v>
          </cell>
          <cell r="M6133">
            <v>0</v>
          </cell>
          <cell r="N6133">
            <v>1</v>
          </cell>
          <cell r="O6133">
            <v>0</v>
          </cell>
          <cell r="P6133">
            <v>0</v>
          </cell>
          <cell r="Q6133">
            <v>0</v>
          </cell>
          <cell r="R6133">
            <v>1</v>
          </cell>
          <cell r="S6133">
            <v>0</v>
          </cell>
          <cell r="T6133">
            <v>0</v>
          </cell>
          <cell r="U6133">
            <v>0</v>
          </cell>
          <cell r="V6133">
            <v>1</v>
          </cell>
          <cell r="W6133">
            <v>1</v>
          </cell>
          <cell r="X6133">
            <v>0</v>
          </cell>
          <cell r="Y6133">
            <v>0</v>
          </cell>
        </row>
        <row r="6134">
          <cell r="D6134">
            <v>304712</v>
          </cell>
          <cell r="E6134" t="str">
            <v>Esperanza National High School</v>
          </cell>
          <cell r="F6134">
            <v>1</v>
          </cell>
          <cell r="G6134">
            <v>1</v>
          </cell>
          <cell r="H6134">
            <v>1</v>
          </cell>
          <cell r="I6134">
            <v>0</v>
          </cell>
          <cell r="J6134">
            <v>0</v>
          </cell>
          <cell r="K6134">
            <v>0</v>
          </cell>
          <cell r="L6134">
            <v>0</v>
          </cell>
          <cell r="M6134">
            <v>0</v>
          </cell>
          <cell r="N6134">
            <v>1</v>
          </cell>
          <cell r="O6134">
            <v>0</v>
          </cell>
          <cell r="P6134">
            <v>0</v>
          </cell>
          <cell r="Q6134">
            <v>0</v>
          </cell>
          <cell r="R6134">
            <v>0</v>
          </cell>
          <cell r="S6134">
            <v>0</v>
          </cell>
          <cell r="T6134">
            <v>0</v>
          </cell>
          <cell r="U6134">
            <v>0</v>
          </cell>
          <cell r="V6134">
            <v>0</v>
          </cell>
          <cell r="W6134">
            <v>0</v>
          </cell>
          <cell r="X6134">
            <v>0</v>
          </cell>
          <cell r="Y6134">
            <v>0</v>
          </cell>
        </row>
        <row r="6135">
          <cell r="D6135">
            <v>304749</v>
          </cell>
          <cell r="E6135" t="str">
            <v>Sta. Irene National High School</v>
          </cell>
          <cell r="F6135">
            <v>1</v>
          </cell>
          <cell r="G6135">
            <v>0</v>
          </cell>
          <cell r="H6135">
            <v>1</v>
          </cell>
          <cell r="I6135">
            <v>0</v>
          </cell>
          <cell r="J6135">
            <v>1</v>
          </cell>
          <cell r="K6135">
            <v>0</v>
          </cell>
          <cell r="L6135">
            <v>0</v>
          </cell>
          <cell r="M6135">
            <v>0</v>
          </cell>
          <cell r="N6135">
            <v>0</v>
          </cell>
          <cell r="O6135">
            <v>0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>
            <v>0</v>
          </cell>
          <cell r="V6135">
            <v>0</v>
          </cell>
          <cell r="W6135">
            <v>2</v>
          </cell>
          <cell r="X6135">
            <v>0</v>
          </cell>
          <cell r="Y6135">
            <v>0</v>
          </cell>
        </row>
        <row r="6136">
          <cell r="D6136">
            <v>304733</v>
          </cell>
          <cell r="E6136" t="str">
            <v>Sampaguita National High Schools</v>
          </cell>
          <cell r="F6136">
            <v>1</v>
          </cell>
          <cell r="G6136">
            <v>1</v>
          </cell>
          <cell r="H6136">
            <v>1</v>
          </cell>
          <cell r="I6136">
            <v>0</v>
          </cell>
          <cell r="J6136">
            <v>0</v>
          </cell>
          <cell r="K6136">
            <v>1</v>
          </cell>
          <cell r="L6136">
            <v>0</v>
          </cell>
          <cell r="M6136">
            <v>0</v>
          </cell>
          <cell r="N6136">
            <v>1</v>
          </cell>
          <cell r="O6136">
            <v>0</v>
          </cell>
          <cell r="P6136">
            <v>0</v>
          </cell>
          <cell r="Q6136">
            <v>0</v>
          </cell>
          <cell r="R6136">
            <v>0</v>
          </cell>
          <cell r="S6136">
            <v>1</v>
          </cell>
          <cell r="T6136">
            <v>0</v>
          </cell>
          <cell r="U6136">
            <v>0</v>
          </cell>
          <cell r="V6136">
            <v>1</v>
          </cell>
          <cell r="W6136">
            <v>0</v>
          </cell>
          <cell r="X6136">
            <v>0</v>
          </cell>
          <cell r="Y6136">
            <v>0</v>
          </cell>
        </row>
        <row r="6137">
          <cell r="D6137">
            <v>317439</v>
          </cell>
          <cell r="E6137" t="str">
            <v>Sta. Fe Nhs</v>
          </cell>
          <cell r="F6137">
            <v>1</v>
          </cell>
          <cell r="G6137">
            <v>0</v>
          </cell>
          <cell r="H6137">
            <v>1</v>
          </cell>
          <cell r="I6137">
            <v>0</v>
          </cell>
          <cell r="J6137">
            <v>1</v>
          </cell>
          <cell r="K6137">
            <v>0</v>
          </cell>
          <cell r="L6137">
            <v>0</v>
          </cell>
          <cell r="M6137">
            <v>0</v>
          </cell>
          <cell r="N6137">
            <v>1</v>
          </cell>
          <cell r="O6137">
            <v>43776</v>
          </cell>
          <cell r="P6137">
            <v>0</v>
          </cell>
          <cell r="Q6137">
            <v>0</v>
          </cell>
          <cell r="R6137">
            <v>0</v>
          </cell>
          <cell r="S6137">
            <v>1</v>
          </cell>
          <cell r="T6137">
            <v>0</v>
          </cell>
          <cell r="U6137">
            <v>0</v>
          </cell>
          <cell r="V6137">
            <v>1</v>
          </cell>
          <cell r="W6137">
            <v>0</v>
          </cell>
          <cell r="X6137">
            <v>0</v>
          </cell>
          <cell r="Y6137">
            <v>0</v>
          </cell>
        </row>
        <row r="6138">
          <cell r="D6138">
            <v>304752</v>
          </cell>
          <cell r="E6138" t="str">
            <v>Talacogon NHS</v>
          </cell>
          <cell r="F6138">
            <v>1</v>
          </cell>
          <cell r="G6138">
            <v>1</v>
          </cell>
          <cell r="H6138">
            <v>1</v>
          </cell>
          <cell r="I6138">
            <v>0</v>
          </cell>
          <cell r="J6138">
            <v>0</v>
          </cell>
          <cell r="K6138">
            <v>1</v>
          </cell>
          <cell r="L6138">
            <v>0</v>
          </cell>
          <cell r="M6138">
            <v>0</v>
          </cell>
          <cell r="N6138">
            <v>1</v>
          </cell>
          <cell r="O6138">
            <v>0</v>
          </cell>
          <cell r="P6138">
            <v>0</v>
          </cell>
          <cell r="Q6138">
            <v>0</v>
          </cell>
          <cell r="R6138">
            <v>0</v>
          </cell>
          <cell r="S6138">
            <v>1</v>
          </cell>
          <cell r="T6138">
            <v>0</v>
          </cell>
          <cell r="U6138">
            <v>0</v>
          </cell>
          <cell r="V6138">
            <v>1</v>
          </cell>
          <cell r="W6138">
            <v>1</v>
          </cell>
          <cell r="X6138">
            <v>1</v>
          </cell>
          <cell r="Y6138">
            <v>1</v>
          </cell>
        </row>
        <row r="6139">
          <cell r="D6139">
            <v>304713</v>
          </cell>
          <cell r="E6139" t="str">
            <v>Guadalupe NHS</v>
          </cell>
          <cell r="F6139">
            <v>1</v>
          </cell>
          <cell r="G6139">
            <v>0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0</v>
          </cell>
          <cell r="M6139">
            <v>0</v>
          </cell>
          <cell r="N6139">
            <v>0</v>
          </cell>
          <cell r="O6139">
            <v>0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</v>
          </cell>
          <cell r="Y6139">
            <v>0</v>
          </cell>
        </row>
        <row r="6140">
          <cell r="D6140">
            <v>304734</v>
          </cell>
          <cell r="E6140" t="str">
            <v>San Isidro NHS</v>
          </cell>
          <cell r="F6140">
            <v>1</v>
          </cell>
          <cell r="G6140">
            <v>1</v>
          </cell>
          <cell r="H6140">
            <v>1</v>
          </cell>
          <cell r="I6140">
            <v>0</v>
          </cell>
          <cell r="J6140">
            <v>1</v>
          </cell>
          <cell r="K6140">
            <v>0</v>
          </cell>
          <cell r="L6140">
            <v>0</v>
          </cell>
          <cell r="M6140">
            <v>0</v>
          </cell>
          <cell r="N6140">
            <v>0</v>
          </cell>
          <cell r="O6140">
            <v>43627</v>
          </cell>
          <cell r="P6140">
            <v>43716</v>
          </cell>
          <cell r="Q6140">
            <v>0</v>
          </cell>
          <cell r="R6140">
            <v>0</v>
          </cell>
          <cell r="S6140">
            <v>1</v>
          </cell>
          <cell r="T6140">
            <v>0</v>
          </cell>
          <cell r="U6140">
            <v>0</v>
          </cell>
          <cell r="V6140">
            <v>1</v>
          </cell>
          <cell r="W6140">
            <v>0</v>
          </cell>
          <cell r="X6140">
            <v>0</v>
          </cell>
          <cell r="Y6140">
            <v>0</v>
          </cell>
        </row>
        <row r="6141">
          <cell r="D6141">
            <v>317446</v>
          </cell>
          <cell r="E6141" t="str">
            <v>San Vicente National High School</v>
          </cell>
          <cell r="F6141">
            <v>1</v>
          </cell>
          <cell r="G6141">
            <v>1</v>
          </cell>
          <cell r="H6141">
            <v>0</v>
          </cell>
          <cell r="I6141">
            <v>0</v>
          </cell>
          <cell r="J6141">
            <v>1</v>
          </cell>
          <cell r="K6141">
            <v>0</v>
          </cell>
          <cell r="L6141">
            <v>0</v>
          </cell>
          <cell r="M6141">
            <v>0</v>
          </cell>
          <cell r="N6141">
            <v>0</v>
          </cell>
          <cell r="O6141">
            <v>43699</v>
          </cell>
          <cell r="P6141">
            <v>0</v>
          </cell>
          <cell r="Q6141">
            <v>0</v>
          </cell>
          <cell r="R6141">
            <v>1</v>
          </cell>
          <cell r="S6141">
            <v>0</v>
          </cell>
          <cell r="T6141">
            <v>1</v>
          </cell>
          <cell r="U6141">
            <v>43699</v>
          </cell>
          <cell r="V6141">
            <v>1</v>
          </cell>
          <cell r="W6141">
            <v>3</v>
          </cell>
          <cell r="X6141">
            <v>0</v>
          </cell>
          <cell r="Y6141">
            <v>0</v>
          </cell>
        </row>
        <row r="6142">
          <cell r="D6142">
            <v>317430</v>
          </cell>
          <cell r="E6142" t="str">
            <v>San Jose NHS</v>
          </cell>
          <cell r="F6142">
            <v>0</v>
          </cell>
          <cell r="G6142">
            <v>1</v>
          </cell>
          <cell r="H6142">
            <v>1</v>
          </cell>
          <cell r="I6142">
            <v>0</v>
          </cell>
          <cell r="J6142">
            <v>1</v>
          </cell>
          <cell r="K6142">
            <v>0</v>
          </cell>
          <cell r="L6142">
            <v>0</v>
          </cell>
          <cell r="M6142">
            <v>0</v>
          </cell>
          <cell r="N6142">
            <v>1</v>
          </cell>
          <cell r="O6142">
            <v>0</v>
          </cell>
          <cell r="P6142">
            <v>0</v>
          </cell>
          <cell r="Q6142">
            <v>0</v>
          </cell>
          <cell r="R6142">
            <v>1</v>
          </cell>
          <cell r="S6142">
            <v>0</v>
          </cell>
          <cell r="T6142">
            <v>0</v>
          </cell>
          <cell r="U6142">
            <v>0</v>
          </cell>
          <cell r="V6142">
            <v>1</v>
          </cell>
          <cell r="W6142">
            <v>0</v>
          </cell>
          <cell r="X6142">
            <v>0</v>
          </cell>
          <cell r="Y6142">
            <v>0</v>
          </cell>
        </row>
        <row r="6143">
          <cell r="D6143">
            <v>317413</v>
          </cell>
          <cell r="E6143" t="str">
            <v>Aurora National High School-Sta. Josefa</v>
          </cell>
          <cell r="F6143">
            <v>1</v>
          </cell>
          <cell r="G6143">
            <v>1</v>
          </cell>
          <cell r="H6143">
            <v>1</v>
          </cell>
          <cell r="I6143">
            <v>1</v>
          </cell>
          <cell r="J6143">
            <v>0</v>
          </cell>
          <cell r="K6143">
            <v>0</v>
          </cell>
          <cell r="L6143">
            <v>0</v>
          </cell>
          <cell r="M6143">
            <v>0</v>
          </cell>
          <cell r="N6143">
            <v>1</v>
          </cell>
          <cell r="O6143">
            <v>0</v>
          </cell>
          <cell r="P6143">
            <v>0</v>
          </cell>
          <cell r="Q6143">
            <v>1</v>
          </cell>
          <cell r="R6143">
            <v>0</v>
          </cell>
          <cell r="S6143">
            <v>0</v>
          </cell>
          <cell r="T6143">
            <v>0</v>
          </cell>
          <cell r="U6143">
            <v>0</v>
          </cell>
          <cell r="V6143">
            <v>1</v>
          </cell>
          <cell r="W6143">
            <v>0</v>
          </cell>
          <cell r="X6143">
            <v>0</v>
          </cell>
          <cell r="Y6143">
            <v>0</v>
          </cell>
        </row>
        <row r="6144">
          <cell r="D6144">
            <v>317419</v>
          </cell>
          <cell r="E6144" t="str">
            <v>Sayon Nhs</v>
          </cell>
          <cell r="F6144">
            <v>1</v>
          </cell>
          <cell r="G6144">
            <v>1</v>
          </cell>
          <cell r="H6144">
            <v>1</v>
          </cell>
          <cell r="I6144">
            <v>1</v>
          </cell>
          <cell r="J6144">
            <v>0</v>
          </cell>
          <cell r="K6144">
            <v>0</v>
          </cell>
          <cell r="L6144">
            <v>0</v>
          </cell>
          <cell r="M6144">
            <v>0</v>
          </cell>
          <cell r="N6144">
            <v>1</v>
          </cell>
          <cell r="O6144">
            <v>0</v>
          </cell>
          <cell r="P6144">
            <v>0</v>
          </cell>
          <cell r="Q6144">
            <v>0</v>
          </cell>
          <cell r="R6144">
            <v>0</v>
          </cell>
          <cell r="S6144">
            <v>0</v>
          </cell>
          <cell r="T6144">
            <v>0</v>
          </cell>
          <cell r="U6144">
            <v>0</v>
          </cell>
          <cell r="V6144">
            <v>1</v>
          </cell>
          <cell r="W6144">
            <v>1</v>
          </cell>
          <cell r="X6144">
            <v>1</v>
          </cell>
          <cell r="Y6144">
            <v>0</v>
          </cell>
        </row>
        <row r="6145">
          <cell r="D6145">
            <v>304753</v>
          </cell>
          <cell r="E6145" t="str">
            <v>Trento NHS</v>
          </cell>
          <cell r="F6145">
            <v>1</v>
          </cell>
          <cell r="G6145">
            <v>1</v>
          </cell>
          <cell r="H6145">
            <v>1</v>
          </cell>
          <cell r="I6145">
            <v>0</v>
          </cell>
          <cell r="J6145">
            <v>1</v>
          </cell>
          <cell r="K6145">
            <v>0</v>
          </cell>
          <cell r="L6145">
            <v>0</v>
          </cell>
          <cell r="M6145">
            <v>0</v>
          </cell>
          <cell r="N6145">
            <v>1</v>
          </cell>
          <cell r="O6145">
            <v>43656</v>
          </cell>
          <cell r="P6145">
            <v>43727</v>
          </cell>
          <cell r="Q6145">
            <v>0</v>
          </cell>
          <cell r="R6145">
            <v>1</v>
          </cell>
          <cell r="S6145">
            <v>0</v>
          </cell>
          <cell r="T6145">
            <v>0</v>
          </cell>
          <cell r="U6145">
            <v>0</v>
          </cell>
          <cell r="V6145">
            <v>1</v>
          </cell>
          <cell r="W6145">
            <v>0</v>
          </cell>
          <cell r="X6145">
            <v>0</v>
          </cell>
          <cell r="Y6145">
            <v>0</v>
          </cell>
        </row>
        <row r="6146">
          <cell r="D6146">
            <v>304760</v>
          </cell>
          <cell r="E6146" t="str">
            <v>Bilay NHS</v>
          </cell>
          <cell r="F6146">
            <v>1</v>
          </cell>
          <cell r="G6146">
            <v>1</v>
          </cell>
          <cell r="H6146">
            <v>1</v>
          </cell>
          <cell r="I6146">
            <v>1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1</v>
          </cell>
          <cell r="O6146" t="str">
            <v>08/23/2019</v>
          </cell>
          <cell r="P6146" t="str">
            <v>08/23/2019</v>
          </cell>
          <cell r="Q6146">
            <v>0</v>
          </cell>
          <cell r="R6146">
            <v>0</v>
          </cell>
          <cell r="S6146">
            <v>1</v>
          </cell>
          <cell r="T6146">
            <v>0</v>
          </cell>
          <cell r="U6146">
            <v>0</v>
          </cell>
          <cell r="V6146">
            <v>1</v>
          </cell>
          <cell r="W6146">
            <v>1</v>
          </cell>
          <cell r="X6146">
            <v>0</v>
          </cell>
          <cell r="Y6146">
            <v>0</v>
          </cell>
        </row>
        <row r="6147">
          <cell r="D6147">
            <v>304764</v>
          </cell>
          <cell r="E6147" t="str">
            <v>Los Angeles National High School</v>
          </cell>
          <cell r="F6147">
            <v>1</v>
          </cell>
          <cell r="G6147">
            <v>0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0</v>
          </cell>
          <cell r="U6147">
            <v>0</v>
          </cell>
          <cell r="V6147">
            <v>0</v>
          </cell>
          <cell r="W6147">
            <v>0</v>
          </cell>
          <cell r="X6147">
            <v>0</v>
          </cell>
          <cell r="Y6147">
            <v>0</v>
          </cell>
        </row>
        <row r="6148">
          <cell r="D6148">
            <v>317504</v>
          </cell>
          <cell r="E6148" t="str">
            <v>Mahay Integrated Secondary School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1</v>
          </cell>
          <cell r="K6148">
            <v>0</v>
          </cell>
          <cell r="L6148">
            <v>0</v>
          </cell>
          <cell r="M6148">
            <v>0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  <cell r="R6148">
            <v>0</v>
          </cell>
          <cell r="S6148">
            <v>1</v>
          </cell>
          <cell r="T6148">
            <v>0</v>
          </cell>
          <cell r="U6148">
            <v>0</v>
          </cell>
          <cell r="V6148">
            <v>0</v>
          </cell>
          <cell r="W6148">
            <v>0</v>
          </cell>
          <cell r="X6148">
            <v>0</v>
          </cell>
          <cell r="Y6148">
            <v>0</v>
          </cell>
        </row>
        <row r="6149">
          <cell r="D6149">
            <v>304772</v>
          </cell>
          <cell r="E6149" t="str">
            <v>Tungao NHS</v>
          </cell>
          <cell r="F6149">
            <v>1</v>
          </cell>
          <cell r="G6149">
            <v>1</v>
          </cell>
          <cell r="H6149">
            <v>1</v>
          </cell>
          <cell r="I6149">
            <v>0</v>
          </cell>
          <cell r="J6149">
            <v>0</v>
          </cell>
          <cell r="K6149">
            <v>1</v>
          </cell>
          <cell r="L6149">
            <v>0</v>
          </cell>
          <cell r="M6149">
            <v>0</v>
          </cell>
          <cell r="N6149">
            <v>0</v>
          </cell>
          <cell r="O6149">
            <v>0</v>
          </cell>
          <cell r="P6149" t="str">
            <v>11/O5/2018</v>
          </cell>
          <cell r="Q6149">
            <v>0</v>
          </cell>
          <cell r="R6149">
            <v>1</v>
          </cell>
          <cell r="S6149">
            <v>0</v>
          </cell>
          <cell r="T6149">
            <v>0</v>
          </cell>
          <cell r="U6149">
            <v>0</v>
          </cell>
          <cell r="V6149">
            <v>1</v>
          </cell>
          <cell r="W6149">
            <v>3</v>
          </cell>
          <cell r="X6149">
            <v>1</v>
          </cell>
          <cell r="Y6149">
            <v>1</v>
          </cell>
        </row>
        <row r="6150">
          <cell r="D6150">
            <v>304756</v>
          </cell>
          <cell r="E6150" t="str">
            <v>Agusan National High School</v>
          </cell>
          <cell r="F6150">
            <v>0</v>
          </cell>
          <cell r="G6150">
            <v>0</v>
          </cell>
          <cell r="H6150">
            <v>1</v>
          </cell>
          <cell r="I6150">
            <v>0</v>
          </cell>
          <cell r="J6150">
            <v>0</v>
          </cell>
          <cell r="K6150">
            <v>0</v>
          </cell>
          <cell r="L6150">
            <v>1</v>
          </cell>
          <cell r="M6150" t="str">
            <v>as the need arises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  <cell r="R6150">
            <v>0</v>
          </cell>
          <cell r="S6150">
            <v>0</v>
          </cell>
          <cell r="T6150">
            <v>1</v>
          </cell>
          <cell r="U6150" t="str">
            <v>as the need arises</v>
          </cell>
          <cell r="V6150">
            <v>1</v>
          </cell>
          <cell r="W6150">
            <v>0</v>
          </cell>
          <cell r="X6150">
            <v>0</v>
          </cell>
          <cell r="Y6150">
            <v>0</v>
          </cell>
        </row>
        <row r="6151">
          <cell r="D6151">
            <v>500316</v>
          </cell>
          <cell r="E6151" t="str">
            <v>Cabcabon NHS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0</v>
          </cell>
          <cell r="M6151">
            <v>0</v>
          </cell>
          <cell r="N6151">
            <v>0</v>
          </cell>
          <cell r="O6151">
            <v>0</v>
          </cell>
          <cell r="P6151">
            <v>0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>
            <v>0</v>
          </cell>
          <cell r="V6151">
            <v>0</v>
          </cell>
          <cell r="W6151">
            <v>0</v>
          </cell>
          <cell r="X6151">
            <v>0</v>
          </cell>
          <cell r="Y6151">
            <v>0</v>
          </cell>
        </row>
        <row r="6152">
          <cell r="D6152">
            <v>317520</v>
          </cell>
          <cell r="E6152" t="str">
            <v>Pedro D. Duncano National HS</v>
          </cell>
          <cell r="F6152">
            <v>1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>
            <v>0</v>
          </cell>
          <cell r="V6152">
            <v>0</v>
          </cell>
          <cell r="W6152">
            <v>0</v>
          </cell>
          <cell r="X6152">
            <v>0</v>
          </cell>
          <cell r="Y6152">
            <v>0</v>
          </cell>
        </row>
        <row r="6153">
          <cell r="D6153">
            <v>304758</v>
          </cell>
          <cell r="E6153" t="str">
            <v>Amparo NHS</v>
          </cell>
          <cell r="F6153">
            <v>1</v>
          </cell>
          <cell r="G6153">
            <v>0</v>
          </cell>
          <cell r="H6153">
            <v>1</v>
          </cell>
          <cell r="I6153">
            <v>0</v>
          </cell>
          <cell r="J6153">
            <v>0</v>
          </cell>
          <cell r="K6153">
            <v>1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>
            <v>0</v>
          </cell>
          <cell r="V6153">
            <v>0</v>
          </cell>
          <cell r="W6153">
            <v>1</v>
          </cell>
          <cell r="X6153">
            <v>0</v>
          </cell>
          <cell r="Y6153">
            <v>0</v>
          </cell>
        </row>
        <row r="6154">
          <cell r="D6154">
            <v>500317</v>
          </cell>
          <cell r="E6154" t="str">
            <v>La Soledad NHS</v>
          </cell>
          <cell r="F6154">
            <v>1</v>
          </cell>
          <cell r="G6154">
            <v>0</v>
          </cell>
          <cell r="H6154">
            <v>1</v>
          </cell>
          <cell r="I6154">
            <v>0</v>
          </cell>
          <cell r="J6154">
            <v>0</v>
          </cell>
          <cell r="K6154">
            <v>1</v>
          </cell>
          <cell r="L6154">
            <v>0</v>
          </cell>
          <cell r="M6154">
            <v>0</v>
          </cell>
          <cell r="N6154">
            <v>1</v>
          </cell>
          <cell r="O6154">
            <v>0</v>
          </cell>
          <cell r="P6154">
            <v>0</v>
          </cell>
          <cell r="Q6154">
            <v>0</v>
          </cell>
          <cell r="R6154">
            <v>1</v>
          </cell>
          <cell r="S6154">
            <v>0</v>
          </cell>
          <cell r="T6154">
            <v>0</v>
          </cell>
          <cell r="U6154">
            <v>0</v>
          </cell>
          <cell r="V6154">
            <v>1</v>
          </cell>
          <cell r="W6154">
            <v>0</v>
          </cell>
          <cell r="X6154">
            <v>0</v>
          </cell>
          <cell r="Y6154">
            <v>0</v>
          </cell>
        </row>
        <row r="6155">
          <cell r="D6155">
            <v>317517</v>
          </cell>
          <cell r="E6155" t="str">
            <v>Alviola ISS</v>
          </cell>
          <cell r="F6155">
            <v>1</v>
          </cell>
          <cell r="G6155">
            <v>1</v>
          </cell>
          <cell r="H6155">
            <v>1</v>
          </cell>
          <cell r="I6155">
            <v>1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1</v>
          </cell>
          <cell r="O6155" t="str">
            <v>JULY, 2018</v>
          </cell>
          <cell r="P6155" t="str">
            <v>JULY, 2018</v>
          </cell>
          <cell r="Q6155">
            <v>0</v>
          </cell>
          <cell r="R6155">
            <v>0</v>
          </cell>
          <cell r="S6155">
            <v>1</v>
          </cell>
          <cell r="T6155">
            <v>0</v>
          </cell>
          <cell r="U6155">
            <v>0</v>
          </cell>
          <cell r="V6155">
            <v>1</v>
          </cell>
          <cell r="W6155">
            <v>2</v>
          </cell>
          <cell r="X6155">
            <v>1</v>
          </cell>
          <cell r="Y6155">
            <v>0</v>
          </cell>
        </row>
        <row r="6156">
          <cell r="D6156">
            <v>340337</v>
          </cell>
          <cell r="E6156" t="str">
            <v>Butuan City Senior High School Stand Alone</v>
          </cell>
          <cell r="F6156">
            <v>1</v>
          </cell>
          <cell r="G6156">
            <v>1</v>
          </cell>
          <cell r="H6156">
            <v>1</v>
          </cell>
          <cell r="I6156">
            <v>0</v>
          </cell>
          <cell r="J6156">
            <v>1</v>
          </cell>
          <cell r="K6156">
            <v>0</v>
          </cell>
          <cell r="L6156">
            <v>0</v>
          </cell>
          <cell r="M6156">
            <v>0</v>
          </cell>
          <cell r="N6156">
            <v>1</v>
          </cell>
          <cell r="O6156">
            <v>0</v>
          </cell>
          <cell r="P6156">
            <v>0</v>
          </cell>
          <cell r="Q6156">
            <v>1</v>
          </cell>
          <cell r="R6156">
            <v>0</v>
          </cell>
          <cell r="S6156">
            <v>0</v>
          </cell>
          <cell r="T6156">
            <v>0</v>
          </cell>
          <cell r="U6156">
            <v>0</v>
          </cell>
          <cell r="V6156">
            <v>1</v>
          </cell>
          <cell r="W6156">
            <v>0</v>
          </cell>
          <cell r="X6156">
            <v>0</v>
          </cell>
          <cell r="Y6156">
            <v>0</v>
          </cell>
        </row>
        <row r="6157">
          <cell r="D6157">
            <v>317502</v>
          </cell>
          <cell r="E6157" t="str">
            <v>Aupagan National High School</v>
          </cell>
          <cell r="F6157">
            <v>1</v>
          </cell>
          <cell r="G6157">
            <v>0</v>
          </cell>
          <cell r="H6157">
            <v>1</v>
          </cell>
          <cell r="I6157">
            <v>0</v>
          </cell>
          <cell r="J6157">
            <v>1</v>
          </cell>
          <cell r="K6157">
            <v>0</v>
          </cell>
          <cell r="L6157">
            <v>0</v>
          </cell>
          <cell r="M6157">
            <v>0</v>
          </cell>
          <cell r="N6157">
            <v>1</v>
          </cell>
          <cell r="O6157" t="str">
            <v>Aug. 2019</v>
          </cell>
          <cell r="P6157">
            <v>0</v>
          </cell>
          <cell r="Q6157">
            <v>0</v>
          </cell>
          <cell r="R6157">
            <v>0</v>
          </cell>
          <cell r="S6157">
            <v>0</v>
          </cell>
          <cell r="T6157">
            <v>0</v>
          </cell>
          <cell r="U6157">
            <v>0</v>
          </cell>
          <cell r="V6157">
            <v>0</v>
          </cell>
          <cell r="W6157">
            <v>0</v>
          </cell>
          <cell r="X6157">
            <v>0</v>
          </cell>
          <cell r="Y6157">
            <v>0</v>
          </cell>
        </row>
        <row r="6158">
          <cell r="D6158">
            <v>304766</v>
          </cell>
          <cell r="E6158" t="str">
            <v>Lumbocan NHS</v>
          </cell>
          <cell r="F6158">
            <v>1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>
            <v>0</v>
          </cell>
          <cell r="V6158">
            <v>0</v>
          </cell>
          <cell r="W6158">
            <v>0</v>
          </cell>
          <cell r="X6158">
            <v>0</v>
          </cell>
          <cell r="Y6158">
            <v>0</v>
          </cell>
        </row>
        <row r="6159">
          <cell r="D6159">
            <v>500984</v>
          </cell>
          <cell r="E6159" t="str">
            <v>Basag National High School</v>
          </cell>
          <cell r="F6159">
            <v>1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  <cell r="M6159">
            <v>0</v>
          </cell>
          <cell r="N6159">
            <v>0</v>
          </cell>
          <cell r="O6159">
            <v>0</v>
          </cell>
          <cell r="P6159">
            <v>0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>
            <v>0</v>
          </cell>
          <cell r="V6159">
            <v>0</v>
          </cell>
          <cell r="W6159">
            <v>0</v>
          </cell>
          <cell r="X6159">
            <v>0</v>
          </cell>
          <cell r="Y6159">
            <v>0</v>
          </cell>
        </row>
        <row r="6160">
          <cell r="D6160">
            <v>317518</v>
          </cell>
          <cell r="E6160" t="str">
            <v>Bugsukan ISS</v>
          </cell>
          <cell r="F6160">
            <v>1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0</v>
          </cell>
          <cell r="O6160">
            <v>0</v>
          </cell>
          <cell r="P6160">
            <v>0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>
            <v>0</v>
          </cell>
          <cell r="V6160">
            <v>0</v>
          </cell>
          <cell r="W6160">
            <v>0</v>
          </cell>
          <cell r="X6160">
            <v>0</v>
          </cell>
          <cell r="Y6160">
            <v>0</v>
          </cell>
        </row>
        <row r="6161">
          <cell r="D6161">
            <v>304770</v>
          </cell>
          <cell r="E6161" t="str">
            <v>Sumile National High School</v>
          </cell>
          <cell r="F6161">
            <v>1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  <cell r="M6161">
            <v>0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>
            <v>0</v>
          </cell>
          <cell r="V6161">
            <v>0</v>
          </cell>
          <cell r="W6161">
            <v>0</v>
          </cell>
          <cell r="X6161">
            <v>0</v>
          </cell>
          <cell r="Y6161">
            <v>0</v>
          </cell>
        </row>
        <row r="6162">
          <cell r="D6162">
            <v>317508</v>
          </cell>
          <cell r="E6162" t="str">
            <v>Pinamanculan National High School</v>
          </cell>
          <cell r="F6162">
            <v>1</v>
          </cell>
          <cell r="G6162">
            <v>0</v>
          </cell>
          <cell r="H6162">
            <v>1</v>
          </cell>
          <cell r="I6162">
            <v>0</v>
          </cell>
          <cell r="J6162">
            <v>0</v>
          </cell>
          <cell r="K6162">
            <v>0</v>
          </cell>
          <cell r="L6162">
            <v>1</v>
          </cell>
          <cell r="M6162" t="str">
            <v>AS NEEDED</v>
          </cell>
          <cell r="N6162">
            <v>1</v>
          </cell>
          <cell r="O6162">
            <v>42649</v>
          </cell>
          <cell r="P6162" t="str">
            <v>NONE</v>
          </cell>
          <cell r="Q6162">
            <v>0</v>
          </cell>
          <cell r="R6162">
            <v>0</v>
          </cell>
          <cell r="S6162">
            <v>0</v>
          </cell>
          <cell r="T6162">
            <v>1</v>
          </cell>
          <cell r="U6162" t="str">
            <v>AS NEEDED</v>
          </cell>
          <cell r="V6162">
            <v>1</v>
          </cell>
          <cell r="W6162">
            <v>0</v>
          </cell>
          <cell r="X6162">
            <v>0</v>
          </cell>
          <cell r="Y6162">
            <v>0</v>
          </cell>
        </row>
        <row r="6163">
          <cell r="D6163">
            <v>500319</v>
          </cell>
          <cell r="E6163" t="str">
            <v>Manila de Bugabos National High School</v>
          </cell>
          <cell r="F6163">
            <v>1</v>
          </cell>
          <cell r="G6163">
            <v>0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0</v>
          </cell>
          <cell r="U6163">
            <v>0</v>
          </cell>
          <cell r="V6163">
            <v>0</v>
          </cell>
          <cell r="W6163">
            <v>0</v>
          </cell>
          <cell r="X6163">
            <v>0</v>
          </cell>
          <cell r="Y6163">
            <v>0</v>
          </cell>
        </row>
        <row r="6164">
          <cell r="D6164">
            <v>304769</v>
          </cell>
          <cell r="E6164" t="str">
            <v>San Vicente National High School</v>
          </cell>
          <cell r="F6164">
            <v>1</v>
          </cell>
          <cell r="G6164">
            <v>0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0</v>
          </cell>
          <cell r="Q6164">
            <v>0</v>
          </cell>
          <cell r="R6164">
            <v>0</v>
          </cell>
          <cell r="S6164">
            <v>0</v>
          </cell>
          <cell r="T6164">
            <v>0</v>
          </cell>
          <cell r="U6164">
            <v>0</v>
          </cell>
          <cell r="V6164">
            <v>0</v>
          </cell>
          <cell r="W6164">
            <v>0</v>
          </cell>
          <cell r="X6164">
            <v>0</v>
          </cell>
          <cell r="Y6164">
            <v>0</v>
          </cell>
        </row>
        <row r="6165">
          <cell r="D6165">
            <v>317511</v>
          </cell>
          <cell r="E6165" t="str">
            <v>Ampayon National High School</v>
          </cell>
          <cell r="F6165">
            <v>0</v>
          </cell>
          <cell r="G6165">
            <v>0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0</v>
          </cell>
          <cell r="U6165">
            <v>0</v>
          </cell>
          <cell r="V6165">
            <v>0</v>
          </cell>
          <cell r="W6165">
            <v>0</v>
          </cell>
          <cell r="X6165">
            <v>0</v>
          </cell>
          <cell r="Y6165">
            <v>0</v>
          </cell>
        </row>
        <row r="6166">
          <cell r="D6166">
            <v>317505</v>
          </cell>
          <cell r="E6166" t="str">
            <v>Maibu National High School</v>
          </cell>
          <cell r="F6166">
            <v>0</v>
          </cell>
          <cell r="G6166">
            <v>0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0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</v>
          </cell>
          <cell r="Y6166">
            <v>0</v>
          </cell>
        </row>
        <row r="6167">
          <cell r="D6167">
            <v>304763</v>
          </cell>
          <cell r="E6167" t="str">
            <v>Libertad Integrated Senior High School</v>
          </cell>
          <cell r="F6167">
            <v>1</v>
          </cell>
          <cell r="G6167">
            <v>0</v>
          </cell>
          <cell r="H6167">
            <v>1</v>
          </cell>
          <cell r="I6167">
            <v>0</v>
          </cell>
          <cell r="J6167">
            <v>0</v>
          </cell>
          <cell r="K6167">
            <v>1</v>
          </cell>
          <cell r="L6167">
            <v>0</v>
          </cell>
          <cell r="M6167">
            <v>0</v>
          </cell>
          <cell r="N6167">
            <v>0</v>
          </cell>
          <cell r="O6167" t="str">
            <v>n/a</v>
          </cell>
          <cell r="P6167" t="str">
            <v>n/a</v>
          </cell>
          <cell r="Q6167">
            <v>0</v>
          </cell>
          <cell r="R6167">
            <v>0</v>
          </cell>
          <cell r="S6167">
            <v>0</v>
          </cell>
          <cell r="T6167">
            <v>1</v>
          </cell>
          <cell r="U6167" t="str">
            <v>n/a</v>
          </cell>
          <cell r="V6167">
            <v>0</v>
          </cell>
          <cell r="W6167">
            <v>0</v>
          </cell>
          <cell r="X6167">
            <v>0</v>
          </cell>
          <cell r="Y6167">
            <v>0</v>
          </cell>
        </row>
        <row r="6168">
          <cell r="D6168">
            <v>304762</v>
          </cell>
          <cell r="E6168" t="str">
            <v>Butuan City Sch. of Arts &amp; Trades</v>
          </cell>
          <cell r="F6168">
            <v>1</v>
          </cell>
          <cell r="G6168">
            <v>1</v>
          </cell>
          <cell r="H6168">
            <v>1</v>
          </cell>
          <cell r="I6168">
            <v>0</v>
          </cell>
          <cell r="J6168">
            <v>1</v>
          </cell>
          <cell r="K6168">
            <v>0</v>
          </cell>
          <cell r="L6168">
            <v>0</v>
          </cell>
          <cell r="M6168">
            <v>0</v>
          </cell>
          <cell r="N6168">
            <v>1</v>
          </cell>
          <cell r="O6168">
            <v>43728</v>
          </cell>
          <cell r="P6168">
            <v>0</v>
          </cell>
          <cell r="Q6168">
            <v>1</v>
          </cell>
          <cell r="R6168">
            <v>0</v>
          </cell>
          <cell r="S6168">
            <v>0</v>
          </cell>
          <cell r="T6168">
            <v>0</v>
          </cell>
          <cell r="U6168">
            <v>0</v>
          </cell>
          <cell r="V6168">
            <v>1</v>
          </cell>
          <cell r="W6168">
            <v>0</v>
          </cell>
          <cell r="X6168">
            <v>0</v>
          </cell>
          <cell r="Y6168">
            <v>0</v>
          </cell>
        </row>
        <row r="6169">
          <cell r="D6169">
            <v>317515</v>
          </cell>
          <cell r="E6169" t="str">
            <v>Pareja ISS</v>
          </cell>
          <cell r="F6169">
            <v>1</v>
          </cell>
          <cell r="G6169">
            <v>1</v>
          </cell>
          <cell r="H6169">
            <v>1</v>
          </cell>
          <cell r="I6169">
            <v>0</v>
          </cell>
          <cell r="J6169">
            <v>1</v>
          </cell>
          <cell r="K6169">
            <v>0</v>
          </cell>
          <cell r="L6169">
            <v>0</v>
          </cell>
          <cell r="M6169">
            <v>0</v>
          </cell>
          <cell r="N6169">
            <v>1</v>
          </cell>
          <cell r="O6169">
            <v>43305</v>
          </cell>
          <cell r="P6169">
            <v>43305</v>
          </cell>
          <cell r="Q6169">
            <v>0</v>
          </cell>
          <cell r="R6169">
            <v>1</v>
          </cell>
          <cell r="S6169">
            <v>0</v>
          </cell>
          <cell r="T6169">
            <v>0</v>
          </cell>
          <cell r="U6169">
            <v>0</v>
          </cell>
          <cell r="V6169">
            <v>1</v>
          </cell>
          <cell r="W6169">
            <v>0</v>
          </cell>
          <cell r="X6169">
            <v>0</v>
          </cell>
          <cell r="Y6169">
            <v>0</v>
          </cell>
        </row>
        <row r="6170">
          <cell r="D6170">
            <v>304765</v>
          </cell>
          <cell r="E6170" t="str">
            <v>Anticala NHS</v>
          </cell>
          <cell r="F6170">
            <v>1</v>
          </cell>
          <cell r="G6170">
            <v>1</v>
          </cell>
          <cell r="H6170">
            <v>1</v>
          </cell>
          <cell r="I6170">
            <v>0</v>
          </cell>
          <cell r="J6170">
            <v>0</v>
          </cell>
          <cell r="K6170">
            <v>1</v>
          </cell>
          <cell r="L6170">
            <v>0</v>
          </cell>
          <cell r="M6170">
            <v>0</v>
          </cell>
          <cell r="N6170">
            <v>0</v>
          </cell>
          <cell r="O6170">
            <v>0</v>
          </cell>
          <cell r="P6170">
            <v>0</v>
          </cell>
          <cell r="Q6170">
            <v>0</v>
          </cell>
          <cell r="R6170">
            <v>0</v>
          </cell>
          <cell r="S6170">
            <v>1</v>
          </cell>
          <cell r="T6170">
            <v>0</v>
          </cell>
          <cell r="U6170">
            <v>0</v>
          </cell>
          <cell r="V6170">
            <v>1</v>
          </cell>
          <cell r="W6170">
            <v>0</v>
          </cell>
          <cell r="X6170">
            <v>0</v>
          </cell>
          <cell r="Y6170">
            <v>0</v>
          </cell>
        </row>
        <row r="6171">
          <cell r="D6171">
            <v>317513</v>
          </cell>
          <cell r="E6171" t="str">
            <v>Bagong Silang National High School</v>
          </cell>
          <cell r="F6171">
            <v>1</v>
          </cell>
          <cell r="G6171">
            <v>1</v>
          </cell>
          <cell r="H6171">
            <v>1</v>
          </cell>
          <cell r="I6171">
            <v>0</v>
          </cell>
          <cell r="J6171">
            <v>1</v>
          </cell>
          <cell r="K6171">
            <v>0</v>
          </cell>
          <cell r="L6171">
            <v>0</v>
          </cell>
          <cell r="M6171">
            <v>0</v>
          </cell>
          <cell r="N6171">
            <v>1</v>
          </cell>
          <cell r="O6171" t="str">
            <v>08/19/2018</v>
          </cell>
          <cell r="P6171" t="str">
            <v>03/15/2019</v>
          </cell>
          <cell r="Q6171">
            <v>0</v>
          </cell>
          <cell r="R6171">
            <v>1</v>
          </cell>
          <cell r="S6171">
            <v>0</v>
          </cell>
          <cell r="T6171">
            <v>0</v>
          </cell>
          <cell r="U6171">
            <v>0</v>
          </cell>
          <cell r="V6171">
            <v>1</v>
          </cell>
          <cell r="W6171">
            <v>0</v>
          </cell>
          <cell r="X6171">
            <v>0</v>
          </cell>
          <cell r="Y6171">
            <v>0</v>
          </cell>
        </row>
        <row r="6172">
          <cell r="D6172">
            <v>317521</v>
          </cell>
          <cell r="E6172" t="str">
            <v>Pigdaulan National High School</v>
          </cell>
          <cell r="F6172">
            <v>1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</v>
          </cell>
          <cell r="Y6172">
            <v>0</v>
          </cell>
        </row>
        <row r="6173">
          <cell r="D6173">
            <v>317522</v>
          </cell>
          <cell r="E6173" t="str">
            <v>Tagkiling Tribal ISS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>
            <v>0</v>
          </cell>
          <cell r="M6173">
            <v>0</v>
          </cell>
          <cell r="N6173">
            <v>0</v>
          </cell>
          <cell r="O6173">
            <v>0</v>
          </cell>
          <cell r="P6173">
            <v>0</v>
          </cell>
          <cell r="Q6173">
            <v>0</v>
          </cell>
          <cell r="R6173">
            <v>0</v>
          </cell>
          <cell r="S6173">
            <v>0</v>
          </cell>
          <cell r="T6173">
            <v>1</v>
          </cell>
          <cell r="U6173">
            <v>0</v>
          </cell>
          <cell r="V6173">
            <v>0</v>
          </cell>
          <cell r="W6173">
            <v>0</v>
          </cell>
          <cell r="X6173">
            <v>0</v>
          </cell>
          <cell r="Y6173">
            <v>0</v>
          </cell>
        </row>
        <row r="6174">
          <cell r="D6174">
            <v>304767</v>
          </cell>
          <cell r="E6174" t="str">
            <v>Maguinda NHS</v>
          </cell>
          <cell r="F6174">
            <v>1</v>
          </cell>
          <cell r="G6174">
            <v>1</v>
          </cell>
          <cell r="H6174">
            <v>1</v>
          </cell>
          <cell r="I6174">
            <v>0</v>
          </cell>
          <cell r="J6174">
            <v>0</v>
          </cell>
          <cell r="K6174">
            <v>1</v>
          </cell>
          <cell r="L6174">
            <v>0</v>
          </cell>
          <cell r="M6174">
            <v>0</v>
          </cell>
          <cell r="N6174">
            <v>1</v>
          </cell>
          <cell r="O6174">
            <v>43635</v>
          </cell>
          <cell r="P6174">
            <v>0</v>
          </cell>
          <cell r="Q6174">
            <v>0</v>
          </cell>
          <cell r="R6174">
            <v>0</v>
          </cell>
          <cell r="S6174">
            <v>1</v>
          </cell>
          <cell r="T6174">
            <v>0</v>
          </cell>
          <cell r="U6174">
            <v>0</v>
          </cell>
          <cell r="V6174">
            <v>1</v>
          </cell>
          <cell r="W6174">
            <v>0</v>
          </cell>
          <cell r="X6174">
            <v>0</v>
          </cell>
          <cell r="Y6174">
            <v>0</v>
          </cell>
        </row>
        <row r="6175">
          <cell r="D6175">
            <v>317507</v>
          </cell>
          <cell r="E6175" t="str">
            <v>Consuelo National High School</v>
          </cell>
          <cell r="F6175">
            <v>1</v>
          </cell>
          <cell r="G6175">
            <v>0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0</v>
          </cell>
          <cell r="M6175">
            <v>0</v>
          </cell>
          <cell r="N6175">
            <v>0</v>
          </cell>
          <cell r="O6175">
            <v>0</v>
          </cell>
          <cell r="P6175">
            <v>0</v>
          </cell>
          <cell r="Q6175">
            <v>0</v>
          </cell>
          <cell r="R6175">
            <v>0</v>
          </cell>
          <cell r="S6175">
            <v>0</v>
          </cell>
          <cell r="T6175">
            <v>0</v>
          </cell>
          <cell r="U6175">
            <v>0</v>
          </cell>
          <cell r="V6175">
            <v>0</v>
          </cell>
          <cell r="W6175">
            <v>0</v>
          </cell>
          <cell r="X6175">
            <v>0</v>
          </cell>
          <cell r="Y6175">
            <v>0</v>
          </cell>
        </row>
        <row r="6176">
          <cell r="D6176">
            <v>317510</v>
          </cell>
          <cell r="E6176" t="str">
            <v>Kinamlutan National High School</v>
          </cell>
          <cell r="F6176">
            <v>1</v>
          </cell>
          <cell r="G6176">
            <v>1</v>
          </cell>
          <cell r="H6176">
            <v>1</v>
          </cell>
          <cell r="I6176">
            <v>0</v>
          </cell>
          <cell r="J6176">
            <v>0</v>
          </cell>
          <cell r="K6176">
            <v>1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 t="str">
            <v>N/A</v>
          </cell>
          <cell r="Q6176">
            <v>0</v>
          </cell>
          <cell r="R6176">
            <v>0</v>
          </cell>
          <cell r="S6176">
            <v>0</v>
          </cell>
          <cell r="T6176">
            <v>1</v>
          </cell>
          <cell r="U6176">
            <v>0</v>
          </cell>
          <cell r="V6176">
            <v>0</v>
          </cell>
          <cell r="W6176">
            <v>0</v>
          </cell>
          <cell r="X6176">
            <v>0</v>
          </cell>
          <cell r="Y6176">
            <v>0</v>
          </cell>
        </row>
        <row r="6177">
          <cell r="D6177">
            <v>304759</v>
          </cell>
          <cell r="E6177" t="str">
            <v>Banza NHS</v>
          </cell>
          <cell r="F6177">
            <v>1</v>
          </cell>
          <cell r="G6177">
            <v>1</v>
          </cell>
          <cell r="H6177">
            <v>1</v>
          </cell>
          <cell r="I6177">
            <v>0</v>
          </cell>
          <cell r="J6177">
            <v>1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43635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>
            <v>0</v>
          </cell>
          <cell r="V6177">
            <v>0</v>
          </cell>
          <cell r="W6177">
            <v>5</v>
          </cell>
          <cell r="X6177">
            <v>5</v>
          </cell>
          <cell r="Y6177">
            <v>3</v>
          </cell>
        </row>
        <row r="6178">
          <cell r="D6178">
            <v>304757</v>
          </cell>
          <cell r="E6178" t="str">
            <v>Agusan Pequeno NHS</v>
          </cell>
          <cell r="F6178">
            <v>1</v>
          </cell>
          <cell r="G6178">
            <v>0</v>
          </cell>
          <cell r="H6178">
            <v>1</v>
          </cell>
          <cell r="I6178">
            <v>0</v>
          </cell>
          <cell r="J6178">
            <v>0</v>
          </cell>
          <cell r="K6178">
            <v>1</v>
          </cell>
          <cell r="L6178">
            <v>0</v>
          </cell>
          <cell r="M6178">
            <v>0</v>
          </cell>
          <cell r="N6178">
            <v>1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0</v>
          </cell>
          <cell r="U6178">
            <v>0</v>
          </cell>
          <cell r="V6178">
            <v>0</v>
          </cell>
          <cell r="W6178">
            <v>0</v>
          </cell>
          <cell r="X6178">
            <v>0</v>
          </cell>
          <cell r="Y6178">
            <v>0</v>
          </cell>
        </row>
        <row r="6179">
          <cell r="D6179">
            <v>317506</v>
          </cell>
          <cell r="E6179" t="str">
            <v>La Trinidad Integrated Secondary School</v>
          </cell>
          <cell r="F6179">
            <v>1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>
            <v>0</v>
          </cell>
          <cell r="V6179">
            <v>0</v>
          </cell>
          <cell r="W6179">
            <v>0</v>
          </cell>
          <cell r="X6179">
            <v>0</v>
          </cell>
          <cell r="Y6179">
            <v>0</v>
          </cell>
        </row>
        <row r="6180">
          <cell r="D6180">
            <v>304771</v>
          </cell>
          <cell r="E6180" t="str">
            <v>Taligaman NHS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1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>
            <v>0</v>
          </cell>
          <cell r="V6180">
            <v>0</v>
          </cell>
          <cell r="W6180">
            <v>0</v>
          </cell>
          <cell r="X6180">
            <v>0</v>
          </cell>
          <cell r="Y6180">
            <v>0</v>
          </cell>
        </row>
        <row r="6181">
          <cell r="D6181">
            <v>304761</v>
          </cell>
          <cell r="E6181" t="str">
            <v>Butuan City Comprehensive HS</v>
          </cell>
          <cell r="F6181">
            <v>1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1</v>
          </cell>
          <cell r="U6181" t="str">
            <v>NO MONITORING</v>
          </cell>
          <cell r="V6181">
            <v>0</v>
          </cell>
          <cell r="W6181">
            <v>0</v>
          </cell>
          <cell r="X6181">
            <v>0</v>
          </cell>
          <cell r="Y6181">
            <v>0</v>
          </cell>
        </row>
        <row r="6182">
          <cell r="D6182">
            <v>317501</v>
          </cell>
          <cell r="E6182" t="str">
            <v>FLORIDA NATIONAL HIGH SCHOOL</v>
          </cell>
          <cell r="F6182">
            <v>1</v>
          </cell>
          <cell r="G6182">
            <v>1</v>
          </cell>
          <cell r="H6182">
            <v>1</v>
          </cell>
          <cell r="I6182">
            <v>0</v>
          </cell>
          <cell r="J6182">
            <v>1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 t="str">
            <v>dec 14,2018</v>
          </cell>
          <cell r="P6182" t="str">
            <v>n/a</v>
          </cell>
          <cell r="Q6182">
            <v>1</v>
          </cell>
          <cell r="R6182">
            <v>0</v>
          </cell>
          <cell r="S6182">
            <v>0</v>
          </cell>
          <cell r="T6182">
            <v>0</v>
          </cell>
          <cell r="U6182">
            <v>0</v>
          </cell>
          <cell r="V6182">
            <v>1</v>
          </cell>
          <cell r="W6182">
            <v>3</v>
          </cell>
          <cell r="X6182">
            <v>3</v>
          </cell>
          <cell r="Y6182">
            <v>3</v>
          </cell>
        </row>
        <row r="6183">
          <cell r="D6183">
            <v>305490</v>
          </cell>
          <cell r="E6183" t="str">
            <v>Philippine Science High School - Caraga Region Campus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0</v>
          </cell>
          <cell r="U6183">
            <v>0</v>
          </cell>
          <cell r="V6183">
            <v>0</v>
          </cell>
          <cell r="W6183">
            <v>0</v>
          </cell>
          <cell r="X6183">
            <v>0</v>
          </cell>
          <cell r="Y6183">
            <v>0</v>
          </cell>
        </row>
        <row r="6184">
          <cell r="D6184">
            <v>501554</v>
          </cell>
          <cell r="E6184" t="str">
            <v>Bugsukan Integrated School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>
            <v>0</v>
          </cell>
          <cell r="V6184">
            <v>0</v>
          </cell>
          <cell r="W6184">
            <v>0</v>
          </cell>
          <cell r="X6184">
            <v>0</v>
          </cell>
          <cell r="Y6184">
            <v>0</v>
          </cell>
        </row>
        <row r="6185">
          <cell r="D6185">
            <v>501553</v>
          </cell>
          <cell r="E6185" t="str">
            <v>Alviola Integrated School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0</v>
          </cell>
          <cell r="U6185">
            <v>0</v>
          </cell>
          <cell r="V6185">
            <v>0</v>
          </cell>
          <cell r="W6185">
            <v>0</v>
          </cell>
          <cell r="X6185">
            <v>0</v>
          </cell>
          <cell r="Y6185">
            <v>0</v>
          </cell>
        </row>
        <row r="6186">
          <cell r="D6186">
            <v>501552</v>
          </cell>
          <cell r="E6186" t="str">
            <v>Pareja Integrated School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>
            <v>0</v>
          </cell>
          <cell r="V6186">
            <v>0</v>
          </cell>
          <cell r="W6186">
            <v>0</v>
          </cell>
          <cell r="X6186">
            <v>0</v>
          </cell>
          <cell r="Y6186">
            <v>0</v>
          </cell>
        </row>
        <row r="6187">
          <cell r="D6187">
            <v>501551</v>
          </cell>
          <cell r="E6187" t="str">
            <v>Mahay Integrated Secondary School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>
            <v>0</v>
          </cell>
          <cell r="V6187">
            <v>0</v>
          </cell>
          <cell r="W6187">
            <v>0</v>
          </cell>
          <cell r="X6187">
            <v>0</v>
          </cell>
          <cell r="Y6187">
            <v>0</v>
          </cell>
        </row>
        <row r="6188">
          <cell r="D6188">
            <v>501550</v>
          </cell>
          <cell r="E6188" t="str">
            <v>Tagkiling Tribal ISS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>
            <v>0</v>
          </cell>
          <cell r="V6188">
            <v>0</v>
          </cell>
          <cell r="W6188">
            <v>0</v>
          </cell>
          <cell r="X6188">
            <v>0</v>
          </cell>
          <cell r="Y6188">
            <v>0</v>
          </cell>
        </row>
        <row r="6189">
          <cell r="D6189">
            <v>501201</v>
          </cell>
          <cell r="E6189" t="str">
            <v>La Trinidad Integrated School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0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>
            <v>0</v>
          </cell>
          <cell r="V6189">
            <v>0</v>
          </cell>
          <cell r="W6189">
            <v>0</v>
          </cell>
          <cell r="X6189">
            <v>0</v>
          </cell>
          <cell r="Y6189">
            <v>0</v>
          </cell>
        </row>
        <row r="6190">
          <cell r="D6190">
            <v>304777</v>
          </cell>
          <cell r="E6190" t="str">
            <v>Gen Luna National High School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>
            <v>0</v>
          </cell>
          <cell r="V6190">
            <v>0</v>
          </cell>
          <cell r="W6190">
            <v>0</v>
          </cell>
          <cell r="X6190">
            <v>0</v>
          </cell>
          <cell r="Y6190">
            <v>0</v>
          </cell>
        </row>
        <row r="6191">
          <cell r="D6191">
            <v>304785</v>
          </cell>
          <cell r="E6191" t="str">
            <v>Sapao National High School</v>
          </cell>
          <cell r="F6191">
            <v>1</v>
          </cell>
          <cell r="G6191">
            <v>0</v>
          </cell>
          <cell r="H6191">
            <v>1</v>
          </cell>
          <cell r="I6191">
            <v>0</v>
          </cell>
          <cell r="J6191">
            <v>1</v>
          </cell>
          <cell r="K6191">
            <v>0</v>
          </cell>
          <cell r="L6191">
            <v>0</v>
          </cell>
          <cell r="M6191">
            <v>0</v>
          </cell>
          <cell r="N6191">
            <v>1</v>
          </cell>
          <cell r="O6191">
            <v>0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>
            <v>0</v>
          </cell>
          <cell r="V6191">
            <v>1</v>
          </cell>
          <cell r="W6191">
            <v>1</v>
          </cell>
          <cell r="X6191">
            <v>1</v>
          </cell>
          <cell r="Y6191">
            <v>1</v>
          </cell>
        </row>
        <row r="6192">
          <cell r="D6192">
            <v>304790</v>
          </cell>
          <cell r="E6192" t="str">
            <v>Pamosaingan National High School</v>
          </cell>
          <cell r="F6192">
            <v>1</v>
          </cell>
          <cell r="G6192">
            <v>0</v>
          </cell>
          <cell r="H6192">
            <v>1</v>
          </cell>
          <cell r="I6192">
            <v>0</v>
          </cell>
          <cell r="J6192">
            <v>1</v>
          </cell>
          <cell r="K6192">
            <v>0</v>
          </cell>
          <cell r="L6192">
            <v>0</v>
          </cell>
          <cell r="M6192">
            <v>0</v>
          </cell>
          <cell r="N6192">
            <v>1</v>
          </cell>
          <cell r="O6192">
            <v>0</v>
          </cell>
          <cell r="P6192">
            <v>0</v>
          </cell>
          <cell r="Q6192">
            <v>0</v>
          </cell>
          <cell r="R6192">
            <v>1</v>
          </cell>
          <cell r="S6192">
            <v>0</v>
          </cell>
          <cell r="T6192">
            <v>0</v>
          </cell>
          <cell r="U6192">
            <v>0</v>
          </cell>
          <cell r="V6192">
            <v>1</v>
          </cell>
          <cell r="W6192">
            <v>0</v>
          </cell>
          <cell r="X6192">
            <v>0</v>
          </cell>
          <cell r="Y6192">
            <v>0</v>
          </cell>
        </row>
        <row r="6193">
          <cell r="D6193">
            <v>304779</v>
          </cell>
          <cell r="E6193" t="str">
            <v>Pilar National High School</v>
          </cell>
          <cell r="F6193">
            <v>1</v>
          </cell>
          <cell r="G6193">
            <v>1</v>
          </cell>
          <cell r="H6193">
            <v>1</v>
          </cell>
          <cell r="I6193">
            <v>0</v>
          </cell>
          <cell r="J6193">
            <v>0</v>
          </cell>
          <cell r="K6193">
            <v>1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1</v>
          </cell>
          <cell r="T6193">
            <v>0</v>
          </cell>
          <cell r="U6193">
            <v>0</v>
          </cell>
          <cell r="V6193">
            <v>0</v>
          </cell>
          <cell r="W6193">
            <v>0</v>
          </cell>
          <cell r="X6193">
            <v>0</v>
          </cell>
          <cell r="Y6193">
            <v>0</v>
          </cell>
        </row>
        <row r="6194">
          <cell r="D6194">
            <v>304791</v>
          </cell>
          <cell r="E6194" t="str">
            <v>Union National High School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>
            <v>0</v>
          </cell>
          <cell r="V6194">
            <v>0</v>
          </cell>
          <cell r="W6194">
            <v>0</v>
          </cell>
          <cell r="X6194">
            <v>0</v>
          </cell>
          <cell r="Y6194">
            <v>0</v>
          </cell>
        </row>
        <row r="6195">
          <cell r="D6195">
            <v>317607</v>
          </cell>
          <cell r="E6195" t="str">
            <v>Alegria National High School</v>
          </cell>
          <cell r="F6195">
            <v>1</v>
          </cell>
          <cell r="G6195">
            <v>0</v>
          </cell>
          <cell r="H6195">
            <v>1</v>
          </cell>
          <cell r="I6195">
            <v>0</v>
          </cell>
          <cell r="J6195">
            <v>1</v>
          </cell>
          <cell r="K6195">
            <v>0</v>
          </cell>
          <cell r="L6195">
            <v>0</v>
          </cell>
          <cell r="M6195">
            <v>0</v>
          </cell>
          <cell r="N6195">
            <v>1</v>
          </cell>
          <cell r="O6195">
            <v>0</v>
          </cell>
          <cell r="P6195">
            <v>0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>
            <v>0</v>
          </cell>
          <cell r="V6195">
            <v>0</v>
          </cell>
          <cell r="W6195">
            <v>0</v>
          </cell>
          <cell r="X6195">
            <v>0</v>
          </cell>
          <cell r="Y6195">
            <v>0</v>
          </cell>
        </row>
        <row r="6196">
          <cell r="D6196">
            <v>317601</v>
          </cell>
          <cell r="E6196" t="str">
            <v>Suyangan National High School</v>
          </cell>
          <cell r="F6196">
            <v>0</v>
          </cell>
          <cell r="G6196">
            <v>0</v>
          </cell>
          <cell r="H6196">
            <v>1</v>
          </cell>
          <cell r="I6196">
            <v>0</v>
          </cell>
          <cell r="J6196">
            <v>0</v>
          </cell>
          <cell r="K6196">
            <v>1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43620</v>
          </cell>
          <cell r="Q6196">
            <v>0</v>
          </cell>
          <cell r="R6196">
            <v>0</v>
          </cell>
          <cell r="S6196">
            <v>1</v>
          </cell>
          <cell r="T6196">
            <v>0</v>
          </cell>
          <cell r="U6196">
            <v>0</v>
          </cell>
          <cell r="V6196">
            <v>1</v>
          </cell>
          <cell r="W6196">
            <v>1</v>
          </cell>
          <cell r="X6196">
            <v>1</v>
          </cell>
          <cell r="Y6196">
            <v>0</v>
          </cell>
        </row>
        <row r="6197">
          <cell r="D6197">
            <v>317604</v>
          </cell>
          <cell r="E6197" t="str">
            <v>Siargao National Science High School</v>
          </cell>
          <cell r="F6197">
            <v>1</v>
          </cell>
          <cell r="G6197">
            <v>0</v>
          </cell>
          <cell r="H6197">
            <v>1</v>
          </cell>
          <cell r="I6197">
            <v>0</v>
          </cell>
          <cell r="J6197">
            <v>1</v>
          </cell>
          <cell r="K6197">
            <v>0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>
            <v>0</v>
          </cell>
          <cell r="V6197">
            <v>0</v>
          </cell>
          <cell r="W6197">
            <v>0</v>
          </cell>
          <cell r="X6197">
            <v>0</v>
          </cell>
          <cell r="Y6197">
            <v>0</v>
          </cell>
        </row>
        <row r="6198">
          <cell r="D6198">
            <v>304783</v>
          </cell>
          <cell r="E6198" t="str">
            <v>Del Carmen National High School</v>
          </cell>
          <cell r="F6198">
            <v>1</v>
          </cell>
          <cell r="G6198">
            <v>1</v>
          </cell>
          <cell r="H6198">
            <v>1</v>
          </cell>
          <cell r="I6198">
            <v>0</v>
          </cell>
          <cell r="J6198">
            <v>1</v>
          </cell>
          <cell r="K6198">
            <v>0</v>
          </cell>
          <cell r="L6198">
            <v>0</v>
          </cell>
          <cell r="M6198">
            <v>0</v>
          </cell>
          <cell r="N6198">
            <v>1</v>
          </cell>
          <cell r="O6198">
            <v>0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>
            <v>0</v>
          </cell>
          <cell r="V6198">
            <v>1</v>
          </cell>
          <cell r="W6198">
            <v>0</v>
          </cell>
          <cell r="X6198">
            <v>0</v>
          </cell>
          <cell r="Y6198">
            <v>0</v>
          </cell>
        </row>
        <row r="6199">
          <cell r="D6199">
            <v>304788</v>
          </cell>
          <cell r="E6199" t="str">
            <v>SOCORRO NATIONAL HIGH SCHOOL</v>
          </cell>
          <cell r="F6199">
            <v>1</v>
          </cell>
          <cell r="G6199">
            <v>1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0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>
            <v>0</v>
          </cell>
          <cell r="V6199">
            <v>0</v>
          </cell>
          <cell r="W6199">
            <v>0</v>
          </cell>
          <cell r="X6199">
            <v>0</v>
          </cell>
          <cell r="Y6199">
            <v>0</v>
          </cell>
        </row>
        <row r="6200">
          <cell r="D6200">
            <v>317602</v>
          </cell>
          <cell r="E6200" t="str">
            <v>Atoyay National High School</v>
          </cell>
          <cell r="F6200">
            <v>1</v>
          </cell>
          <cell r="G6200">
            <v>0</v>
          </cell>
          <cell r="H6200">
            <v>1</v>
          </cell>
          <cell r="I6200">
            <v>0</v>
          </cell>
          <cell r="J6200">
            <v>1</v>
          </cell>
          <cell r="K6200">
            <v>0</v>
          </cell>
          <cell r="L6200">
            <v>0</v>
          </cell>
          <cell r="M6200">
            <v>0</v>
          </cell>
          <cell r="N6200">
            <v>1</v>
          </cell>
          <cell r="O6200">
            <v>0</v>
          </cell>
          <cell r="P6200">
            <v>0</v>
          </cell>
          <cell r="Q6200">
            <v>1</v>
          </cell>
          <cell r="R6200">
            <v>0</v>
          </cell>
          <cell r="S6200">
            <v>0</v>
          </cell>
          <cell r="T6200">
            <v>0</v>
          </cell>
          <cell r="U6200">
            <v>0</v>
          </cell>
          <cell r="V6200">
            <v>1</v>
          </cell>
          <cell r="W6200">
            <v>0</v>
          </cell>
          <cell r="X6200">
            <v>0</v>
          </cell>
          <cell r="Y6200">
            <v>0</v>
          </cell>
        </row>
        <row r="6201">
          <cell r="D6201">
            <v>304773</v>
          </cell>
          <cell r="E6201" t="str">
            <v>Burgos National High School</v>
          </cell>
          <cell r="F6201">
            <v>1</v>
          </cell>
          <cell r="G6201">
            <v>1</v>
          </cell>
          <cell r="H6201">
            <v>1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  <cell r="R6201">
            <v>0</v>
          </cell>
          <cell r="S6201">
            <v>0</v>
          </cell>
          <cell r="T6201">
            <v>0</v>
          </cell>
          <cell r="U6201">
            <v>0</v>
          </cell>
          <cell r="V6201">
            <v>0</v>
          </cell>
          <cell r="W6201">
            <v>0</v>
          </cell>
          <cell r="X6201">
            <v>0</v>
          </cell>
          <cell r="Y6201">
            <v>0</v>
          </cell>
        </row>
        <row r="6202">
          <cell r="D6202">
            <v>304774</v>
          </cell>
          <cell r="E6202" t="str">
            <v>Dapa National High School</v>
          </cell>
          <cell r="F6202">
            <v>1</v>
          </cell>
          <cell r="G6202">
            <v>1</v>
          </cell>
          <cell r="H6202">
            <v>1</v>
          </cell>
          <cell r="I6202">
            <v>0</v>
          </cell>
          <cell r="J6202">
            <v>1</v>
          </cell>
          <cell r="K6202">
            <v>0</v>
          </cell>
          <cell r="L6202">
            <v>1</v>
          </cell>
          <cell r="M6202">
            <v>43374</v>
          </cell>
          <cell r="N6202">
            <v>1</v>
          </cell>
          <cell r="O6202">
            <v>0</v>
          </cell>
          <cell r="P6202">
            <v>0</v>
          </cell>
          <cell r="Q6202">
            <v>0</v>
          </cell>
          <cell r="R6202">
            <v>0</v>
          </cell>
          <cell r="S6202">
            <v>0</v>
          </cell>
          <cell r="T6202">
            <v>0</v>
          </cell>
          <cell r="U6202">
            <v>0</v>
          </cell>
          <cell r="V6202">
            <v>0</v>
          </cell>
          <cell r="W6202">
            <v>0</v>
          </cell>
          <cell r="X6202">
            <v>0</v>
          </cell>
          <cell r="Y6202">
            <v>0</v>
          </cell>
        </row>
        <row r="6203">
          <cell r="D6203">
            <v>304780</v>
          </cell>
          <cell r="E6203" t="str">
            <v>Caridad National High School</v>
          </cell>
          <cell r="F6203">
            <v>1</v>
          </cell>
          <cell r="G6203">
            <v>0</v>
          </cell>
          <cell r="H6203">
            <v>1</v>
          </cell>
          <cell r="I6203">
            <v>0</v>
          </cell>
          <cell r="J6203">
            <v>0</v>
          </cell>
          <cell r="K6203">
            <v>1</v>
          </cell>
          <cell r="L6203">
            <v>0</v>
          </cell>
          <cell r="M6203">
            <v>0</v>
          </cell>
          <cell r="N6203">
            <v>1</v>
          </cell>
          <cell r="O6203" t="str">
            <v>6/15/2018</v>
          </cell>
          <cell r="P6203">
            <v>0</v>
          </cell>
          <cell r="Q6203">
            <v>0</v>
          </cell>
          <cell r="R6203">
            <v>1</v>
          </cell>
          <cell r="S6203">
            <v>0</v>
          </cell>
          <cell r="T6203">
            <v>0</v>
          </cell>
          <cell r="U6203">
            <v>0</v>
          </cell>
          <cell r="V6203">
            <v>1</v>
          </cell>
          <cell r="W6203">
            <v>0</v>
          </cell>
          <cell r="X6203">
            <v>0</v>
          </cell>
          <cell r="Y6203">
            <v>0</v>
          </cell>
        </row>
        <row r="6204">
          <cell r="D6204">
            <v>304781</v>
          </cell>
          <cell r="E6204" t="str">
            <v>San Benito National High School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>
            <v>0</v>
          </cell>
          <cell r="V6204">
            <v>0</v>
          </cell>
          <cell r="W6204">
            <v>0</v>
          </cell>
          <cell r="X6204">
            <v>0</v>
          </cell>
          <cell r="Y6204">
            <v>0</v>
          </cell>
        </row>
        <row r="6205">
          <cell r="D6205">
            <v>304789</v>
          </cell>
          <cell r="E6205" t="str">
            <v>Nueva Estrella NHS</v>
          </cell>
          <cell r="F6205">
            <v>1</v>
          </cell>
          <cell r="G6205">
            <v>0</v>
          </cell>
          <cell r="H6205">
            <v>1</v>
          </cell>
          <cell r="I6205">
            <v>0</v>
          </cell>
          <cell r="J6205">
            <v>0</v>
          </cell>
          <cell r="K6205">
            <v>1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>
            <v>0</v>
          </cell>
          <cell r="V6205">
            <v>0</v>
          </cell>
          <cell r="W6205">
            <v>2</v>
          </cell>
          <cell r="X6205">
            <v>0</v>
          </cell>
          <cell r="Y6205">
            <v>0</v>
          </cell>
        </row>
        <row r="6206">
          <cell r="D6206">
            <v>304782</v>
          </cell>
          <cell r="E6206" t="str">
            <v>San Isidro National High School</v>
          </cell>
          <cell r="F6206">
            <v>1</v>
          </cell>
          <cell r="G6206">
            <v>1</v>
          </cell>
          <cell r="H6206">
            <v>1</v>
          </cell>
          <cell r="I6206">
            <v>0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0</v>
          </cell>
          <cell r="S6206">
            <v>0</v>
          </cell>
          <cell r="T6206">
            <v>0</v>
          </cell>
          <cell r="U6206">
            <v>0</v>
          </cell>
          <cell r="V6206">
            <v>0</v>
          </cell>
          <cell r="W6206">
            <v>0</v>
          </cell>
          <cell r="X6206">
            <v>0</v>
          </cell>
          <cell r="Y6206">
            <v>0</v>
          </cell>
        </row>
        <row r="6207">
          <cell r="D6207">
            <v>304775</v>
          </cell>
          <cell r="E6207" t="str">
            <v>Consolacion National High School</v>
          </cell>
          <cell r="F6207">
            <v>1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>
            <v>0</v>
          </cell>
          <cell r="V6207">
            <v>0</v>
          </cell>
          <cell r="W6207">
            <v>0</v>
          </cell>
          <cell r="X6207">
            <v>0</v>
          </cell>
          <cell r="Y6207">
            <v>0</v>
          </cell>
        </row>
        <row r="6208">
          <cell r="D6208">
            <v>317605</v>
          </cell>
          <cell r="E6208" t="str">
            <v>Oguing Navarro Memorial National High School</v>
          </cell>
          <cell r="F6208">
            <v>0</v>
          </cell>
          <cell r="G6208">
            <v>0</v>
          </cell>
          <cell r="H6208">
            <v>1</v>
          </cell>
          <cell r="I6208">
            <v>0</v>
          </cell>
          <cell r="J6208">
            <v>0</v>
          </cell>
          <cell r="K6208">
            <v>0</v>
          </cell>
          <cell r="L6208">
            <v>0</v>
          </cell>
          <cell r="M6208">
            <v>0</v>
          </cell>
          <cell r="N6208">
            <v>0</v>
          </cell>
          <cell r="O6208">
            <v>43293</v>
          </cell>
          <cell r="P6208">
            <v>0</v>
          </cell>
          <cell r="Q6208">
            <v>0</v>
          </cell>
          <cell r="R6208">
            <v>0</v>
          </cell>
          <cell r="S6208">
            <v>0</v>
          </cell>
          <cell r="T6208">
            <v>0</v>
          </cell>
          <cell r="U6208">
            <v>0</v>
          </cell>
          <cell r="V6208">
            <v>1</v>
          </cell>
          <cell r="W6208">
            <v>0</v>
          </cell>
          <cell r="X6208">
            <v>0</v>
          </cell>
          <cell r="Y6208">
            <v>0</v>
          </cell>
        </row>
        <row r="6209">
          <cell r="D6209">
            <v>304776</v>
          </cell>
          <cell r="E6209" t="str">
            <v>Mariano Matugas Memorial National High School</v>
          </cell>
          <cell r="F6209">
            <v>1</v>
          </cell>
          <cell r="G6209">
            <v>1</v>
          </cell>
          <cell r="H6209">
            <v>1</v>
          </cell>
          <cell r="I6209">
            <v>0</v>
          </cell>
          <cell r="J6209">
            <v>1</v>
          </cell>
          <cell r="K6209">
            <v>0</v>
          </cell>
          <cell r="L6209">
            <v>0</v>
          </cell>
          <cell r="M6209">
            <v>0</v>
          </cell>
          <cell r="N6209">
            <v>1</v>
          </cell>
          <cell r="O6209" t="str">
            <v>06/20/2019</v>
          </cell>
          <cell r="P6209" t="str">
            <v>06/28/2019</v>
          </cell>
          <cell r="Q6209">
            <v>1</v>
          </cell>
          <cell r="R6209">
            <v>0</v>
          </cell>
          <cell r="S6209">
            <v>0</v>
          </cell>
          <cell r="T6209">
            <v>0</v>
          </cell>
          <cell r="U6209">
            <v>0</v>
          </cell>
          <cell r="V6209">
            <v>1</v>
          </cell>
          <cell r="W6209">
            <v>5</v>
          </cell>
          <cell r="X6209">
            <v>0</v>
          </cell>
          <cell r="Y6209">
            <v>0</v>
          </cell>
        </row>
        <row r="6210">
          <cell r="D6210">
            <v>304778</v>
          </cell>
          <cell r="E6210" t="str">
            <v>Sta. Fe National High School</v>
          </cell>
          <cell r="F6210">
            <v>1</v>
          </cell>
          <cell r="G6210">
            <v>0</v>
          </cell>
          <cell r="H6210">
            <v>1</v>
          </cell>
          <cell r="I6210">
            <v>0</v>
          </cell>
          <cell r="J6210">
            <v>0</v>
          </cell>
          <cell r="K6210">
            <v>1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  <cell r="R6210">
            <v>0</v>
          </cell>
          <cell r="S6210">
            <v>0</v>
          </cell>
          <cell r="T6210">
            <v>0</v>
          </cell>
          <cell r="U6210">
            <v>0</v>
          </cell>
          <cell r="V6210">
            <v>0</v>
          </cell>
          <cell r="W6210">
            <v>0</v>
          </cell>
          <cell r="X6210">
            <v>0</v>
          </cell>
          <cell r="Y6210">
            <v>0</v>
          </cell>
        </row>
        <row r="6211">
          <cell r="D6211">
            <v>340383</v>
          </cell>
          <cell r="E6211" t="str">
            <v>Cabrera-Altres National High School</v>
          </cell>
          <cell r="F6211">
            <v>0</v>
          </cell>
          <cell r="G6211">
            <v>0</v>
          </cell>
          <cell r="H6211">
            <v>1</v>
          </cell>
          <cell r="I6211">
            <v>0</v>
          </cell>
          <cell r="J6211">
            <v>0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0</v>
          </cell>
          <cell r="U6211">
            <v>0</v>
          </cell>
          <cell r="V6211">
            <v>0</v>
          </cell>
          <cell r="W6211">
            <v>0</v>
          </cell>
          <cell r="X6211">
            <v>0</v>
          </cell>
          <cell r="Y6211">
            <v>0</v>
          </cell>
        </row>
        <row r="6212">
          <cell r="D6212">
            <v>317703</v>
          </cell>
          <cell r="E6212" t="str">
            <v>Libuac National High School</v>
          </cell>
          <cell r="F6212">
            <v>1</v>
          </cell>
          <cell r="G6212">
            <v>1</v>
          </cell>
          <cell r="H6212">
            <v>1</v>
          </cell>
          <cell r="I6212">
            <v>0</v>
          </cell>
          <cell r="J6212">
            <v>0</v>
          </cell>
          <cell r="K6212">
            <v>1</v>
          </cell>
          <cell r="L6212">
            <v>0</v>
          </cell>
          <cell r="M6212">
            <v>0</v>
          </cell>
          <cell r="N6212">
            <v>1</v>
          </cell>
          <cell r="O6212">
            <v>43643</v>
          </cell>
          <cell r="P6212">
            <v>43667</v>
          </cell>
          <cell r="Q6212">
            <v>0</v>
          </cell>
          <cell r="R6212">
            <v>0</v>
          </cell>
          <cell r="S6212">
            <v>1</v>
          </cell>
          <cell r="T6212">
            <v>0</v>
          </cell>
          <cell r="U6212">
            <v>0</v>
          </cell>
          <cell r="V6212">
            <v>1</v>
          </cell>
          <cell r="W6212">
            <v>8</v>
          </cell>
          <cell r="X6212">
            <v>4</v>
          </cell>
          <cell r="Y6212">
            <v>4</v>
          </cell>
        </row>
        <row r="6213">
          <cell r="D6213">
            <v>304805</v>
          </cell>
          <cell r="E6213" t="str">
            <v>Talisay NHS - Annex</v>
          </cell>
          <cell r="F6213">
            <v>0</v>
          </cell>
          <cell r="G6213">
            <v>1</v>
          </cell>
          <cell r="H6213">
            <v>1</v>
          </cell>
          <cell r="I6213">
            <v>0</v>
          </cell>
          <cell r="J6213">
            <v>1</v>
          </cell>
          <cell r="K6213">
            <v>0</v>
          </cell>
          <cell r="L6213">
            <v>0</v>
          </cell>
          <cell r="M6213">
            <v>0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  <cell r="R6213">
            <v>1</v>
          </cell>
          <cell r="S6213">
            <v>0</v>
          </cell>
          <cell r="T6213">
            <v>0</v>
          </cell>
          <cell r="U6213">
            <v>0</v>
          </cell>
          <cell r="V6213">
            <v>1</v>
          </cell>
          <cell r="W6213">
            <v>0</v>
          </cell>
          <cell r="X6213">
            <v>0</v>
          </cell>
          <cell r="Y6213">
            <v>0</v>
          </cell>
        </row>
        <row r="6214">
          <cell r="D6214">
            <v>317706</v>
          </cell>
          <cell r="E6214" t="str">
            <v>Manjagao NHS</v>
          </cell>
          <cell r="F6214">
            <v>1</v>
          </cell>
          <cell r="G6214">
            <v>0</v>
          </cell>
          <cell r="H6214">
            <v>1</v>
          </cell>
          <cell r="I6214">
            <v>0</v>
          </cell>
          <cell r="J6214">
            <v>1</v>
          </cell>
          <cell r="K6214">
            <v>0</v>
          </cell>
          <cell r="L6214">
            <v>0</v>
          </cell>
          <cell r="M6214">
            <v>0</v>
          </cell>
          <cell r="N6214">
            <v>1</v>
          </cell>
          <cell r="O6214">
            <v>0</v>
          </cell>
          <cell r="P6214">
            <v>0</v>
          </cell>
          <cell r="Q6214">
            <v>0</v>
          </cell>
          <cell r="R6214">
            <v>1</v>
          </cell>
          <cell r="S6214">
            <v>0</v>
          </cell>
          <cell r="T6214">
            <v>0</v>
          </cell>
          <cell r="U6214">
            <v>0</v>
          </cell>
          <cell r="V6214">
            <v>1</v>
          </cell>
          <cell r="W6214">
            <v>0</v>
          </cell>
          <cell r="X6214">
            <v>0</v>
          </cell>
          <cell r="Y6214">
            <v>0</v>
          </cell>
        </row>
        <row r="6215">
          <cell r="D6215">
            <v>317701</v>
          </cell>
          <cell r="E6215" t="str">
            <v>Taft NHS</v>
          </cell>
          <cell r="F6215">
            <v>1</v>
          </cell>
          <cell r="G6215">
            <v>1</v>
          </cell>
          <cell r="H6215">
            <v>0</v>
          </cell>
          <cell r="I6215">
            <v>0</v>
          </cell>
          <cell r="J6215">
            <v>1</v>
          </cell>
          <cell r="K6215">
            <v>0</v>
          </cell>
          <cell r="L6215">
            <v>0</v>
          </cell>
          <cell r="M6215">
            <v>0</v>
          </cell>
          <cell r="N6215">
            <v>1</v>
          </cell>
          <cell r="O6215">
            <v>43221</v>
          </cell>
          <cell r="P6215">
            <v>43221</v>
          </cell>
          <cell r="Q6215">
            <v>0</v>
          </cell>
          <cell r="R6215">
            <v>1</v>
          </cell>
          <cell r="S6215">
            <v>0</v>
          </cell>
          <cell r="T6215">
            <v>0</v>
          </cell>
          <cell r="U6215">
            <v>0</v>
          </cell>
          <cell r="V6215">
            <v>1</v>
          </cell>
          <cell r="W6215">
            <v>2</v>
          </cell>
          <cell r="X6215">
            <v>0</v>
          </cell>
          <cell r="Y6215">
            <v>0</v>
          </cell>
        </row>
        <row r="6216">
          <cell r="D6216">
            <v>304800</v>
          </cell>
          <cell r="E6216" t="str">
            <v>Anomar NHS</v>
          </cell>
          <cell r="F6216">
            <v>1</v>
          </cell>
          <cell r="G6216">
            <v>1</v>
          </cell>
          <cell r="H6216">
            <v>1</v>
          </cell>
          <cell r="I6216">
            <v>0</v>
          </cell>
          <cell r="J6216">
            <v>0</v>
          </cell>
          <cell r="K6216">
            <v>1</v>
          </cell>
          <cell r="L6216">
            <v>0</v>
          </cell>
          <cell r="M6216">
            <v>0</v>
          </cell>
          <cell r="N6216">
            <v>1</v>
          </cell>
          <cell r="O6216">
            <v>43586</v>
          </cell>
          <cell r="P6216">
            <v>0</v>
          </cell>
          <cell r="Q6216">
            <v>0</v>
          </cell>
          <cell r="R6216">
            <v>0</v>
          </cell>
          <cell r="S6216">
            <v>1</v>
          </cell>
          <cell r="T6216">
            <v>0</v>
          </cell>
          <cell r="U6216">
            <v>0</v>
          </cell>
          <cell r="V6216">
            <v>1</v>
          </cell>
          <cell r="W6216">
            <v>1</v>
          </cell>
          <cell r="X6216">
            <v>0</v>
          </cell>
          <cell r="Y6216">
            <v>0</v>
          </cell>
        </row>
        <row r="6217">
          <cell r="D6217">
            <v>304803</v>
          </cell>
          <cell r="E6217" t="str">
            <v>Day-asan NHS</v>
          </cell>
          <cell r="F6217">
            <v>0</v>
          </cell>
          <cell r="G6217">
            <v>0</v>
          </cell>
          <cell r="H6217">
            <v>1</v>
          </cell>
          <cell r="I6217">
            <v>0</v>
          </cell>
          <cell r="J6217">
            <v>0</v>
          </cell>
          <cell r="K6217">
            <v>0</v>
          </cell>
          <cell r="L6217">
            <v>0</v>
          </cell>
          <cell r="M6217">
            <v>0</v>
          </cell>
          <cell r="N6217">
            <v>0</v>
          </cell>
          <cell r="O6217">
            <v>0</v>
          </cell>
          <cell r="P6217">
            <v>0</v>
          </cell>
          <cell r="Q6217">
            <v>0</v>
          </cell>
          <cell r="R6217">
            <v>0</v>
          </cell>
          <cell r="S6217">
            <v>0</v>
          </cell>
          <cell r="T6217">
            <v>0</v>
          </cell>
          <cell r="U6217">
            <v>0</v>
          </cell>
          <cell r="V6217">
            <v>0</v>
          </cell>
          <cell r="W6217">
            <v>5</v>
          </cell>
          <cell r="X6217">
            <v>0</v>
          </cell>
          <cell r="Y6217">
            <v>0</v>
          </cell>
        </row>
        <row r="6218">
          <cell r="D6218">
            <v>304801</v>
          </cell>
          <cell r="E6218" t="str">
            <v>Surigao City NHS</v>
          </cell>
          <cell r="F6218">
            <v>1</v>
          </cell>
          <cell r="G6218">
            <v>1</v>
          </cell>
          <cell r="H6218">
            <v>1</v>
          </cell>
          <cell r="I6218">
            <v>0</v>
          </cell>
          <cell r="J6218">
            <v>1</v>
          </cell>
          <cell r="K6218">
            <v>0</v>
          </cell>
          <cell r="L6218">
            <v>0</v>
          </cell>
          <cell r="M6218">
            <v>0</v>
          </cell>
          <cell r="N6218">
            <v>1</v>
          </cell>
          <cell r="O6218">
            <v>43760</v>
          </cell>
          <cell r="P6218">
            <v>43759</v>
          </cell>
          <cell r="Q6218">
            <v>0</v>
          </cell>
          <cell r="R6218">
            <v>1</v>
          </cell>
          <cell r="S6218">
            <v>0</v>
          </cell>
          <cell r="T6218">
            <v>0</v>
          </cell>
          <cell r="U6218">
            <v>0</v>
          </cell>
          <cell r="V6218">
            <v>1</v>
          </cell>
          <cell r="W6218">
            <v>3</v>
          </cell>
          <cell r="X6218">
            <v>3</v>
          </cell>
          <cell r="Y6218">
            <v>3</v>
          </cell>
        </row>
        <row r="6219">
          <cell r="D6219">
            <v>317704</v>
          </cell>
          <cell r="E6219" t="str">
            <v>Lipata National High School</v>
          </cell>
          <cell r="F6219">
            <v>0</v>
          </cell>
          <cell r="G6219">
            <v>0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0</v>
          </cell>
          <cell r="M6219">
            <v>0</v>
          </cell>
          <cell r="N6219">
            <v>0</v>
          </cell>
          <cell r="O6219">
            <v>0</v>
          </cell>
          <cell r="P6219">
            <v>0</v>
          </cell>
          <cell r="Q6219">
            <v>0</v>
          </cell>
          <cell r="R6219">
            <v>0</v>
          </cell>
          <cell r="S6219">
            <v>0</v>
          </cell>
          <cell r="T6219">
            <v>0</v>
          </cell>
          <cell r="U6219">
            <v>0</v>
          </cell>
          <cell r="V6219">
            <v>0</v>
          </cell>
          <cell r="W6219">
            <v>0</v>
          </cell>
          <cell r="X6219">
            <v>0</v>
          </cell>
          <cell r="Y6219">
            <v>0</v>
          </cell>
        </row>
        <row r="6220">
          <cell r="D6220">
            <v>304802</v>
          </cell>
          <cell r="E6220" t="str">
            <v>Capalayan NHS</v>
          </cell>
          <cell r="F6220">
            <v>1</v>
          </cell>
          <cell r="G6220">
            <v>1</v>
          </cell>
          <cell r="H6220">
            <v>1</v>
          </cell>
          <cell r="I6220">
            <v>0</v>
          </cell>
          <cell r="J6220">
            <v>0</v>
          </cell>
          <cell r="K6220">
            <v>1</v>
          </cell>
          <cell r="L6220">
            <v>0</v>
          </cell>
          <cell r="M6220">
            <v>0</v>
          </cell>
          <cell r="N6220">
            <v>1</v>
          </cell>
          <cell r="O6220">
            <v>43647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1</v>
          </cell>
          <cell r="U6220" t="str">
            <v>AS REQUIRED</v>
          </cell>
          <cell r="V6220">
            <v>1</v>
          </cell>
          <cell r="W6220">
            <v>0</v>
          </cell>
          <cell r="X6220">
            <v>0</v>
          </cell>
          <cell r="Y6220">
            <v>0</v>
          </cell>
        </row>
        <row r="6221">
          <cell r="D6221">
            <v>304792</v>
          </cell>
          <cell r="E6221" t="str">
            <v>Juan P. Cedro Sr. Memorial High Schoo</v>
          </cell>
          <cell r="F6221">
            <v>1</v>
          </cell>
          <cell r="G6221">
            <v>1</v>
          </cell>
          <cell r="H6221">
            <v>1</v>
          </cell>
          <cell r="I6221">
            <v>1</v>
          </cell>
          <cell r="J6221">
            <v>0</v>
          </cell>
          <cell r="K6221">
            <v>0</v>
          </cell>
          <cell r="L6221">
            <v>0</v>
          </cell>
          <cell r="M6221">
            <v>0</v>
          </cell>
          <cell r="N6221">
            <v>1</v>
          </cell>
          <cell r="O6221">
            <v>43703</v>
          </cell>
          <cell r="P6221">
            <v>43728</v>
          </cell>
          <cell r="Q6221">
            <v>1</v>
          </cell>
          <cell r="R6221">
            <v>0</v>
          </cell>
          <cell r="S6221">
            <v>0</v>
          </cell>
          <cell r="T6221">
            <v>0</v>
          </cell>
          <cell r="U6221">
            <v>0</v>
          </cell>
          <cell r="V6221">
            <v>1</v>
          </cell>
          <cell r="W6221">
            <v>1</v>
          </cell>
          <cell r="X6221">
            <v>0</v>
          </cell>
          <cell r="Y6221">
            <v>0</v>
          </cell>
        </row>
        <row r="6222">
          <cell r="D6222">
            <v>304794</v>
          </cell>
          <cell r="E6222" t="str">
            <v>Caraga Regional Science HS</v>
          </cell>
          <cell r="F6222">
            <v>1</v>
          </cell>
          <cell r="G6222">
            <v>1</v>
          </cell>
          <cell r="H6222">
            <v>0</v>
          </cell>
          <cell r="I6222">
            <v>1</v>
          </cell>
          <cell r="J6222">
            <v>0</v>
          </cell>
          <cell r="K6222">
            <v>0</v>
          </cell>
          <cell r="L6222">
            <v>0</v>
          </cell>
          <cell r="M6222">
            <v>0</v>
          </cell>
          <cell r="N6222">
            <v>0</v>
          </cell>
          <cell r="O6222">
            <v>0</v>
          </cell>
          <cell r="P6222">
            <v>0</v>
          </cell>
          <cell r="Q6222">
            <v>0</v>
          </cell>
          <cell r="R6222">
            <v>1</v>
          </cell>
          <cell r="S6222">
            <v>0</v>
          </cell>
          <cell r="T6222">
            <v>0</v>
          </cell>
          <cell r="U6222">
            <v>0</v>
          </cell>
          <cell r="V6222">
            <v>0</v>
          </cell>
          <cell r="W6222">
            <v>20</v>
          </cell>
          <cell r="X6222">
            <v>12</v>
          </cell>
          <cell r="Y6222">
            <v>12</v>
          </cell>
        </row>
        <row r="6223">
          <cell r="D6223">
            <v>304806</v>
          </cell>
          <cell r="E6223" t="str">
            <v>Zaragoza National High School</v>
          </cell>
          <cell r="F6223">
            <v>1</v>
          </cell>
          <cell r="G6223">
            <v>1</v>
          </cell>
          <cell r="H6223">
            <v>1</v>
          </cell>
          <cell r="I6223">
            <v>0</v>
          </cell>
          <cell r="J6223">
            <v>1</v>
          </cell>
          <cell r="K6223">
            <v>0</v>
          </cell>
          <cell r="L6223">
            <v>0</v>
          </cell>
          <cell r="M6223">
            <v>0</v>
          </cell>
          <cell r="N6223">
            <v>1</v>
          </cell>
          <cell r="O6223">
            <v>0</v>
          </cell>
          <cell r="P6223">
            <v>0</v>
          </cell>
          <cell r="Q6223">
            <v>0</v>
          </cell>
          <cell r="R6223">
            <v>0</v>
          </cell>
          <cell r="S6223">
            <v>1</v>
          </cell>
          <cell r="T6223">
            <v>0</v>
          </cell>
          <cell r="U6223">
            <v>0</v>
          </cell>
          <cell r="V6223">
            <v>1</v>
          </cell>
          <cell r="W6223">
            <v>0</v>
          </cell>
          <cell r="X6223">
            <v>0</v>
          </cell>
          <cell r="Y6223">
            <v>0</v>
          </cell>
        </row>
        <row r="6224">
          <cell r="D6224">
            <v>317707</v>
          </cell>
          <cell r="E6224" t="str">
            <v>Wilfredo D. Rafols Memorial National High School</v>
          </cell>
          <cell r="F6224">
            <v>1</v>
          </cell>
          <cell r="G6224">
            <v>1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>
            <v>0</v>
          </cell>
          <cell r="M6224">
            <v>0</v>
          </cell>
          <cell r="N6224">
            <v>0</v>
          </cell>
          <cell r="O6224">
            <v>0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0</v>
          </cell>
          <cell r="U6224">
            <v>0</v>
          </cell>
          <cell r="V6224">
            <v>0</v>
          </cell>
          <cell r="W6224">
            <v>0</v>
          </cell>
          <cell r="X6224">
            <v>0</v>
          </cell>
          <cell r="Y6224">
            <v>0</v>
          </cell>
        </row>
        <row r="6225">
          <cell r="D6225">
            <v>304807</v>
          </cell>
          <cell r="E6225" t="str">
            <v>San Jose NHS</v>
          </cell>
          <cell r="F6225">
            <v>1</v>
          </cell>
          <cell r="G6225">
            <v>1</v>
          </cell>
          <cell r="H6225">
            <v>1</v>
          </cell>
          <cell r="I6225">
            <v>0</v>
          </cell>
          <cell r="J6225">
            <v>1</v>
          </cell>
          <cell r="K6225">
            <v>0</v>
          </cell>
          <cell r="L6225">
            <v>0</v>
          </cell>
          <cell r="M6225">
            <v>0</v>
          </cell>
          <cell r="N6225">
            <v>1</v>
          </cell>
          <cell r="O6225">
            <v>0</v>
          </cell>
          <cell r="P6225">
            <v>0</v>
          </cell>
          <cell r="Q6225">
            <v>0</v>
          </cell>
          <cell r="R6225">
            <v>1</v>
          </cell>
          <cell r="S6225">
            <v>0</v>
          </cell>
          <cell r="T6225">
            <v>0</v>
          </cell>
          <cell r="U6225">
            <v>0</v>
          </cell>
          <cell r="V6225">
            <v>1</v>
          </cell>
          <cell r="W6225">
            <v>1</v>
          </cell>
          <cell r="X6225">
            <v>1</v>
          </cell>
          <cell r="Y6225">
            <v>1</v>
          </cell>
        </row>
        <row r="6226">
          <cell r="D6226">
            <v>317702</v>
          </cell>
          <cell r="E6226" t="str">
            <v>Cantiasay NHS</v>
          </cell>
          <cell r="F6226">
            <v>0</v>
          </cell>
          <cell r="G6226">
            <v>0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0</v>
          </cell>
          <cell r="M6226">
            <v>0</v>
          </cell>
          <cell r="N6226">
            <v>0</v>
          </cell>
          <cell r="O6226">
            <v>0</v>
          </cell>
          <cell r="P6226">
            <v>0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>
            <v>0</v>
          </cell>
          <cell r="V6226">
            <v>0</v>
          </cell>
          <cell r="W6226">
            <v>0</v>
          </cell>
          <cell r="X6226">
            <v>0</v>
          </cell>
          <cell r="Y6226">
            <v>0</v>
          </cell>
        </row>
        <row r="6227">
          <cell r="D6227">
            <v>304793</v>
          </cell>
          <cell r="E6227" t="str">
            <v>Alegria NHS</v>
          </cell>
          <cell r="F6227">
            <v>1</v>
          </cell>
          <cell r="G6227">
            <v>1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>
            <v>0</v>
          </cell>
          <cell r="M6227">
            <v>0</v>
          </cell>
          <cell r="N6227">
            <v>0</v>
          </cell>
          <cell r="O6227">
            <v>0</v>
          </cell>
          <cell r="P6227">
            <v>0</v>
          </cell>
          <cell r="Q6227">
            <v>0</v>
          </cell>
          <cell r="R6227">
            <v>0</v>
          </cell>
          <cell r="S6227">
            <v>0</v>
          </cell>
          <cell r="T6227">
            <v>0</v>
          </cell>
          <cell r="U6227">
            <v>0</v>
          </cell>
          <cell r="V6227">
            <v>0</v>
          </cell>
          <cell r="W6227">
            <v>0</v>
          </cell>
          <cell r="X6227">
            <v>0</v>
          </cell>
          <cell r="Y6227">
            <v>0</v>
          </cell>
        </row>
        <row r="6228">
          <cell r="D6228">
            <v>304795</v>
          </cell>
          <cell r="E6228" t="str">
            <v>Ipil NHS</v>
          </cell>
          <cell r="F6228">
            <v>1</v>
          </cell>
          <cell r="G6228">
            <v>1</v>
          </cell>
          <cell r="H6228">
            <v>0</v>
          </cell>
          <cell r="I6228">
            <v>0</v>
          </cell>
          <cell r="J6228">
            <v>0</v>
          </cell>
          <cell r="K6228">
            <v>1</v>
          </cell>
          <cell r="L6228">
            <v>0</v>
          </cell>
          <cell r="M6228">
            <v>0</v>
          </cell>
          <cell r="N6228">
            <v>0</v>
          </cell>
          <cell r="O6228" t="str">
            <v>6/25/2019</v>
          </cell>
          <cell r="P6228">
            <v>0</v>
          </cell>
          <cell r="Q6228">
            <v>1</v>
          </cell>
          <cell r="R6228">
            <v>0</v>
          </cell>
          <cell r="S6228">
            <v>0</v>
          </cell>
          <cell r="T6228">
            <v>0</v>
          </cell>
          <cell r="U6228">
            <v>0</v>
          </cell>
          <cell r="V6228">
            <v>1</v>
          </cell>
          <cell r="W6228">
            <v>0</v>
          </cell>
          <cell r="X6228">
            <v>0</v>
          </cell>
          <cell r="Y6228">
            <v>0</v>
          </cell>
        </row>
        <row r="6229">
          <cell r="D6229">
            <v>304804</v>
          </cell>
          <cell r="E6229" t="str">
            <v>Nonoc NHS - Annex</v>
          </cell>
          <cell r="F6229">
            <v>0</v>
          </cell>
          <cell r="G6229">
            <v>0</v>
          </cell>
          <cell r="H6229">
            <v>0</v>
          </cell>
          <cell r="I6229">
            <v>0</v>
          </cell>
          <cell r="J6229">
            <v>1</v>
          </cell>
          <cell r="K6229">
            <v>0</v>
          </cell>
          <cell r="L6229">
            <v>0</v>
          </cell>
          <cell r="M6229">
            <v>0</v>
          </cell>
          <cell r="N6229">
            <v>0</v>
          </cell>
          <cell r="O6229">
            <v>0</v>
          </cell>
          <cell r="P6229">
            <v>0</v>
          </cell>
          <cell r="Q6229">
            <v>0</v>
          </cell>
          <cell r="R6229">
            <v>1</v>
          </cell>
          <cell r="S6229">
            <v>0</v>
          </cell>
          <cell r="T6229">
            <v>0</v>
          </cell>
          <cell r="U6229">
            <v>0</v>
          </cell>
          <cell r="V6229">
            <v>0</v>
          </cell>
          <cell r="W6229">
            <v>0</v>
          </cell>
          <cell r="X6229">
            <v>0</v>
          </cell>
          <cell r="Y6229">
            <v>0</v>
          </cell>
        </row>
        <row r="6230">
          <cell r="D6230">
            <v>317705</v>
          </cell>
          <cell r="E6230" t="str">
            <v>Patricio A. Bernaldez Memorial National High School</v>
          </cell>
          <cell r="F6230">
            <v>1</v>
          </cell>
          <cell r="G6230">
            <v>1</v>
          </cell>
          <cell r="H6230">
            <v>1</v>
          </cell>
          <cell r="I6230">
            <v>0</v>
          </cell>
          <cell r="J6230">
            <v>0</v>
          </cell>
          <cell r="K6230">
            <v>1</v>
          </cell>
          <cell r="L6230">
            <v>0</v>
          </cell>
          <cell r="M6230">
            <v>0</v>
          </cell>
          <cell r="N6230">
            <v>1</v>
          </cell>
          <cell r="O6230">
            <v>0</v>
          </cell>
          <cell r="P6230">
            <v>0</v>
          </cell>
          <cell r="Q6230">
            <v>1</v>
          </cell>
          <cell r="R6230">
            <v>0</v>
          </cell>
          <cell r="S6230">
            <v>0</v>
          </cell>
          <cell r="T6230">
            <v>0</v>
          </cell>
          <cell r="U6230">
            <v>0</v>
          </cell>
          <cell r="V6230">
            <v>1</v>
          </cell>
          <cell r="W6230">
            <v>2</v>
          </cell>
          <cell r="X6230">
            <v>4</v>
          </cell>
          <cell r="Y6230">
            <v>2</v>
          </cell>
        </row>
        <row r="6231">
          <cell r="D6231">
            <v>304799</v>
          </cell>
          <cell r="E6231" t="str">
            <v>Mat-i National High School</v>
          </cell>
          <cell r="F6231">
            <v>1</v>
          </cell>
          <cell r="G6231">
            <v>1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0</v>
          </cell>
          <cell r="M6231">
            <v>0</v>
          </cell>
          <cell r="N6231">
            <v>0</v>
          </cell>
          <cell r="O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>
            <v>0</v>
          </cell>
          <cell r="V6231">
            <v>0</v>
          </cell>
          <cell r="W6231">
            <v>0</v>
          </cell>
          <cell r="X6231">
            <v>0</v>
          </cell>
          <cell r="Y6231">
            <v>0</v>
          </cell>
        </row>
        <row r="6232">
          <cell r="D6232">
            <v>317807</v>
          </cell>
          <cell r="E6232" t="str">
            <v>Pananay-an National High School</v>
          </cell>
          <cell r="F6232">
            <v>1</v>
          </cell>
          <cell r="G6232">
            <v>0</v>
          </cell>
          <cell r="H6232">
            <v>1</v>
          </cell>
          <cell r="I6232">
            <v>0</v>
          </cell>
          <cell r="J6232">
            <v>0</v>
          </cell>
          <cell r="K6232">
            <v>1</v>
          </cell>
          <cell r="L6232">
            <v>0</v>
          </cell>
          <cell r="M6232">
            <v>0</v>
          </cell>
          <cell r="N6232">
            <v>0</v>
          </cell>
          <cell r="O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>
            <v>0</v>
          </cell>
          <cell r="V6232">
            <v>0</v>
          </cell>
          <cell r="W6232">
            <v>1</v>
          </cell>
          <cell r="X6232">
            <v>0</v>
          </cell>
          <cell r="Y6232">
            <v>0</v>
          </cell>
        </row>
        <row r="6233">
          <cell r="D6233">
            <v>304829</v>
          </cell>
          <cell r="E6233" t="str">
            <v>Mainit National High School</v>
          </cell>
          <cell r="F6233">
            <v>1</v>
          </cell>
          <cell r="G6233">
            <v>1</v>
          </cell>
          <cell r="H6233">
            <v>1</v>
          </cell>
          <cell r="I6233">
            <v>0</v>
          </cell>
          <cell r="J6233">
            <v>0</v>
          </cell>
          <cell r="K6233">
            <v>0</v>
          </cell>
          <cell r="L6233">
            <v>1</v>
          </cell>
          <cell r="M6233" t="str">
            <v>as needed</v>
          </cell>
          <cell r="N6233">
            <v>1</v>
          </cell>
          <cell r="O6233" t="str">
            <v>July 15, 2019</v>
          </cell>
          <cell r="P6233">
            <v>0</v>
          </cell>
          <cell r="Q6233">
            <v>0</v>
          </cell>
          <cell r="R6233">
            <v>0</v>
          </cell>
          <cell r="S6233">
            <v>0</v>
          </cell>
          <cell r="T6233">
            <v>1</v>
          </cell>
          <cell r="U6233" t="str">
            <v>as needed</v>
          </cell>
          <cell r="V6233">
            <v>1</v>
          </cell>
          <cell r="W6233">
            <v>4</v>
          </cell>
          <cell r="X6233">
            <v>0</v>
          </cell>
          <cell r="Y6233">
            <v>0</v>
          </cell>
        </row>
        <row r="6234">
          <cell r="D6234">
            <v>304812</v>
          </cell>
          <cell r="E6234" t="str">
            <v>Tagana-an National High School (ASA NHS)</v>
          </cell>
          <cell r="F6234">
            <v>1</v>
          </cell>
          <cell r="G6234">
            <v>1</v>
          </cell>
          <cell r="H6234">
            <v>1</v>
          </cell>
          <cell r="I6234">
            <v>0</v>
          </cell>
          <cell r="J6234">
            <v>1</v>
          </cell>
          <cell r="K6234">
            <v>0</v>
          </cell>
          <cell r="L6234">
            <v>0</v>
          </cell>
          <cell r="M6234">
            <v>0</v>
          </cell>
          <cell r="N6234">
            <v>1</v>
          </cell>
          <cell r="O6234">
            <v>43621</v>
          </cell>
          <cell r="P6234">
            <v>0</v>
          </cell>
          <cell r="Q6234">
            <v>0</v>
          </cell>
          <cell r="R6234">
            <v>1</v>
          </cell>
          <cell r="S6234">
            <v>0</v>
          </cell>
          <cell r="T6234">
            <v>0</v>
          </cell>
          <cell r="U6234">
            <v>0</v>
          </cell>
          <cell r="V6234">
            <v>1</v>
          </cell>
          <cell r="W6234">
            <v>5</v>
          </cell>
          <cell r="X6234">
            <v>0</v>
          </cell>
          <cell r="Y6234">
            <v>0</v>
          </cell>
        </row>
        <row r="6235">
          <cell r="D6235">
            <v>304847</v>
          </cell>
          <cell r="E6235" t="str">
            <v>Surigao Del Norte National High School</v>
          </cell>
          <cell r="F6235">
            <v>1</v>
          </cell>
          <cell r="G6235">
            <v>1</v>
          </cell>
          <cell r="H6235">
            <v>1</v>
          </cell>
          <cell r="I6235">
            <v>0</v>
          </cell>
          <cell r="J6235">
            <v>1</v>
          </cell>
          <cell r="K6235">
            <v>0</v>
          </cell>
          <cell r="L6235">
            <v>0</v>
          </cell>
          <cell r="M6235">
            <v>0</v>
          </cell>
          <cell r="N6235">
            <v>1</v>
          </cell>
          <cell r="O6235" t="str">
            <v>JULY 19,2019</v>
          </cell>
          <cell r="P6235" t="str">
            <v>JULY 17,2019</v>
          </cell>
          <cell r="Q6235">
            <v>0</v>
          </cell>
          <cell r="R6235">
            <v>0</v>
          </cell>
          <cell r="S6235">
            <v>0</v>
          </cell>
          <cell r="T6235">
            <v>0</v>
          </cell>
          <cell r="U6235">
            <v>0</v>
          </cell>
          <cell r="V6235">
            <v>1</v>
          </cell>
          <cell r="W6235">
            <v>5</v>
          </cell>
          <cell r="X6235">
            <v>5</v>
          </cell>
          <cell r="Y6235">
            <v>5</v>
          </cell>
        </row>
        <row r="6236">
          <cell r="D6236">
            <v>340416</v>
          </cell>
          <cell r="E6236" t="str">
            <v>Alegria Stand Alone Senior High School</v>
          </cell>
          <cell r="F6236">
            <v>1</v>
          </cell>
          <cell r="G6236">
            <v>0</v>
          </cell>
          <cell r="H6236">
            <v>1</v>
          </cell>
          <cell r="I6236">
            <v>0</v>
          </cell>
          <cell r="J6236">
            <v>1</v>
          </cell>
          <cell r="K6236">
            <v>0</v>
          </cell>
          <cell r="L6236">
            <v>0</v>
          </cell>
          <cell r="M6236">
            <v>0</v>
          </cell>
          <cell r="N6236">
            <v>0</v>
          </cell>
          <cell r="O6236">
            <v>0</v>
          </cell>
          <cell r="P6236">
            <v>0</v>
          </cell>
          <cell r="Q6236">
            <v>0</v>
          </cell>
          <cell r="R6236">
            <v>0</v>
          </cell>
          <cell r="S6236">
            <v>0</v>
          </cell>
          <cell r="T6236">
            <v>0</v>
          </cell>
          <cell r="U6236">
            <v>0</v>
          </cell>
          <cell r="V6236">
            <v>0</v>
          </cell>
          <cell r="W6236">
            <v>0</v>
          </cell>
          <cell r="X6236">
            <v>0</v>
          </cell>
          <cell r="Y6236">
            <v>0</v>
          </cell>
        </row>
        <row r="6237">
          <cell r="D6237">
            <v>304838</v>
          </cell>
          <cell r="E6237" t="str">
            <v>Lakandula National High School</v>
          </cell>
          <cell r="F6237">
            <v>0</v>
          </cell>
          <cell r="G6237">
            <v>0</v>
          </cell>
          <cell r="H6237">
            <v>1</v>
          </cell>
          <cell r="I6237">
            <v>0</v>
          </cell>
          <cell r="J6237">
            <v>0</v>
          </cell>
          <cell r="K6237">
            <v>1</v>
          </cell>
          <cell r="L6237">
            <v>0</v>
          </cell>
          <cell r="M6237">
            <v>0</v>
          </cell>
          <cell r="N6237">
            <v>0</v>
          </cell>
          <cell r="O6237">
            <v>0</v>
          </cell>
          <cell r="P6237" t="str">
            <v>o</v>
          </cell>
          <cell r="Q6237">
            <v>0</v>
          </cell>
          <cell r="R6237">
            <v>0</v>
          </cell>
          <cell r="S6237">
            <v>0</v>
          </cell>
          <cell r="T6237">
            <v>1</v>
          </cell>
          <cell r="U6237" t="str">
            <v>none</v>
          </cell>
          <cell r="V6237">
            <v>0</v>
          </cell>
          <cell r="W6237">
            <v>0</v>
          </cell>
          <cell r="X6237">
            <v>0</v>
          </cell>
          <cell r="Y6237">
            <v>0</v>
          </cell>
        </row>
        <row r="6238">
          <cell r="D6238">
            <v>317809</v>
          </cell>
          <cell r="E6238" t="str">
            <v>Talavera National High School</v>
          </cell>
          <cell r="F6238">
            <v>1</v>
          </cell>
          <cell r="G6238">
            <v>1</v>
          </cell>
          <cell r="H6238">
            <v>1</v>
          </cell>
          <cell r="I6238">
            <v>0</v>
          </cell>
          <cell r="J6238">
            <v>0</v>
          </cell>
          <cell r="K6238">
            <v>1</v>
          </cell>
          <cell r="L6238">
            <v>0</v>
          </cell>
          <cell r="M6238">
            <v>0</v>
          </cell>
          <cell r="N6238">
            <v>0</v>
          </cell>
          <cell r="O6238">
            <v>0</v>
          </cell>
          <cell r="P6238">
            <v>0</v>
          </cell>
          <cell r="Q6238">
            <v>0</v>
          </cell>
          <cell r="R6238">
            <v>0</v>
          </cell>
          <cell r="S6238">
            <v>0</v>
          </cell>
          <cell r="T6238">
            <v>0</v>
          </cell>
          <cell r="U6238">
            <v>0</v>
          </cell>
          <cell r="V6238">
            <v>0</v>
          </cell>
          <cell r="W6238">
            <v>0</v>
          </cell>
          <cell r="X6238">
            <v>0</v>
          </cell>
          <cell r="Y6238">
            <v>0</v>
          </cell>
        </row>
        <row r="6239">
          <cell r="D6239">
            <v>317810</v>
          </cell>
          <cell r="E6239" t="str">
            <v>Cawilan National High School</v>
          </cell>
          <cell r="F6239">
            <v>1</v>
          </cell>
          <cell r="G6239">
            <v>1</v>
          </cell>
          <cell r="H6239">
            <v>1</v>
          </cell>
          <cell r="I6239">
            <v>0</v>
          </cell>
          <cell r="J6239">
            <v>0</v>
          </cell>
          <cell r="K6239">
            <v>0</v>
          </cell>
          <cell r="L6239">
            <v>1</v>
          </cell>
          <cell r="M6239" t="str">
            <v>n/a</v>
          </cell>
          <cell r="N6239">
            <v>0</v>
          </cell>
          <cell r="O6239" t="str">
            <v>n/a</v>
          </cell>
          <cell r="P6239">
            <v>0</v>
          </cell>
          <cell r="Q6239">
            <v>0</v>
          </cell>
          <cell r="R6239">
            <v>0</v>
          </cell>
          <cell r="S6239">
            <v>1</v>
          </cell>
          <cell r="T6239">
            <v>0</v>
          </cell>
          <cell r="U6239">
            <v>0</v>
          </cell>
          <cell r="V6239">
            <v>1</v>
          </cell>
          <cell r="W6239">
            <v>0</v>
          </cell>
          <cell r="X6239">
            <v>0</v>
          </cell>
          <cell r="Y6239">
            <v>0</v>
          </cell>
        </row>
        <row r="6240">
          <cell r="D6240">
            <v>304819</v>
          </cell>
          <cell r="E6240" t="str">
            <v>Pili National High School</v>
          </cell>
          <cell r="F6240">
            <v>1</v>
          </cell>
          <cell r="G6240">
            <v>1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0</v>
          </cell>
          <cell r="M6240">
            <v>0</v>
          </cell>
          <cell r="N6240">
            <v>0</v>
          </cell>
          <cell r="O6240">
            <v>0</v>
          </cell>
          <cell r="P6240">
            <v>0</v>
          </cell>
          <cell r="Q6240">
            <v>0</v>
          </cell>
          <cell r="R6240">
            <v>0</v>
          </cell>
          <cell r="S6240">
            <v>0</v>
          </cell>
          <cell r="T6240">
            <v>0</v>
          </cell>
          <cell r="U6240">
            <v>0</v>
          </cell>
          <cell r="V6240">
            <v>1</v>
          </cell>
          <cell r="W6240">
            <v>0</v>
          </cell>
          <cell r="X6240">
            <v>0</v>
          </cell>
          <cell r="Y6240">
            <v>0</v>
          </cell>
        </row>
        <row r="6241">
          <cell r="D6241">
            <v>304832</v>
          </cell>
          <cell r="E6241" t="str">
            <v>Bunyasan National High School</v>
          </cell>
          <cell r="F6241">
            <v>1</v>
          </cell>
          <cell r="G6241">
            <v>1</v>
          </cell>
          <cell r="H6241">
            <v>1</v>
          </cell>
          <cell r="I6241">
            <v>0</v>
          </cell>
          <cell r="J6241">
            <v>0</v>
          </cell>
          <cell r="K6241">
            <v>0</v>
          </cell>
          <cell r="L6241">
            <v>0</v>
          </cell>
          <cell r="M6241">
            <v>0</v>
          </cell>
          <cell r="N6241">
            <v>1</v>
          </cell>
          <cell r="O6241" t="str">
            <v>JULY 19, 2019</v>
          </cell>
          <cell r="P6241" t="str">
            <v>JULY' 2019</v>
          </cell>
          <cell r="Q6241">
            <v>0</v>
          </cell>
          <cell r="R6241">
            <v>1</v>
          </cell>
          <cell r="S6241">
            <v>0</v>
          </cell>
          <cell r="T6241">
            <v>0</v>
          </cell>
          <cell r="U6241">
            <v>0</v>
          </cell>
          <cell r="V6241">
            <v>1</v>
          </cell>
          <cell r="W6241">
            <v>2</v>
          </cell>
          <cell r="X6241">
            <v>0</v>
          </cell>
          <cell r="Y6241">
            <v>0</v>
          </cell>
        </row>
        <row r="6242">
          <cell r="D6242">
            <v>304849</v>
          </cell>
          <cell r="E6242" t="str">
            <v>Toledo S. Pantilo Sr. Memorial National High School</v>
          </cell>
          <cell r="F6242">
            <v>0</v>
          </cell>
          <cell r="G6242">
            <v>0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0</v>
          </cell>
          <cell r="M6242">
            <v>0</v>
          </cell>
          <cell r="N6242">
            <v>0</v>
          </cell>
          <cell r="O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>
            <v>0</v>
          </cell>
          <cell r="V6242">
            <v>0</v>
          </cell>
          <cell r="W6242">
            <v>0</v>
          </cell>
          <cell r="X6242">
            <v>0</v>
          </cell>
          <cell r="Y6242">
            <v>0</v>
          </cell>
        </row>
        <row r="6243">
          <cell r="D6243">
            <v>304820</v>
          </cell>
          <cell r="E6243" t="str">
            <v>Claver National High  School</v>
          </cell>
          <cell r="F6243">
            <v>1</v>
          </cell>
          <cell r="G6243">
            <v>1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0</v>
          </cell>
          <cell r="M6243">
            <v>0</v>
          </cell>
          <cell r="N6243">
            <v>0</v>
          </cell>
          <cell r="O6243">
            <v>0</v>
          </cell>
          <cell r="P6243">
            <v>0</v>
          </cell>
          <cell r="Q6243">
            <v>0</v>
          </cell>
          <cell r="R6243">
            <v>0</v>
          </cell>
          <cell r="S6243">
            <v>0</v>
          </cell>
          <cell r="T6243">
            <v>0</v>
          </cell>
          <cell r="U6243">
            <v>0</v>
          </cell>
          <cell r="V6243">
            <v>0</v>
          </cell>
          <cell r="W6243">
            <v>0</v>
          </cell>
          <cell r="X6243">
            <v>0</v>
          </cell>
          <cell r="Y6243">
            <v>0</v>
          </cell>
        </row>
        <row r="6244">
          <cell r="D6244">
            <v>304835</v>
          </cell>
          <cell r="E6244" t="str">
            <v>Hacienda National High School</v>
          </cell>
          <cell r="F6244">
            <v>1</v>
          </cell>
          <cell r="G6244">
            <v>1</v>
          </cell>
          <cell r="H6244">
            <v>1</v>
          </cell>
          <cell r="I6244">
            <v>0</v>
          </cell>
          <cell r="J6244">
            <v>1</v>
          </cell>
          <cell r="K6244">
            <v>0</v>
          </cell>
          <cell r="L6244">
            <v>0</v>
          </cell>
          <cell r="M6244">
            <v>0</v>
          </cell>
          <cell r="N6244">
            <v>1</v>
          </cell>
          <cell r="O6244">
            <v>0</v>
          </cell>
          <cell r="P6244">
            <v>43617</v>
          </cell>
          <cell r="Q6244">
            <v>0</v>
          </cell>
          <cell r="R6244">
            <v>1</v>
          </cell>
          <cell r="S6244">
            <v>0</v>
          </cell>
          <cell r="T6244">
            <v>0</v>
          </cell>
          <cell r="U6244">
            <v>0</v>
          </cell>
          <cell r="V6244">
            <v>1</v>
          </cell>
          <cell r="W6244">
            <v>0</v>
          </cell>
          <cell r="X6244">
            <v>0</v>
          </cell>
          <cell r="Y6244">
            <v>0</v>
          </cell>
        </row>
        <row r="6245">
          <cell r="D6245">
            <v>304830</v>
          </cell>
          <cell r="E6245" t="str">
            <v>Paco National High School</v>
          </cell>
          <cell r="F6245">
            <v>1</v>
          </cell>
          <cell r="G6245">
            <v>1</v>
          </cell>
          <cell r="H6245">
            <v>1</v>
          </cell>
          <cell r="I6245">
            <v>0</v>
          </cell>
          <cell r="J6245">
            <v>0</v>
          </cell>
          <cell r="K6245">
            <v>1</v>
          </cell>
          <cell r="L6245">
            <v>0</v>
          </cell>
          <cell r="M6245">
            <v>0</v>
          </cell>
          <cell r="N6245">
            <v>1</v>
          </cell>
          <cell r="O6245" t="str">
            <v>07/31/2019</v>
          </cell>
          <cell r="P6245" t="str">
            <v>07/31/2019</v>
          </cell>
          <cell r="Q6245">
            <v>0</v>
          </cell>
          <cell r="R6245">
            <v>0</v>
          </cell>
          <cell r="S6245">
            <v>1</v>
          </cell>
          <cell r="T6245">
            <v>0</v>
          </cell>
          <cell r="U6245">
            <v>0</v>
          </cell>
          <cell r="V6245">
            <v>1</v>
          </cell>
          <cell r="W6245">
            <v>0</v>
          </cell>
          <cell r="X6245">
            <v>0</v>
          </cell>
          <cell r="Y6245">
            <v>0</v>
          </cell>
        </row>
        <row r="6246">
          <cell r="D6246">
            <v>317806</v>
          </cell>
          <cell r="E6246" t="str">
            <v>Payapag National High School</v>
          </cell>
          <cell r="F6246">
            <v>0</v>
          </cell>
          <cell r="G6246">
            <v>0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0</v>
          </cell>
          <cell r="M6246">
            <v>0</v>
          </cell>
          <cell r="N6246">
            <v>0</v>
          </cell>
          <cell r="O6246">
            <v>0</v>
          </cell>
          <cell r="P6246">
            <v>0</v>
          </cell>
          <cell r="Q6246">
            <v>0</v>
          </cell>
          <cell r="R6246">
            <v>0</v>
          </cell>
          <cell r="S6246">
            <v>0</v>
          </cell>
          <cell r="T6246">
            <v>0</v>
          </cell>
          <cell r="U6246">
            <v>0</v>
          </cell>
          <cell r="V6246">
            <v>0</v>
          </cell>
          <cell r="W6246">
            <v>0</v>
          </cell>
          <cell r="X6246">
            <v>0</v>
          </cell>
          <cell r="Y6246">
            <v>0</v>
          </cell>
        </row>
        <row r="6247">
          <cell r="D6247">
            <v>317803</v>
          </cell>
          <cell r="E6247" t="str">
            <v>Magpayang National High School</v>
          </cell>
          <cell r="F6247">
            <v>1</v>
          </cell>
          <cell r="G6247">
            <v>1</v>
          </cell>
          <cell r="H6247">
            <v>1</v>
          </cell>
          <cell r="I6247">
            <v>0</v>
          </cell>
          <cell r="J6247">
            <v>1</v>
          </cell>
          <cell r="K6247">
            <v>0</v>
          </cell>
          <cell r="L6247">
            <v>0</v>
          </cell>
          <cell r="M6247">
            <v>0</v>
          </cell>
          <cell r="N6247">
            <v>1</v>
          </cell>
          <cell r="O6247" t="str">
            <v>JULY 4, 2019</v>
          </cell>
          <cell r="P6247" t="str">
            <v>JULY 4, 2019</v>
          </cell>
          <cell r="Q6247">
            <v>0</v>
          </cell>
          <cell r="R6247">
            <v>1</v>
          </cell>
          <cell r="S6247">
            <v>0</v>
          </cell>
          <cell r="T6247">
            <v>0</v>
          </cell>
          <cell r="U6247">
            <v>0</v>
          </cell>
          <cell r="V6247">
            <v>1</v>
          </cell>
          <cell r="W6247">
            <v>2</v>
          </cell>
          <cell r="X6247">
            <v>0</v>
          </cell>
          <cell r="Y6247">
            <v>0</v>
          </cell>
        </row>
        <row r="6248">
          <cell r="D6248">
            <v>317808</v>
          </cell>
          <cell r="E6248" t="str">
            <v>Dakung Patag National High School</v>
          </cell>
          <cell r="F6248">
            <v>1</v>
          </cell>
          <cell r="G6248">
            <v>1</v>
          </cell>
          <cell r="H6248">
            <v>1</v>
          </cell>
          <cell r="I6248">
            <v>1</v>
          </cell>
          <cell r="J6248">
            <v>0</v>
          </cell>
          <cell r="K6248">
            <v>0</v>
          </cell>
          <cell r="L6248">
            <v>0</v>
          </cell>
          <cell r="M6248">
            <v>0</v>
          </cell>
          <cell r="N6248">
            <v>1</v>
          </cell>
          <cell r="O6248">
            <v>0</v>
          </cell>
          <cell r="P6248">
            <v>0</v>
          </cell>
          <cell r="Q6248">
            <v>1</v>
          </cell>
          <cell r="R6248">
            <v>0</v>
          </cell>
          <cell r="S6248">
            <v>0</v>
          </cell>
          <cell r="T6248">
            <v>0</v>
          </cell>
          <cell r="U6248">
            <v>0</v>
          </cell>
          <cell r="V6248">
            <v>1</v>
          </cell>
          <cell r="W6248">
            <v>3</v>
          </cell>
          <cell r="X6248">
            <v>3</v>
          </cell>
          <cell r="Y6248">
            <v>3</v>
          </cell>
        </row>
        <row r="6249">
          <cell r="D6249">
            <v>304814</v>
          </cell>
          <cell r="E6249" t="str">
            <v>Balite National High School</v>
          </cell>
          <cell r="F6249">
            <v>1</v>
          </cell>
          <cell r="G6249">
            <v>1</v>
          </cell>
          <cell r="H6249">
            <v>1</v>
          </cell>
          <cell r="I6249">
            <v>0</v>
          </cell>
          <cell r="J6249">
            <v>1</v>
          </cell>
          <cell r="K6249">
            <v>0</v>
          </cell>
          <cell r="L6249">
            <v>0</v>
          </cell>
          <cell r="M6249">
            <v>0</v>
          </cell>
          <cell r="N6249">
            <v>1</v>
          </cell>
          <cell r="O6249">
            <v>43539</v>
          </cell>
          <cell r="P6249" t="str">
            <v>00/00/0000</v>
          </cell>
          <cell r="Q6249">
            <v>1</v>
          </cell>
          <cell r="R6249">
            <v>0</v>
          </cell>
          <cell r="S6249">
            <v>0</v>
          </cell>
          <cell r="T6249">
            <v>0</v>
          </cell>
          <cell r="U6249">
            <v>0</v>
          </cell>
          <cell r="V6249">
            <v>1</v>
          </cell>
          <cell r="W6249">
            <v>3</v>
          </cell>
          <cell r="X6249">
            <v>0</v>
          </cell>
          <cell r="Y6249">
            <v>0</v>
          </cell>
        </row>
        <row r="6250">
          <cell r="D6250">
            <v>304831</v>
          </cell>
          <cell r="E6250" t="str">
            <v>Masgad National High School</v>
          </cell>
          <cell r="F6250">
            <v>1</v>
          </cell>
          <cell r="G6250">
            <v>0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0</v>
          </cell>
          <cell r="M6250">
            <v>0</v>
          </cell>
          <cell r="N6250">
            <v>0</v>
          </cell>
          <cell r="O6250">
            <v>0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0</v>
          </cell>
          <cell r="U6250">
            <v>0</v>
          </cell>
          <cell r="V6250">
            <v>0</v>
          </cell>
          <cell r="W6250">
            <v>0</v>
          </cell>
          <cell r="X6250">
            <v>0</v>
          </cell>
          <cell r="Y6250">
            <v>0</v>
          </cell>
        </row>
        <row r="6251">
          <cell r="D6251">
            <v>304821</v>
          </cell>
          <cell r="E6251" t="str">
            <v>Taganito National High School</v>
          </cell>
          <cell r="F6251">
            <v>0</v>
          </cell>
          <cell r="G6251">
            <v>0</v>
          </cell>
          <cell r="H6251">
            <v>1</v>
          </cell>
          <cell r="I6251">
            <v>0</v>
          </cell>
          <cell r="J6251">
            <v>0</v>
          </cell>
          <cell r="K6251">
            <v>1</v>
          </cell>
          <cell r="L6251">
            <v>0</v>
          </cell>
          <cell r="M6251">
            <v>0</v>
          </cell>
          <cell r="N6251">
            <v>1</v>
          </cell>
          <cell r="O6251">
            <v>0</v>
          </cell>
          <cell r="P6251">
            <v>0</v>
          </cell>
          <cell r="Q6251">
            <v>0</v>
          </cell>
          <cell r="R6251">
            <v>0</v>
          </cell>
          <cell r="S6251">
            <v>1</v>
          </cell>
          <cell r="T6251">
            <v>0</v>
          </cell>
          <cell r="U6251">
            <v>0</v>
          </cell>
          <cell r="V6251">
            <v>0</v>
          </cell>
          <cell r="W6251">
            <v>2</v>
          </cell>
          <cell r="X6251">
            <v>0</v>
          </cell>
          <cell r="Y6251">
            <v>0</v>
          </cell>
        </row>
        <row r="6252">
          <cell r="D6252">
            <v>304843</v>
          </cell>
          <cell r="E6252" t="str">
            <v>San Francisco National High School</v>
          </cell>
          <cell r="F6252">
            <v>1</v>
          </cell>
          <cell r="G6252">
            <v>0</v>
          </cell>
          <cell r="H6252">
            <v>1</v>
          </cell>
          <cell r="I6252">
            <v>1</v>
          </cell>
          <cell r="J6252">
            <v>0</v>
          </cell>
          <cell r="K6252">
            <v>0</v>
          </cell>
          <cell r="L6252">
            <v>0</v>
          </cell>
          <cell r="M6252">
            <v>0</v>
          </cell>
          <cell r="N6252">
            <v>1</v>
          </cell>
          <cell r="O6252">
            <v>43671</v>
          </cell>
          <cell r="P6252">
            <v>43666</v>
          </cell>
          <cell r="Q6252">
            <v>0</v>
          </cell>
          <cell r="R6252">
            <v>1</v>
          </cell>
          <cell r="S6252">
            <v>0</v>
          </cell>
          <cell r="T6252">
            <v>0</v>
          </cell>
          <cell r="U6252">
            <v>0</v>
          </cell>
          <cell r="V6252">
            <v>1</v>
          </cell>
          <cell r="W6252">
            <v>0</v>
          </cell>
          <cell r="X6252">
            <v>0</v>
          </cell>
          <cell r="Y6252">
            <v>0</v>
          </cell>
        </row>
        <row r="6253">
          <cell r="D6253">
            <v>304813</v>
          </cell>
          <cell r="E6253" t="str">
            <v>Bacuag National  Agro-Industrial School</v>
          </cell>
          <cell r="F6253">
            <v>0</v>
          </cell>
          <cell r="G6253">
            <v>1</v>
          </cell>
          <cell r="H6253">
            <v>1</v>
          </cell>
          <cell r="I6253">
            <v>0</v>
          </cell>
          <cell r="J6253">
            <v>0</v>
          </cell>
          <cell r="K6253">
            <v>0</v>
          </cell>
          <cell r="L6253">
            <v>1</v>
          </cell>
          <cell r="M6253" t="str">
            <v>if needs occur</v>
          </cell>
          <cell r="N6253">
            <v>0</v>
          </cell>
          <cell r="O6253" t="str">
            <v>none</v>
          </cell>
          <cell r="P6253">
            <v>0</v>
          </cell>
          <cell r="Q6253">
            <v>0</v>
          </cell>
          <cell r="R6253">
            <v>0</v>
          </cell>
          <cell r="S6253">
            <v>0</v>
          </cell>
          <cell r="T6253">
            <v>0</v>
          </cell>
          <cell r="U6253">
            <v>0</v>
          </cell>
          <cell r="V6253">
            <v>0</v>
          </cell>
          <cell r="W6253">
            <v>0</v>
          </cell>
          <cell r="X6253">
            <v>0</v>
          </cell>
          <cell r="Y6253">
            <v>0</v>
          </cell>
        </row>
        <row r="6254">
          <cell r="D6254">
            <v>304817</v>
          </cell>
          <cell r="E6254" t="str">
            <v>Campo National High School</v>
          </cell>
          <cell r="F6254">
            <v>0</v>
          </cell>
          <cell r="G6254">
            <v>0</v>
          </cell>
          <cell r="H6254">
            <v>1</v>
          </cell>
          <cell r="I6254">
            <v>0</v>
          </cell>
          <cell r="J6254">
            <v>0</v>
          </cell>
          <cell r="K6254">
            <v>0</v>
          </cell>
          <cell r="L6254">
            <v>1</v>
          </cell>
          <cell r="M6254" t="str">
            <v>as needed</v>
          </cell>
          <cell r="N6254">
            <v>0</v>
          </cell>
          <cell r="O6254" t="str">
            <v>not yet</v>
          </cell>
          <cell r="P6254" t="str">
            <v>not yet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>
            <v>0</v>
          </cell>
          <cell r="V6254">
            <v>0</v>
          </cell>
          <cell r="W6254">
            <v>0</v>
          </cell>
          <cell r="X6254">
            <v>0</v>
          </cell>
          <cell r="Y6254">
            <v>0</v>
          </cell>
        </row>
        <row r="6255">
          <cell r="D6255">
            <v>304845</v>
          </cell>
          <cell r="E6255" t="str">
            <v>Amando A. Fabio Memorial National High School (Sta. Cruz National School)</v>
          </cell>
          <cell r="F6255">
            <v>1</v>
          </cell>
          <cell r="G6255">
            <v>1</v>
          </cell>
          <cell r="H6255">
            <v>1</v>
          </cell>
          <cell r="I6255">
            <v>0</v>
          </cell>
          <cell r="J6255">
            <v>0</v>
          </cell>
          <cell r="K6255">
            <v>1</v>
          </cell>
          <cell r="L6255">
            <v>0</v>
          </cell>
          <cell r="M6255">
            <v>0</v>
          </cell>
          <cell r="N6255">
            <v>1</v>
          </cell>
          <cell r="O6255">
            <v>43617</v>
          </cell>
          <cell r="P6255">
            <v>43617</v>
          </cell>
          <cell r="Q6255">
            <v>0</v>
          </cell>
          <cell r="R6255">
            <v>1</v>
          </cell>
          <cell r="S6255">
            <v>0</v>
          </cell>
          <cell r="T6255">
            <v>0</v>
          </cell>
          <cell r="U6255">
            <v>0</v>
          </cell>
          <cell r="V6255">
            <v>1</v>
          </cell>
          <cell r="W6255">
            <v>0</v>
          </cell>
          <cell r="X6255">
            <v>0</v>
          </cell>
          <cell r="Y6255">
            <v>0</v>
          </cell>
        </row>
        <row r="6256">
          <cell r="D6256">
            <v>304853</v>
          </cell>
          <cell r="E6256" t="str">
            <v>Timamana National High School</v>
          </cell>
          <cell r="F6256">
            <v>1</v>
          </cell>
          <cell r="G6256">
            <v>0</v>
          </cell>
          <cell r="H6256">
            <v>1</v>
          </cell>
          <cell r="I6256">
            <v>0</v>
          </cell>
          <cell r="J6256">
            <v>0</v>
          </cell>
          <cell r="K6256">
            <v>0</v>
          </cell>
          <cell r="L6256">
            <v>1</v>
          </cell>
          <cell r="M6256" t="str">
            <v>As needed</v>
          </cell>
          <cell r="N6256">
            <v>0</v>
          </cell>
          <cell r="O6256" t="str">
            <v>NONE</v>
          </cell>
          <cell r="P6256" t="str">
            <v>NONE</v>
          </cell>
          <cell r="Q6256">
            <v>0</v>
          </cell>
          <cell r="R6256">
            <v>0</v>
          </cell>
          <cell r="S6256">
            <v>0</v>
          </cell>
          <cell r="T6256">
            <v>1</v>
          </cell>
          <cell r="U6256" t="str">
            <v>As needed</v>
          </cell>
          <cell r="V6256">
            <v>0</v>
          </cell>
          <cell r="W6256">
            <v>0</v>
          </cell>
          <cell r="X6256">
            <v>0</v>
          </cell>
          <cell r="Y6256">
            <v>0</v>
          </cell>
        </row>
        <row r="6257">
          <cell r="D6257">
            <v>304855</v>
          </cell>
          <cell r="E6257" t="str">
            <v>Tubod National High School</v>
          </cell>
          <cell r="F6257">
            <v>0</v>
          </cell>
          <cell r="G6257">
            <v>0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0</v>
          </cell>
          <cell r="M6257">
            <v>0</v>
          </cell>
          <cell r="N6257">
            <v>0</v>
          </cell>
          <cell r="O6257">
            <v>0</v>
          </cell>
          <cell r="P6257">
            <v>0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>
            <v>0</v>
          </cell>
          <cell r="V6257">
            <v>0</v>
          </cell>
          <cell r="W6257">
            <v>0</v>
          </cell>
          <cell r="X6257">
            <v>0</v>
          </cell>
          <cell r="Y6257">
            <v>0</v>
          </cell>
        </row>
        <row r="6258">
          <cell r="D6258">
            <v>304818</v>
          </cell>
          <cell r="E6258" t="str">
            <v>Cantapoy National High School</v>
          </cell>
          <cell r="F6258">
            <v>0</v>
          </cell>
          <cell r="G6258">
            <v>0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0</v>
          </cell>
          <cell r="M6258">
            <v>0</v>
          </cell>
          <cell r="N6258">
            <v>0</v>
          </cell>
          <cell r="O6258">
            <v>0</v>
          </cell>
          <cell r="P6258">
            <v>0</v>
          </cell>
          <cell r="Q6258">
            <v>0</v>
          </cell>
          <cell r="R6258">
            <v>0</v>
          </cell>
          <cell r="S6258">
            <v>0</v>
          </cell>
          <cell r="T6258">
            <v>0</v>
          </cell>
          <cell r="U6258">
            <v>0</v>
          </cell>
          <cell r="V6258">
            <v>0</v>
          </cell>
          <cell r="W6258">
            <v>0</v>
          </cell>
          <cell r="X6258">
            <v>0</v>
          </cell>
          <cell r="Y6258">
            <v>0</v>
          </cell>
        </row>
        <row r="6259">
          <cell r="D6259">
            <v>304826</v>
          </cell>
          <cell r="E6259" t="str">
            <v>Gigaquit National  School of Home Industries</v>
          </cell>
          <cell r="F6259">
            <v>1</v>
          </cell>
          <cell r="G6259">
            <v>0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0</v>
          </cell>
          <cell r="M6259">
            <v>0</v>
          </cell>
          <cell r="N6259">
            <v>0</v>
          </cell>
          <cell r="O6259">
            <v>0</v>
          </cell>
          <cell r="P6259">
            <v>0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>
            <v>0</v>
          </cell>
          <cell r="V6259">
            <v>0</v>
          </cell>
          <cell r="W6259">
            <v>0</v>
          </cell>
          <cell r="X6259">
            <v>0</v>
          </cell>
          <cell r="Y6259">
            <v>0</v>
          </cell>
        </row>
        <row r="6260">
          <cell r="D6260">
            <v>317804</v>
          </cell>
          <cell r="E6260" t="str">
            <v>Lasicam - Perral National High School</v>
          </cell>
          <cell r="F6260">
            <v>1</v>
          </cell>
          <cell r="G6260">
            <v>0</v>
          </cell>
          <cell r="H6260">
            <v>1</v>
          </cell>
          <cell r="I6260">
            <v>0</v>
          </cell>
          <cell r="J6260">
            <v>0</v>
          </cell>
          <cell r="K6260">
            <v>1</v>
          </cell>
          <cell r="L6260">
            <v>0</v>
          </cell>
          <cell r="M6260">
            <v>0</v>
          </cell>
          <cell r="N6260">
            <v>0</v>
          </cell>
          <cell r="O6260">
            <v>0</v>
          </cell>
          <cell r="P6260">
            <v>0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>
            <v>0</v>
          </cell>
          <cell r="V6260">
            <v>0</v>
          </cell>
          <cell r="W6260">
            <v>0</v>
          </cell>
          <cell r="X6260">
            <v>0</v>
          </cell>
          <cell r="Y6260">
            <v>0</v>
          </cell>
        </row>
        <row r="6261">
          <cell r="D6261">
            <v>304833</v>
          </cell>
          <cell r="E6261" t="str">
            <v>Malimono National High School</v>
          </cell>
          <cell r="F6261">
            <v>1</v>
          </cell>
          <cell r="G6261">
            <v>1</v>
          </cell>
          <cell r="H6261">
            <v>1</v>
          </cell>
          <cell r="I6261">
            <v>0</v>
          </cell>
          <cell r="J6261">
            <v>0</v>
          </cell>
          <cell r="K6261">
            <v>1</v>
          </cell>
          <cell r="L6261">
            <v>0</v>
          </cell>
          <cell r="M6261">
            <v>0</v>
          </cell>
          <cell r="N6261">
            <v>1</v>
          </cell>
          <cell r="O6261">
            <v>0</v>
          </cell>
          <cell r="P6261">
            <v>0</v>
          </cell>
          <cell r="Q6261">
            <v>0</v>
          </cell>
          <cell r="R6261">
            <v>0</v>
          </cell>
          <cell r="S6261">
            <v>1</v>
          </cell>
          <cell r="T6261">
            <v>0</v>
          </cell>
          <cell r="U6261">
            <v>0</v>
          </cell>
          <cell r="V6261">
            <v>1</v>
          </cell>
          <cell r="W6261">
            <v>0</v>
          </cell>
          <cell r="X6261">
            <v>0</v>
          </cell>
          <cell r="Y6261">
            <v>0</v>
          </cell>
        </row>
        <row r="6262">
          <cell r="D6262">
            <v>304837</v>
          </cell>
          <cell r="E6262" t="str">
            <v>Placer National High School</v>
          </cell>
          <cell r="F6262">
            <v>0</v>
          </cell>
          <cell r="G6262">
            <v>0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0</v>
          </cell>
          <cell r="M6262">
            <v>0</v>
          </cell>
          <cell r="N6262">
            <v>0</v>
          </cell>
          <cell r="O6262">
            <v>0</v>
          </cell>
          <cell r="P6262">
            <v>0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>
            <v>0</v>
          </cell>
          <cell r="V6262">
            <v>0</v>
          </cell>
          <cell r="W6262">
            <v>0</v>
          </cell>
          <cell r="X6262">
            <v>0</v>
          </cell>
          <cell r="Y6262">
            <v>0</v>
          </cell>
        </row>
        <row r="6263">
          <cell r="D6263">
            <v>304834</v>
          </cell>
          <cell r="E6263" t="str">
            <v>Matin-ao National High School</v>
          </cell>
          <cell r="F6263">
            <v>1</v>
          </cell>
          <cell r="G6263">
            <v>1</v>
          </cell>
          <cell r="H6263">
            <v>1</v>
          </cell>
          <cell r="I6263">
            <v>0</v>
          </cell>
          <cell r="J6263">
            <v>1</v>
          </cell>
          <cell r="K6263">
            <v>0</v>
          </cell>
          <cell r="L6263">
            <v>0</v>
          </cell>
          <cell r="M6263">
            <v>0</v>
          </cell>
          <cell r="N6263">
            <v>1</v>
          </cell>
          <cell r="O6263">
            <v>43697</v>
          </cell>
          <cell r="P6263">
            <v>43715</v>
          </cell>
          <cell r="Q6263">
            <v>1</v>
          </cell>
          <cell r="R6263">
            <v>0</v>
          </cell>
          <cell r="S6263">
            <v>0</v>
          </cell>
          <cell r="T6263">
            <v>0</v>
          </cell>
          <cell r="U6263">
            <v>0</v>
          </cell>
          <cell r="V6263">
            <v>0</v>
          </cell>
          <cell r="W6263">
            <v>0</v>
          </cell>
          <cell r="X6263">
            <v>0</v>
          </cell>
          <cell r="Y6263">
            <v>0</v>
          </cell>
        </row>
        <row r="6264">
          <cell r="D6264">
            <v>304834</v>
          </cell>
          <cell r="E6264" t="str">
            <v>Matin-ao National High School</v>
          </cell>
          <cell r="F6264">
            <v>1</v>
          </cell>
          <cell r="G6264">
            <v>1</v>
          </cell>
          <cell r="H6264">
            <v>1</v>
          </cell>
          <cell r="I6264">
            <v>0</v>
          </cell>
          <cell r="J6264">
            <v>1</v>
          </cell>
          <cell r="K6264">
            <v>0</v>
          </cell>
          <cell r="L6264">
            <v>0</v>
          </cell>
          <cell r="M6264">
            <v>0</v>
          </cell>
          <cell r="N6264">
            <v>1</v>
          </cell>
          <cell r="O6264">
            <v>43697</v>
          </cell>
          <cell r="P6264">
            <v>43715</v>
          </cell>
          <cell r="Q6264">
            <v>1</v>
          </cell>
          <cell r="R6264">
            <v>0</v>
          </cell>
          <cell r="S6264">
            <v>0</v>
          </cell>
          <cell r="T6264">
            <v>0</v>
          </cell>
          <cell r="U6264">
            <v>0</v>
          </cell>
          <cell r="V6264">
            <v>0</v>
          </cell>
          <cell r="W6264">
            <v>0</v>
          </cell>
          <cell r="X6264">
            <v>0</v>
          </cell>
          <cell r="Y6264">
            <v>0</v>
          </cell>
        </row>
        <row r="6265">
          <cell r="D6265">
            <v>304850</v>
          </cell>
          <cell r="E6265" t="str">
            <v>Mayag National High School</v>
          </cell>
          <cell r="F6265">
            <v>0</v>
          </cell>
          <cell r="G6265">
            <v>0</v>
          </cell>
          <cell r="H6265">
            <v>1</v>
          </cell>
          <cell r="I6265">
            <v>0</v>
          </cell>
          <cell r="J6265">
            <v>0</v>
          </cell>
          <cell r="K6265">
            <v>1</v>
          </cell>
          <cell r="L6265">
            <v>0</v>
          </cell>
          <cell r="M6265">
            <v>0</v>
          </cell>
          <cell r="N6265">
            <v>1</v>
          </cell>
          <cell r="O6265" t="str">
            <v>June 3, 2019</v>
          </cell>
          <cell r="P6265">
            <v>0</v>
          </cell>
          <cell r="Q6265">
            <v>0</v>
          </cell>
          <cell r="R6265">
            <v>0</v>
          </cell>
          <cell r="S6265">
            <v>0</v>
          </cell>
          <cell r="T6265">
            <v>0</v>
          </cell>
          <cell r="U6265">
            <v>0</v>
          </cell>
          <cell r="V6265">
            <v>0</v>
          </cell>
          <cell r="W6265">
            <v>3</v>
          </cell>
          <cell r="X6265">
            <v>0</v>
          </cell>
          <cell r="Y6265">
            <v>0</v>
          </cell>
        </row>
        <row r="6266">
          <cell r="D6266">
            <v>500585</v>
          </cell>
          <cell r="E6266" t="str">
            <v>Manambia Integrated Secondary School</v>
          </cell>
          <cell r="F6266">
            <v>0</v>
          </cell>
          <cell r="G6266">
            <v>0</v>
          </cell>
          <cell r="H6266">
            <v>1</v>
          </cell>
          <cell r="I6266">
            <v>0</v>
          </cell>
          <cell r="J6266">
            <v>0</v>
          </cell>
          <cell r="K6266">
            <v>0</v>
          </cell>
          <cell r="L6266">
            <v>1</v>
          </cell>
          <cell r="M6266" t="str">
            <v>As needed</v>
          </cell>
          <cell r="N6266">
            <v>0</v>
          </cell>
          <cell r="O6266">
            <v>0</v>
          </cell>
          <cell r="P6266">
            <v>0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>
            <v>0</v>
          </cell>
          <cell r="V6266">
            <v>0</v>
          </cell>
          <cell r="W6266">
            <v>0</v>
          </cell>
          <cell r="X6266">
            <v>0</v>
          </cell>
          <cell r="Y6266">
            <v>0</v>
          </cell>
        </row>
        <row r="6267">
          <cell r="D6267">
            <v>317907</v>
          </cell>
          <cell r="E6267" t="str">
            <v>Clarence Ty Pimentel National High School</v>
          </cell>
          <cell r="F6267">
            <v>1</v>
          </cell>
          <cell r="G6267">
            <v>0</v>
          </cell>
          <cell r="H6267">
            <v>1</v>
          </cell>
          <cell r="I6267">
            <v>0</v>
          </cell>
          <cell r="J6267">
            <v>1</v>
          </cell>
          <cell r="K6267">
            <v>0</v>
          </cell>
          <cell r="L6267">
            <v>0</v>
          </cell>
          <cell r="M6267">
            <v>0</v>
          </cell>
          <cell r="N6267">
            <v>1</v>
          </cell>
          <cell r="O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1</v>
          </cell>
          <cell r="U6267" t="str">
            <v>NONE</v>
          </cell>
          <cell r="V6267">
            <v>0</v>
          </cell>
          <cell r="W6267">
            <v>1</v>
          </cell>
          <cell r="X6267">
            <v>0</v>
          </cell>
          <cell r="Y6267">
            <v>0</v>
          </cell>
        </row>
        <row r="6268">
          <cell r="D6268">
            <v>500570</v>
          </cell>
          <cell r="E6268" t="str">
            <v>Palasao Integrated School</v>
          </cell>
          <cell r="F6268">
            <v>1</v>
          </cell>
          <cell r="G6268">
            <v>1</v>
          </cell>
          <cell r="H6268">
            <v>1</v>
          </cell>
          <cell r="I6268">
            <v>0</v>
          </cell>
          <cell r="J6268">
            <v>1</v>
          </cell>
          <cell r="K6268">
            <v>0</v>
          </cell>
          <cell r="L6268">
            <v>0</v>
          </cell>
          <cell r="M6268">
            <v>0</v>
          </cell>
          <cell r="N6268">
            <v>1</v>
          </cell>
          <cell r="O6268">
            <v>43664</v>
          </cell>
          <cell r="P6268">
            <v>43697</v>
          </cell>
          <cell r="Q6268">
            <v>0</v>
          </cell>
          <cell r="R6268">
            <v>1</v>
          </cell>
          <cell r="S6268">
            <v>0</v>
          </cell>
          <cell r="T6268">
            <v>0</v>
          </cell>
          <cell r="U6268">
            <v>0</v>
          </cell>
          <cell r="V6268">
            <v>1</v>
          </cell>
          <cell r="W6268">
            <v>2</v>
          </cell>
          <cell r="X6268">
            <v>2</v>
          </cell>
          <cell r="Y6268">
            <v>2</v>
          </cell>
        </row>
        <row r="6269">
          <cell r="D6269">
            <v>317912</v>
          </cell>
          <cell r="E6269" t="str">
            <v>Davisol National High School</v>
          </cell>
          <cell r="F6269">
            <v>1</v>
          </cell>
          <cell r="G6269">
            <v>0</v>
          </cell>
          <cell r="H6269">
            <v>1</v>
          </cell>
          <cell r="I6269">
            <v>0</v>
          </cell>
          <cell r="J6269">
            <v>0</v>
          </cell>
          <cell r="K6269">
            <v>1</v>
          </cell>
          <cell r="L6269">
            <v>0</v>
          </cell>
          <cell r="M6269">
            <v>0</v>
          </cell>
          <cell r="N6269">
            <v>0</v>
          </cell>
          <cell r="O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0</v>
          </cell>
          <cell r="U6269">
            <v>0</v>
          </cell>
          <cell r="V6269">
            <v>0</v>
          </cell>
          <cell r="W6269">
            <v>0</v>
          </cell>
          <cell r="X6269">
            <v>0</v>
          </cell>
          <cell r="Y6269">
            <v>0</v>
          </cell>
        </row>
        <row r="6270">
          <cell r="D6270">
            <v>304881</v>
          </cell>
          <cell r="E6270" t="str">
            <v>Maglatab National High School</v>
          </cell>
          <cell r="F6270">
            <v>1</v>
          </cell>
          <cell r="G6270">
            <v>1</v>
          </cell>
          <cell r="H6270">
            <v>1</v>
          </cell>
          <cell r="I6270">
            <v>0</v>
          </cell>
          <cell r="J6270">
            <v>1</v>
          </cell>
          <cell r="K6270">
            <v>0</v>
          </cell>
          <cell r="L6270">
            <v>0</v>
          </cell>
          <cell r="M6270">
            <v>0</v>
          </cell>
          <cell r="N6270">
            <v>1</v>
          </cell>
          <cell r="O6270" t="str">
            <v>July 19, 2019</v>
          </cell>
          <cell r="P6270">
            <v>0</v>
          </cell>
          <cell r="Q6270">
            <v>0</v>
          </cell>
          <cell r="R6270">
            <v>0</v>
          </cell>
          <cell r="S6270">
            <v>0</v>
          </cell>
          <cell r="T6270">
            <v>0</v>
          </cell>
          <cell r="U6270">
            <v>0</v>
          </cell>
          <cell r="V6270">
            <v>1</v>
          </cell>
          <cell r="W6270">
            <v>0</v>
          </cell>
          <cell r="X6270">
            <v>0</v>
          </cell>
          <cell r="Y6270">
            <v>0</v>
          </cell>
        </row>
        <row r="6271">
          <cell r="D6271">
            <v>500324</v>
          </cell>
          <cell r="E6271" t="str">
            <v>Maglambing Integrated School</v>
          </cell>
          <cell r="F6271">
            <v>1</v>
          </cell>
          <cell r="G6271">
            <v>1</v>
          </cell>
          <cell r="H6271">
            <v>1</v>
          </cell>
          <cell r="I6271">
            <v>0</v>
          </cell>
          <cell r="J6271">
            <v>1</v>
          </cell>
          <cell r="K6271">
            <v>0</v>
          </cell>
          <cell r="L6271">
            <v>0</v>
          </cell>
          <cell r="M6271">
            <v>0</v>
          </cell>
          <cell r="N6271">
            <v>0</v>
          </cell>
          <cell r="O6271" t="str">
            <v>August 27, 2019</v>
          </cell>
          <cell r="P6271" t="str">
            <v>October 30, 2019</v>
          </cell>
          <cell r="Q6271">
            <v>1</v>
          </cell>
          <cell r="R6271">
            <v>0</v>
          </cell>
          <cell r="S6271">
            <v>0</v>
          </cell>
          <cell r="T6271">
            <v>0</v>
          </cell>
          <cell r="U6271">
            <v>0</v>
          </cell>
          <cell r="V6271">
            <v>1</v>
          </cell>
          <cell r="W6271">
            <v>1</v>
          </cell>
          <cell r="X6271">
            <v>0</v>
          </cell>
          <cell r="Y6271">
            <v>0</v>
          </cell>
        </row>
        <row r="6272">
          <cell r="D6272">
            <v>317908</v>
          </cell>
          <cell r="E6272" t="str">
            <v>Mahayag National High School</v>
          </cell>
          <cell r="F6272">
            <v>0</v>
          </cell>
          <cell r="G6272">
            <v>0</v>
          </cell>
          <cell r="H6272">
            <v>1</v>
          </cell>
          <cell r="I6272">
            <v>0</v>
          </cell>
          <cell r="J6272">
            <v>0</v>
          </cell>
          <cell r="K6272">
            <v>1</v>
          </cell>
          <cell r="L6272">
            <v>0</v>
          </cell>
          <cell r="M6272">
            <v>0</v>
          </cell>
          <cell r="N6272">
            <v>1</v>
          </cell>
          <cell r="O6272" t="str">
            <v>JUNE 14,2019</v>
          </cell>
          <cell r="P6272">
            <v>0</v>
          </cell>
          <cell r="Q6272">
            <v>0</v>
          </cell>
          <cell r="R6272">
            <v>1</v>
          </cell>
          <cell r="S6272">
            <v>0</v>
          </cell>
          <cell r="T6272">
            <v>0</v>
          </cell>
          <cell r="U6272">
            <v>0</v>
          </cell>
          <cell r="V6272">
            <v>1</v>
          </cell>
          <cell r="W6272">
            <v>3</v>
          </cell>
          <cell r="X6272">
            <v>0</v>
          </cell>
          <cell r="Y6272">
            <v>0</v>
          </cell>
        </row>
        <row r="6273">
          <cell r="D6273">
            <v>500575</v>
          </cell>
          <cell r="E6273" t="str">
            <v>Isla General Integrated Secondary School</v>
          </cell>
          <cell r="F6273">
            <v>1</v>
          </cell>
          <cell r="G6273">
            <v>1</v>
          </cell>
          <cell r="H6273">
            <v>1</v>
          </cell>
          <cell r="I6273">
            <v>0</v>
          </cell>
          <cell r="J6273">
            <v>0</v>
          </cell>
          <cell r="K6273">
            <v>1</v>
          </cell>
          <cell r="L6273">
            <v>0</v>
          </cell>
          <cell r="M6273">
            <v>0</v>
          </cell>
          <cell r="N6273">
            <v>0</v>
          </cell>
          <cell r="O6273" t="str">
            <v>NONE</v>
          </cell>
          <cell r="P6273" t="str">
            <v>NONE</v>
          </cell>
          <cell r="Q6273">
            <v>0</v>
          </cell>
          <cell r="R6273">
            <v>0</v>
          </cell>
          <cell r="S6273">
            <v>1</v>
          </cell>
          <cell r="T6273">
            <v>0</v>
          </cell>
          <cell r="U6273">
            <v>0</v>
          </cell>
          <cell r="V6273">
            <v>0</v>
          </cell>
          <cell r="W6273">
            <v>2</v>
          </cell>
          <cell r="X6273">
            <v>2</v>
          </cell>
          <cell r="Y6273">
            <v>2</v>
          </cell>
        </row>
        <row r="6274">
          <cell r="D6274">
            <v>304888</v>
          </cell>
          <cell r="E6274" t="str">
            <v>Gamut National School (Barobo)</v>
          </cell>
          <cell r="F6274">
            <v>1</v>
          </cell>
          <cell r="G6274">
            <v>1</v>
          </cell>
          <cell r="H6274">
            <v>1</v>
          </cell>
          <cell r="I6274">
            <v>0</v>
          </cell>
          <cell r="J6274">
            <v>1</v>
          </cell>
          <cell r="K6274">
            <v>0</v>
          </cell>
          <cell r="L6274">
            <v>0</v>
          </cell>
          <cell r="M6274">
            <v>0</v>
          </cell>
          <cell r="N6274">
            <v>1</v>
          </cell>
          <cell r="O6274" t="str">
            <v>October 30, 2019</v>
          </cell>
          <cell r="P6274">
            <v>0</v>
          </cell>
          <cell r="Q6274">
            <v>0</v>
          </cell>
          <cell r="R6274">
            <v>0</v>
          </cell>
          <cell r="S6274">
            <v>0</v>
          </cell>
          <cell r="T6274">
            <v>0</v>
          </cell>
          <cell r="U6274">
            <v>0</v>
          </cell>
          <cell r="V6274">
            <v>1</v>
          </cell>
          <cell r="W6274">
            <v>0</v>
          </cell>
          <cell r="X6274">
            <v>0</v>
          </cell>
          <cell r="Y6274">
            <v>0</v>
          </cell>
        </row>
        <row r="6275">
          <cell r="D6275">
            <v>304898</v>
          </cell>
          <cell r="E6275" t="str">
            <v>Marihatag National  Agricultural  High School</v>
          </cell>
          <cell r="F6275">
            <v>1</v>
          </cell>
          <cell r="G6275">
            <v>0</v>
          </cell>
          <cell r="H6275">
            <v>1</v>
          </cell>
          <cell r="I6275">
            <v>0</v>
          </cell>
          <cell r="J6275">
            <v>0</v>
          </cell>
          <cell r="K6275">
            <v>1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0</v>
          </cell>
          <cell r="Q6275">
            <v>0</v>
          </cell>
          <cell r="R6275">
            <v>0</v>
          </cell>
          <cell r="S6275">
            <v>1</v>
          </cell>
          <cell r="T6275">
            <v>0</v>
          </cell>
          <cell r="U6275">
            <v>0</v>
          </cell>
          <cell r="V6275">
            <v>1</v>
          </cell>
          <cell r="W6275">
            <v>0</v>
          </cell>
          <cell r="X6275">
            <v>0</v>
          </cell>
          <cell r="Y6275">
            <v>0</v>
          </cell>
        </row>
        <row r="6276">
          <cell r="D6276">
            <v>304915</v>
          </cell>
          <cell r="E6276" t="str">
            <v>St. Christine National High School</v>
          </cell>
          <cell r="F6276">
            <v>1</v>
          </cell>
          <cell r="G6276">
            <v>0</v>
          </cell>
          <cell r="H6276">
            <v>1</v>
          </cell>
          <cell r="I6276">
            <v>0</v>
          </cell>
          <cell r="J6276">
            <v>1</v>
          </cell>
          <cell r="K6276">
            <v>0</v>
          </cell>
          <cell r="L6276">
            <v>0</v>
          </cell>
          <cell r="M6276">
            <v>0</v>
          </cell>
          <cell r="N6276">
            <v>1</v>
          </cell>
          <cell r="O6276" t="str">
            <v>08/20/2018</v>
          </cell>
          <cell r="P6276" t="str">
            <v>N/A</v>
          </cell>
          <cell r="Q6276">
            <v>1</v>
          </cell>
          <cell r="R6276">
            <v>0</v>
          </cell>
          <cell r="S6276">
            <v>0</v>
          </cell>
          <cell r="T6276">
            <v>0</v>
          </cell>
          <cell r="U6276">
            <v>0</v>
          </cell>
          <cell r="V6276">
            <v>0</v>
          </cell>
          <cell r="W6276">
            <v>0</v>
          </cell>
          <cell r="X6276">
            <v>0</v>
          </cell>
          <cell r="Y6276">
            <v>0</v>
          </cell>
        </row>
        <row r="6277">
          <cell r="D6277">
            <v>304882</v>
          </cell>
          <cell r="E6277" t="str">
            <v>San Vicente II National High School</v>
          </cell>
          <cell r="F6277">
            <v>1</v>
          </cell>
          <cell r="G6277">
            <v>1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  <cell r="M6277">
            <v>0</v>
          </cell>
          <cell r="N6277">
            <v>0</v>
          </cell>
          <cell r="O6277">
            <v>0</v>
          </cell>
          <cell r="P6277">
            <v>0</v>
          </cell>
          <cell r="Q6277">
            <v>0</v>
          </cell>
          <cell r="R6277">
            <v>0</v>
          </cell>
          <cell r="S6277">
            <v>1</v>
          </cell>
          <cell r="T6277">
            <v>0</v>
          </cell>
          <cell r="U6277">
            <v>0</v>
          </cell>
          <cell r="V6277">
            <v>0</v>
          </cell>
          <cell r="W6277">
            <v>0</v>
          </cell>
          <cell r="X6277">
            <v>0</v>
          </cell>
          <cell r="Y6277">
            <v>0</v>
          </cell>
        </row>
        <row r="6278">
          <cell r="D6278">
            <v>317904</v>
          </cell>
          <cell r="E6278" t="str">
            <v>Union National High School</v>
          </cell>
          <cell r="F6278">
            <v>1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0</v>
          </cell>
          <cell r="Q6278">
            <v>0</v>
          </cell>
          <cell r="R6278">
            <v>0</v>
          </cell>
          <cell r="S6278">
            <v>0</v>
          </cell>
          <cell r="T6278">
            <v>0</v>
          </cell>
          <cell r="U6278">
            <v>0</v>
          </cell>
          <cell r="V6278">
            <v>0</v>
          </cell>
          <cell r="W6278">
            <v>0</v>
          </cell>
          <cell r="X6278">
            <v>0</v>
          </cell>
          <cell r="Y6278">
            <v>0</v>
          </cell>
        </row>
        <row r="6279">
          <cell r="D6279">
            <v>500584</v>
          </cell>
          <cell r="E6279" t="str">
            <v>Sta. Maria Elementary School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0</v>
          </cell>
          <cell r="Q6279">
            <v>0</v>
          </cell>
          <cell r="R6279">
            <v>0</v>
          </cell>
          <cell r="S6279">
            <v>0</v>
          </cell>
          <cell r="T6279">
            <v>0</v>
          </cell>
          <cell r="U6279">
            <v>0</v>
          </cell>
          <cell r="V6279">
            <v>0</v>
          </cell>
          <cell r="W6279">
            <v>0</v>
          </cell>
          <cell r="X6279">
            <v>0</v>
          </cell>
          <cell r="Y6279">
            <v>0</v>
          </cell>
        </row>
        <row r="6280">
          <cell r="D6280">
            <v>317910</v>
          </cell>
          <cell r="E6280" t="str">
            <v>Loyola National High School</v>
          </cell>
          <cell r="F6280">
            <v>1</v>
          </cell>
          <cell r="G6280">
            <v>1</v>
          </cell>
          <cell r="H6280">
            <v>1</v>
          </cell>
          <cell r="I6280">
            <v>0</v>
          </cell>
          <cell r="J6280">
            <v>1</v>
          </cell>
          <cell r="K6280">
            <v>0</v>
          </cell>
          <cell r="L6280">
            <v>0</v>
          </cell>
          <cell r="M6280">
            <v>0</v>
          </cell>
          <cell r="N6280">
            <v>1</v>
          </cell>
          <cell r="O6280">
            <v>43472</v>
          </cell>
          <cell r="P6280">
            <v>43472</v>
          </cell>
          <cell r="Q6280">
            <v>0</v>
          </cell>
          <cell r="R6280">
            <v>1</v>
          </cell>
          <cell r="S6280">
            <v>0</v>
          </cell>
          <cell r="T6280">
            <v>0</v>
          </cell>
          <cell r="U6280">
            <v>0</v>
          </cell>
          <cell r="V6280">
            <v>1</v>
          </cell>
          <cell r="W6280">
            <v>5</v>
          </cell>
          <cell r="X6280">
            <v>2</v>
          </cell>
          <cell r="Y6280">
            <v>2</v>
          </cell>
        </row>
        <row r="6281">
          <cell r="D6281">
            <v>500573</v>
          </cell>
          <cell r="E6281" t="str">
            <v>Gata Elementary School</v>
          </cell>
          <cell r="F6281">
            <v>1</v>
          </cell>
          <cell r="G6281">
            <v>1</v>
          </cell>
          <cell r="H6281">
            <v>1</v>
          </cell>
          <cell r="I6281">
            <v>1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 t="str">
            <v>june 28,2019</v>
          </cell>
          <cell r="P6281">
            <v>0</v>
          </cell>
          <cell r="Q6281">
            <v>0</v>
          </cell>
          <cell r="R6281">
            <v>0</v>
          </cell>
          <cell r="S6281">
            <v>1</v>
          </cell>
          <cell r="T6281">
            <v>0</v>
          </cell>
          <cell r="U6281">
            <v>0</v>
          </cell>
          <cell r="V6281">
            <v>1</v>
          </cell>
          <cell r="W6281">
            <v>0</v>
          </cell>
          <cell r="X6281">
            <v>0</v>
          </cell>
          <cell r="Y6281">
            <v>0</v>
          </cell>
        </row>
        <row r="6282">
          <cell r="D6282">
            <v>304904</v>
          </cell>
          <cell r="E6282" t="str">
            <v>Salvacion National High School</v>
          </cell>
          <cell r="F6282">
            <v>1</v>
          </cell>
          <cell r="G6282">
            <v>1</v>
          </cell>
          <cell r="H6282">
            <v>1</v>
          </cell>
          <cell r="I6282">
            <v>0</v>
          </cell>
          <cell r="J6282">
            <v>1</v>
          </cell>
          <cell r="K6282">
            <v>0</v>
          </cell>
          <cell r="L6282">
            <v>0</v>
          </cell>
          <cell r="M6282">
            <v>0</v>
          </cell>
          <cell r="N6282">
            <v>1</v>
          </cell>
          <cell r="O6282">
            <v>43704</v>
          </cell>
          <cell r="P6282">
            <v>43731</v>
          </cell>
          <cell r="Q6282">
            <v>1</v>
          </cell>
          <cell r="R6282">
            <v>0</v>
          </cell>
          <cell r="S6282">
            <v>0</v>
          </cell>
          <cell r="T6282">
            <v>0</v>
          </cell>
          <cell r="U6282">
            <v>0</v>
          </cell>
          <cell r="V6282">
            <v>1</v>
          </cell>
          <cell r="W6282">
            <v>0</v>
          </cell>
          <cell r="X6282">
            <v>0</v>
          </cell>
          <cell r="Y6282">
            <v>0</v>
          </cell>
        </row>
        <row r="6283">
          <cell r="D6283">
            <v>317905</v>
          </cell>
          <cell r="E6283" t="str">
            <v>MARARAG NATIONAL HIGH SCHOOL</v>
          </cell>
          <cell r="F6283">
            <v>1</v>
          </cell>
          <cell r="G6283">
            <v>0</v>
          </cell>
          <cell r="H6283">
            <v>1</v>
          </cell>
          <cell r="I6283">
            <v>0</v>
          </cell>
          <cell r="J6283">
            <v>1</v>
          </cell>
          <cell r="K6283">
            <v>0</v>
          </cell>
          <cell r="L6283">
            <v>0</v>
          </cell>
          <cell r="M6283">
            <v>0</v>
          </cell>
          <cell r="N6283">
            <v>0</v>
          </cell>
          <cell r="O6283">
            <v>0</v>
          </cell>
          <cell r="P6283">
            <v>0</v>
          </cell>
          <cell r="Q6283">
            <v>0</v>
          </cell>
          <cell r="R6283">
            <v>0</v>
          </cell>
          <cell r="S6283">
            <v>1</v>
          </cell>
          <cell r="T6283">
            <v>0</v>
          </cell>
          <cell r="U6283">
            <v>0</v>
          </cell>
          <cell r="V6283">
            <v>0</v>
          </cell>
          <cell r="W6283">
            <v>0</v>
          </cell>
          <cell r="X6283">
            <v>0</v>
          </cell>
          <cell r="Y6283">
            <v>0</v>
          </cell>
        </row>
        <row r="6284">
          <cell r="D6284">
            <v>304925</v>
          </cell>
          <cell r="E6284" t="str">
            <v>Jose Sanvictores Sr. National School Annex</v>
          </cell>
          <cell r="F6284">
            <v>1</v>
          </cell>
          <cell r="G6284">
            <v>1</v>
          </cell>
          <cell r="H6284">
            <v>1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1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>
            <v>0</v>
          </cell>
          <cell r="V6284">
            <v>0</v>
          </cell>
          <cell r="W6284">
            <v>0</v>
          </cell>
          <cell r="X6284">
            <v>0</v>
          </cell>
          <cell r="Y6284">
            <v>0</v>
          </cell>
        </row>
        <row r="6285">
          <cell r="D6285">
            <v>304884</v>
          </cell>
          <cell r="E6285" t="str">
            <v>Tagbina National High School</v>
          </cell>
          <cell r="F6285">
            <v>1</v>
          </cell>
          <cell r="G6285">
            <v>0</v>
          </cell>
          <cell r="H6285">
            <v>1</v>
          </cell>
          <cell r="I6285">
            <v>0</v>
          </cell>
          <cell r="J6285">
            <v>1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0</v>
          </cell>
          <cell r="Q6285">
            <v>0</v>
          </cell>
          <cell r="R6285">
            <v>0</v>
          </cell>
          <cell r="S6285">
            <v>0</v>
          </cell>
          <cell r="T6285">
            <v>0</v>
          </cell>
          <cell r="U6285">
            <v>0</v>
          </cell>
          <cell r="V6285">
            <v>0</v>
          </cell>
          <cell r="W6285">
            <v>0</v>
          </cell>
          <cell r="X6285">
            <v>0</v>
          </cell>
          <cell r="Y6285">
            <v>0</v>
          </cell>
        </row>
        <row r="6286">
          <cell r="D6286">
            <v>304885</v>
          </cell>
          <cell r="E6286" t="str">
            <v>Florita Herrera-Irizari National High School</v>
          </cell>
          <cell r="F6286">
            <v>1</v>
          </cell>
          <cell r="G6286">
            <v>1</v>
          </cell>
          <cell r="H6286">
            <v>1</v>
          </cell>
          <cell r="I6286">
            <v>0</v>
          </cell>
          <cell r="J6286">
            <v>0</v>
          </cell>
          <cell r="K6286">
            <v>1</v>
          </cell>
          <cell r="L6286">
            <v>0</v>
          </cell>
          <cell r="M6286">
            <v>0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>
            <v>0</v>
          </cell>
          <cell r="V6286">
            <v>0</v>
          </cell>
          <cell r="W6286">
            <v>4</v>
          </cell>
          <cell r="X6286">
            <v>1</v>
          </cell>
          <cell r="Y6286">
            <v>1</v>
          </cell>
        </row>
        <row r="6287">
          <cell r="D6287">
            <v>500578</v>
          </cell>
          <cell r="E6287" t="str">
            <v>Agsam Integrated Secondary School</v>
          </cell>
          <cell r="F6287">
            <v>0</v>
          </cell>
          <cell r="G6287">
            <v>0</v>
          </cell>
          <cell r="H6287">
            <v>1</v>
          </cell>
          <cell r="I6287">
            <v>0</v>
          </cell>
          <cell r="J6287">
            <v>0</v>
          </cell>
          <cell r="K6287">
            <v>1</v>
          </cell>
          <cell r="L6287">
            <v>0</v>
          </cell>
          <cell r="M6287">
            <v>0</v>
          </cell>
          <cell r="N6287">
            <v>0</v>
          </cell>
          <cell r="O6287" t="str">
            <v>N/A</v>
          </cell>
          <cell r="P6287" t="str">
            <v>N/A</v>
          </cell>
          <cell r="Q6287">
            <v>0</v>
          </cell>
          <cell r="R6287">
            <v>0</v>
          </cell>
          <cell r="S6287">
            <v>0</v>
          </cell>
          <cell r="T6287">
            <v>1</v>
          </cell>
          <cell r="U6287">
            <v>0</v>
          </cell>
          <cell r="V6287">
            <v>0</v>
          </cell>
          <cell r="W6287">
            <v>0</v>
          </cell>
          <cell r="X6287">
            <v>0</v>
          </cell>
          <cell r="Y6287">
            <v>0</v>
          </cell>
        </row>
        <row r="6288">
          <cell r="D6288">
            <v>304880</v>
          </cell>
          <cell r="E6288" t="str">
            <v>Kahayagan National High School</v>
          </cell>
          <cell r="F6288">
            <v>1</v>
          </cell>
          <cell r="G6288">
            <v>0</v>
          </cell>
          <cell r="H6288">
            <v>1</v>
          </cell>
          <cell r="I6288">
            <v>0</v>
          </cell>
          <cell r="J6288">
            <v>0</v>
          </cell>
          <cell r="K6288">
            <v>1</v>
          </cell>
          <cell r="L6288">
            <v>0</v>
          </cell>
          <cell r="M6288">
            <v>0</v>
          </cell>
          <cell r="N6288">
            <v>1</v>
          </cell>
          <cell r="O6288">
            <v>43677</v>
          </cell>
          <cell r="P6288">
            <v>43738</v>
          </cell>
          <cell r="Q6288">
            <v>0</v>
          </cell>
          <cell r="R6288">
            <v>0</v>
          </cell>
          <cell r="S6288">
            <v>1</v>
          </cell>
          <cell r="T6288">
            <v>0</v>
          </cell>
          <cell r="U6288">
            <v>0</v>
          </cell>
          <cell r="V6288">
            <v>1</v>
          </cell>
          <cell r="W6288">
            <v>3</v>
          </cell>
          <cell r="X6288">
            <v>3</v>
          </cell>
          <cell r="Y6288">
            <v>3</v>
          </cell>
        </row>
        <row r="6289">
          <cell r="D6289">
            <v>304905</v>
          </cell>
          <cell r="E6289" t="str">
            <v>San Miguel National Comprehensive High School</v>
          </cell>
          <cell r="F6289">
            <v>1</v>
          </cell>
          <cell r="G6289">
            <v>1</v>
          </cell>
          <cell r="H6289">
            <v>1</v>
          </cell>
          <cell r="I6289">
            <v>0</v>
          </cell>
          <cell r="J6289">
            <v>1</v>
          </cell>
          <cell r="K6289">
            <v>0</v>
          </cell>
          <cell r="L6289">
            <v>0</v>
          </cell>
          <cell r="M6289">
            <v>0</v>
          </cell>
          <cell r="N6289">
            <v>1</v>
          </cell>
          <cell r="O6289" t="str">
            <v>JULY 25, 2019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0</v>
          </cell>
          <cell r="U6289">
            <v>0</v>
          </cell>
          <cell r="V6289">
            <v>0</v>
          </cell>
          <cell r="W6289">
            <v>0</v>
          </cell>
          <cell r="X6289">
            <v>0</v>
          </cell>
          <cell r="Y6289">
            <v>0</v>
          </cell>
        </row>
        <row r="6290">
          <cell r="D6290">
            <v>304875</v>
          </cell>
          <cell r="E6290" t="str">
            <v>Carmen National Agricultural High School</v>
          </cell>
          <cell r="F6290">
            <v>1</v>
          </cell>
          <cell r="G6290">
            <v>0</v>
          </cell>
          <cell r="H6290">
            <v>1</v>
          </cell>
          <cell r="I6290">
            <v>0</v>
          </cell>
          <cell r="J6290">
            <v>0</v>
          </cell>
          <cell r="K6290">
            <v>1</v>
          </cell>
          <cell r="L6290">
            <v>0</v>
          </cell>
          <cell r="M6290">
            <v>0</v>
          </cell>
          <cell r="N6290">
            <v>1</v>
          </cell>
          <cell r="O6290">
            <v>0</v>
          </cell>
          <cell r="P6290">
            <v>0</v>
          </cell>
          <cell r="Q6290">
            <v>0</v>
          </cell>
          <cell r="R6290">
            <v>0</v>
          </cell>
          <cell r="S6290">
            <v>1</v>
          </cell>
          <cell r="T6290">
            <v>0</v>
          </cell>
          <cell r="U6290">
            <v>0</v>
          </cell>
          <cell r="V6290">
            <v>1</v>
          </cell>
          <cell r="W6290">
            <v>2</v>
          </cell>
          <cell r="X6290">
            <v>0</v>
          </cell>
          <cell r="Y6290">
            <v>0</v>
          </cell>
        </row>
        <row r="6291">
          <cell r="D6291">
            <v>500576</v>
          </cell>
          <cell r="E6291" t="str">
            <v>Libas Sud Elementary School</v>
          </cell>
          <cell r="F6291">
            <v>1</v>
          </cell>
          <cell r="G6291">
            <v>1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0</v>
          </cell>
          <cell r="Q6291">
            <v>0</v>
          </cell>
          <cell r="R6291">
            <v>0</v>
          </cell>
          <cell r="S6291">
            <v>0</v>
          </cell>
          <cell r="T6291">
            <v>0</v>
          </cell>
          <cell r="U6291">
            <v>0</v>
          </cell>
          <cell r="V6291">
            <v>0</v>
          </cell>
          <cell r="W6291">
            <v>0</v>
          </cell>
          <cell r="X6291">
            <v>0</v>
          </cell>
          <cell r="Y6291">
            <v>0</v>
          </cell>
        </row>
        <row r="6292">
          <cell r="D6292">
            <v>304908</v>
          </cell>
          <cell r="E6292" t="str">
            <v>San Miguel National High School</v>
          </cell>
          <cell r="F6292">
            <v>1</v>
          </cell>
          <cell r="G6292">
            <v>1</v>
          </cell>
          <cell r="H6292">
            <v>1</v>
          </cell>
          <cell r="I6292">
            <v>0</v>
          </cell>
          <cell r="J6292">
            <v>0</v>
          </cell>
          <cell r="K6292">
            <v>1</v>
          </cell>
          <cell r="L6292">
            <v>0</v>
          </cell>
          <cell r="M6292">
            <v>0</v>
          </cell>
          <cell r="N6292">
            <v>0</v>
          </cell>
          <cell r="O6292">
            <v>0</v>
          </cell>
          <cell r="P6292">
            <v>0</v>
          </cell>
          <cell r="Q6292">
            <v>0</v>
          </cell>
          <cell r="R6292">
            <v>0</v>
          </cell>
          <cell r="S6292">
            <v>0</v>
          </cell>
          <cell r="T6292">
            <v>0</v>
          </cell>
          <cell r="U6292">
            <v>0</v>
          </cell>
          <cell r="V6292">
            <v>1</v>
          </cell>
          <cell r="W6292">
            <v>0</v>
          </cell>
          <cell r="X6292">
            <v>0</v>
          </cell>
          <cell r="Y6292">
            <v>0</v>
          </cell>
        </row>
        <row r="6293">
          <cell r="D6293">
            <v>304878</v>
          </cell>
          <cell r="E6293" t="str">
            <v>Doña Carmen National High School</v>
          </cell>
          <cell r="F6293">
            <v>1</v>
          </cell>
          <cell r="G6293">
            <v>1</v>
          </cell>
          <cell r="H6293">
            <v>1</v>
          </cell>
          <cell r="I6293">
            <v>0</v>
          </cell>
          <cell r="J6293">
            <v>1</v>
          </cell>
          <cell r="K6293">
            <v>0</v>
          </cell>
          <cell r="L6293">
            <v>0</v>
          </cell>
          <cell r="M6293">
            <v>0</v>
          </cell>
          <cell r="N6293">
            <v>1</v>
          </cell>
          <cell r="O6293">
            <v>0</v>
          </cell>
          <cell r="P6293">
            <v>0</v>
          </cell>
          <cell r="Q6293">
            <v>0</v>
          </cell>
          <cell r="R6293">
            <v>1</v>
          </cell>
          <cell r="S6293">
            <v>0</v>
          </cell>
          <cell r="T6293">
            <v>0</v>
          </cell>
          <cell r="U6293">
            <v>0</v>
          </cell>
          <cell r="V6293">
            <v>1</v>
          </cell>
          <cell r="W6293">
            <v>0</v>
          </cell>
          <cell r="X6293">
            <v>0</v>
          </cell>
          <cell r="Y6293">
            <v>0</v>
          </cell>
        </row>
        <row r="6294">
          <cell r="D6294">
            <v>304896</v>
          </cell>
          <cell r="E6294" t="str">
            <v>M.K.Yusingco National High School</v>
          </cell>
          <cell r="F6294">
            <v>1</v>
          </cell>
          <cell r="G6294">
            <v>0</v>
          </cell>
          <cell r="H6294">
            <v>1</v>
          </cell>
          <cell r="I6294">
            <v>0</v>
          </cell>
          <cell r="J6294">
            <v>1</v>
          </cell>
          <cell r="K6294">
            <v>0</v>
          </cell>
          <cell r="L6294">
            <v>0</v>
          </cell>
          <cell r="M6294">
            <v>0</v>
          </cell>
          <cell r="N6294">
            <v>1</v>
          </cell>
          <cell r="O6294" t="str">
            <v>9/15/19</v>
          </cell>
          <cell r="P6294" t="str">
            <v>9/15/19</v>
          </cell>
          <cell r="Q6294">
            <v>0</v>
          </cell>
          <cell r="R6294">
            <v>1</v>
          </cell>
          <cell r="S6294">
            <v>0</v>
          </cell>
          <cell r="T6294">
            <v>0</v>
          </cell>
          <cell r="U6294">
            <v>0</v>
          </cell>
          <cell r="V6294">
            <v>1</v>
          </cell>
          <cell r="W6294">
            <v>4</v>
          </cell>
          <cell r="X6294">
            <v>0</v>
          </cell>
          <cell r="Y6294">
            <v>0</v>
          </cell>
        </row>
        <row r="6295">
          <cell r="D6295">
            <v>500323</v>
          </cell>
          <cell r="E6295" t="str">
            <v>Bitaugan Elementary School</v>
          </cell>
          <cell r="F6295">
            <v>1</v>
          </cell>
          <cell r="G6295">
            <v>0</v>
          </cell>
          <cell r="H6295">
            <v>1</v>
          </cell>
          <cell r="I6295">
            <v>0</v>
          </cell>
          <cell r="J6295">
            <v>0</v>
          </cell>
          <cell r="K6295">
            <v>1</v>
          </cell>
          <cell r="L6295">
            <v>0</v>
          </cell>
          <cell r="M6295">
            <v>0</v>
          </cell>
          <cell r="N6295">
            <v>0</v>
          </cell>
          <cell r="O6295">
            <v>0</v>
          </cell>
          <cell r="P6295">
            <v>0</v>
          </cell>
          <cell r="Q6295">
            <v>0</v>
          </cell>
          <cell r="R6295">
            <v>0</v>
          </cell>
          <cell r="S6295">
            <v>1</v>
          </cell>
          <cell r="T6295">
            <v>0</v>
          </cell>
          <cell r="U6295">
            <v>0</v>
          </cell>
          <cell r="V6295">
            <v>0</v>
          </cell>
          <cell r="W6295">
            <v>0</v>
          </cell>
          <cell r="X6295">
            <v>0</v>
          </cell>
          <cell r="Y6295">
            <v>0</v>
          </cell>
        </row>
        <row r="6296">
          <cell r="D6296">
            <v>304906</v>
          </cell>
          <cell r="E6296" t="str">
            <v>Bolhoon National High School</v>
          </cell>
          <cell r="F6296">
            <v>0</v>
          </cell>
          <cell r="G6296">
            <v>0</v>
          </cell>
          <cell r="H6296">
            <v>1</v>
          </cell>
          <cell r="I6296">
            <v>0</v>
          </cell>
          <cell r="J6296">
            <v>0</v>
          </cell>
          <cell r="K6296">
            <v>1</v>
          </cell>
          <cell r="L6296">
            <v>0</v>
          </cell>
          <cell r="M6296">
            <v>0</v>
          </cell>
          <cell r="N6296">
            <v>0</v>
          </cell>
          <cell r="O6296">
            <v>0</v>
          </cell>
          <cell r="P6296" t="str">
            <v>None</v>
          </cell>
          <cell r="Q6296">
            <v>0</v>
          </cell>
          <cell r="R6296">
            <v>0</v>
          </cell>
          <cell r="S6296">
            <v>0</v>
          </cell>
          <cell r="T6296">
            <v>1</v>
          </cell>
          <cell r="U6296" t="str">
            <v>None</v>
          </cell>
          <cell r="V6296">
            <v>0</v>
          </cell>
          <cell r="W6296">
            <v>0</v>
          </cell>
          <cell r="X6296">
            <v>0</v>
          </cell>
          <cell r="Y6296">
            <v>0</v>
          </cell>
        </row>
        <row r="6297">
          <cell r="D6297">
            <v>500579</v>
          </cell>
          <cell r="E6297" t="str">
            <v>Tarusan Elementary School</v>
          </cell>
          <cell r="F6297">
            <v>1</v>
          </cell>
          <cell r="G6297">
            <v>1</v>
          </cell>
          <cell r="H6297">
            <v>1</v>
          </cell>
          <cell r="I6297">
            <v>0</v>
          </cell>
          <cell r="J6297">
            <v>1</v>
          </cell>
          <cell r="K6297">
            <v>0</v>
          </cell>
          <cell r="L6297">
            <v>0</v>
          </cell>
          <cell r="M6297">
            <v>0</v>
          </cell>
          <cell r="N6297">
            <v>1</v>
          </cell>
          <cell r="O6297">
            <v>0</v>
          </cell>
          <cell r="P6297">
            <v>0</v>
          </cell>
          <cell r="Q6297">
            <v>0</v>
          </cell>
          <cell r="R6297">
            <v>1</v>
          </cell>
          <cell r="S6297">
            <v>0</v>
          </cell>
          <cell r="T6297">
            <v>0</v>
          </cell>
          <cell r="U6297">
            <v>0</v>
          </cell>
          <cell r="V6297">
            <v>1</v>
          </cell>
          <cell r="W6297">
            <v>0</v>
          </cell>
          <cell r="X6297">
            <v>0</v>
          </cell>
          <cell r="Y6297">
            <v>0</v>
          </cell>
        </row>
        <row r="6298">
          <cell r="D6298">
            <v>304889</v>
          </cell>
          <cell r="E6298" t="str">
            <v>Gamut National High School (Tago)</v>
          </cell>
          <cell r="F6298">
            <v>1</v>
          </cell>
          <cell r="G6298">
            <v>1</v>
          </cell>
          <cell r="H6298">
            <v>1</v>
          </cell>
          <cell r="I6298">
            <v>0</v>
          </cell>
          <cell r="J6298">
            <v>0</v>
          </cell>
          <cell r="K6298">
            <v>1</v>
          </cell>
          <cell r="L6298">
            <v>0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1</v>
          </cell>
          <cell r="T6298">
            <v>0</v>
          </cell>
          <cell r="U6298">
            <v>0</v>
          </cell>
          <cell r="V6298">
            <v>1</v>
          </cell>
          <cell r="W6298">
            <v>0</v>
          </cell>
          <cell r="X6298">
            <v>0</v>
          </cell>
          <cell r="Y6298">
            <v>0</v>
          </cell>
        </row>
        <row r="6299">
          <cell r="D6299">
            <v>317939</v>
          </cell>
          <cell r="E6299" t="str">
            <v>Hinatuan National Comprehensive High School - Roxas National High School  Annex</v>
          </cell>
          <cell r="F6299">
            <v>1</v>
          </cell>
          <cell r="G6299">
            <v>1</v>
          </cell>
          <cell r="H6299">
            <v>1</v>
          </cell>
          <cell r="I6299">
            <v>0</v>
          </cell>
          <cell r="J6299">
            <v>1</v>
          </cell>
          <cell r="K6299">
            <v>0</v>
          </cell>
          <cell r="L6299">
            <v>0</v>
          </cell>
          <cell r="M6299">
            <v>0</v>
          </cell>
          <cell r="N6299">
            <v>1</v>
          </cell>
          <cell r="O6299">
            <v>43780</v>
          </cell>
          <cell r="P6299">
            <v>43768</v>
          </cell>
          <cell r="Q6299">
            <v>0</v>
          </cell>
          <cell r="R6299">
            <v>1</v>
          </cell>
          <cell r="S6299">
            <v>0</v>
          </cell>
          <cell r="T6299">
            <v>0</v>
          </cell>
          <cell r="U6299">
            <v>0</v>
          </cell>
          <cell r="V6299">
            <v>1</v>
          </cell>
          <cell r="W6299">
            <v>0</v>
          </cell>
          <cell r="X6299">
            <v>0</v>
          </cell>
          <cell r="Y6299">
            <v>0</v>
          </cell>
        </row>
        <row r="6300">
          <cell r="D6300">
            <v>317913</v>
          </cell>
          <cell r="E6300" t="str">
            <v>San Roque National High School</v>
          </cell>
          <cell r="F6300">
            <v>1</v>
          </cell>
          <cell r="G6300">
            <v>1</v>
          </cell>
          <cell r="H6300">
            <v>1</v>
          </cell>
          <cell r="I6300">
            <v>0</v>
          </cell>
          <cell r="J6300">
            <v>0</v>
          </cell>
          <cell r="K6300">
            <v>1</v>
          </cell>
          <cell r="L6300">
            <v>0</v>
          </cell>
          <cell r="M6300">
            <v>0</v>
          </cell>
          <cell r="N6300">
            <v>1</v>
          </cell>
          <cell r="O6300">
            <v>43717</v>
          </cell>
          <cell r="P6300">
            <v>43738</v>
          </cell>
          <cell r="Q6300">
            <v>0</v>
          </cell>
          <cell r="R6300">
            <v>1</v>
          </cell>
          <cell r="S6300">
            <v>0</v>
          </cell>
          <cell r="T6300">
            <v>0</v>
          </cell>
          <cell r="U6300">
            <v>0</v>
          </cell>
          <cell r="V6300">
            <v>1</v>
          </cell>
          <cell r="W6300">
            <v>0</v>
          </cell>
          <cell r="X6300">
            <v>0</v>
          </cell>
          <cell r="Y6300">
            <v>0</v>
          </cell>
        </row>
        <row r="6301">
          <cell r="D6301">
            <v>317903</v>
          </cell>
          <cell r="E6301" t="str">
            <v>Badong National High School</v>
          </cell>
          <cell r="F6301">
            <v>1</v>
          </cell>
          <cell r="G6301">
            <v>1</v>
          </cell>
          <cell r="H6301">
            <v>1</v>
          </cell>
          <cell r="I6301">
            <v>1</v>
          </cell>
          <cell r="J6301">
            <v>0</v>
          </cell>
          <cell r="K6301">
            <v>0</v>
          </cell>
          <cell r="L6301">
            <v>0</v>
          </cell>
          <cell r="M6301">
            <v>0</v>
          </cell>
          <cell r="N6301">
            <v>1</v>
          </cell>
          <cell r="O6301">
            <v>0</v>
          </cell>
          <cell r="P6301">
            <v>0</v>
          </cell>
          <cell r="Q6301">
            <v>1</v>
          </cell>
          <cell r="R6301">
            <v>0</v>
          </cell>
          <cell r="S6301">
            <v>0</v>
          </cell>
          <cell r="T6301">
            <v>0</v>
          </cell>
          <cell r="U6301">
            <v>0</v>
          </cell>
          <cell r="V6301">
            <v>1</v>
          </cell>
          <cell r="W6301">
            <v>0</v>
          </cell>
          <cell r="X6301">
            <v>0</v>
          </cell>
          <cell r="Y6301">
            <v>0</v>
          </cell>
        </row>
        <row r="6302">
          <cell r="D6302">
            <v>500050</v>
          </cell>
          <cell r="E6302" t="str">
            <v>Esperanza Elementary School</v>
          </cell>
          <cell r="F6302">
            <v>1</v>
          </cell>
          <cell r="G6302">
            <v>1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0</v>
          </cell>
          <cell r="M6302">
            <v>0</v>
          </cell>
          <cell r="N6302">
            <v>0</v>
          </cell>
          <cell r="O6302">
            <v>0</v>
          </cell>
          <cell r="P6302">
            <v>0</v>
          </cell>
          <cell r="Q6302">
            <v>0</v>
          </cell>
          <cell r="R6302">
            <v>0</v>
          </cell>
          <cell r="S6302">
            <v>0</v>
          </cell>
          <cell r="T6302">
            <v>0</v>
          </cell>
          <cell r="U6302">
            <v>0</v>
          </cell>
          <cell r="V6302">
            <v>0</v>
          </cell>
          <cell r="W6302">
            <v>0</v>
          </cell>
          <cell r="X6302">
            <v>0</v>
          </cell>
          <cell r="Y6302">
            <v>0</v>
          </cell>
        </row>
        <row r="6303">
          <cell r="D6303">
            <v>304858</v>
          </cell>
          <cell r="E6303" t="str">
            <v>Anibongan National High School</v>
          </cell>
          <cell r="F6303">
            <v>1</v>
          </cell>
          <cell r="G6303">
            <v>0</v>
          </cell>
          <cell r="H6303">
            <v>1</v>
          </cell>
          <cell r="I6303">
            <v>0</v>
          </cell>
          <cell r="J6303">
            <v>0</v>
          </cell>
          <cell r="K6303">
            <v>1</v>
          </cell>
          <cell r="L6303">
            <v>0</v>
          </cell>
          <cell r="M6303">
            <v>0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0</v>
          </cell>
          <cell r="U6303">
            <v>0</v>
          </cell>
          <cell r="V6303">
            <v>1</v>
          </cell>
          <cell r="W6303">
            <v>0</v>
          </cell>
          <cell r="X6303">
            <v>0</v>
          </cell>
          <cell r="Y6303">
            <v>0</v>
          </cell>
        </row>
        <row r="6304">
          <cell r="D6304">
            <v>304864</v>
          </cell>
          <cell r="E6304" t="str">
            <v>Tambis National High School</v>
          </cell>
          <cell r="F6304">
            <v>1</v>
          </cell>
          <cell r="G6304">
            <v>1</v>
          </cell>
          <cell r="H6304">
            <v>1</v>
          </cell>
          <cell r="I6304">
            <v>0</v>
          </cell>
          <cell r="J6304">
            <v>1</v>
          </cell>
          <cell r="K6304">
            <v>0</v>
          </cell>
          <cell r="L6304">
            <v>1</v>
          </cell>
          <cell r="M6304" t="str">
            <v>as need arises</v>
          </cell>
          <cell r="N6304">
            <v>1</v>
          </cell>
          <cell r="O6304">
            <v>43707</v>
          </cell>
          <cell r="P6304">
            <v>43704</v>
          </cell>
          <cell r="Q6304">
            <v>0</v>
          </cell>
          <cell r="R6304">
            <v>1</v>
          </cell>
          <cell r="S6304">
            <v>0</v>
          </cell>
          <cell r="T6304">
            <v>0</v>
          </cell>
          <cell r="U6304">
            <v>0</v>
          </cell>
          <cell r="V6304">
            <v>1</v>
          </cell>
          <cell r="W6304">
            <v>1</v>
          </cell>
          <cell r="X6304">
            <v>0</v>
          </cell>
          <cell r="Y6304">
            <v>0</v>
          </cell>
        </row>
        <row r="6305">
          <cell r="D6305">
            <v>304916</v>
          </cell>
          <cell r="E6305" t="str">
            <v>Sto. Niño National High School</v>
          </cell>
          <cell r="F6305">
            <v>1</v>
          </cell>
          <cell r="G6305">
            <v>0</v>
          </cell>
          <cell r="H6305">
            <v>1</v>
          </cell>
          <cell r="I6305">
            <v>0</v>
          </cell>
          <cell r="J6305">
            <v>0</v>
          </cell>
          <cell r="K6305">
            <v>1</v>
          </cell>
          <cell r="L6305">
            <v>0</v>
          </cell>
          <cell r="M6305">
            <v>0</v>
          </cell>
          <cell r="N6305">
            <v>0</v>
          </cell>
          <cell r="O6305">
            <v>0</v>
          </cell>
          <cell r="P6305">
            <v>0</v>
          </cell>
          <cell r="Q6305">
            <v>0</v>
          </cell>
          <cell r="R6305">
            <v>0</v>
          </cell>
          <cell r="S6305">
            <v>0</v>
          </cell>
          <cell r="T6305">
            <v>0</v>
          </cell>
          <cell r="U6305">
            <v>0</v>
          </cell>
          <cell r="V6305">
            <v>0</v>
          </cell>
          <cell r="W6305">
            <v>0</v>
          </cell>
          <cell r="X6305">
            <v>0</v>
          </cell>
          <cell r="Y6305">
            <v>0</v>
          </cell>
        </row>
        <row r="6306">
          <cell r="D6306">
            <v>500583</v>
          </cell>
          <cell r="E6306" t="str">
            <v>Quezon Integrated Secondary School</v>
          </cell>
          <cell r="F6306">
            <v>1</v>
          </cell>
          <cell r="G6306">
            <v>1</v>
          </cell>
          <cell r="H6306">
            <v>1</v>
          </cell>
          <cell r="I6306">
            <v>0</v>
          </cell>
          <cell r="J6306">
            <v>1</v>
          </cell>
          <cell r="K6306">
            <v>0</v>
          </cell>
          <cell r="L6306">
            <v>0</v>
          </cell>
          <cell r="M6306">
            <v>0</v>
          </cell>
          <cell r="N6306">
            <v>1</v>
          </cell>
          <cell r="O6306">
            <v>0</v>
          </cell>
          <cell r="P6306">
            <v>0</v>
          </cell>
          <cell r="Q6306">
            <v>1</v>
          </cell>
          <cell r="R6306">
            <v>0</v>
          </cell>
          <cell r="S6306">
            <v>0</v>
          </cell>
          <cell r="T6306">
            <v>0</v>
          </cell>
          <cell r="U6306">
            <v>0</v>
          </cell>
          <cell r="V6306">
            <v>0</v>
          </cell>
          <cell r="W6306">
            <v>3</v>
          </cell>
          <cell r="X6306">
            <v>3</v>
          </cell>
          <cell r="Y6306">
            <v>0</v>
          </cell>
        </row>
        <row r="6307">
          <cell r="D6307">
            <v>304924</v>
          </cell>
          <cell r="E6307" t="str">
            <v>Unidad National High School</v>
          </cell>
          <cell r="F6307">
            <v>1</v>
          </cell>
          <cell r="G6307">
            <v>1</v>
          </cell>
          <cell r="H6307">
            <v>1</v>
          </cell>
          <cell r="I6307">
            <v>0</v>
          </cell>
          <cell r="J6307">
            <v>0</v>
          </cell>
          <cell r="K6307">
            <v>1</v>
          </cell>
          <cell r="L6307">
            <v>0</v>
          </cell>
          <cell r="M6307">
            <v>0</v>
          </cell>
          <cell r="N6307">
            <v>0</v>
          </cell>
          <cell r="O6307">
            <v>42925</v>
          </cell>
          <cell r="P6307">
            <v>0</v>
          </cell>
          <cell r="Q6307">
            <v>0</v>
          </cell>
          <cell r="R6307">
            <v>0</v>
          </cell>
          <cell r="S6307">
            <v>1</v>
          </cell>
          <cell r="T6307">
            <v>0</v>
          </cell>
          <cell r="U6307">
            <v>0</v>
          </cell>
          <cell r="V6307">
            <v>0</v>
          </cell>
          <cell r="W6307">
            <v>0</v>
          </cell>
          <cell r="X6307">
            <v>0</v>
          </cell>
          <cell r="Y6307">
            <v>0</v>
          </cell>
        </row>
        <row r="6308">
          <cell r="D6308">
            <v>500325</v>
          </cell>
          <cell r="E6308" t="str">
            <v>Quary 1 Integrated Secondary School</v>
          </cell>
          <cell r="F6308">
            <v>1</v>
          </cell>
          <cell r="G6308">
            <v>1</v>
          </cell>
          <cell r="H6308">
            <v>1</v>
          </cell>
          <cell r="I6308">
            <v>0</v>
          </cell>
          <cell r="J6308">
            <v>1</v>
          </cell>
          <cell r="K6308">
            <v>0</v>
          </cell>
          <cell r="L6308">
            <v>0</v>
          </cell>
          <cell r="M6308">
            <v>0</v>
          </cell>
          <cell r="N6308">
            <v>1</v>
          </cell>
          <cell r="O6308">
            <v>0</v>
          </cell>
          <cell r="P6308">
            <v>0</v>
          </cell>
          <cell r="Q6308">
            <v>0</v>
          </cell>
          <cell r="R6308">
            <v>0</v>
          </cell>
          <cell r="S6308">
            <v>0</v>
          </cell>
          <cell r="T6308">
            <v>0</v>
          </cell>
          <cell r="U6308">
            <v>0</v>
          </cell>
          <cell r="V6308">
            <v>0</v>
          </cell>
          <cell r="W6308">
            <v>0</v>
          </cell>
          <cell r="X6308">
            <v>0</v>
          </cell>
          <cell r="Y6308">
            <v>0</v>
          </cell>
        </row>
        <row r="6309">
          <cell r="D6309">
            <v>500321</v>
          </cell>
          <cell r="E6309" t="str">
            <v>Matho Elementary School</v>
          </cell>
          <cell r="F6309">
            <v>1</v>
          </cell>
          <cell r="G6309">
            <v>0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0</v>
          </cell>
          <cell r="M6309">
            <v>0</v>
          </cell>
          <cell r="N6309">
            <v>0</v>
          </cell>
          <cell r="O6309">
            <v>0</v>
          </cell>
          <cell r="P6309">
            <v>0</v>
          </cell>
          <cell r="Q6309">
            <v>0</v>
          </cell>
          <cell r="R6309">
            <v>0</v>
          </cell>
          <cell r="S6309">
            <v>0</v>
          </cell>
          <cell r="T6309">
            <v>0</v>
          </cell>
          <cell r="U6309">
            <v>0</v>
          </cell>
          <cell r="V6309">
            <v>0</v>
          </cell>
          <cell r="W6309">
            <v>0</v>
          </cell>
          <cell r="X6309">
            <v>0</v>
          </cell>
          <cell r="Y6309">
            <v>0</v>
          </cell>
        </row>
        <row r="6310">
          <cell r="D6310">
            <v>304920</v>
          </cell>
          <cell r="E6310" t="str">
            <v>Tagasaka National High School</v>
          </cell>
          <cell r="F6310">
            <v>1</v>
          </cell>
          <cell r="G6310">
            <v>0</v>
          </cell>
          <cell r="H6310">
            <v>1</v>
          </cell>
          <cell r="I6310">
            <v>0</v>
          </cell>
          <cell r="J6310">
            <v>0</v>
          </cell>
          <cell r="K6310">
            <v>1</v>
          </cell>
          <cell r="L6310">
            <v>0</v>
          </cell>
          <cell r="M6310">
            <v>0</v>
          </cell>
          <cell r="N6310">
            <v>0</v>
          </cell>
          <cell r="O6310">
            <v>0</v>
          </cell>
          <cell r="P6310" t="str">
            <v>N/A</v>
          </cell>
          <cell r="Q6310">
            <v>0</v>
          </cell>
          <cell r="R6310">
            <v>0</v>
          </cell>
          <cell r="S6310">
            <v>0</v>
          </cell>
          <cell r="T6310">
            <v>1</v>
          </cell>
          <cell r="U6310" t="str">
            <v>NONE</v>
          </cell>
          <cell r="V6310">
            <v>0</v>
          </cell>
          <cell r="W6310">
            <v>0</v>
          </cell>
          <cell r="X6310">
            <v>0</v>
          </cell>
          <cell r="Y6310">
            <v>0</v>
          </cell>
        </row>
        <row r="6311">
          <cell r="D6311">
            <v>317941</v>
          </cell>
          <cell r="E6311" t="str">
            <v>Rizal National High School</v>
          </cell>
          <cell r="F6311">
            <v>1</v>
          </cell>
          <cell r="G6311">
            <v>1</v>
          </cell>
          <cell r="H6311">
            <v>1</v>
          </cell>
          <cell r="I6311">
            <v>0</v>
          </cell>
          <cell r="J6311">
            <v>0</v>
          </cell>
          <cell r="K6311">
            <v>0</v>
          </cell>
          <cell r="L6311">
            <v>1</v>
          </cell>
          <cell r="M6311" t="str">
            <v>If urgent</v>
          </cell>
          <cell r="N6311">
            <v>1</v>
          </cell>
          <cell r="O6311" t="str">
            <v>no meeting yet conducted</v>
          </cell>
          <cell r="P6311" t="str">
            <v>N/A</v>
          </cell>
          <cell r="Q6311">
            <v>1</v>
          </cell>
          <cell r="R6311">
            <v>0</v>
          </cell>
          <cell r="S6311">
            <v>0</v>
          </cell>
          <cell r="T6311">
            <v>0</v>
          </cell>
          <cell r="U6311">
            <v>0</v>
          </cell>
          <cell r="V6311">
            <v>1</v>
          </cell>
          <cell r="W6311">
            <v>1</v>
          </cell>
          <cell r="X6311">
            <v>0</v>
          </cell>
          <cell r="Y6311">
            <v>0</v>
          </cell>
        </row>
        <row r="6312">
          <cell r="D6312">
            <v>500582</v>
          </cell>
          <cell r="E6312" t="str">
            <v>Malixi Integrated School</v>
          </cell>
          <cell r="F6312">
            <v>1</v>
          </cell>
          <cell r="G6312">
            <v>0</v>
          </cell>
          <cell r="H6312">
            <v>1</v>
          </cell>
          <cell r="I6312">
            <v>0</v>
          </cell>
          <cell r="J6312">
            <v>1</v>
          </cell>
          <cell r="K6312">
            <v>0</v>
          </cell>
          <cell r="L6312">
            <v>0</v>
          </cell>
          <cell r="M6312">
            <v>0</v>
          </cell>
          <cell r="N6312">
            <v>0</v>
          </cell>
          <cell r="O6312" t="str">
            <v>June 15 2019</v>
          </cell>
          <cell r="P6312">
            <v>0</v>
          </cell>
          <cell r="Q6312">
            <v>0</v>
          </cell>
          <cell r="R6312">
            <v>0</v>
          </cell>
          <cell r="S6312">
            <v>0</v>
          </cell>
          <cell r="T6312">
            <v>0</v>
          </cell>
          <cell r="U6312">
            <v>0</v>
          </cell>
          <cell r="V6312">
            <v>1</v>
          </cell>
          <cell r="W6312">
            <v>0</v>
          </cell>
          <cell r="X6312">
            <v>0</v>
          </cell>
          <cell r="Y6312">
            <v>0</v>
          </cell>
        </row>
        <row r="6313">
          <cell r="D6313">
            <v>304877</v>
          </cell>
          <cell r="E6313" t="str">
            <v>Carrascal National High School</v>
          </cell>
          <cell r="F6313">
            <v>1</v>
          </cell>
          <cell r="G6313">
            <v>1</v>
          </cell>
          <cell r="H6313">
            <v>1</v>
          </cell>
          <cell r="I6313">
            <v>0</v>
          </cell>
          <cell r="J6313">
            <v>1</v>
          </cell>
          <cell r="K6313">
            <v>0</v>
          </cell>
          <cell r="L6313">
            <v>0</v>
          </cell>
          <cell r="M6313">
            <v>0</v>
          </cell>
          <cell r="N6313">
            <v>0</v>
          </cell>
          <cell r="O6313">
            <v>0</v>
          </cell>
          <cell r="P6313">
            <v>0</v>
          </cell>
          <cell r="Q6313">
            <v>0</v>
          </cell>
          <cell r="R6313">
            <v>0</v>
          </cell>
          <cell r="S6313">
            <v>0</v>
          </cell>
          <cell r="T6313">
            <v>1</v>
          </cell>
          <cell r="U6313" t="str">
            <v>if there is a report</v>
          </cell>
          <cell r="V6313">
            <v>1</v>
          </cell>
          <cell r="W6313">
            <v>0</v>
          </cell>
          <cell r="X6313">
            <v>0</v>
          </cell>
          <cell r="Y6313">
            <v>0</v>
          </cell>
        </row>
        <row r="6314">
          <cell r="D6314">
            <v>317921</v>
          </cell>
          <cell r="E6314" t="str">
            <v>Wakat National High School</v>
          </cell>
          <cell r="F6314">
            <v>1</v>
          </cell>
          <cell r="G6314">
            <v>0</v>
          </cell>
          <cell r="H6314">
            <v>1</v>
          </cell>
          <cell r="I6314">
            <v>0</v>
          </cell>
          <cell r="J6314">
            <v>0</v>
          </cell>
          <cell r="K6314">
            <v>1</v>
          </cell>
          <cell r="L6314">
            <v>0</v>
          </cell>
          <cell r="M6314">
            <v>0</v>
          </cell>
          <cell r="N6314">
            <v>0</v>
          </cell>
          <cell r="O6314" t="str">
            <v>N/A</v>
          </cell>
          <cell r="P6314">
            <v>0</v>
          </cell>
          <cell r="Q6314">
            <v>0</v>
          </cell>
          <cell r="R6314">
            <v>0</v>
          </cell>
          <cell r="S6314">
            <v>0</v>
          </cell>
          <cell r="T6314">
            <v>0</v>
          </cell>
          <cell r="U6314">
            <v>0</v>
          </cell>
          <cell r="V6314">
            <v>0</v>
          </cell>
          <cell r="W6314">
            <v>0</v>
          </cell>
          <cell r="X6314">
            <v>0</v>
          </cell>
          <cell r="Y6314">
            <v>0</v>
          </cell>
        </row>
        <row r="6315">
          <cell r="D6315">
            <v>500322</v>
          </cell>
          <cell r="E6315" t="str">
            <v>Bangsud Integrated Secondary School</v>
          </cell>
          <cell r="F6315">
            <v>1</v>
          </cell>
          <cell r="G6315">
            <v>1</v>
          </cell>
          <cell r="H6315">
            <v>0</v>
          </cell>
          <cell r="I6315">
            <v>0</v>
          </cell>
          <cell r="J6315">
            <v>0</v>
          </cell>
          <cell r="K6315">
            <v>1</v>
          </cell>
          <cell r="L6315">
            <v>0</v>
          </cell>
          <cell r="M6315">
            <v>0</v>
          </cell>
          <cell r="N6315">
            <v>0</v>
          </cell>
          <cell r="O6315">
            <v>0</v>
          </cell>
          <cell r="P6315">
            <v>0</v>
          </cell>
          <cell r="Q6315">
            <v>0</v>
          </cell>
          <cell r="R6315">
            <v>0</v>
          </cell>
          <cell r="S6315">
            <v>1</v>
          </cell>
          <cell r="T6315">
            <v>0</v>
          </cell>
          <cell r="U6315">
            <v>0</v>
          </cell>
          <cell r="V6315">
            <v>0</v>
          </cell>
          <cell r="W6315">
            <v>0</v>
          </cell>
          <cell r="X6315">
            <v>0</v>
          </cell>
          <cell r="Y6315">
            <v>0</v>
          </cell>
        </row>
        <row r="6316">
          <cell r="D6316">
            <v>500571</v>
          </cell>
          <cell r="E6316" t="str">
            <v>Pakwan Elementary School</v>
          </cell>
          <cell r="F6316">
            <v>1</v>
          </cell>
          <cell r="G6316">
            <v>1</v>
          </cell>
          <cell r="H6316">
            <v>1</v>
          </cell>
          <cell r="I6316">
            <v>1</v>
          </cell>
          <cell r="J6316">
            <v>0</v>
          </cell>
          <cell r="K6316">
            <v>0</v>
          </cell>
          <cell r="L6316">
            <v>0</v>
          </cell>
          <cell r="M6316">
            <v>0</v>
          </cell>
          <cell r="N6316">
            <v>1</v>
          </cell>
          <cell r="O6316" t="str">
            <v>June 7, 2019</v>
          </cell>
          <cell r="P6316" t="str">
            <v>n/a</v>
          </cell>
          <cell r="Q6316">
            <v>0</v>
          </cell>
          <cell r="R6316">
            <v>0</v>
          </cell>
          <cell r="S6316">
            <v>0</v>
          </cell>
          <cell r="T6316">
            <v>1</v>
          </cell>
          <cell r="U6316" t="str">
            <v>n/a</v>
          </cell>
          <cell r="V6316">
            <v>0</v>
          </cell>
          <cell r="W6316">
            <v>0</v>
          </cell>
          <cell r="X6316">
            <v>0</v>
          </cell>
          <cell r="Y6316">
            <v>0</v>
          </cell>
        </row>
        <row r="6317">
          <cell r="D6317">
            <v>304872</v>
          </cell>
          <cell r="E6317" t="str">
            <v>Burgos National High School</v>
          </cell>
          <cell r="F6317">
            <v>0</v>
          </cell>
          <cell r="G6317">
            <v>0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0</v>
          </cell>
          <cell r="M6317">
            <v>0</v>
          </cell>
          <cell r="N6317">
            <v>0</v>
          </cell>
          <cell r="O6317" t="str">
            <v>n/a</v>
          </cell>
          <cell r="P6317" t="str">
            <v>n/a</v>
          </cell>
          <cell r="Q6317">
            <v>0</v>
          </cell>
          <cell r="R6317">
            <v>0</v>
          </cell>
          <cell r="S6317">
            <v>0</v>
          </cell>
          <cell r="T6317">
            <v>0</v>
          </cell>
          <cell r="U6317">
            <v>0</v>
          </cell>
          <cell r="V6317">
            <v>0</v>
          </cell>
          <cell r="W6317">
            <v>0</v>
          </cell>
          <cell r="X6317">
            <v>0</v>
          </cell>
          <cell r="Y6317">
            <v>0</v>
          </cell>
        </row>
        <row r="6318">
          <cell r="D6318">
            <v>500320</v>
          </cell>
          <cell r="E6318" t="str">
            <v>Nurcia Elementary School</v>
          </cell>
          <cell r="F6318">
            <v>0</v>
          </cell>
          <cell r="G6318">
            <v>0</v>
          </cell>
          <cell r="H6318">
            <v>0</v>
          </cell>
          <cell r="I6318">
            <v>0</v>
          </cell>
          <cell r="J6318">
            <v>0</v>
          </cell>
          <cell r="K6318">
            <v>1</v>
          </cell>
          <cell r="L6318">
            <v>0</v>
          </cell>
          <cell r="M6318">
            <v>0</v>
          </cell>
          <cell r="N6318">
            <v>1</v>
          </cell>
          <cell r="O6318">
            <v>43291</v>
          </cell>
          <cell r="P6318" t="str">
            <v>None</v>
          </cell>
          <cell r="Q6318">
            <v>0</v>
          </cell>
          <cell r="R6318">
            <v>0</v>
          </cell>
          <cell r="S6318">
            <v>1</v>
          </cell>
          <cell r="T6318">
            <v>0</v>
          </cell>
          <cell r="U6318">
            <v>0</v>
          </cell>
          <cell r="V6318">
            <v>1</v>
          </cell>
          <cell r="W6318">
            <v>0</v>
          </cell>
          <cell r="X6318">
            <v>0</v>
          </cell>
          <cell r="Y6318">
            <v>0</v>
          </cell>
        </row>
        <row r="6319">
          <cell r="D6319">
            <v>304887</v>
          </cell>
          <cell r="E6319" t="str">
            <v>Tigao National High School</v>
          </cell>
          <cell r="F6319">
            <v>1</v>
          </cell>
          <cell r="G6319">
            <v>1</v>
          </cell>
          <cell r="H6319">
            <v>1</v>
          </cell>
          <cell r="I6319">
            <v>0</v>
          </cell>
          <cell r="J6319">
            <v>1</v>
          </cell>
          <cell r="K6319">
            <v>0</v>
          </cell>
          <cell r="L6319">
            <v>0</v>
          </cell>
          <cell r="M6319">
            <v>0</v>
          </cell>
          <cell r="N6319">
            <v>1</v>
          </cell>
          <cell r="O6319">
            <v>43678</v>
          </cell>
          <cell r="P6319" t="str">
            <v>10/28/2019</v>
          </cell>
          <cell r="Q6319">
            <v>1</v>
          </cell>
          <cell r="R6319">
            <v>0</v>
          </cell>
          <cell r="S6319">
            <v>0</v>
          </cell>
          <cell r="T6319">
            <v>0</v>
          </cell>
          <cell r="U6319">
            <v>0</v>
          </cell>
          <cell r="V6319">
            <v>1</v>
          </cell>
          <cell r="W6319">
            <v>2</v>
          </cell>
          <cell r="X6319">
            <v>1</v>
          </cell>
          <cell r="Y6319">
            <v>0</v>
          </cell>
        </row>
        <row r="6320">
          <cell r="D6320">
            <v>500580</v>
          </cell>
          <cell r="E6320" t="str">
            <v>Osmeña Integrated School</v>
          </cell>
          <cell r="F6320">
            <v>1</v>
          </cell>
          <cell r="G6320">
            <v>1</v>
          </cell>
          <cell r="H6320">
            <v>1</v>
          </cell>
          <cell r="I6320">
            <v>0</v>
          </cell>
          <cell r="J6320">
            <v>1</v>
          </cell>
          <cell r="K6320">
            <v>0</v>
          </cell>
          <cell r="L6320">
            <v>0</v>
          </cell>
          <cell r="M6320">
            <v>0</v>
          </cell>
          <cell r="N6320">
            <v>0</v>
          </cell>
          <cell r="O6320">
            <v>0</v>
          </cell>
          <cell r="P6320">
            <v>0</v>
          </cell>
          <cell r="Q6320">
            <v>0</v>
          </cell>
          <cell r="R6320">
            <v>0</v>
          </cell>
          <cell r="S6320">
            <v>0</v>
          </cell>
          <cell r="T6320">
            <v>1</v>
          </cell>
          <cell r="U6320">
            <v>0</v>
          </cell>
          <cell r="V6320">
            <v>0</v>
          </cell>
          <cell r="W6320">
            <v>0</v>
          </cell>
          <cell r="X6320">
            <v>0</v>
          </cell>
          <cell r="Y6320">
            <v>0</v>
          </cell>
        </row>
        <row r="6321">
          <cell r="D6321">
            <v>304859</v>
          </cell>
          <cell r="E6321" t="str">
            <v>Lianga National Comprehensive National High School</v>
          </cell>
          <cell r="F6321">
            <v>0</v>
          </cell>
          <cell r="G6321">
            <v>1</v>
          </cell>
          <cell r="H6321">
            <v>1</v>
          </cell>
          <cell r="I6321">
            <v>0</v>
          </cell>
          <cell r="J6321">
            <v>0</v>
          </cell>
          <cell r="K6321">
            <v>1</v>
          </cell>
          <cell r="L6321">
            <v>0</v>
          </cell>
          <cell r="M6321">
            <v>0</v>
          </cell>
          <cell r="N6321">
            <v>1</v>
          </cell>
          <cell r="O6321" t="str">
            <v>11/15/2019</v>
          </cell>
          <cell r="P6321" t="str">
            <v>11/15/2019</v>
          </cell>
          <cell r="Q6321">
            <v>0</v>
          </cell>
          <cell r="R6321">
            <v>1</v>
          </cell>
          <cell r="S6321">
            <v>0</v>
          </cell>
          <cell r="T6321">
            <v>0</v>
          </cell>
          <cell r="U6321">
            <v>0</v>
          </cell>
          <cell r="V6321">
            <v>1</v>
          </cell>
          <cell r="W6321">
            <v>0</v>
          </cell>
          <cell r="X6321">
            <v>0</v>
          </cell>
          <cell r="Y6321">
            <v>0</v>
          </cell>
        </row>
        <row r="6322">
          <cell r="D6322">
            <v>304895</v>
          </cell>
          <cell r="E6322" t="str">
            <v>Lingig National High School</v>
          </cell>
          <cell r="F6322">
            <v>1</v>
          </cell>
          <cell r="G6322">
            <v>1</v>
          </cell>
          <cell r="H6322">
            <v>1</v>
          </cell>
          <cell r="I6322">
            <v>1</v>
          </cell>
          <cell r="J6322">
            <v>0</v>
          </cell>
          <cell r="K6322">
            <v>0</v>
          </cell>
          <cell r="L6322">
            <v>0</v>
          </cell>
          <cell r="M6322">
            <v>0</v>
          </cell>
          <cell r="N6322">
            <v>1</v>
          </cell>
          <cell r="O6322" t="str">
            <v>Nov. 8, 2019</v>
          </cell>
          <cell r="P6322">
            <v>0</v>
          </cell>
          <cell r="Q6322">
            <v>0</v>
          </cell>
          <cell r="R6322">
            <v>0</v>
          </cell>
          <cell r="S6322">
            <v>0</v>
          </cell>
          <cell r="T6322">
            <v>0</v>
          </cell>
          <cell r="U6322">
            <v>0</v>
          </cell>
          <cell r="V6322">
            <v>0</v>
          </cell>
          <cell r="W6322">
            <v>0</v>
          </cell>
          <cell r="X6322">
            <v>0</v>
          </cell>
          <cell r="Y6322">
            <v>0</v>
          </cell>
        </row>
        <row r="6323">
          <cell r="D6323">
            <v>304861</v>
          </cell>
          <cell r="E6323" t="str">
            <v>Barobo National High School</v>
          </cell>
          <cell r="F6323">
            <v>1</v>
          </cell>
          <cell r="G6323">
            <v>0</v>
          </cell>
          <cell r="H6323">
            <v>1</v>
          </cell>
          <cell r="I6323">
            <v>0</v>
          </cell>
          <cell r="J6323">
            <v>1</v>
          </cell>
          <cell r="K6323">
            <v>0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0</v>
          </cell>
          <cell r="Q6323">
            <v>0</v>
          </cell>
          <cell r="R6323">
            <v>1</v>
          </cell>
          <cell r="S6323">
            <v>0</v>
          </cell>
          <cell r="T6323">
            <v>0</v>
          </cell>
          <cell r="U6323">
            <v>0</v>
          </cell>
          <cell r="V6323">
            <v>0</v>
          </cell>
          <cell r="W6323">
            <v>0</v>
          </cell>
          <cell r="X6323">
            <v>0</v>
          </cell>
          <cell r="Y6323">
            <v>0</v>
          </cell>
        </row>
        <row r="6324">
          <cell r="D6324">
            <v>500572</v>
          </cell>
          <cell r="E6324" t="str">
            <v>Bingcongan Elementary School</v>
          </cell>
          <cell r="F6324">
            <v>1</v>
          </cell>
          <cell r="G6324">
            <v>1</v>
          </cell>
          <cell r="H6324">
            <v>1</v>
          </cell>
          <cell r="I6324">
            <v>0</v>
          </cell>
          <cell r="J6324">
            <v>1</v>
          </cell>
          <cell r="K6324">
            <v>0</v>
          </cell>
          <cell r="L6324">
            <v>0</v>
          </cell>
          <cell r="M6324">
            <v>0</v>
          </cell>
          <cell r="N6324">
            <v>1</v>
          </cell>
          <cell r="O6324">
            <v>0</v>
          </cell>
          <cell r="P6324">
            <v>0</v>
          </cell>
          <cell r="Q6324">
            <v>0</v>
          </cell>
          <cell r="R6324">
            <v>1</v>
          </cell>
          <cell r="S6324">
            <v>0</v>
          </cell>
          <cell r="T6324">
            <v>0</v>
          </cell>
          <cell r="U6324">
            <v>0</v>
          </cell>
          <cell r="V6324">
            <v>1</v>
          </cell>
          <cell r="W6324">
            <v>0</v>
          </cell>
          <cell r="X6324">
            <v>0</v>
          </cell>
          <cell r="Y6324">
            <v>0</v>
          </cell>
        </row>
        <row r="6325">
          <cell r="D6325">
            <v>317940</v>
          </cell>
          <cell r="E6325" t="str">
            <v>Cambatong National High School</v>
          </cell>
          <cell r="F6325">
            <v>1</v>
          </cell>
          <cell r="G6325">
            <v>1</v>
          </cell>
          <cell r="H6325">
            <v>1</v>
          </cell>
          <cell r="I6325">
            <v>0</v>
          </cell>
          <cell r="J6325">
            <v>0</v>
          </cell>
          <cell r="K6325">
            <v>0</v>
          </cell>
          <cell r="L6325">
            <v>0</v>
          </cell>
          <cell r="M6325">
            <v>0</v>
          </cell>
          <cell r="N6325">
            <v>1</v>
          </cell>
          <cell r="O6325">
            <v>43761</v>
          </cell>
          <cell r="P6325" t="str">
            <v>none</v>
          </cell>
          <cell r="Q6325">
            <v>0</v>
          </cell>
          <cell r="R6325">
            <v>1</v>
          </cell>
          <cell r="S6325">
            <v>0</v>
          </cell>
          <cell r="T6325">
            <v>0</v>
          </cell>
          <cell r="U6325">
            <v>0</v>
          </cell>
          <cell r="V6325">
            <v>0</v>
          </cell>
          <cell r="W6325">
            <v>2</v>
          </cell>
          <cell r="X6325">
            <v>0</v>
          </cell>
          <cell r="Y6325">
            <v>0</v>
          </cell>
        </row>
        <row r="6326">
          <cell r="D6326">
            <v>304890</v>
          </cell>
          <cell r="E6326" t="str">
            <v>Hinatuan National Comprehensive High School</v>
          </cell>
          <cell r="F6326">
            <v>1</v>
          </cell>
          <cell r="G6326">
            <v>1</v>
          </cell>
          <cell r="H6326">
            <v>1</v>
          </cell>
          <cell r="I6326">
            <v>0</v>
          </cell>
          <cell r="J6326">
            <v>1</v>
          </cell>
          <cell r="K6326">
            <v>0</v>
          </cell>
          <cell r="L6326">
            <v>0</v>
          </cell>
          <cell r="M6326">
            <v>0</v>
          </cell>
          <cell r="N6326">
            <v>0</v>
          </cell>
          <cell r="O6326">
            <v>0</v>
          </cell>
          <cell r="P6326" t="str">
            <v>data not available</v>
          </cell>
          <cell r="Q6326">
            <v>0</v>
          </cell>
          <cell r="R6326">
            <v>0</v>
          </cell>
          <cell r="S6326">
            <v>0</v>
          </cell>
          <cell r="T6326">
            <v>1</v>
          </cell>
          <cell r="U6326">
            <v>0</v>
          </cell>
          <cell r="V6326">
            <v>0</v>
          </cell>
          <cell r="W6326">
            <v>0</v>
          </cell>
          <cell r="X6326">
            <v>0</v>
          </cell>
          <cell r="Y6326">
            <v>0</v>
          </cell>
        </row>
        <row r="6327">
          <cell r="D6327">
            <v>500577</v>
          </cell>
          <cell r="E6327" t="str">
            <v>Baculin Elementary School</v>
          </cell>
          <cell r="F6327">
            <v>1</v>
          </cell>
          <cell r="G6327">
            <v>1</v>
          </cell>
          <cell r="H6327">
            <v>1</v>
          </cell>
          <cell r="I6327">
            <v>0</v>
          </cell>
          <cell r="J6327">
            <v>1</v>
          </cell>
          <cell r="K6327">
            <v>0</v>
          </cell>
          <cell r="L6327">
            <v>0</v>
          </cell>
          <cell r="M6327">
            <v>0</v>
          </cell>
          <cell r="N6327">
            <v>1</v>
          </cell>
          <cell r="O6327">
            <v>43783</v>
          </cell>
          <cell r="P6327">
            <v>43783</v>
          </cell>
          <cell r="Q6327">
            <v>0</v>
          </cell>
          <cell r="R6327">
            <v>1</v>
          </cell>
          <cell r="S6327">
            <v>0</v>
          </cell>
          <cell r="T6327">
            <v>0</v>
          </cell>
          <cell r="U6327">
            <v>0</v>
          </cell>
          <cell r="V6327">
            <v>1</v>
          </cell>
          <cell r="W6327">
            <v>1</v>
          </cell>
          <cell r="X6327">
            <v>1</v>
          </cell>
          <cell r="Y6327">
            <v>0</v>
          </cell>
        </row>
        <row r="6328">
          <cell r="D6328">
            <v>304900</v>
          </cell>
          <cell r="E6328" t="str">
            <v>Panikian National High School</v>
          </cell>
          <cell r="F6328">
            <v>1</v>
          </cell>
          <cell r="G6328">
            <v>0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0</v>
          </cell>
          <cell r="M6328">
            <v>0</v>
          </cell>
          <cell r="N6328">
            <v>0</v>
          </cell>
          <cell r="O6328">
            <v>0</v>
          </cell>
          <cell r="P6328">
            <v>0</v>
          </cell>
          <cell r="Q6328">
            <v>0</v>
          </cell>
          <cell r="R6328">
            <v>0</v>
          </cell>
          <cell r="S6328">
            <v>0</v>
          </cell>
          <cell r="T6328">
            <v>0</v>
          </cell>
          <cell r="U6328">
            <v>0</v>
          </cell>
          <cell r="V6328">
            <v>0</v>
          </cell>
          <cell r="W6328">
            <v>0</v>
          </cell>
          <cell r="X6328">
            <v>0</v>
          </cell>
          <cell r="Y6328">
            <v>0</v>
          </cell>
        </row>
        <row r="6329">
          <cell r="D6329">
            <v>304901</v>
          </cell>
          <cell r="E6329" t="str">
            <v>Parang National High School</v>
          </cell>
          <cell r="F6329">
            <v>1</v>
          </cell>
          <cell r="G6329">
            <v>0</v>
          </cell>
          <cell r="H6329">
            <v>1</v>
          </cell>
          <cell r="I6329">
            <v>0</v>
          </cell>
          <cell r="J6329">
            <v>0</v>
          </cell>
          <cell r="K6329">
            <v>1</v>
          </cell>
          <cell r="L6329">
            <v>0</v>
          </cell>
          <cell r="M6329">
            <v>0</v>
          </cell>
          <cell r="N6329">
            <v>0</v>
          </cell>
          <cell r="O6329">
            <v>0</v>
          </cell>
          <cell r="P6329">
            <v>0</v>
          </cell>
          <cell r="Q6329">
            <v>0</v>
          </cell>
          <cell r="R6329">
            <v>0</v>
          </cell>
          <cell r="S6329">
            <v>0</v>
          </cell>
          <cell r="T6329">
            <v>0</v>
          </cell>
          <cell r="U6329">
            <v>0</v>
          </cell>
          <cell r="V6329">
            <v>0</v>
          </cell>
          <cell r="W6329">
            <v>0</v>
          </cell>
          <cell r="X6329">
            <v>0</v>
          </cell>
          <cell r="Y6329">
            <v>0</v>
          </cell>
        </row>
        <row r="6330">
          <cell r="D6330">
            <v>304903</v>
          </cell>
          <cell r="E6330" t="str">
            <v>Purisima National High School</v>
          </cell>
          <cell r="F6330">
            <v>1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  <cell r="R6330">
            <v>0</v>
          </cell>
          <cell r="S6330">
            <v>0</v>
          </cell>
          <cell r="T6330">
            <v>0</v>
          </cell>
          <cell r="U6330">
            <v>0</v>
          </cell>
          <cell r="V6330">
            <v>0</v>
          </cell>
          <cell r="W6330">
            <v>0</v>
          </cell>
          <cell r="X6330">
            <v>0</v>
          </cell>
          <cell r="Y6330">
            <v>0</v>
          </cell>
        </row>
        <row r="6331">
          <cell r="D6331">
            <v>304907</v>
          </cell>
          <cell r="E6331" t="str">
            <v>Sagbayan National High School</v>
          </cell>
          <cell r="F6331">
            <v>1</v>
          </cell>
          <cell r="G6331">
            <v>0</v>
          </cell>
          <cell r="H6331">
            <v>1</v>
          </cell>
          <cell r="I6331">
            <v>0</v>
          </cell>
          <cell r="J6331">
            <v>0</v>
          </cell>
          <cell r="K6331">
            <v>0</v>
          </cell>
          <cell r="L6331">
            <v>1</v>
          </cell>
          <cell r="M6331" t="str">
            <v>as needed</v>
          </cell>
          <cell r="N6331">
            <v>1</v>
          </cell>
          <cell r="O6331" t="str">
            <v>June 24, 2019</v>
          </cell>
          <cell r="P6331">
            <v>0</v>
          </cell>
          <cell r="Q6331">
            <v>0</v>
          </cell>
          <cell r="R6331">
            <v>1</v>
          </cell>
          <cell r="S6331">
            <v>0</v>
          </cell>
          <cell r="T6331">
            <v>0</v>
          </cell>
          <cell r="U6331">
            <v>0</v>
          </cell>
          <cell r="V6331">
            <v>1</v>
          </cell>
          <cell r="W6331">
            <v>0</v>
          </cell>
          <cell r="X6331">
            <v>0</v>
          </cell>
          <cell r="Y6331">
            <v>0</v>
          </cell>
        </row>
        <row r="6332">
          <cell r="D6332">
            <v>304863</v>
          </cell>
          <cell r="E6332" t="str">
            <v>Javier National High School</v>
          </cell>
          <cell r="F6332">
            <v>1</v>
          </cell>
          <cell r="G6332">
            <v>1</v>
          </cell>
          <cell r="H6332">
            <v>1</v>
          </cell>
          <cell r="I6332">
            <v>0</v>
          </cell>
          <cell r="J6332">
            <v>0</v>
          </cell>
          <cell r="K6332">
            <v>1</v>
          </cell>
          <cell r="L6332">
            <v>0</v>
          </cell>
          <cell r="M6332">
            <v>0</v>
          </cell>
          <cell r="N6332">
            <v>1</v>
          </cell>
          <cell r="O6332">
            <v>0</v>
          </cell>
          <cell r="P6332" t="str">
            <v>08/23/2019</v>
          </cell>
          <cell r="Q6332">
            <v>0</v>
          </cell>
          <cell r="R6332">
            <v>1</v>
          </cell>
          <cell r="S6332">
            <v>0</v>
          </cell>
          <cell r="T6332">
            <v>0</v>
          </cell>
          <cell r="U6332">
            <v>0</v>
          </cell>
          <cell r="V6332">
            <v>1</v>
          </cell>
          <cell r="W6332">
            <v>0</v>
          </cell>
          <cell r="X6332">
            <v>0</v>
          </cell>
          <cell r="Y6332">
            <v>0</v>
          </cell>
        </row>
        <row r="6333">
          <cell r="D6333">
            <v>500574</v>
          </cell>
          <cell r="E6333" t="str">
            <v>Cabangahan Integrated Secondary School</v>
          </cell>
          <cell r="F6333">
            <v>1</v>
          </cell>
          <cell r="G6333">
            <v>0</v>
          </cell>
          <cell r="H6333">
            <v>1</v>
          </cell>
          <cell r="I6333">
            <v>0</v>
          </cell>
          <cell r="J6333">
            <v>0</v>
          </cell>
          <cell r="K6333">
            <v>0</v>
          </cell>
          <cell r="L6333">
            <v>0</v>
          </cell>
          <cell r="M6333">
            <v>0</v>
          </cell>
          <cell r="N6333">
            <v>0</v>
          </cell>
          <cell r="O6333">
            <v>0</v>
          </cell>
          <cell r="P6333">
            <v>0</v>
          </cell>
          <cell r="Q6333">
            <v>0</v>
          </cell>
          <cell r="R6333">
            <v>0</v>
          </cell>
          <cell r="S6333">
            <v>0</v>
          </cell>
          <cell r="T6333">
            <v>0</v>
          </cell>
          <cell r="U6333">
            <v>0</v>
          </cell>
          <cell r="V6333">
            <v>0</v>
          </cell>
          <cell r="W6333">
            <v>0</v>
          </cell>
          <cell r="X6333">
            <v>0</v>
          </cell>
          <cell r="Y6333">
            <v>0</v>
          </cell>
        </row>
        <row r="6334">
          <cell r="D6334">
            <v>304899</v>
          </cell>
          <cell r="E6334" t="str">
            <v>Antipolo National High School</v>
          </cell>
          <cell r="F6334">
            <v>0</v>
          </cell>
          <cell r="G6334">
            <v>0</v>
          </cell>
          <cell r="H6334">
            <v>0</v>
          </cell>
          <cell r="I6334">
            <v>0</v>
          </cell>
          <cell r="J6334">
            <v>1</v>
          </cell>
          <cell r="K6334">
            <v>0</v>
          </cell>
          <cell r="L6334">
            <v>0</v>
          </cell>
          <cell r="M6334">
            <v>0</v>
          </cell>
          <cell r="N6334">
            <v>0</v>
          </cell>
          <cell r="O6334">
            <v>0</v>
          </cell>
          <cell r="P6334">
            <v>0</v>
          </cell>
          <cell r="Q6334">
            <v>0</v>
          </cell>
          <cell r="R6334">
            <v>1</v>
          </cell>
          <cell r="S6334">
            <v>0</v>
          </cell>
          <cell r="T6334">
            <v>0</v>
          </cell>
          <cell r="U6334">
            <v>0</v>
          </cell>
          <cell r="V6334">
            <v>1</v>
          </cell>
          <cell r="W6334">
            <v>0</v>
          </cell>
          <cell r="X6334">
            <v>0</v>
          </cell>
          <cell r="Y6334">
            <v>0</v>
          </cell>
        </row>
        <row r="6335">
          <cell r="D6335">
            <v>304897</v>
          </cell>
          <cell r="E6335" t="str">
            <v>Madrid National High School</v>
          </cell>
          <cell r="F6335">
            <v>1</v>
          </cell>
          <cell r="G6335">
            <v>1</v>
          </cell>
          <cell r="H6335">
            <v>0</v>
          </cell>
          <cell r="I6335">
            <v>0</v>
          </cell>
          <cell r="J6335">
            <v>0</v>
          </cell>
          <cell r="K6335">
            <v>1</v>
          </cell>
          <cell r="L6335">
            <v>0</v>
          </cell>
          <cell r="M6335">
            <v>0</v>
          </cell>
          <cell r="N6335">
            <v>0</v>
          </cell>
          <cell r="O6335">
            <v>0</v>
          </cell>
          <cell r="P6335">
            <v>0</v>
          </cell>
          <cell r="Q6335">
            <v>0</v>
          </cell>
          <cell r="R6335">
            <v>0</v>
          </cell>
          <cell r="S6335">
            <v>0</v>
          </cell>
          <cell r="T6335">
            <v>1</v>
          </cell>
          <cell r="U6335">
            <v>43678</v>
          </cell>
          <cell r="V6335">
            <v>1</v>
          </cell>
          <cell r="W6335">
            <v>0</v>
          </cell>
          <cell r="X6335">
            <v>0</v>
          </cell>
          <cell r="Y6335">
            <v>0</v>
          </cell>
        </row>
        <row r="6336">
          <cell r="D6336">
            <v>500581</v>
          </cell>
          <cell r="E6336" t="str">
            <v>Anibongan Elementary School</v>
          </cell>
          <cell r="F6336">
            <v>1</v>
          </cell>
          <cell r="G6336">
            <v>1</v>
          </cell>
          <cell r="H6336">
            <v>0</v>
          </cell>
          <cell r="I6336">
            <v>0</v>
          </cell>
          <cell r="J6336">
            <v>0</v>
          </cell>
          <cell r="K6336">
            <v>1</v>
          </cell>
          <cell r="L6336">
            <v>0</v>
          </cell>
          <cell r="M6336">
            <v>0</v>
          </cell>
          <cell r="N6336">
            <v>1</v>
          </cell>
          <cell r="O6336">
            <v>0</v>
          </cell>
          <cell r="P6336">
            <v>0</v>
          </cell>
          <cell r="Q6336">
            <v>0</v>
          </cell>
          <cell r="R6336">
            <v>0</v>
          </cell>
          <cell r="S6336">
            <v>1</v>
          </cell>
          <cell r="T6336">
            <v>0</v>
          </cell>
          <cell r="U6336">
            <v>0</v>
          </cell>
          <cell r="V6336">
            <v>1</v>
          </cell>
          <cell r="W6336">
            <v>0</v>
          </cell>
          <cell r="X6336">
            <v>0</v>
          </cell>
          <cell r="Y6336">
            <v>0</v>
          </cell>
        </row>
        <row r="6337">
          <cell r="D6337">
            <v>304862</v>
          </cell>
          <cell r="E6337" t="str">
            <v>Cabacungan National High School</v>
          </cell>
          <cell r="F6337">
            <v>1</v>
          </cell>
          <cell r="G6337">
            <v>1</v>
          </cell>
          <cell r="H6337">
            <v>1</v>
          </cell>
          <cell r="I6337">
            <v>0</v>
          </cell>
          <cell r="J6337">
            <v>1</v>
          </cell>
          <cell r="K6337">
            <v>0</v>
          </cell>
          <cell r="L6337">
            <v>0</v>
          </cell>
          <cell r="M6337">
            <v>0</v>
          </cell>
          <cell r="N6337">
            <v>1</v>
          </cell>
          <cell r="O6337">
            <v>43279</v>
          </cell>
          <cell r="P6337">
            <v>43773</v>
          </cell>
          <cell r="Q6337">
            <v>1</v>
          </cell>
          <cell r="R6337">
            <v>0</v>
          </cell>
          <cell r="S6337">
            <v>0</v>
          </cell>
          <cell r="T6337">
            <v>0</v>
          </cell>
          <cell r="U6337">
            <v>0</v>
          </cell>
          <cell r="V6337">
            <v>1</v>
          </cell>
          <cell r="W6337">
            <v>0</v>
          </cell>
          <cell r="X6337">
            <v>0</v>
          </cell>
          <cell r="Y6337">
            <v>0</v>
          </cell>
        </row>
        <row r="6338">
          <cell r="D6338">
            <v>500586</v>
          </cell>
          <cell r="E6338" t="str">
            <v>Jobar Elementary School</v>
          </cell>
          <cell r="F6338">
            <v>1</v>
          </cell>
          <cell r="G6338">
            <v>0</v>
          </cell>
          <cell r="H6338">
            <v>1</v>
          </cell>
          <cell r="I6338">
            <v>0</v>
          </cell>
          <cell r="J6338">
            <v>1</v>
          </cell>
          <cell r="K6338">
            <v>0</v>
          </cell>
          <cell r="L6338">
            <v>0</v>
          </cell>
          <cell r="M6338">
            <v>0</v>
          </cell>
          <cell r="N6338">
            <v>1</v>
          </cell>
          <cell r="O6338">
            <v>43739</v>
          </cell>
          <cell r="P6338">
            <v>43739</v>
          </cell>
          <cell r="Q6338">
            <v>0</v>
          </cell>
          <cell r="R6338">
            <v>1</v>
          </cell>
          <cell r="S6338">
            <v>0</v>
          </cell>
          <cell r="T6338">
            <v>0</v>
          </cell>
          <cell r="U6338">
            <v>0</v>
          </cell>
          <cell r="V6338">
            <v>1</v>
          </cell>
          <cell r="W6338">
            <v>0</v>
          </cell>
          <cell r="X6338">
            <v>0</v>
          </cell>
          <cell r="Y6338">
            <v>0</v>
          </cell>
        </row>
        <row r="6339">
          <cell r="D6339">
            <v>304923</v>
          </cell>
          <cell r="E6339" t="str">
            <v>Tidman National High School</v>
          </cell>
          <cell r="F6339">
            <v>1</v>
          </cell>
          <cell r="G6339">
            <v>1</v>
          </cell>
          <cell r="H6339">
            <v>1</v>
          </cell>
          <cell r="I6339">
            <v>0</v>
          </cell>
          <cell r="J6339">
            <v>1</v>
          </cell>
          <cell r="K6339">
            <v>0</v>
          </cell>
          <cell r="L6339">
            <v>0</v>
          </cell>
          <cell r="M6339">
            <v>0</v>
          </cell>
          <cell r="N6339">
            <v>1</v>
          </cell>
          <cell r="O6339" t="str">
            <v>July 11,2019</v>
          </cell>
          <cell r="P6339">
            <v>0</v>
          </cell>
          <cell r="Q6339">
            <v>0</v>
          </cell>
          <cell r="R6339">
            <v>1</v>
          </cell>
          <cell r="S6339">
            <v>0</v>
          </cell>
          <cell r="T6339">
            <v>0</v>
          </cell>
          <cell r="U6339">
            <v>0</v>
          </cell>
          <cell r="V6339">
            <v>1</v>
          </cell>
          <cell r="W6339">
            <v>2</v>
          </cell>
          <cell r="X6339">
            <v>0</v>
          </cell>
          <cell r="Y6339">
            <v>0</v>
          </cell>
        </row>
        <row r="6340">
          <cell r="D6340">
            <v>304921</v>
          </cell>
          <cell r="E6340" t="str">
            <v>Bigaan National High School</v>
          </cell>
          <cell r="F6340">
            <v>1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0</v>
          </cell>
          <cell r="M6340">
            <v>0</v>
          </cell>
          <cell r="N6340">
            <v>0</v>
          </cell>
          <cell r="O6340">
            <v>0</v>
          </cell>
          <cell r="P6340">
            <v>0</v>
          </cell>
          <cell r="Q6340">
            <v>0</v>
          </cell>
          <cell r="R6340">
            <v>0</v>
          </cell>
          <cell r="S6340">
            <v>0</v>
          </cell>
          <cell r="T6340">
            <v>0</v>
          </cell>
          <cell r="U6340">
            <v>0</v>
          </cell>
          <cell r="V6340">
            <v>0</v>
          </cell>
          <cell r="W6340">
            <v>0</v>
          </cell>
          <cell r="X6340">
            <v>0</v>
          </cell>
          <cell r="Y6340">
            <v>0</v>
          </cell>
        </row>
        <row r="6341">
          <cell r="D6341">
            <v>304886</v>
          </cell>
          <cell r="E6341" t="str">
            <v>Felisberto Verano National High School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1</v>
          </cell>
          <cell r="K6341">
            <v>1</v>
          </cell>
          <cell r="L6341">
            <v>0</v>
          </cell>
          <cell r="M6341">
            <v>0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  <cell r="R6341">
            <v>1</v>
          </cell>
          <cell r="S6341">
            <v>1</v>
          </cell>
          <cell r="T6341">
            <v>0</v>
          </cell>
          <cell r="U6341">
            <v>0</v>
          </cell>
          <cell r="V6341">
            <v>0</v>
          </cell>
          <cell r="W6341">
            <v>0</v>
          </cell>
          <cell r="X6341">
            <v>0</v>
          </cell>
          <cell r="Y6341">
            <v>0</v>
          </cell>
        </row>
        <row r="6342">
          <cell r="D6342">
            <v>500327</v>
          </cell>
          <cell r="E6342" t="str">
            <v>Rajah Cabungsuan Integrated School</v>
          </cell>
          <cell r="F6342">
            <v>1</v>
          </cell>
          <cell r="G6342">
            <v>0</v>
          </cell>
          <cell r="H6342">
            <v>1</v>
          </cell>
          <cell r="I6342">
            <v>0</v>
          </cell>
          <cell r="J6342">
            <v>0</v>
          </cell>
          <cell r="K6342">
            <v>1</v>
          </cell>
          <cell r="L6342">
            <v>0</v>
          </cell>
          <cell r="M6342">
            <v>0</v>
          </cell>
          <cell r="N6342">
            <v>1</v>
          </cell>
          <cell r="O6342" t="str">
            <v>June 5, 2019</v>
          </cell>
          <cell r="P6342" t="str">
            <v>JUNE 5, 2019</v>
          </cell>
          <cell r="Q6342">
            <v>0</v>
          </cell>
          <cell r="R6342">
            <v>0</v>
          </cell>
          <cell r="S6342">
            <v>1</v>
          </cell>
          <cell r="T6342">
            <v>0</v>
          </cell>
          <cell r="U6342">
            <v>0</v>
          </cell>
          <cell r="V6342">
            <v>1</v>
          </cell>
          <cell r="W6342">
            <v>0</v>
          </cell>
          <cell r="X6342">
            <v>0</v>
          </cell>
          <cell r="Y6342">
            <v>0</v>
          </cell>
        </row>
        <row r="6343">
          <cell r="D6343">
            <v>304883</v>
          </cell>
          <cell r="E6343" t="str">
            <v>Sta. Juana National High School</v>
          </cell>
          <cell r="F6343">
            <v>1</v>
          </cell>
          <cell r="G6343">
            <v>0</v>
          </cell>
          <cell r="H6343">
            <v>1</v>
          </cell>
          <cell r="I6343">
            <v>0</v>
          </cell>
          <cell r="J6343">
            <v>1</v>
          </cell>
          <cell r="K6343">
            <v>0</v>
          </cell>
          <cell r="L6343">
            <v>0</v>
          </cell>
          <cell r="M6343">
            <v>0</v>
          </cell>
          <cell r="N6343">
            <v>0</v>
          </cell>
          <cell r="O6343" t="str">
            <v>n/a</v>
          </cell>
          <cell r="P6343" t="str">
            <v>n/a</v>
          </cell>
          <cell r="Q6343">
            <v>0</v>
          </cell>
          <cell r="R6343">
            <v>0</v>
          </cell>
          <cell r="S6343">
            <v>0</v>
          </cell>
          <cell r="T6343">
            <v>1</v>
          </cell>
          <cell r="U6343" t="str">
            <v>n/a</v>
          </cell>
          <cell r="V6343">
            <v>0</v>
          </cell>
          <cell r="W6343">
            <v>0</v>
          </cell>
          <cell r="X6343">
            <v>0</v>
          </cell>
          <cell r="Y6343">
            <v>0</v>
          </cell>
        </row>
        <row r="6344">
          <cell r="D6344">
            <v>304860</v>
          </cell>
          <cell r="E6344" t="str">
            <v>Barcelona National High School</v>
          </cell>
          <cell r="F6344">
            <v>1</v>
          </cell>
          <cell r="G6344">
            <v>1</v>
          </cell>
          <cell r="H6344">
            <v>1</v>
          </cell>
          <cell r="I6344">
            <v>0</v>
          </cell>
          <cell r="J6344">
            <v>0</v>
          </cell>
          <cell r="K6344">
            <v>1</v>
          </cell>
          <cell r="L6344">
            <v>0</v>
          </cell>
          <cell r="M6344">
            <v>0</v>
          </cell>
          <cell r="N6344">
            <v>0</v>
          </cell>
          <cell r="O6344">
            <v>0</v>
          </cell>
          <cell r="P6344">
            <v>0</v>
          </cell>
          <cell r="Q6344">
            <v>0</v>
          </cell>
          <cell r="R6344">
            <v>0</v>
          </cell>
          <cell r="S6344">
            <v>0</v>
          </cell>
          <cell r="T6344">
            <v>0</v>
          </cell>
          <cell r="U6344">
            <v>0</v>
          </cell>
          <cell r="V6344">
            <v>0</v>
          </cell>
          <cell r="W6344">
            <v>0</v>
          </cell>
          <cell r="X6344">
            <v>0</v>
          </cell>
          <cell r="Y6344">
            <v>0</v>
          </cell>
        </row>
        <row r="6345">
          <cell r="D6345">
            <v>317928</v>
          </cell>
          <cell r="E6345" t="str">
            <v>Canico P. Iriberri National High School</v>
          </cell>
          <cell r="F6345">
            <v>1</v>
          </cell>
          <cell r="G6345">
            <v>0</v>
          </cell>
          <cell r="H6345">
            <v>1</v>
          </cell>
          <cell r="I6345">
            <v>0</v>
          </cell>
          <cell r="J6345">
            <v>0</v>
          </cell>
          <cell r="K6345">
            <v>1</v>
          </cell>
          <cell r="L6345">
            <v>0</v>
          </cell>
          <cell r="M6345">
            <v>0</v>
          </cell>
          <cell r="N6345">
            <v>0</v>
          </cell>
          <cell r="O6345">
            <v>0</v>
          </cell>
          <cell r="P6345">
            <v>0</v>
          </cell>
          <cell r="Q6345">
            <v>0</v>
          </cell>
          <cell r="R6345">
            <v>0</v>
          </cell>
          <cell r="S6345">
            <v>1</v>
          </cell>
          <cell r="T6345">
            <v>0</v>
          </cell>
          <cell r="U6345">
            <v>0</v>
          </cell>
          <cell r="V6345">
            <v>0</v>
          </cell>
          <cell r="W6345">
            <v>1</v>
          </cell>
          <cell r="X6345">
            <v>3</v>
          </cell>
          <cell r="Y6345">
            <v>0</v>
          </cell>
        </row>
        <row r="6346">
          <cell r="D6346">
            <v>304909</v>
          </cell>
          <cell r="E6346" t="str">
            <v>Solomon P. Lozada National High School</v>
          </cell>
          <cell r="F6346">
            <v>1</v>
          </cell>
          <cell r="G6346">
            <v>1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>
            <v>0</v>
          </cell>
          <cell r="M6346">
            <v>0</v>
          </cell>
          <cell r="N6346">
            <v>0</v>
          </cell>
          <cell r="O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>
            <v>0</v>
          </cell>
          <cell r="V6346">
            <v>0</v>
          </cell>
          <cell r="W6346">
            <v>0</v>
          </cell>
          <cell r="X6346">
            <v>0</v>
          </cell>
          <cell r="Y6346">
            <v>0</v>
          </cell>
        </row>
        <row r="6347">
          <cell r="D6347">
            <v>304879</v>
          </cell>
          <cell r="E6347" t="str">
            <v>Dante Luib Osano Maputi National High School</v>
          </cell>
          <cell r="F6347">
            <v>1</v>
          </cell>
          <cell r="G6347">
            <v>1</v>
          </cell>
          <cell r="H6347">
            <v>1</v>
          </cell>
          <cell r="I6347">
            <v>0</v>
          </cell>
          <cell r="J6347">
            <v>0</v>
          </cell>
          <cell r="K6347">
            <v>0</v>
          </cell>
          <cell r="L6347">
            <v>1</v>
          </cell>
          <cell r="M6347" t="str">
            <v>semestral</v>
          </cell>
          <cell r="N6347">
            <v>1</v>
          </cell>
          <cell r="O6347">
            <v>43755</v>
          </cell>
          <cell r="P6347">
            <v>43755</v>
          </cell>
          <cell r="Q6347">
            <v>0</v>
          </cell>
          <cell r="R6347">
            <v>0</v>
          </cell>
          <cell r="S6347">
            <v>0</v>
          </cell>
          <cell r="T6347">
            <v>1</v>
          </cell>
          <cell r="U6347" t="str">
            <v>semestral</v>
          </cell>
          <cell r="V6347">
            <v>1</v>
          </cell>
          <cell r="W6347">
            <v>1</v>
          </cell>
          <cell r="X6347">
            <v>0</v>
          </cell>
          <cell r="Y6347">
            <v>0</v>
          </cell>
        </row>
        <row r="6348">
          <cell r="D6348">
            <v>317906</v>
          </cell>
          <cell r="E6348" t="str">
            <v>Cresencio S. Lago National High School</v>
          </cell>
          <cell r="F6348">
            <v>1</v>
          </cell>
          <cell r="G6348">
            <v>1</v>
          </cell>
          <cell r="H6348">
            <v>1</v>
          </cell>
          <cell r="I6348">
            <v>0</v>
          </cell>
          <cell r="J6348">
            <v>0</v>
          </cell>
          <cell r="K6348">
            <v>1</v>
          </cell>
          <cell r="L6348">
            <v>0</v>
          </cell>
          <cell r="M6348">
            <v>0</v>
          </cell>
          <cell r="N6348">
            <v>0</v>
          </cell>
          <cell r="O6348">
            <v>0</v>
          </cell>
          <cell r="P6348">
            <v>43647</v>
          </cell>
          <cell r="Q6348">
            <v>1</v>
          </cell>
          <cell r="R6348">
            <v>0</v>
          </cell>
          <cell r="S6348">
            <v>0</v>
          </cell>
          <cell r="T6348">
            <v>0</v>
          </cell>
          <cell r="U6348">
            <v>0</v>
          </cell>
          <cell r="V6348">
            <v>1</v>
          </cell>
          <cell r="W6348">
            <v>0</v>
          </cell>
          <cell r="X6348">
            <v>0</v>
          </cell>
          <cell r="Y6348">
            <v>0</v>
          </cell>
        </row>
        <row r="6349">
          <cell r="D6349">
            <v>304873</v>
          </cell>
          <cell r="E6349" t="str">
            <v>Cantilan National High School</v>
          </cell>
          <cell r="F6349">
            <v>1</v>
          </cell>
          <cell r="G6349">
            <v>1</v>
          </cell>
          <cell r="H6349">
            <v>1</v>
          </cell>
          <cell r="I6349">
            <v>0</v>
          </cell>
          <cell r="J6349">
            <v>0</v>
          </cell>
          <cell r="K6349">
            <v>1</v>
          </cell>
          <cell r="L6349">
            <v>0</v>
          </cell>
          <cell r="M6349">
            <v>0</v>
          </cell>
          <cell r="N6349">
            <v>0</v>
          </cell>
          <cell r="O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1</v>
          </cell>
          <cell r="T6349">
            <v>0</v>
          </cell>
          <cell r="U6349">
            <v>0</v>
          </cell>
          <cell r="V6349">
            <v>0</v>
          </cell>
          <cell r="W6349">
            <v>0</v>
          </cell>
          <cell r="X6349">
            <v>0</v>
          </cell>
          <cell r="Y6349">
            <v>0</v>
          </cell>
        </row>
        <row r="6350">
          <cell r="D6350">
            <v>500326</v>
          </cell>
          <cell r="E6350" t="str">
            <v>Carpenito  Elementary  School</v>
          </cell>
          <cell r="F6350">
            <v>1</v>
          </cell>
          <cell r="G6350">
            <v>1</v>
          </cell>
          <cell r="H6350">
            <v>1</v>
          </cell>
          <cell r="I6350">
            <v>0</v>
          </cell>
          <cell r="J6350">
            <v>1</v>
          </cell>
          <cell r="K6350">
            <v>0</v>
          </cell>
          <cell r="L6350">
            <v>0</v>
          </cell>
          <cell r="M6350">
            <v>0</v>
          </cell>
          <cell r="N6350">
            <v>1</v>
          </cell>
          <cell r="O6350">
            <v>0</v>
          </cell>
          <cell r="P6350" t="str">
            <v>NONE</v>
          </cell>
          <cell r="Q6350">
            <v>0</v>
          </cell>
          <cell r="R6350">
            <v>1</v>
          </cell>
          <cell r="S6350">
            <v>0</v>
          </cell>
          <cell r="T6350">
            <v>0</v>
          </cell>
          <cell r="U6350">
            <v>0</v>
          </cell>
          <cell r="V6350">
            <v>1</v>
          </cell>
          <cell r="W6350">
            <v>0</v>
          </cell>
          <cell r="X6350">
            <v>0</v>
          </cell>
          <cell r="Y6350">
            <v>0</v>
          </cell>
        </row>
        <row r="6351">
          <cell r="D6351">
            <v>304902</v>
          </cell>
          <cell r="E6351" t="str">
            <v>Portlamon Pastor Uy National High School</v>
          </cell>
          <cell r="F6351">
            <v>0</v>
          </cell>
          <cell r="G6351">
            <v>0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0</v>
          </cell>
          <cell r="M6351">
            <v>0</v>
          </cell>
          <cell r="N6351">
            <v>0</v>
          </cell>
          <cell r="O6351">
            <v>0</v>
          </cell>
          <cell r="P6351">
            <v>0</v>
          </cell>
          <cell r="Q6351">
            <v>0</v>
          </cell>
          <cell r="R6351">
            <v>0</v>
          </cell>
          <cell r="S6351">
            <v>0</v>
          </cell>
          <cell r="T6351">
            <v>0</v>
          </cell>
          <cell r="U6351">
            <v>0</v>
          </cell>
          <cell r="V6351">
            <v>0</v>
          </cell>
          <cell r="W6351">
            <v>0</v>
          </cell>
          <cell r="X6351">
            <v>0</v>
          </cell>
          <cell r="Y6351">
            <v>0</v>
          </cell>
        </row>
        <row r="6352">
          <cell r="D6352">
            <v>304857</v>
          </cell>
          <cell r="E6352" t="str">
            <v>Adlay National High School</v>
          </cell>
          <cell r="F6352">
            <v>1</v>
          </cell>
          <cell r="G6352">
            <v>1</v>
          </cell>
          <cell r="H6352">
            <v>0</v>
          </cell>
          <cell r="I6352">
            <v>0</v>
          </cell>
          <cell r="J6352">
            <v>0</v>
          </cell>
          <cell r="K6352">
            <v>1</v>
          </cell>
          <cell r="L6352">
            <v>0</v>
          </cell>
          <cell r="M6352">
            <v>0</v>
          </cell>
          <cell r="N6352">
            <v>1</v>
          </cell>
          <cell r="O6352">
            <v>0</v>
          </cell>
          <cell r="P6352">
            <v>0</v>
          </cell>
          <cell r="Q6352">
            <v>0</v>
          </cell>
          <cell r="R6352">
            <v>0</v>
          </cell>
          <cell r="S6352">
            <v>1</v>
          </cell>
          <cell r="T6352">
            <v>0</v>
          </cell>
          <cell r="U6352">
            <v>0</v>
          </cell>
          <cell r="V6352">
            <v>1</v>
          </cell>
          <cell r="W6352">
            <v>0</v>
          </cell>
          <cell r="X6352">
            <v>0</v>
          </cell>
          <cell r="Y6352">
            <v>0</v>
          </cell>
        </row>
        <row r="6353">
          <cell r="D6353">
            <v>304866</v>
          </cell>
          <cell r="E6353" t="str">
            <v>Maharlika NHS</v>
          </cell>
          <cell r="F6353">
            <v>1</v>
          </cell>
          <cell r="G6353">
            <v>1</v>
          </cell>
          <cell r="H6353">
            <v>1</v>
          </cell>
          <cell r="I6353">
            <v>0</v>
          </cell>
          <cell r="J6353">
            <v>1</v>
          </cell>
          <cell r="K6353">
            <v>0</v>
          </cell>
          <cell r="L6353">
            <v>0</v>
          </cell>
          <cell r="M6353">
            <v>0</v>
          </cell>
          <cell r="N6353">
            <v>1</v>
          </cell>
          <cell r="O6353">
            <v>43647</v>
          </cell>
          <cell r="P6353">
            <v>0</v>
          </cell>
          <cell r="Q6353">
            <v>0</v>
          </cell>
          <cell r="R6353">
            <v>1</v>
          </cell>
          <cell r="S6353">
            <v>0</v>
          </cell>
          <cell r="T6353">
            <v>0</v>
          </cell>
          <cell r="U6353">
            <v>0</v>
          </cell>
          <cell r="V6353">
            <v>1</v>
          </cell>
          <cell r="W6353">
            <v>2</v>
          </cell>
          <cell r="X6353">
            <v>0</v>
          </cell>
          <cell r="Y6353">
            <v>0</v>
          </cell>
        </row>
        <row r="6354">
          <cell r="D6354">
            <v>322501</v>
          </cell>
          <cell r="E6354" t="str">
            <v>San Jose NHS</v>
          </cell>
          <cell r="F6354">
            <v>1</v>
          </cell>
          <cell r="G6354">
            <v>0</v>
          </cell>
          <cell r="H6354">
            <v>1</v>
          </cell>
          <cell r="I6354">
            <v>0</v>
          </cell>
          <cell r="J6354">
            <v>0</v>
          </cell>
          <cell r="K6354">
            <v>0</v>
          </cell>
          <cell r="L6354">
            <v>1</v>
          </cell>
          <cell r="M6354" t="str">
            <v>twice a year</v>
          </cell>
          <cell r="N6354">
            <v>0</v>
          </cell>
          <cell r="O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>
            <v>0</v>
          </cell>
          <cell r="V6354">
            <v>0</v>
          </cell>
          <cell r="W6354">
            <v>0</v>
          </cell>
          <cell r="X6354">
            <v>0</v>
          </cell>
          <cell r="Y6354">
            <v>0</v>
          </cell>
        </row>
        <row r="6355">
          <cell r="D6355">
            <v>322505</v>
          </cell>
          <cell r="E6355" t="str">
            <v>Mabog National High School</v>
          </cell>
          <cell r="F6355">
            <v>1</v>
          </cell>
          <cell r="G6355">
            <v>1</v>
          </cell>
          <cell r="H6355">
            <v>1</v>
          </cell>
          <cell r="I6355">
            <v>0</v>
          </cell>
          <cell r="J6355">
            <v>0</v>
          </cell>
          <cell r="K6355">
            <v>0</v>
          </cell>
          <cell r="L6355">
            <v>0</v>
          </cell>
          <cell r="M6355">
            <v>0</v>
          </cell>
          <cell r="N6355">
            <v>1</v>
          </cell>
          <cell r="O6355">
            <v>43678</v>
          </cell>
          <cell r="P6355">
            <v>0</v>
          </cell>
          <cell r="Q6355">
            <v>0</v>
          </cell>
          <cell r="R6355">
            <v>0</v>
          </cell>
          <cell r="S6355">
            <v>0</v>
          </cell>
          <cell r="T6355">
            <v>0</v>
          </cell>
          <cell r="U6355">
            <v>0</v>
          </cell>
          <cell r="V6355">
            <v>0</v>
          </cell>
          <cell r="W6355">
            <v>0</v>
          </cell>
          <cell r="X6355">
            <v>0</v>
          </cell>
          <cell r="Y6355">
            <v>0</v>
          </cell>
        </row>
        <row r="6356">
          <cell r="D6356">
            <v>304917</v>
          </cell>
          <cell r="E6356" t="str">
            <v>Tabon M. Estrella National High School</v>
          </cell>
          <cell r="F6356">
            <v>1</v>
          </cell>
          <cell r="G6356">
            <v>1</v>
          </cell>
          <cell r="H6356">
            <v>0</v>
          </cell>
          <cell r="I6356">
            <v>0</v>
          </cell>
          <cell r="J6356">
            <v>1</v>
          </cell>
          <cell r="K6356">
            <v>0</v>
          </cell>
          <cell r="L6356">
            <v>0</v>
          </cell>
          <cell r="M6356">
            <v>0</v>
          </cell>
          <cell r="N6356">
            <v>1</v>
          </cell>
          <cell r="O6356">
            <v>0</v>
          </cell>
          <cell r="P6356">
            <v>0</v>
          </cell>
          <cell r="Q6356">
            <v>1</v>
          </cell>
          <cell r="R6356">
            <v>0</v>
          </cell>
          <cell r="S6356">
            <v>0</v>
          </cell>
          <cell r="T6356">
            <v>0</v>
          </cell>
          <cell r="U6356">
            <v>0</v>
          </cell>
          <cell r="V6356">
            <v>0</v>
          </cell>
          <cell r="W6356">
            <v>0</v>
          </cell>
          <cell r="X6356">
            <v>0</v>
          </cell>
          <cell r="Y6356">
            <v>0</v>
          </cell>
        </row>
        <row r="6357">
          <cell r="D6357">
            <v>304919</v>
          </cell>
          <cell r="E6357" t="str">
            <v>Mangagoy NHS</v>
          </cell>
          <cell r="F6357">
            <v>1</v>
          </cell>
          <cell r="G6357">
            <v>1</v>
          </cell>
          <cell r="H6357">
            <v>1</v>
          </cell>
          <cell r="I6357">
            <v>1</v>
          </cell>
          <cell r="J6357">
            <v>0</v>
          </cell>
          <cell r="K6357">
            <v>0</v>
          </cell>
          <cell r="L6357">
            <v>0</v>
          </cell>
          <cell r="M6357">
            <v>0</v>
          </cell>
          <cell r="N6357">
            <v>1</v>
          </cell>
          <cell r="O6357">
            <v>43718</v>
          </cell>
          <cell r="P6357">
            <v>43643</v>
          </cell>
          <cell r="Q6357">
            <v>0</v>
          </cell>
          <cell r="R6357">
            <v>1</v>
          </cell>
          <cell r="S6357">
            <v>0</v>
          </cell>
          <cell r="T6357">
            <v>0</v>
          </cell>
          <cell r="U6357">
            <v>0</v>
          </cell>
          <cell r="V6357">
            <v>1</v>
          </cell>
          <cell r="W6357">
            <v>1</v>
          </cell>
          <cell r="X6357">
            <v>1</v>
          </cell>
          <cell r="Y6357">
            <v>0</v>
          </cell>
        </row>
        <row r="6358">
          <cell r="D6358">
            <v>304894</v>
          </cell>
          <cell r="E6358" t="str">
            <v>Lawigan NHS</v>
          </cell>
          <cell r="F6358">
            <v>1</v>
          </cell>
          <cell r="G6358">
            <v>1</v>
          </cell>
          <cell r="H6358">
            <v>1</v>
          </cell>
          <cell r="I6358">
            <v>0</v>
          </cell>
          <cell r="J6358">
            <v>0</v>
          </cell>
          <cell r="K6358">
            <v>1</v>
          </cell>
          <cell r="L6358">
            <v>0</v>
          </cell>
          <cell r="M6358">
            <v>0</v>
          </cell>
          <cell r="N6358">
            <v>0</v>
          </cell>
          <cell r="O6358">
            <v>0</v>
          </cell>
          <cell r="P6358">
            <v>0</v>
          </cell>
          <cell r="Q6358">
            <v>0</v>
          </cell>
          <cell r="R6358">
            <v>0</v>
          </cell>
          <cell r="S6358">
            <v>0</v>
          </cell>
          <cell r="T6358">
            <v>1</v>
          </cell>
          <cell r="U6358" t="str">
            <v>none</v>
          </cell>
          <cell r="V6358">
            <v>0</v>
          </cell>
          <cell r="W6358">
            <v>0</v>
          </cell>
          <cell r="X6358">
            <v>0</v>
          </cell>
          <cell r="Y6358">
            <v>0</v>
          </cell>
        </row>
        <row r="6359">
          <cell r="D6359">
            <v>322503</v>
          </cell>
          <cell r="E6359" t="str">
            <v>Bucto NHS</v>
          </cell>
          <cell r="F6359">
            <v>1</v>
          </cell>
          <cell r="G6359">
            <v>1</v>
          </cell>
          <cell r="H6359">
            <v>0</v>
          </cell>
          <cell r="I6359">
            <v>1</v>
          </cell>
          <cell r="J6359">
            <v>0</v>
          </cell>
          <cell r="K6359">
            <v>0</v>
          </cell>
          <cell r="L6359">
            <v>0</v>
          </cell>
          <cell r="M6359">
            <v>0</v>
          </cell>
          <cell r="N6359">
            <v>1</v>
          </cell>
          <cell r="O6359">
            <v>0</v>
          </cell>
          <cell r="P6359">
            <v>0</v>
          </cell>
          <cell r="Q6359">
            <v>1</v>
          </cell>
          <cell r="R6359">
            <v>0</v>
          </cell>
          <cell r="S6359">
            <v>0</v>
          </cell>
          <cell r="T6359">
            <v>0</v>
          </cell>
          <cell r="U6359">
            <v>0</v>
          </cell>
          <cell r="V6359">
            <v>0</v>
          </cell>
          <cell r="W6359">
            <v>0</v>
          </cell>
          <cell r="X6359">
            <v>0</v>
          </cell>
          <cell r="Y6359">
            <v>0</v>
          </cell>
        </row>
        <row r="6360">
          <cell r="D6360">
            <v>304868</v>
          </cell>
          <cell r="E6360" t="str">
            <v>San Vicente NHS</v>
          </cell>
          <cell r="F6360">
            <v>1</v>
          </cell>
          <cell r="G6360">
            <v>0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0</v>
          </cell>
          <cell r="M6360">
            <v>0</v>
          </cell>
          <cell r="N6360">
            <v>0</v>
          </cell>
          <cell r="O6360">
            <v>0</v>
          </cell>
          <cell r="P6360">
            <v>0</v>
          </cell>
          <cell r="Q6360">
            <v>0</v>
          </cell>
          <cell r="R6360">
            <v>0</v>
          </cell>
          <cell r="S6360">
            <v>0</v>
          </cell>
          <cell r="T6360">
            <v>0</v>
          </cell>
          <cell r="U6360">
            <v>0</v>
          </cell>
          <cell r="V6360">
            <v>0</v>
          </cell>
          <cell r="W6360">
            <v>0</v>
          </cell>
          <cell r="X6360">
            <v>0</v>
          </cell>
          <cell r="Y6360">
            <v>0</v>
          </cell>
        </row>
        <row r="6361">
          <cell r="D6361">
            <v>340306</v>
          </cell>
          <cell r="E6361" t="str">
            <v>Stand Alone SHS</v>
          </cell>
          <cell r="F6361">
            <v>1</v>
          </cell>
          <cell r="G6361">
            <v>1</v>
          </cell>
          <cell r="H6361">
            <v>1</v>
          </cell>
          <cell r="I6361">
            <v>0</v>
          </cell>
          <cell r="J6361">
            <v>1</v>
          </cell>
          <cell r="K6361">
            <v>0</v>
          </cell>
          <cell r="L6361">
            <v>0</v>
          </cell>
          <cell r="M6361">
            <v>0</v>
          </cell>
          <cell r="N6361">
            <v>1</v>
          </cell>
          <cell r="O6361">
            <v>43626</v>
          </cell>
          <cell r="P6361">
            <v>0</v>
          </cell>
          <cell r="Q6361">
            <v>0</v>
          </cell>
          <cell r="R6361">
            <v>0</v>
          </cell>
          <cell r="S6361">
            <v>1</v>
          </cell>
          <cell r="T6361">
            <v>0</v>
          </cell>
          <cell r="U6361">
            <v>0</v>
          </cell>
          <cell r="V6361">
            <v>1</v>
          </cell>
          <cell r="W6361">
            <v>1</v>
          </cell>
          <cell r="X6361">
            <v>0</v>
          </cell>
          <cell r="Y6361">
            <v>0</v>
          </cell>
        </row>
        <row r="6362">
          <cell r="D6362">
            <v>304869</v>
          </cell>
          <cell r="E6362" t="str">
            <v>Sikahoy NHS</v>
          </cell>
          <cell r="F6362">
            <v>0</v>
          </cell>
          <cell r="G6362">
            <v>0</v>
          </cell>
          <cell r="H6362">
            <v>1</v>
          </cell>
          <cell r="I6362">
            <v>0</v>
          </cell>
          <cell r="J6362">
            <v>1</v>
          </cell>
          <cell r="K6362">
            <v>0</v>
          </cell>
          <cell r="L6362">
            <v>0</v>
          </cell>
          <cell r="M6362">
            <v>0</v>
          </cell>
          <cell r="N6362">
            <v>1</v>
          </cell>
          <cell r="O6362">
            <v>43132</v>
          </cell>
          <cell r="P6362">
            <v>43607</v>
          </cell>
          <cell r="Q6362">
            <v>0</v>
          </cell>
          <cell r="R6362">
            <v>1</v>
          </cell>
          <cell r="S6362">
            <v>0</v>
          </cell>
          <cell r="T6362">
            <v>0</v>
          </cell>
          <cell r="U6362">
            <v>0</v>
          </cell>
          <cell r="V6362">
            <v>1</v>
          </cell>
          <cell r="W6362">
            <v>0</v>
          </cell>
          <cell r="X6362">
            <v>0</v>
          </cell>
          <cell r="Y6362">
            <v>0</v>
          </cell>
        </row>
        <row r="6363">
          <cell r="D6363">
            <v>304865</v>
          </cell>
          <cell r="E6363" t="str">
            <v>Bislig City NHS</v>
          </cell>
          <cell r="F6363">
            <v>1</v>
          </cell>
          <cell r="G6363">
            <v>1</v>
          </cell>
          <cell r="H6363">
            <v>1</v>
          </cell>
          <cell r="I6363">
            <v>0</v>
          </cell>
          <cell r="J6363">
            <v>0</v>
          </cell>
          <cell r="K6363">
            <v>1</v>
          </cell>
          <cell r="L6363">
            <v>0</v>
          </cell>
          <cell r="M6363">
            <v>0</v>
          </cell>
          <cell r="N6363">
            <v>0</v>
          </cell>
          <cell r="O6363">
            <v>0</v>
          </cell>
          <cell r="P6363">
            <v>43739</v>
          </cell>
          <cell r="Q6363">
            <v>0</v>
          </cell>
          <cell r="R6363">
            <v>0</v>
          </cell>
          <cell r="S6363">
            <v>1</v>
          </cell>
          <cell r="T6363">
            <v>0</v>
          </cell>
          <cell r="U6363">
            <v>0</v>
          </cell>
          <cell r="V6363">
            <v>1</v>
          </cell>
          <cell r="W6363">
            <v>0</v>
          </cell>
          <cell r="X6363">
            <v>0</v>
          </cell>
          <cell r="Y6363">
            <v>0</v>
          </cell>
        </row>
        <row r="6364">
          <cell r="D6364">
            <v>304827</v>
          </cell>
          <cell r="E6364" t="str">
            <v>Liberty National High School</v>
          </cell>
          <cell r="F6364">
            <v>0</v>
          </cell>
          <cell r="G6364">
            <v>0</v>
          </cell>
          <cell r="H6364">
            <v>1</v>
          </cell>
          <cell r="I6364">
            <v>0</v>
          </cell>
          <cell r="J6364">
            <v>0</v>
          </cell>
          <cell r="K6364">
            <v>0</v>
          </cell>
          <cell r="L6364">
            <v>0</v>
          </cell>
          <cell r="M6364">
            <v>0</v>
          </cell>
          <cell r="N6364">
            <v>0</v>
          </cell>
          <cell r="O6364">
            <v>0</v>
          </cell>
          <cell r="P6364">
            <v>0</v>
          </cell>
          <cell r="Q6364">
            <v>0</v>
          </cell>
          <cell r="R6364">
            <v>0</v>
          </cell>
          <cell r="S6364">
            <v>0</v>
          </cell>
          <cell r="T6364">
            <v>0</v>
          </cell>
          <cell r="U6364">
            <v>0</v>
          </cell>
          <cell r="V6364">
            <v>0</v>
          </cell>
          <cell r="W6364">
            <v>0</v>
          </cell>
          <cell r="X6364">
            <v>0</v>
          </cell>
          <cell r="Y6364">
            <v>0</v>
          </cell>
        </row>
        <row r="6365">
          <cell r="D6365">
            <v>317805</v>
          </cell>
          <cell r="E6365" t="str">
            <v>Trinidad Mapa-Gupana NHS</v>
          </cell>
          <cell r="F6365">
            <v>1</v>
          </cell>
          <cell r="G6365">
            <v>0</v>
          </cell>
          <cell r="H6365">
            <v>1</v>
          </cell>
          <cell r="I6365">
            <v>0</v>
          </cell>
          <cell r="J6365">
            <v>0</v>
          </cell>
          <cell r="K6365">
            <v>1</v>
          </cell>
          <cell r="L6365">
            <v>0</v>
          </cell>
          <cell r="M6365">
            <v>0</v>
          </cell>
          <cell r="N6365">
            <v>1</v>
          </cell>
          <cell r="O6365">
            <v>0</v>
          </cell>
          <cell r="P6365" t="str">
            <v>n/a</v>
          </cell>
          <cell r="Q6365">
            <v>1</v>
          </cell>
          <cell r="R6365">
            <v>0</v>
          </cell>
          <cell r="S6365">
            <v>0</v>
          </cell>
          <cell r="T6365">
            <v>0</v>
          </cell>
          <cell r="U6365">
            <v>0</v>
          </cell>
          <cell r="V6365">
            <v>1</v>
          </cell>
          <cell r="W6365">
            <v>0</v>
          </cell>
          <cell r="X6365">
            <v>0</v>
          </cell>
          <cell r="Y6365">
            <v>0</v>
          </cell>
        </row>
        <row r="6366">
          <cell r="D6366">
            <v>304825</v>
          </cell>
          <cell r="E6366" t="str">
            <v>Cuarenta National High School</v>
          </cell>
          <cell r="F6366">
            <v>0</v>
          </cell>
          <cell r="G6366">
            <v>0</v>
          </cell>
          <cell r="H6366">
            <v>1</v>
          </cell>
          <cell r="I6366">
            <v>0</v>
          </cell>
          <cell r="J6366">
            <v>0</v>
          </cell>
          <cell r="K6366">
            <v>0</v>
          </cell>
          <cell r="L6366">
            <v>0</v>
          </cell>
          <cell r="M6366">
            <v>0</v>
          </cell>
          <cell r="N6366">
            <v>0</v>
          </cell>
          <cell r="O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0</v>
          </cell>
          <cell r="T6366">
            <v>0</v>
          </cell>
          <cell r="U6366">
            <v>0</v>
          </cell>
          <cell r="V6366">
            <v>0</v>
          </cell>
          <cell r="W6366">
            <v>0</v>
          </cell>
          <cell r="X6366">
            <v>0</v>
          </cell>
          <cell r="Y6366">
            <v>0</v>
          </cell>
        </row>
        <row r="6367">
          <cell r="D6367">
            <v>324406</v>
          </cell>
          <cell r="E6367" t="str">
            <v>Primitivo J. Ebol Memorial National High School</v>
          </cell>
          <cell r="F6367">
            <v>1</v>
          </cell>
          <cell r="G6367">
            <v>1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0</v>
          </cell>
          <cell r="M6367">
            <v>0</v>
          </cell>
          <cell r="N6367">
            <v>0</v>
          </cell>
          <cell r="O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0</v>
          </cell>
          <cell r="T6367">
            <v>0</v>
          </cell>
          <cell r="U6367">
            <v>0</v>
          </cell>
          <cell r="V6367">
            <v>0</v>
          </cell>
          <cell r="W6367">
            <v>0</v>
          </cell>
          <cell r="X6367">
            <v>0</v>
          </cell>
          <cell r="Y6367">
            <v>0</v>
          </cell>
        </row>
        <row r="6368">
          <cell r="D6368">
            <v>304840</v>
          </cell>
          <cell r="E6368" t="str">
            <v>R. E. Ecleo Sr. National High School</v>
          </cell>
          <cell r="F6368">
            <v>1</v>
          </cell>
          <cell r="G6368">
            <v>1</v>
          </cell>
          <cell r="H6368">
            <v>1</v>
          </cell>
          <cell r="I6368">
            <v>0</v>
          </cell>
          <cell r="J6368">
            <v>1</v>
          </cell>
          <cell r="K6368">
            <v>0</v>
          </cell>
          <cell r="L6368">
            <v>0</v>
          </cell>
          <cell r="M6368">
            <v>0</v>
          </cell>
          <cell r="N6368">
            <v>1</v>
          </cell>
          <cell r="O6368">
            <v>0</v>
          </cell>
          <cell r="P6368">
            <v>0</v>
          </cell>
          <cell r="Q6368">
            <v>0</v>
          </cell>
          <cell r="R6368">
            <v>1</v>
          </cell>
          <cell r="S6368">
            <v>0</v>
          </cell>
          <cell r="T6368">
            <v>0</v>
          </cell>
          <cell r="U6368">
            <v>0</v>
          </cell>
          <cell r="V6368">
            <v>0</v>
          </cell>
          <cell r="W6368">
            <v>0</v>
          </cell>
          <cell r="X6368">
            <v>0</v>
          </cell>
          <cell r="Y6368">
            <v>0</v>
          </cell>
        </row>
        <row r="6369">
          <cell r="D6369">
            <v>304854</v>
          </cell>
          <cell r="E6369" t="str">
            <v>Tubajon National High School</v>
          </cell>
          <cell r="F6369">
            <v>1</v>
          </cell>
          <cell r="G6369">
            <v>1</v>
          </cell>
          <cell r="H6369">
            <v>0</v>
          </cell>
          <cell r="I6369">
            <v>1</v>
          </cell>
          <cell r="J6369">
            <v>1</v>
          </cell>
          <cell r="K6369">
            <v>0</v>
          </cell>
          <cell r="L6369">
            <v>0</v>
          </cell>
          <cell r="M6369">
            <v>0</v>
          </cell>
          <cell r="N6369">
            <v>1</v>
          </cell>
          <cell r="O6369" t="str">
            <v>IF NEEDED</v>
          </cell>
          <cell r="P6369">
            <v>0</v>
          </cell>
          <cell r="Q6369">
            <v>0</v>
          </cell>
          <cell r="R6369">
            <v>1</v>
          </cell>
          <cell r="S6369">
            <v>0</v>
          </cell>
          <cell r="T6369">
            <v>0</v>
          </cell>
          <cell r="U6369">
            <v>0</v>
          </cell>
          <cell r="V6369">
            <v>0</v>
          </cell>
          <cell r="W6369">
            <v>1</v>
          </cell>
          <cell r="X6369">
            <v>1</v>
          </cell>
          <cell r="Y6369">
            <v>0</v>
          </cell>
        </row>
        <row r="6370">
          <cell r="D6370">
            <v>324402</v>
          </cell>
          <cell r="E6370" t="str">
            <v>Jade B. Ecleo- Aurelio National High School</v>
          </cell>
          <cell r="F6370">
            <v>1</v>
          </cell>
          <cell r="G6370">
            <v>0</v>
          </cell>
          <cell r="H6370">
            <v>1</v>
          </cell>
          <cell r="I6370">
            <v>0</v>
          </cell>
          <cell r="J6370">
            <v>1</v>
          </cell>
          <cell r="K6370">
            <v>0</v>
          </cell>
          <cell r="L6370">
            <v>0</v>
          </cell>
          <cell r="M6370">
            <v>0</v>
          </cell>
          <cell r="N6370">
            <v>0</v>
          </cell>
          <cell r="O6370">
            <v>0</v>
          </cell>
          <cell r="P6370">
            <v>0</v>
          </cell>
          <cell r="Q6370">
            <v>0</v>
          </cell>
          <cell r="R6370">
            <v>0</v>
          </cell>
          <cell r="S6370">
            <v>0</v>
          </cell>
          <cell r="T6370">
            <v>1</v>
          </cell>
          <cell r="U6370" t="str">
            <v>Controlled by Brgy. Officials</v>
          </cell>
          <cell r="V6370">
            <v>0</v>
          </cell>
          <cell r="W6370">
            <v>0</v>
          </cell>
          <cell r="X6370">
            <v>0</v>
          </cell>
          <cell r="Y6370">
            <v>0</v>
          </cell>
        </row>
        <row r="6371">
          <cell r="D6371">
            <v>304808</v>
          </cell>
          <cell r="E6371" t="str">
            <v>Albor National High School</v>
          </cell>
          <cell r="F6371">
            <v>1</v>
          </cell>
          <cell r="G6371">
            <v>1</v>
          </cell>
          <cell r="H6371">
            <v>1</v>
          </cell>
          <cell r="I6371">
            <v>0</v>
          </cell>
          <cell r="J6371">
            <v>0</v>
          </cell>
          <cell r="K6371">
            <v>1</v>
          </cell>
          <cell r="L6371">
            <v>0</v>
          </cell>
          <cell r="M6371">
            <v>0</v>
          </cell>
          <cell r="N6371">
            <v>1</v>
          </cell>
          <cell r="O6371">
            <v>0</v>
          </cell>
          <cell r="P6371" t="str">
            <v>JULY 19, 2019</v>
          </cell>
          <cell r="Q6371">
            <v>0</v>
          </cell>
          <cell r="R6371">
            <v>0</v>
          </cell>
          <cell r="S6371">
            <v>1</v>
          </cell>
          <cell r="T6371">
            <v>0</v>
          </cell>
          <cell r="U6371">
            <v>0</v>
          </cell>
          <cell r="V6371">
            <v>1</v>
          </cell>
          <cell r="W6371">
            <v>1</v>
          </cell>
          <cell r="X6371">
            <v>1</v>
          </cell>
          <cell r="Y6371">
            <v>0</v>
          </cell>
        </row>
        <row r="6372">
          <cell r="D6372">
            <v>324407</v>
          </cell>
          <cell r="E6372" t="str">
            <v>Malinao National High School</v>
          </cell>
          <cell r="F6372">
            <v>1</v>
          </cell>
          <cell r="G6372">
            <v>0</v>
          </cell>
          <cell r="H6372">
            <v>1</v>
          </cell>
          <cell r="I6372">
            <v>0</v>
          </cell>
          <cell r="J6372">
            <v>0</v>
          </cell>
          <cell r="K6372">
            <v>1</v>
          </cell>
          <cell r="L6372">
            <v>0</v>
          </cell>
          <cell r="M6372">
            <v>0</v>
          </cell>
          <cell r="N6372">
            <v>1</v>
          </cell>
          <cell r="O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1</v>
          </cell>
          <cell r="T6372">
            <v>0</v>
          </cell>
          <cell r="U6372">
            <v>0</v>
          </cell>
          <cell r="V6372">
            <v>1</v>
          </cell>
          <cell r="W6372">
            <v>0</v>
          </cell>
          <cell r="X6372">
            <v>0</v>
          </cell>
          <cell r="Y6372">
            <v>0</v>
          </cell>
        </row>
        <row r="6373">
          <cell r="D6373">
            <v>304816</v>
          </cell>
          <cell r="E6373" t="str">
            <v>Del Pilar National High School</v>
          </cell>
          <cell r="F6373">
            <v>1</v>
          </cell>
          <cell r="G6373">
            <v>1</v>
          </cell>
          <cell r="H6373">
            <v>1</v>
          </cell>
          <cell r="I6373">
            <v>0</v>
          </cell>
          <cell r="J6373">
            <v>0</v>
          </cell>
          <cell r="K6373">
            <v>1</v>
          </cell>
          <cell r="L6373">
            <v>0</v>
          </cell>
          <cell r="M6373">
            <v>0</v>
          </cell>
          <cell r="N6373">
            <v>0</v>
          </cell>
          <cell r="O6373">
            <v>0</v>
          </cell>
          <cell r="P6373">
            <v>0</v>
          </cell>
          <cell r="Q6373">
            <v>0</v>
          </cell>
          <cell r="R6373">
            <v>0</v>
          </cell>
          <cell r="S6373">
            <v>1</v>
          </cell>
          <cell r="T6373">
            <v>0</v>
          </cell>
          <cell r="U6373">
            <v>0</v>
          </cell>
          <cell r="V6373">
            <v>1</v>
          </cell>
          <cell r="W6373">
            <v>0</v>
          </cell>
          <cell r="X6373">
            <v>0</v>
          </cell>
          <cell r="Y6373">
            <v>0</v>
          </cell>
        </row>
        <row r="6374">
          <cell r="D6374">
            <v>304852</v>
          </cell>
          <cell r="E6374" t="str">
            <v>Rita-Glenda National High School</v>
          </cell>
          <cell r="F6374">
            <v>1</v>
          </cell>
          <cell r="G6374">
            <v>1</v>
          </cell>
          <cell r="H6374">
            <v>1</v>
          </cell>
          <cell r="I6374">
            <v>0</v>
          </cell>
          <cell r="J6374">
            <v>1</v>
          </cell>
          <cell r="K6374">
            <v>0</v>
          </cell>
          <cell r="L6374">
            <v>0</v>
          </cell>
          <cell r="M6374">
            <v>0</v>
          </cell>
          <cell r="N6374">
            <v>0</v>
          </cell>
          <cell r="O6374">
            <v>0</v>
          </cell>
          <cell r="P6374">
            <v>43677</v>
          </cell>
          <cell r="Q6374">
            <v>0</v>
          </cell>
          <cell r="R6374">
            <v>0</v>
          </cell>
          <cell r="S6374">
            <v>1</v>
          </cell>
          <cell r="T6374">
            <v>0</v>
          </cell>
          <cell r="U6374">
            <v>0</v>
          </cell>
          <cell r="V6374">
            <v>1</v>
          </cell>
          <cell r="W6374">
            <v>0</v>
          </cell>
          <cell r="X6374">
            <v>0</v>
          </cell>
          <cell r="Y6374">
            <v>0</v>
          </cell>
        </row>
        <row r="6375">
          <cell r="D6375">
            <v>304824</v>
          </cell>
          <cell r="E6375" t="str">
            <v>Don Ruben E. Ecleo Sr. MNHS</v>
          </cell>
          <cell r="F6375">
            <v>1</v>
          </cell>
          <cell r="G6375">
            <v>1</v>
          </cell>
          <cell r="H6375">
            <v>1</v>
          </cell>
          <cell r="I6375">
            <v>1</v>
          </cell>
          <cell r="J6375">
            <v>0</v>
          </cell>
          <cell r="K6375">
            <v>0</v>
          </cell>
          <cell r="L6375">
            <v>0</v>
          </cell>
          <cell r="M6375">
            <v>0</v>
          </cell>
          <cell r="N6375">
            <v>1</v>
          </cell>
          <cell r="O6375">
            <v>0</v>
          </cell>
          <cell r="P6375">
            <v>0</v>
          </cell>
          <cell r="Q6375">
            <v>0</v>
          </cell>
          <cell r="R6375">
            <v>0</v>
          </cell>
          <cell r="S6375">
            <v>0</v>
          </cell>
          <cell r="T6375">
            <v>0</v>
          </cell>
          <cell r="U6375">
            <v>0</v>
          </cell>
          <cell r="V6375">
            <v>0</v>
          </cell>
          <cell r="W6375">
            <v>0</v>
          </cell>
          <cell r="X6375">
            <v>0</v>
          </cell>
          <cell r="Y6375">
            <v>0</v>
          </cell>
        </row>
        <row r="6376">
          <cell r="D6376">
            <v>304836</v>
          </cell>
          <cell r="E6376" t="str">
            <v>Melgar National High School</v>
          </cell>
          <cell r="F6376">
            <v>0</v>
          </cell>
          <cell r="G6376">
            <v>0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0</v>
          </cell>
          <cell r="M6376">
            <v>0</v>
          </cell>
          <cell r="N6376">
            <v>0</v>
          </cell>
          <cell r="O6376">
            <v>0</v>
          </cell>
          <cell r="P6376">
            <v>0</v>
          </cell>
          <cell r="Q6376">
            <v>0</v>
          </cell>
          <cell r="R6376">
            <v>0</v>
          </cell>
          <cell r="S6376">
            <v>0</v>
          </cell>
          <cell r="T6376">
            <v>0</v>
          </cell>
          <cell r="U6376">
            <v>0</v>
          </cell>
          <cell r="V6376">
            <v>0</v>
          </cell>
          <cell r="W6376">
            <v>0</v>
          </cell>
          <cell r="X6376">
            <v>0</v>
          </cell>
          <cell r="Y6376">
            <v>0</v>
          </cell>
        </row>
        <row r="6377">
          <cell r="D6377">
            <v>304844</v>
          </cell>
          <cell r="E6377" t="str">
            <v>Sering National High School</v>
          </cell>
          <cell r="F6377">
            <v>1</v>
          </cell>
          <cell r="G6377">
            <v>1</v>
          </cell>
          <cell r="H6377">
            <v>1</v>
          </cell>
          <cell r="I6377">
            <v>0</v>
          </cell>
          <cell r="J6377">
            <v>1</v>
          </cell>
          <cell r="K6377">
            <v>0</v>
          </cell>
          <cell r="L6377">
            <v>0</v>
          </cell>
          <cell r="M6377">
            <v>0</v>
          </cell>
          <cell r="N6377">
            <v>1</v>
          </cell>
          <cell r="O6377">
            <v>0</v>
          </cell>
          <cell r="P6377">
            <v>0</v>
          </cell>
          <cell r="Q6377">
            <v>0</v>
          </cell>
          <cell r="R6377">
            <v>1</v>
          </cell>
          <cell r="S6377">
            <v>0</v>
          </cell>
          <cell r="T6377">
            <v>0</v>
          </cell>
          <cell r="U6377">
            <v>0</v>
          </cell>
          <cell r="V6377">
            <v>1</v>
          </cell>
          <cell r="W6377">
            <v>0</v>
          </cell>
          <cell r="X6377">
            <v>0</v>
          </cell>
          <cell r="Y6377">
            <v>0</v>
          </cell>
        </row>
        <row r="6378">
          <cell r="D6378">
            <v>304815</v>
          </cell>
          <cell r="E6378" t="str">
            <v>Cagdianao National High School</v>
          </cell>
          <cell r="F6378">
            <v>0</v>
          </cell>
          <cell r="G6378">
            <v>0</v>
          </cell>
          <cell r="H6378">
            <v>1</v>
          </cell>
          <cell r="I6378">
            <v>0</v>
          </cell>
          <cell r="J6378">
            <v>0</v>
          </cell>
          <cell r="K6378">
            <v>1</v>
          </cell>
          <cell r="L6378">
            <v>0</v>
          </cell>
          <cell r="M6378">
            <v>0</v>
          </cell>
          <cell r="N6378">
            <v>0</v>
          </cell>
          <cell r="O6378">
            <v>0</v>
          </cell>
          <cell r="P6378">
            <v>0</v>
          </cell>
          <cell r="Q6378">
            <v>0</v>
          </cell>
          <cell r="R6378">
            <v>0</v>
          </cell>
          <cell r="S6378">
            <v>0</v>
          </cell>
          <cell r="T6378">
            <v>0</v>
          </cell>
          <cell r="U6378">
            <v>0</v>
          </cell>
          <cell r="V6378">
            <v>0</v>
          </cell>
          <cell r="W6378">
            <v>0</v>
          </cell>
          <cell r="X6378">
            <v>0</v>
          </cell>
          <cell r="Y6378">
            <v>0</v>
          </cell>
        </row>
        <row r="6379">
          <cell r="D6379">
            <v>324404</v>
          </cell>
          <cell r="E6379" t="str">
            <v>New Nazareth National High School</v>
          </cell>
          <cell r="F6379">
            <v>0</v>
          </cell>
          <cell r="G6379">
            <v>0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0</v>
          </cell>
          <cell r="M6379">
            <v>0</v>
          </cell>
          <cell r="N6379">
            <v>0</v>
          </cell>
          <cell r="O6379">
            <v>0</v>
          </cell>
          <cell r="P6379">
            <v>0</v>
          </cell>
          <cell r="Q6379">
            <v>0</v>
          </cell>
          <cell r="R6379">
            <v>0</v>
          </cell>
          <cell r="S6379">
            <v>0</v>
          </cell>
          <cell r="T6379">
            <v>0</v>
          </cell>
          <cell r="U6379">
            <v>0</v>
          </cell>
          <cell r="V6379">
            <v>0</v>
          </cell>
          <cell r="W6379">
            <v>0</v>
          </cell>
          <cell r="X6379">
            <v>0</v>
          </cell>
          <cell r="Y6379">
            <v>0</v>
          </cell>
        </row>
        <row r="6380">
          <cell r="D6380">
            <v>304851</v>
          </cell>
          <cell r="E6380" t="str">
            <v>Tag-abaca National High School</v>
          </cell>
          <cell r="F6380">
            <v>0</v>
          </cell>
          <cell r="G6380">
            <v>0</v>
          </cell>
          <cell r="H6380">
            <v>1</v>
          </cell>
          <cell r="I6380">
            <v>0</v>
          </cell>
          <cell r="J6380">
            <v>0</v>
          </cell>
          <cell r="K6380">
            <v>0</v>
          </cell>
          <cell r="L6380">
            <v>0</v>
          </cell>
          <cell r="M6380">
            <v>0</v>
          </cell>
          <cell r="N6380">
            <v>0</v>
          </cell>
          <cell r="O6380">
            <v>0</v>
          </cell>
          <cell r="P6380">
            <v>0</v>
          </cell>
          <cell r="Q6380">
            <v>0</v>
          </cell>
          <cell r="R6380">
            <v>0</v>
          </cell>
          <cell r="S6380">
            <v>0</v>
          </cell>
          <cell r="T6380">
            <v>0</v>
          </cell>
          <cell r="U6380">
            <v>0</v>
          </cell>
          <cell r="V6380">
            <v>0</v>
          </cell>
          <cell r="W6380">
            <v>0</v>
          </cell>
          <cell r="X6380">
            <v>0</v>
          </cell>
          <cell r="Y6380">
            <v>0</v>
          </cell>
        </row>
        <row r="6381">
          <cell r="D6381">
            <v>304822</v>
          </cell>
          <cell r="E6381" t="str">
            <v>Dinagat School of Fisheries</v>
          </cell>
          <cell r="F6381">
            <v>1</v>
          </cell>
          <cell r="G6381">
            <v>0</v>
          </cell>
          <cell r="H6381">
            <v>1</v>
          </cell>
          <cell r="I6381">
            <v>0</v>
          </cell>
          <cell r="J6381">
            <v>1</v>
          </cell>
          <cell r="K6381">
            <v>0</v>
          </cell>
          <cell r="L6381">
            <v>0</v>
          </cell>
          <cell r="M6381">
            <v>0</v>
          </cell>
          <cell r="N6381">
            <v>1</v>
          </cell>
          <cell r="O6381">
            <v>0</v>
          </cell>
          <cell r="P6381">
            <v>0</v>
          </cell>
          <cell r="Q6381">
            <v>0</v>
          </cell>
          <cell r="R6381">
            <v>1</v>
          </cell>
          <cell r="S6381">
            <v>0</v>
          </cell>
          <cell r="T6381">
            <v>0</v>
          </cell>
          <cell r="U6381">
            <v>0</v>
          </cell>
          <cell r="V6381">
            <v>1</v>
          </cell>
          <cell r="W6381">
            <v>0</v>
          </cell>
          <cell r="X6381">
            <v>0</v>
          </cell>
          <cell r="Y6381">
            <v>0</v>
          </cell>
        </row>
        <row r="6382">
          <cell r="D6382">
            <v>304842</v>
          </cell>
          <cell r="E6382" t="str">
            <v>Puerto Princesa National High School</v>
          </cell>
          <cell r="F6382">
            <v>1</v>
          </cell>
          <cell r="G6382">
            <v>1</v>
          </cell>
          <cell r="H6382">
            <v>1</v>
          </cell>
          <cell r="I6382">
            <v>0</v>
          </cell>
          <cell r="J6382">
            <v>1</v>
          </cell>
          <cell r="K6382">
            <v>0</v>
          </cell>
          <cell r="L6382">
            <v>0</v>
          </cell>
          <cell r="M6382">
            <v>0</v>
          </cell>
          <cell r="N6382">
            <v>1</v>
          </cell>
          <cell r="O6382">
            <v>43611</v>
          </cell>
          <cell r="P6382">
            <v>43605</v>
          </cell>
          <cell r="Q6382">
            <v>0</v>
          </cell>
          <cell r="R6382">
            <v>1</v>
          </cell>
          <cell r="S6382">
            <v>0</v>
          </cell>
          <cell r="T6382">
            <v>0</v>
          </cell>
          <cell r="U6382">
            <v>0</v>
          </cell>
          <cell r="V6382">
            <v>1</v>
          </cell>
          <cell r="W6382">
            <v>3</v>
          </cell>
          <cell r="X6382">
            <v>3</v>
          </cell>
          <cell r="Y6382">
            <v>3</v>
          </cell>
        </row>
        <row r="6383">
          <cell r="D6383">
            <v>304810</v>
          </cell>
          <cell r="E6383" t="str">
            <v>San Jose National High School</v>
          </cell>
          <cell r="F6383">
            <v>1</v>
          </cell>
          <cell r="G6383">
            <v>0</v>
          </cell>
          <cell r="H6383">
            <v>1</v>
          </cell>
          <cell r="I6383">
            <v>0</v>
          </cell>
          <cell r="J6383">
            <v>1</v>
          </cell>
          <cell r="K6383">
            <v>0</v>
          </cell>
          <cell r="L6383">
            <v>0</v>
          </cell>
          <cell r="M6383">
            <v>0</v>
          </cell>
          <cell r="N6383">
            <v>0</v>
          </cell>
          <cell r="O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>
            <v>0</v>
          </cell>
          <cell r="V6383">
            <v>0</v>
          </cell>
          <cell r="W6383">
            <v>0</v>
          </cell>
          <cell r="X6383">
            <v>0</v>
          </cell>
          <cell r="Y6383">
            <v>0</v>
          </cell>
        </row>
        <row r="6384">
          <cell r="D6384">
            <v>324403</v>
          </cell>
          <cell r="E6384" t="str">
            <v>Edera NHS</v>
          </cell>
          <cell r="F6384">
            <v>0</v>
          </cell>
          <cell r="G6384">
            <v>0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0</v>
          </cell>
          <cell r="M6384">
            <v>0</v>
          </cell>
          <cell r="N6384">
            <v>0</v>
          </cell>
          <cell r="O6384">
            <v>0</v>
          </cell>
          <cell r="P6384">
            <v>0</v>
          </cell>
          <cell r="Q6384">
            <v>0</v>
          </cell>
          <cell r="R6384">
            <v>0</v>
          </cell>
          <cell r="S6384">
            <v>0</v>
          </cell>
          <cell r="T6384">
            <v>0</v>
          </cell>
          <cell r="U6384">
            <v>0</v>
          </cell>
          <cell r="V6384">
            <v>0</v>
          </cell>
          <cell r="W6384">
            <v>0</v>
          </cell>
          <cell r="X6384">
            <v>0</v>
          </cell>
          <cell r="Y6384">
            <v>0</v>
          </cell>
        </row>
        <row r="6385">
          <cell r="D6385">
            <v>317801</v>
          </cell>
          <cell r="E6385" t="str">
            <v>Rosita National High School</v>
          </cell>
          <cell r="F6385">
            <v>0</v>
          </cell>
          <cell r="G6385">
            <v>0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0</v>
          </cell>
          <cell r="M6385">
            <v>0</v>
          </cell>
          <cell r="N6385">
            <v>0</v>
          </cell>
          <cell r="O6385">
            <v>0</v>
          </cell>
          <cell r="P6385">
            <v>0</v>
          </cell>
          <cell r="Q6385">
            <v>0</v>
          </cell>
          <cell r="R6385">
            <v>0</v>
          </cell>
          <cell r="S6385">
            <v>0</v>
          </cell>
          <cell r="T6385">
            <v>0</v>
          </cell>
          <cell r="U6385">
            <v>0</v>
          </cell>
          <cell r="V6385">
            <v>0</v>
          </cell>
          <cell r="W6385">
            <v>1</v>
          </cell>
          <cell r="X6385">
            <v>1</v>
          </cell>
          <cell r="Y6385">
            <v>0</v>
          </cell>
        </row>
        <row r="6386">
          <cell r="D6386">
            <v>304839</v>
          </cell>
          <cell r="E6386" t="str">
            <v>Plaridel National High School</v>
          </cell>
          <cell r="F6386">
            <v>1</v>
          </cell>
          <cell r="G6386">
            <v>0</v>
          </cell>
          <cell r="H6386">
            <v>1</v>
          </cell>
          <cell r="I6386">
            <v>0</v>
          </cell>
          <cell r="J6386">
            <v>1</v>
          </cell>
          <cell r="K6386">
            <v>0</v>
          </cell>
          <cell r="L6386">
            <v>0</v>
          </cell>
          <cell r="M6386">
            <v>0</v>
          </cell>
          <cell r="N6386">
            <v>1</v>
          </cell>
          <cell r="O6386">
            <v>43740</v>
          </cell>
          <cell r="P6386">
            <v>43806</v>
          </cell>
          <cell r="Q6386">
            <v>0</v>
          </cell>
          <cell r="R6386">
            <v>1</v>
          </cell>
          <cell r="S6386">
            <v>0</v>
          </cell>
          <cell r="T6386">
            <v>0</v>
          </cell>
          <cell r="U6386">
            <v>0</v>
          </cell>
          <cell r="V6386">
            <v>1</v>
          </cell>
          <cell r="W6386">
            <v>0</v>
          </cell>
          <cell r="X6386">
            <v>0</v>
          </cell>
          <cell r="Y6386">
            <v>0</v>
          </cell>
        </row>
        <row r="6387">
          <cell r="D6387">
            <v>324401</v>
          </cell>
          <cell r="E6387" t="str">
            <v>Llamera National High School</v>
          </cell>
          <cell r="F6387">
            <v>1</v>
          </cell>
          <cell r="G6387">
            <v>0</v>
          </cell>
          <cell r="H6387">
            <v>1</v>
          </cell>
          <cell r="I6387">
            <v>1</v>
          </cell>
          <cell r="J6387">
            <v>0</v>
          </cell>
          <cell r="K6387">
            <v>0</v>
          </cell>
          <cell r="L6387">
            <v>0</v>
          </cell>
          <cell r="M6387">
            <v>0</v>
          </cell>
          <cell r="N6387">
            <v>1</v>
          </cell>
          <cell r="O6387">
            <v>43758</v>
          </cell>
          <cell r="P6387">
            <v>43597</v>
          </cell>
          <cell r="Q6387">
            <v>1</v>
          </cell>
          <cell r="R6387">
            <v>0</v>
          </cell>
          <cell r="S6387">
            <v>0</v>
          </cell>
          <cell r="T6387">
            <v>0</v>
          </cell>
          <cell r="U6387">
            <v>0</v>
          </cell>
          <cell r="V6387">
            <v>1</v>
          </cell>
          <cell r="W6387">
            <v>2</v>
          </cell>
          <cell r="X6387">
            <v>2</v>
          </cell>
          <cell r="Y6387">
            <v>0</v>
          </cell>
        </row>
        <row r="6388">
          <cell r="D6388">
            <v>340528</v>
          </cell>
          <cell r="E6388" t="str">
            <v>Loreto  National High School</v>
          </cell>
          <cell r="F6388">
            <v>0</v>
          </cell>
          <cell r="G6388">
            <v>0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0</v>
          </cell>
          <cell r="M6388">
            <v>0</v>
          </cell>
          <cell r="N6388">
            <v>0</v>
          </cell>
          <cell r="O6388">
            <v>0</v>
          </cell>
          <cell r="P6388">
            <v>0</v>
          </cell>
          <cell r="Q6388">
            <v>0</v>
          </cell>
          <cell r="R6388">
            <v>0</v>
          </cell>
          <cell r="S6388">
            <v>0</v>
          </cell>
          <cell r="T6388">
            <v>0</v>
          </cell>
          <cell r="U6388">
            <v>0</v>
          </cell>
          <cell r="V6388">
            <v>0</v>
          </cell>
          <cell r="W6388">
            <v>0</v>
          </cell>
          <cell r="X6388">
            <v>0</v>
          </cell>
          <cell r="Y6388">
            <v>0</v>
          </cell>
        </row>
        <row r="6389">
          <cell r="D6389">
            <v>317802</v>
          </cell>
          <cell r="E6389" t="str">
            <v>Valencia National High School</v>
          </cell>
          <cell r="F6389">
            <v>0</v>
          </cell>
          <cell r="G6389">
            <v>0</v>
          </cell>
          <cell r="H6389">
            <v>1</v>
          </cell>
          <cell r="I6389">
            <v>0</v>
          </cell>
          <cell r="J6389">
            <v>0</v>
          </cell>
          <cell r="K6389">
            <v>1</v>
          </cell>
          <cell r="L6389">
            <v>0</v>
          </cell>
          <cell r="M6389">
            <v>0</v>
          </cell>
          <cell r="N6389">
            <v>1</v>
          </cell>
          <cell r="O6389">
            <v>0</v>
          </cell>
          <cell r="P6389">
            <v>0</v>
          </cell>
          <cell r="Q6389">
            <v>0</v>
          </cell>
          <cell r="R6389">
            <v>0</v>
          </cell>
          <cell r="S6389">
            <v>1</v>
          </cell>
          <cell r="T6389">
            <v>0</v>
          </cell>
          <cell r="U6389">
            <v>0</v>
          </cell>
          <cell r="V6389">
            <v>1</v>
          </cell>
          <cell r="W6389">
            <v>0</v>
          </cell>
          <cell r="X6389">
            <v>0</v>
          </cell>
          <cell r="Y6389">
            <v>0</v>
          </cell>
        </row>
        <row r="6390">
          <cell r="D6390">
            <v>304809</v>
          </cell>
          <cell r="E6390" t="str">
            <v>Osmeña-Sto. Niño National High School</v>
          </cell>
          <cell r="F6390">
            <v>1</v>
          </cell>
          <cell r="G6390">
            <v>1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0</v>
          </cell>
          <cell r="M6390">
            <v>0</v>
          </cell>
          <cell r="N6390">
            <v>0</v>
          </cell>
          <cell r="O6390">
            <v>0</v>
          </cell>
          <cell r="P6390">
            <v>0</v>
          </cell>
          <cell r="Q6390">
            <v>0</v>
          </cell>
          <cell r="R6390">
            <v>0</v>
          </cell>
          <cell r="S6390">
            <v>0</v>
          </cell>
          <cell r="T6390">
            <v>0</v>
          </cell>
          <cell r="U6390">
            <v>0</v>
          </cell>
          <cell r="V6390">
            <v>0</v>
          </cell>
          <cell r="W6390">
            <v>0</v>
          </cell>
          <cell r="X6390">
            <v>0</v>
          </cell>
          <cell r="Y6390">
            <v>0</v>
          </cell>
        </row>
        <row r="6391">
          <cell r="D6391">
            <v>304707</v>
          </cell>
          <cell r="E6391" t="str">
            <v>Bayugan NCHS</v>
          </cell>
          <cell r="F6391">
            <v>1</v>
          </cell>
          <cell r="G6391">
            <v>0</v>
          </cell>
          <cell r="H6391">
            <v>1</v>
          </cell>
          <cell r="I6391">
            <v>0</v>
          </cell>
          <cell r="J6391">
            <v>0</v>
          </cell>
          <cell r="K6391">
            <v>0</v>
          </cell>
          <cell r="L6391">
            <v>0</v>
          </cell>
          <cell r="M6391">
            <v>0</v>
          </cell>
          <cell r="N6391">
            <v>1</v>
          </cell>
          <cell r="O6391" t="str">
            <v>9/26-27/2017</v>
          </cell>
          <cell r="P6391" t="str">
            <v>9/26-27/2017</v>
          </cell>
          <cell r="Q6391">
            <v>0</v>
          </cell>
          <cell r="R6391">
            <v>0</v>
          </cell>
          <cell r="S6391">
            <v>0</v>
          </cell>
          <cell r="T6391">
            <v>0</v>
          </cell>
          <cell r="U6391">
            <v>0</v>
          </cell>
          <cell r="V6391">
            <v>0</v>
          </cell>
          <cell r="W6391">
            <v>0</v>
          </cell>
          <cell r="X6391">
            <v>0</v>
          </cell>
          <cell r="Y6391">
            <v>0</v>
          </cell>
        </row>
        <row r="6392">
          <cell r="D6392">
            <v>304723</v>
          </cell>
          <cell r="E6392" t="str">
            <v>Marcelina NHS</v>
          </cell>
          <cell r="F6392">
            <v>1</v>
          </cell>
          <cell r="G6392">
            <v>1</v>
          </cell>
          <cell r="H6392">
            <v>1</v>
          </cell>
          <cell r="I6392">
            <v>0</v>
          </cell>
          <cell r="J6392">
            <v>1</v>
          </cell>
          <cell r="K6392">
            <v>0</v>
          </cell>
          <cell r="L6392">
            <v>0</v>
          </cell>
          <cell r="M6392">
            <v>0</v>
          </cell>
          <cell r="N6392">
            <v>1</v>
          </cell>
          <cell r="O6392">
            <v>0</v>
          </cell>
          <cell r="P6392">
            <v>0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>
            <v>0</v>
          </cell>
          <cell r="V6392">
            <v>0</v>
          </cell>
          <cell r="W6392">
            <v>0</v>
          </cell>
          <cell r="X6392">
            <v>0</v>
          </cell>
          <cell r="Y6392">
            <v>0</v>
          </cell>
        </row>
        <row r="6393">
          <cell r="D6393">
            <v>304724</v>
          </cell>
          <cell r="E6393" t="str">
            <v>Mt. Olive National High School</v>
          </cell>
          <cell r="F6393">
            <v>1</v>
          </cell>
          <cell r="G6393">
            <v>0</v>
          </cell>
          <cell r="H6393">
            <v>1</v>
          </cell>
          <cell r="I6393">
            <v>0</v>
          </cell>
          <cell r="J6393">
            <v>0</v>
          </cell>
          <cell r="K6393">
            <v>1</v>
          </cell>
          <cell r="L6393">
            <v>0</v>
          </cell>
          <cell r="M6393">
            <v>0</v>
          </cell>
          <cell r="N6393">
            <v>1</v>
          </cell>
          <cell r="O6393" t="str">
            <v>april 3 2019</v>
          </cell>
          <cell r="P6393" t="str">
            <v>april 3 2019</v>
          </cell>
          <cell r="Q6393">
            <v>0</v>
          </cell>
          <cell r="R6393">
            <v>0</v>
          </cell>
          <cell r="S6393">
            <v>1</v>
          </cell>
          <cell r="T6393">
            <v>0</v>
          </cell>
          <cell r="U6393">
            <v>0</v>
          </cell>
          <cell r="V6393">
            <v>1</v>
          </cell>
          <cell r="W6393">
            <v>0</v>
          </cell>
          <cell r="X6393">
            <v>0</v>
          </cell>
          <cell r="Y6393">
            <v>0</v>
          </cell>
        </row>
        <row r="6394">
          <cell r="D6394">
            <v>304728</v>
          </cell>
          <cell r="E6394" t="str">
            <v>Noli National High School</v>
          </cell>
          <cell r="F6394">
            <v>0</v>
          </cell>
          <cell r="G6394">
            <v>0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0</v>
          </cell>
          <cell r="M6394">
            <v>0</v>
          </cell>
          <cell r="N6394">
            <v>0</v>
          </cell>
          <cell r="O6394">
            <v>0</v>
          </cell>
          <cell r="P6394">
            <v>0</v>
          </cell>
          <cell r="Q6394">
            <v>0</v>
          </cell>
          <cell r="R6394">
            <v>0</v>
          </cell>
          <cell r="S6394">
            <v>0</v>
          </cell>
          <cell r="T6394">
            <v>0</v>
          </cell>
          <cell r="U6394">
            <v>0</v>
          </cell>
          <cell r="V6394">
            <v>0</v>
          </cell>
          <cell r="W6394">
            <v>0</v>
          </cell>
          <cell r="X6394">
            <v>0</v>
          </cell>
          <cell r="Y6394">
            <v>0</v>
          </cell>
        </row>
        <row r="6395">
          <cell r="D6395">
            <v>304729</v>
          </cell>
          <cell r="E6395" t="str">
            <v>Calaitan NHS</v>
          </cell>
          <cell r="F6395">
            <v>1</v>
          </cell>
          <cell r="G6395">
            <v>1</v>
          </cell>
          <cell r="H6395">
            <v>1</v>
          </cell>
          <cell r="I6395">
            <v>0</v>
          </cell>
          <cell r="J6395">
            <v>0</v>
          </cell>
          <cell r="K6395">
            <v>1</v>
          </cell>
          <cell r="L6395">
            <v>0</v>
          </cell>
          <cell r="M6395">
            <v>0</v>
          </cell>
          <cell r="N6395">
            <v>1</v>
          </cell>
          <cell r="O6395">
            <v>0</v>
          </cell>
          <cell r="P6395">
            <v>0</v>
          </cell>
          <cell r="Q6395">
            <v>0</v>
          </cell>
          <cell r="R6395">
            <v>0</v>
          </cell>
          <cell r="S6395">
            <v>1</v>
          </cell>
          <cell r="T6395">
            <v>0</v>
          </cell>
          <cell r="U6395">
            <v>0</v>
          </cell>
          <cell r="V6395">
            <v>1</v>
          </cell>
          <cell r="W6395">
            <v>2</v>
          </cell>
          <cell r="X6395">
            <v>2</v>
          </cell>
          <cell r="Y6395">
            <v>0</v>
          </cell>
        </row>
        <row r="6396">
          <cell r="D6396">
            <v>304735</v>
          </cell>
          <cell r="E6396" t="str">
            <v>SAN JUAN NATIONAL HIGH SCHOOL</v>
          </cell>
          <cell r="F6396">
            <v>1</v>
          </cell>
          <cell r="G6396">
            <v>0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>
            <v>0</v>
          </cell>
          <cell r="M6396">
            <v>0</v>
          </cell>
          <cell r="N6396">
            <v>0</v>
          </cell>
          <cell r="O6396">
            <v>0</v>
          </cell>
          <cell r="P6396">
            <v>0</v>
          </cell>
          <cell r="Q6396">
            <v>0</v>
          </cell>
          <cell r="R6396">
            <v>0</v>
          </cell>
          <cell r="S6396">
            <v>0</v>
          </cell>
          <cell r="T6396">
            <v>0</v>
          </cell>
          <cell r="U6396">
            <v>0</v>
          </cell>
          <cell r="V6396">
            <v>0</v>
          </cell>
          <cell r="W6396">
            <v>0</v>
          </cell>
          <cell r="X6396">
            <v>0</v>
          </cell>
          <cell r="Y6396">
            <v>0</v>
          </cell>
        </row>
        <row r="6397">
          <cell r="D6397">
            <v>304732</v>
          </cell>
          <cell r="E6397" t="str">
            <v>Salvacion National High School</v>
          </cell>
          <cell r="F6397">
            <v>1</v>
          </cell>
          <cell r="G6397">
            <v>1</v>
          </cell>
          <cell r="H6397">
            <v>1</v>
          </cell>
          <cell r="I6397">
            <v>0</v>
          </cell>
          <cell r="J6397">
            <v>0</v>
          </cell>
          <cell r="K6397">
            <v>1</v>
          </cell>
          <cell r="L6397">
            <v>0</v>
          </cell>
          <cell r="M6397">
            <v>0</v>
          </cell>
          <cell r="N6397">
            <v>1</v>
          </cell>
          <cell r="O6397">
            <v>43482</v>
          </cell>
          <cell r="P6397">
            <v>43482</v>
          </cell>
          <cell r="Q6397">
            <v>0</v>
          </cell>
          <cell r="R6397">
            <v>0</v>
          </cell>
          <cell r="S6397">
            <v>1</v>
          </cell>
          <cell r="T6397">
            <v>0</v>
          </cell>
          <cell r="U6397">
            <v>0</v>
          </cell>
          <cell r="V6397">
            <v>1</v>
          </cell>
          <cell r="W6397">
            <v>1</v>
          </cell>
          <cell r="X6397">
            <v>1</v>
          </cell>
          <cell r="Y6397">
            <v>1</v>
          </cell>
        </row>
        <row r="6398">
          <cell r="D6398">
            <v>340297</v>
          </cell>
          <cell r="E6398" t="str">
            <v>STAND ALONE SHS</v>
          </cell>
          <cell r="F6398">
            <v>0</v>
          </cell>
          <cell r="G6398">
            <v>1</v>
          </cell>
          <cell r="H6398">
            <v>1</v>
          </cell>
          <cell r="I6398">
            <v>0</v>
          </cell>
          <cell r="J6398">
            <v>0</v>
          </cell>
          <cell r="K6398">
            <v>1</v>
          </cell>
          <cell r="L6398">
            <v>0</v>
          </cell>
          <cell r="M6398">
            <v>0</v>
          </cell>
          <cell r="N6398">
            <v>1</v>
          </cell>
          <cell r="O6398">
            <v>43707</v>
          </cell>
          <cell r="P6398">
            <v>43708</v>
          </cell>
          <cell r="Q6398">
            <v>0</v>
          </cell>
          <cell r="R6398">
            <v>0</v>
          </cell>
          <cell r="S6398">
            <v>1</v>
          </cell>
          <cell r="T6398">
            <v>0</v>
          </cell>
          <cell r="U6398">
            <v>0</v>
          </cell>
          <cell r="V6398">
            <v>0</v>
          </cell>
          <cell r="W6398">
            <v>1</v>
          </cell>
          <cell r="X6398">
            <v>1</v>
          </cell>
          <cell r="Y6398">
            <v>0</v>
          </cell>
        </row>
        <row r="6399">
          <cell r="D6399">
            <v>304699</v>
          </cell>
          <cell r="E6399" t="str">
            <v>Cabadbaran City National High School</v>
          </cell>
          <cell r="F6399">
            <v>1</v>
          </cell>
          <cell r="G6399">
            <v>1</v>
          </cell>
          <cell r="H6399">
            <v>1</v>
          </cell>
          <cell r="I6399">
            <v>0</v>
          </cell>
          <cell r="J6399">
            <v>1</v>
          </cell>
          <cell r="K6399">
            <v>0</v>
          </cell>
          <cell r="L6399">
            <v>0</v>
          </cell>
          <cell r="M6399">
            <v>0</v>
          </cell>
          <cell r="N6399">
            <v>1</v>
          </cell>
          <cell r="O6399">
            <v>0</v>
          </cell>
          <cell r="P6399">
            <v>0</v>
          </cell>
          <cell r="Q6399">
            <v>1</v>
          </cell>
          <cell r="R6399">
            <v>0</v>
          </cell>
          <cell r="S6399">
            <v>0</v>
          </cell>
          <cell r="T6399">
            <v>0</v>
          </cell>
          <cell r="U6399">
            <v>0</v>
          </cell>
          <cell r="V6399">
            <v>1</v>
          </cell>
          <cell r="W6399">
            <v>0</v>
          </cell>
          <cell r="X6399">
            <v>0</v>
          </cell>
          <cell r="Y6399">
            <v>0</v>
          </cell>
        </row>
        <row r="6400">
          <cell r="D6400">
            <v>317307</v>
          </cell>
          <cell r="E6400" t="str">
            <v>Del Pilar NHS</v>
          </cell>
          <cell r="F6400">
            <v>1</v>
          </cell>
          <cell r="G6400">
            <v>1</v>
          </cell>
          <cell r="H6400">
            <v>1</v>
          </cell>
          <cell r="I6400">
            <v>0</v>
          </cell>
          <cell r="J6400">
            <v>0</v>
          </cell>
          <cell r="K6400">
            <v>1</v>
          </cell>
          <cell r="L6400">
            <v>0</v>
          </cell>
          <cell r="M6400">
            <v>0</v>
          </cell>
          <cell r="N6400">
            <v>1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1</v>
          </cell>
          <cell r="T6400">
            <v>0</v>
          </cell>
          <cell r="U6400">
            <v>0</v>
          </cell>
          <cell r="V6400">
            <v>1</v>
          </cell>
          <cell r="W6400">
            <v>0</v>
          </cell>
          <cell r="X6400">
            <v>0</v>
          </cell>
          <cell r="Y6400">
            <v>0</v>
          </cell>
        </row>
        <row r="6401">
          <cell r="D6401">
            <v>330101</v>
          </cell>
          <cell r="E6401" t="str">
            <v>Puting Bato National High School</v>
          </cell>
          <cell r="F6401">
            <v>1</v>
          </cell>
          <cell r="G6401">
            <v>1</v>
          </cell>
          <cell r="H6401">
            <v>0</v>
          </cell>
          <cell r="I6401">
            <v>0</v>
          </cell>
          <cell r="J6401">
            <v>1</v>
          </cell>
          <cell r="K6401">
            <v>0</v>
          </cell>
          <cell r="L6401">
            <v>0</v>
          </cell>
          <cell r="M6401">
            <v>0</v>
          </cell>
          <cell r="N6401">
            <v>1</v>
          </cell>
          <cell r="O6401">
            <v>43621</v>
          </cell>
          <cell r="P6401">
            <v>43752</v>
          </cell>
          <cell r="Q6401">
            <v>1</v>
          </cell>
          <cell r="R6401">
            <v>0</v>
          </cell>
          <cell r="S6401">
            <v>0</v>
          </cell>
          <cell r="T6401">
            <v>0</v>
          </cell>
          <cell r="U6401">
            <v>0</v>
          </cell>
          <cell r="V6401">
            <v>1</v>
          </cell>
          <cell r="W6401">
            <v>1</v>
          </cell>
          <cell r="X6401">
            <v>0</v>
          </cell>
          <cell r="Y6401">
            <v>0</v>
          </cell>
        </row>
        <row r="6402">
          <cell r="D6402">
            <v>304676</v>
          </cell>
          <cell r="E6402" t="str">
            <v>Calamba NHS</v>
          </cell>
          <cell r="F6402">
            <v>1</v>
          </cell>
          <cell r="G6402">
            <v>1</v>
          </cell>
          <cell r="H6402">
            <v>1</v>
          </cell>
          <cell r="I6402">
            <v>0</v>
          </cell>
          <cell r="J6402">
            <v>0</v>
          </cell>
          <cell r="K6402">
            <v>1</v>
          </cell>
          <cell r="L6402">
            <v>0</v>
          </cell>
          <cell r="M6402">
            <v>0</v>
          </cell>
          <cell r="N6402">
            <v>1</v>
          </cell>
          <cell r="O6402" t="str">
            <v>07/23/2019</v>
          </cell>
          <cell r="P6402">
            <v>0</v>
          </cell>
          <cell r="Q6402">
            <v>0</v>
          </cell>
          <cell r="R6402">
            <v>1</v>
          </cell>
          <cell r="S6402">
            <v>0</v>
          </cell>
          <cell r="T6402">
            <v>0</v>
          </cell>
          <cell r="U6402">
            <v>0</v>
          </cell>
          <cell r="V6402">
            <v>1</v>
          </cell>
          <cell r="W6402">
            <v>1</v>
          </cell>
          <cell r="X6402">
            <v>1</v>
          </cell>
          <cell r="Y6402">
            <v>0</v>
          </cell>
        </row>
        <row r="6403">
          <cell r="D6403">
            <v>340341</v>
          </cell>
          <cell r="E6403" t="str">
            <v>La Union SHS (Stand Alone)</v>
          </cell>
          <cell r="F6403">
            <v>1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0</v>
          </cell>
          <cell r="O6403">
            <v>0</v>
          </cell>
          <cell r="P6403">
            <v>0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>
            <v>0</v>
          </cell>
          <cell r="V6403">
            <v>0</v>
          </cell>
          <cell r="W6403">
            <v>0</v>
          </cell>
          <cell r="X6403">
            <v>0</v>
          </cell>
          <cell r="Y6403">
            <v>0</v>
          </cell>
        </row>
        <row r="6404">
          <cell r="D6404">
            <v>304871</v>
          </cell>
          <cell r="E6404" t="str">
            <v>Buenavista National High School</v>
          </cell>
          <cell r="F6404">
            <v>1</v>
          </cell>
          <cell r="G6404">
            <v>1</v>
          </cell>
          <cell r="H6404">
            <v>1</v>
          </cell>
          <cell r="I6404">
            <v>0</v>
          </cell>
          <cell r="J6404">
            <v>0</v>
          </cell>
          <cell r="K6404">
            <v>0</v>
          </cell>
          <cell r="L6404">
            <v>1</v>
          </cell>
          <cell r="M6404" t="str">
            <v>As the need arises</v>
          </cell>
          <cell r="N6404">
            <v>1</v>
          </cell>
          <cell r="O6404">
            <v>43637</v>
          </cell>
          <cell r="P6404">
            <v>0</v>
          </cell>
          <cell r="Q6404">
            <v>0</v>
          </cell>
          <cell r="R6404">
            <v>0</v>
          </cell>
          <cell r="S6404">
            <v>1</v>
          </cell>
          <cell r="T6404">
            <v>0</v>
          </cell>
          <cell r="U6404">
            <v>0</v>
          </cell>
          <cell r="V6404">
            <v>1</v>
          </cell>
          <cell r="W6404">
            <v>0</v>
          </cell>
          <cell r="X6404">
            <v>0</v>
          </cell>
          <cell r="Y6404">
            <v>0</v>
          </cell>
        </row>
        <row r="6405">
          <cell r="D6405">
            <v>500587</v>
          </cell>
          <cell r="E6405" t="str">
            <v>Carmen Integrated School</v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  <cell r="N6405">
            <v>0</v>
          </cell>
          <cell r="O6405">
            <v>0</v>
          </cell>
          <cell r="P6405">
            <v>0</v>
          </cell>
          <cell r="Q6405">
            <v>0</v>
          </cell>
          <cell r="R6405">
            <v>0</v>
          </cell>
          <cell r="S6405">
            <v>0</v>
          </cell>
          <cell r="T6405">
            <v>0</v>
          </cell>
          <cell r="U6405">
            <v>0</v>
          </cell>
          <cell r="V6405">
            <v>0</v>
          </cell>
          <cell r="W6405">
            <v>0</v>
          </cell>
          <cell r="X6405">
            <v>0</v>
          </cell>
          <cell r="Y6405">
            <v>0</v>
          </cell>
        </row>
        <row r="6406">
          <cell r="D6406">
            <v>304922</v>
          </cell>
          <cell r="E6406" t="str">
            <v>Tandag National Science High School</v>
          </cell>
          <cell r="F6406">
            <v>1</v>
          </cell>
          <cell r="G6406">
            <v>0</v>
          </cell>
          <cell r="H6406">
            <v>1</v>
          </cell>
          <cell r="I6406">
            <v>0</v>
          </cell>
          <cell r="J6406">
            <v>0</v>
          </cell>
          <cell r="K6406">
            <v>0</v>
          </cell>
          <cell r="L6406">
            <v>1</v>
          </cell>
          <cell r="M6406" t="str">
            <v>if necessary</v>
          </cell>
          <cell r="N6406">
            <v>1</v>
          </cell>
          <cell r="O6406">
            <v>0</v>
          </cell>
          <cell r="P6406">
            <v>0</v>
          </cell>
          <cell r="Q6406">
            <v>0</v>
          </cell>
          <cell r="R6406">
            <v>0</v>
          </cell>
          <cell r="S6406">
            <v>0</v>
          </cell>
          <cell r="T6406">
            <v>1</v>
          </cell>
          <cell r="U6406" t="str">
            <v>if there is report</v>
          </cell>
          <cell r="V6406">
            <v>1</v>
          </cell>
          <cell r="W6406">
            <v>0</v>
          </cell>
          <cell r="X6406">
            <v>0</v>
          </cell>
          <cell r="Y6406">
            <v>0</v>
          </cell>
        </row>
        <row r="6407">
          <cell r="D6407">
            <v>324301</v>
          </cell>
          <cell r="E6407" t="str">
            <v>Upi Agricultural School</v>
          </cell>
          <cell r="F6407">
            <v>1</v>
          </cell>
          <cell r="G6407">
            <v>1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0</v>
          </cell>
          <cell r="P6407">
            <v>0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>
            <v>0</v>
          </cell>
          <cell r="V6407">
            <v>0</v>
          </cell>
          <cell r="W6407">
            <v>2</v>
          </cell>
          <cell r="X6407">
            <v>0</v>
          </cell>
          <cell r="Y6407">
            <v>0</v>
          </cell>
        </row>
        <row r="6408">
          <cell r="D6408">
            <v>305003</v>
          </cell>
          <cell r="E6408" t="str">
            <v>Camp Siongco NHS</v>
          </cell>
          <cell r="F6408">
            <v>1</v>
          </cell>
          <cell r="G6408">
            <v>0</v>
          </cell>
          <cell r="H6408">
            <v>1</v>
          </cell>
          <cell r="I6408">
            <v>0</v>
          </cell>
          <cell r="J6408">
            <v>0</v>
          </cell>
          <cell r="K6408">
            <v>0</v>
          </cell>
          <cell r="L6408">
            <v>1</v>
          </cell>
          <cell r="M6408" t="str">
            <v>As needed</v>
          </cell>
          <cell r="N6408">
            <v>1</v>
          </cell>
          <cell r="O6408">
            <v>43659</v>
          </cell>
          <cell r="P6408">
            <v>43600</v>
          </cell>
          <cell r="Q6408">
            <v>0</v>
          </cell>
          <cell r="R6408">
            <v>0</v>
          </cell>
          <cell r="S6408">
            <v>1</v>
          </cell>
          <cell r="T6408">
            <v>0</v>
          </cell>
          <cell r="U6408">
            <v>0</v>
          </cell>
          <cell r="V6408">
            <v>1</v>
          </cell>
          <cell r="W6408">
            <v>1</v>
          </cell>
          <cell r="X6408">
            <v>1</v>
          </cell>
          <cell r="Y6408">
            <v>1</v>
          </cell>
        </row>
        <row r="6409">
          <cell r="D6409">
            <v>318309</v>
          </cell>
          <cell r="E6409" t="str">
            <v>Datu Arnel Datukon NHS</v>
          </cell>
          <cell r="F6409">
            <v>1</v>
          </cell>
          <cell r="G6409">
            <v>0</v>
          </cell>
          <cell r="H6409">
            <v>1</v>
          </cell>
          <cell r="I6409">
            <v>1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  <cell r="N6409">
            <v>1</v>
          </cell>
          <cell r="O6409" t="str">
            <v>August 27, 2019</v>
          </cell>
          <cell r="P6409" t="str">
            <v>August 30, 2019</v>
          </cell>
          <cell r="Q6409">
            <v>0</v>
          </cell>
          <cell r="R6409">
            <v>1</v>
          </cell>
          <cell r="S6409">
            <v>0</v>
          </cell>
          <cell r="T6409">
            <v>0</v>
          </cell>
          <cell r="U6409">
            <v>0</v>
          </cell>
          <cell r="V6409">
            <v>1</v>
          </cell>
          <cell r="W6409">
            <v>0</v>
          </cell>
          <cell r="X6409">
            <v>0</v>
          </cell>
          <cell r="Y6409">
            <v>0</v>
          </cell>
        </row>
        <row r="6410">
          <cell r="D6410">
            <v>324303</v>
          </cell>
          <cell r="E6410" t="str">
            <v>Bai Hanina S. Sinsuat NHS</v>
          </cell>
          <cell r="F6410">
            <v>1</v>
          </cell>
          <cell r="G6410">
            <v>0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0</v>
          </cell>
          <cell r="M6410">
            <v>0</v>
          </cell>
          <cell r="N6410">
            <v>0</v>
          </cell>
          <cell r="O6410">
            <v>0</v>
          </cell>
          <cell r="P6410">
            <v>0</v>
          </cell>
          <cell r="Q6410">
            <v>0</v>
          </cell>
          <cell r="R6410">
            <v>0</v>
          </cell>
          <cell r="S6410">
            <v>0</v>
          </cell>
          <cell r="T6410">
            <v>0</v>
          </cell>
          <cell r="U6410">
            <v>0</v>
          </cell>
          <cell r="V6410">
            <v>0</v>
          </cell>
          <cell r="W6410">
            <v>0</v>
          </cell>
          <cell r="X6410">
            <v>0</v>
          </cell>
          <cell r="Y6410">
            <v>0</v>
          </cell>
        </row>
        <row r="6411">
          <cell r="D6411">
            <v>318326</v>
          </cell>
          <cell r="E6411" t="str">
            <v>Nuling National High School</v>
          </cell>
          <cell r="F6411">
            <v>1</v>
          </cell>
          <cell r="G6411">
            <v>1</v>
          </cell>
          <cell r="H6411">
            <v>1</v>
          </cell>
          <cell r="I6411">
            <v>0</v>
          </cell>
          <cell r="J6411">
            <v>0</v>
          </cell>
          <cell r="K6411">
            <v>0</v>
          </cell>
          <cell r="L6411">
            <v>0</v>
          </cell>
          <cell r="M6411">
            <v>0</v>
          </cell>
          <cell r="N6411">
            <v>1</v>
          </cell>
          <cell r="O6411">
            <v>0</v>
          </cell>
          <cell r="P6411">
            <v>0</v>
          </cell>
          <cell r="Q6411">
            <v>0</v>
          </cell>
          <cell r="R6411">
            <v>0</v>
          </cell>
          <cell r="S6411">
            <v>1</v>
          </cell>
          <cell r="T6411">
            <v>0</v>
          </cell>
          <cell r="U6411">
            <v>0</v>
          </cell>
          <cell r="V6411">
            <v>0</v>
          </cell>
          <cell r="W6411">
            <v>0</v>
          </cell>
          <cell r="X6411">
            <v>0</v>
          </cell>
          <cell r="Y6411">
            <v>0</v>
          </cell>
        </row>
        <row r="6412">
          <cell r="D6412">
            <v>305007</v>
          </cell>
          <cell r="E6412" t="str">
            <v>Dinganen-Buldon NHS</v>
          </cell>
          <cell r="F6412">
            <v>1</v>
          </cell>
          <cell r="G6412">
            <v>1</v>
          </cell>
          <cell r="H6412">
            <v>1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  <cell r="N6412">
            <v>1</v>
          </cell>
          <cell r="O6412">
            <v>43631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>
            <v>0</v>
          </cell>
          <cell r="V6412">
            <v>0</v>
          </cell>
          <cell r="W6412">
            <v>0</v>
          </cell>
          <cell r="X6412">
            <v>0</v>
          </cell>
          <cell r="Y6412">
            <v>0</v>
          </cell>
        </row>
        <row r="6413">
          <cell r="D6413">
            <v>305016</v>
          </cell>
          <cell r="E6413" t="str">
            <v>Matanog NHS</v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0</v>
          </cell>
          <cell r="M6413">
            <v>0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0</v>
          </cell>
          <cell r="S6413">
            <v>0</v>
          </cell>
          <cell r="T6413">
            <v>0</v>
          </cell>
          <cell r="U6413">
            <v>0</v>
          </cell>
          <cell r="V6413">
            <v>0</v>
          </cell>
          <cell r="W6413">
            <v>0</v>
          </cell>
          <cell r="X6413">
            <v>0</v>
          </cell>
          <cell r="Y6413">
            <v>0</v>
          </cell>
        </row>
        <row r="6414">
          <cell r="D6414">
            <v>305013</v>
          </cell>
          <cell r="E6414" t="str">
            <v>Litayen National High School</v>
          </cell>
          <cell r="F6414">
            <v>1</v>
          </cell>
          <cell r="G6414">
            <v>1</v>
          </cell>
          <cell r="H6414">
            <v>1</v>
          </cell>
          <cell r="I6414">
            <v>1</v>
          </cell>
          <cell r="J6414">
            <v>0</v>
          </cell>
          <cell r="K6414">
            <v>0</v>
          </cell>
          <cell r="L6414">
            <v>0</v>
          </cell>
          <cell r="M6414">
            <v>0</v>
          </cell>
          <cell r="N6414">
            <v>1</v>
          </cell>
          <cell r="O6414" t="str">
            <v>PTA MEETING AND ANNOUNCED DAILY AFTER FLAG CEREMONY</v>
          </cell>
          <cell r="P6414" t="str">
            <v>DAILY</v>
          </cell>
          <cell r="Q6414">
            <v>1</v>
          </cell>
          <cell r="R6414">
            <v>0</v>
          </cell>
          <cell r="S6414">
            <v>0</v>
          </cell>
          <cell r="T6414">
            <v>0</v>
          </cell>
          <cell r="U6414">
            <v>0</v>
          </cell>
          <cell r="V6414">
            <v>1</v>
          </cell>
          <cell r="W6414">
            <v>4</v>
          </cell>
          <cell r="X6414">
            <v>1</v>
          </cell>
          <cell r="Y6414">
            <v>2</v>
          </cell>
        </row>
        <row r="6415">
          <cell r="D6415">
            <v>305011</v>
          </cell>
          <cell r="E6415" t="str">
            <v>Kabuntalan NHS</v>
          </cell>
          <cell r="F6415">
            <v>1</v>
          </cell>
          <cell r="G6415">
            <v>0</v>
          </cell>
          <cell r="H6415">
            <v>1</v>
          </cell>
          <cell r="I6415">
            <v>0</v>
          </cell>
          <cell r="J6415">
            <v>1</v>
          </cell>
          <cell r="K6415">
            <v>0</v>
          </cell>
          <cell r="L6415">
            <v>0</v>
          </cell>
          <cell r="M6415">
            <v>0</v>
          </cell>
          <cell r="N6415">
            <v>0</v>
          </cell>
          <cell r="O6415">
            <v>0</v>
          </cell>
          <cell r="P6415">
            <v>0</v>
          </cell>
          <cell r="Q6415">
            <v>0</v>
          </cell>
          <cell r="R6415">
            <v>0</v>
          </cell>
          <cell r="S6415">
            <v>0</v>
          </cell>
          <cell r="T6415">
            <v>0</v>
          </cell>
          <cell r="U6415">
            <v>0</v>
          </cell>
          <cell r="V6415">
            <v>0</v>
          </cell>
          <cell r="W6415">
            <v>0</v>
          </cell>
          <cell r="X6415">
            <v>0</v>
          </cell>
          <cell r="Y6415">
            <v>0</v>
          </cell>
        </row>
        <row r="6416">
          <cell r="D6416">
            <v>305024</v>
          </cell>
          <cell r="E6416" t="str">
            <v>Sultan Kudarat NHS</v>
          </cell>
          <cell r="F6416">
            <v>1</v>
          </cell>
          <cell r="G6416">
            <v>1</v>
          </cell>
          <cell r="H6416">
            <v>1</v>
          </cell>
          <cell r="I6416">
            <v>1</v>
          </cell>
          <cell r="J6416">
            <v>0</v>
          </cell>
          <cell r="K6416">
            <v>0</v>
          </cell>
          <cell r="L6416">
            <v>0</v>
          </cell>
          <cell r="M6416">
            <v>0</v>
          </cell>
          <cell r="N6416">
            <v>1</v>
          </cell>
          <cell r="O6416" t="str">
            <v>AUG 29, 2019</v>
          </cell>
          <cell r="P6416" t="str">
            <v>JULY 19,2019</v>
          </cell>
          <cell r="Q6416">
            <v>1</v>
          </cell>
          <cell r="R6416">
            <v>0</v>
          </cell>
          <cell r="S6416">
            <v>0</v>
          </cell>
          <cell r="T6416">
            <v>0</v>
          </cell>
          <cell r="U6416">
            <v>0</v>
          </cell>
          <cell r="V6416">
            <v>1</v>
          </cell>
          <cell r="W6416">
            <v>2</v>
          </cell>
          <cell r="X6416">
            <v>0</v>
          </cell>
          <cell r="Y6416">
            <v>0</v>
          </cell>
        </row>
        <row r="6417">
          <cell r="D6417">
            <v>305017</v>
          </cell>
          <cell r="E6417" t="str">
            <v>Amir Bara Lidasan NHS</v>
          </cell>
          <cell r="F6417">
            <v>1</v>
          </cell>
          <cell r="G6417">
            <v>1</v>
          </cell>
          <cell r="H6417">
            <v>1</v>
          </cell>
          <cell r="I6417">
            <v>0</v>
          </cell>
          <cell r="J6417">
            <v>1</v>
          </cell>
          <cell r="K6417">
            <v>0</v>
          </cell>
          <cell r="L6417">
            <v>0</v>
          </cell>
          <cell r="M6417">
            <v>0</v>
          </cell>
          <cell r="N6417">
            <v>0</v>
          </cell>
          <cell r="O6417" t="str">
            <v>july 23,2019</v>
          </cell>
          <cell r="P6417" t="str">
            <v>july 5,2019</v>
          </cell>
          <cell r="Q6417">
            <v>0</v>
          </cell>
          <cell r="R6417">
            <v>1</v>
          </cell>
          <cell r="S6417">
            <v>0</v>
          </cell>
          <cell r="T6417">
            <v>0</v>
          </cell>
          <cell r="U6417">
            <v>0</v>
          </cell>
          <cell r="V6417">
            <v>1</v>
          </cell>
          <cell r="W6417">
            <v>2</v>
          </cell>
          <cell r="X6417">
            <v>0</v>
          </cell>
          <cell r="Y6417">
            <v>0</v>
          </cell>
        </row>
        <row r="6418">
          <cell r="D6418">
            <v>324302</v>
          </cell>
          <cell r="E6418" t="str">
            <v>Datu Malambut NHS</v>
          </cell>
          <cell r="F6418">
            <v>0</v>
          </cell>
          <cell r="G6418">
            <v>0</v>
          </cell>
          <cell r="H6418">
            <v>0</v>
          </cell>
          <cell r="I6418">
            <v>0</v>
          </cell>
          <cell r="J6418">
            <v>0</v>
          </cell>
          <cell r="K6418">
            <v>1</v>
          </cell>
          <cell r="L6418">
            <v>0</v>
          </cell>
          <cell r="M6418">
            <v>0</v>
          </cell>
          <cell r="N6418">
            <v>0</v>
          </cell>
          <cell r="O6418">
            <v>0</v>
          </cell>
          <cell r="P6418">
            <v>0</v>
          </cell>
          <cell r="Q6418">
            <v>0</v>
          </cell>
          <cell r="R6418">
            <v>0</v>
          </cell>
          <cell r="S6418">
            <v>0</v>
          </cell>
          <cell r="T6418">
            <v>0</v>
          </cell>
          <cell r="U6418">
            <v>0</v>
          </cell>
          <cell r="V6418">
            <v>0</v>
          </cell>
          <cell r="W6418">
            <v>0</v>
          </cell>
          <cell r="X6418">
            <v>0</v>
          </cell>
          <cell r="Y6418">
            <v>0</v>
          </cell>
        </row>
        <row r="6419">
          <cell r="D6419">
            <v>318313</v>
          </cell>
          <cell r="E6419" t="str">
            <v>Ruth Manion Babao Mem. NHS</v>
          </cell>
          <cell r="F6419">
            <v>1</v>
          </cell>
          <cell r="G6419">
            <v>0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0</v>
          </cell>
          <cell r="M6419">
            <v>0</v>
          </cell>
          <cell r="N6419">
            <v>0</v>
          </cell>
          <cell r="O6419">
            <v>0</v>
          </cell>
          <cell r="P6419">
            <v>0</v>
          </cell>
          <cell r="Q6419">
            <v>0</v>
          </cell>
          <cell r="R6419">
            <v>0</v>
          </cell>
          <cell r="S6419">
            <v>0</v>
          </cell>
          <cell r="T6419">
            <v>0</v>
          </cell>
          <cell r="U6419">
            <v>0</v>
          </cell>
          <cell r="V6419">
            <v>0</v>
          </cell>
          <cell r="W6419">
            <v>0</v>
          </cell>
          <cell r="X6419">
            <v>0</v>
          </cell>
          <cell r="Y6419">
            <v>0</v>
          </cell>
        </row>
        <row r="6420">
          <cell r="D6420">
            <v>305023</v>
          </cell>
          <cell r="E6420" t="str">
            <v>Sultan Barira NHS</v>
          </cell>
          <cell r="F6420">
            <v>1</v>
          </cell>
          <cell r="G6420">
            <v>1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1</v>
          </cell>
          <cell r="M6420">
            <v>0</v>
          </cell>
          <cell r="N6420">
            <v>0</v>
          </cell>
          <cell r="O6420">
            <v>0</v>
          </cell>
          <cell r="P6420">
            <v>0</v>
          </cell>
          <cell r="Q6420">
            <v>0</v>
          </cell>
          <cell r="R6420">
            <v>0</v>
          </cell>
          <cell r="S6420">
            <v>0</v>
          </cell>
          <cell r="T6420">
            <v>1</v>
          </cell>
          <cell r="U6420">
            <v>0</v>
          </cell>
          <cell r="V6420">
            <v>0</v>
          </cell>
          <cell r="W6420">
            <v>0</v>
          </cell>
          <cell r="X6420">
            <v>0</v>
          </cell>
          <cell r="Y6420">
            <v>0</v>
          </cell>
        </row>
        <row r="6421">
          <cell r="D6421">
            <v>305021</v>
          </cell>
          <cell r="E6421" t="str">
            <v>Sarilikha HS</v>
          </cell>
          <cell r="F6421">
            <v>1</v>
          </cell>
          <cell r="G6421">
            <v>1</v>
          </cell>
          <cell r="H6421">
            <v>1</v>
          </cell>
          <cell r="I6421">
            <v>0</v>
          </cell>
          <cell r="J6421">
            <v>0</v>
          </cell>
          <cell r="K6421">
            <v>1</v>
          </cell>
          <cell r="L6421">
            <v>0</v>
          </cell>
          <cell r="M6421">
            <v>0</v>
          </cell>
          <cell r="N6421">
            <v>0</v>
          </cell>
          <cell r="O6421">
            <v>0</v>
          </cell>
          <cell r="P6421">
            <v>0</v>
          </cell>
          <cell r="Q6421">
            <v>0</v>
          </cell>
          <cell r="R6421">
            <v>0</v>
          </cell>
          <cell r="S6421">
            <v>0</v>
          </cell>
          <cell r="T6421">
            <v>0</v>
          </cell>
          <cell r="U6421">
            <v>0</v>
          </cell>
          <cell r="V6421">
            <v>0</v>
          </cell>
          <cell r="W6421">
            <v>0</v>
          </cell>
          <cell r="X6421">
            <v>0</v>
          </cell>
          <cell r="Y6421">
            <v>0</v>
          </cell>
        </row>
        <row r="6422">
          <cell r="D6422">
            <v>305018</v>
          </cell>
          <cell r="E6422" t="str">
            <v>Parang National High School</v>
          </cell>
          <cell r="F6422">
            <v>1</v>
          </cell>
          <cell r="G6422">
            <v>1</v>
          </cell>
          <cell r="H6422">
            <v>1</v>
          </cell>
          <cell r="I6422">
            <v>0</v>
          </cell>
          <cell r="J6422">
            <v>0</v>
          </cell>
          <cell r="K6422">
            <v>1</v>
          </cell>
          <cell r="L6422">
            <v>0</v>
          </cell>
          <cell r="M6422">
            <v>0</v>
          </cell>
          <cell r="N6422">
            <v>0</v>
          </cell>
          <cell r="O6422">
            <v>0</v>
          </cell>
          <cell r="P6422">
            <v>0</v>
          </cell>
          <cell r="Q6422">
            <v>1</v>
          </cell>
          <cell r="R6422">
            <v>0</v>
          </cell>
          <cell r="S6422">
            <v>0</v>
          </cell>
          <cell r="T6422">
            <v>0</v>
          </cell>
          <cell r="U6422">
            <v>0</v>
          </cell>
          <cell r="V6422">
            <v>1</v>
          </cell>
          <cell r="W6422">
            <v>0</v>
          </cell>
          <cell r="X6422">
            <v>0</v>
          </cell>
          <cell r="Y6422">
            <v>0</v>
          </cell>
        </row>
        <row r="6423">
          <cell r="D6423">
            <v>305015</v>
          </cell>
          <cell r="E6423" t="str">
            <v>ARMM Regional Science High School</v>
          </cell>
          <cell r="F6423">
            <v>1</v>
          </cell>
          <cell r="G6423">
            <v>1</v>
          </cell>
          <cell r="H6423">
            <v>1</v>
          </cell>
          <cell r="I6423">
            <v>0</v>
          </cell>
          <cell r="J6423">
            <v>1</v>
          </cell>
          <cell r="K6423">
            <v>0</v>
          </cell>
          <cell r="L6423">
            <v>0</v>
          </cell>
          <cell r="M6423">
            <v>0</v>
          </cell>
          <cell r="N6423">
            <v>1</v>
          </cell>
          <cell r="O6423">
            <v>0</v>
          </cell>
          <cell r="P6423">
            <v>0</v>
          </cell>
          <cell r="Q6423">
            <v>0</v>
          </cell>
          <cell r="R6423">
            <v>1</v>
          </cell>
          <cell r="S6423">
            <v>0</v>
          </cell>
          <cell r="T6423">
            <v>0</v>
          </cell>
          <cell r="U6423">
            <v>0</v>
          </cell>
          <cell r="V6423">
            <v>1</v>
          </cell>
          <cell r="W6423">
            <v>1</v>
          </cell>
          <cell r="X6423">
            <v>0</v>
          </cell>
          <cell r="Y6423">
            <v>0</v>
          </cell>
        </row>
        <row r="6424">
          <cell r="D6424">
            <v>326503</v>
          </cell>
          <cell r="E6424" t="str">
            <v>Datu Mantato National High School</v>
          </cell>
          <cell r="F6424">
            <v>1</v>
          </cell>
          <cell r="G6424">
            <v>1</v>
          </cell>
          <cell r="H6424">
            <v>0</v>
          </cell>
          <cell r="I6424">
            <v>0</v>
          </cell>
          <cell r="J6424">
            <v>1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  <cell r="V6424">
            <v>0</v>
          </cell>
          <cell r="W6424">
            <v>0</v>
          </cell>
          <cell r="X6424">
            <v>0</v>
          </cell>
          <cell r="Y6424">
            <v>0</v>
          </cell>
        </row>
        <row r="6425">
          <cell r="D6425">
            <v>326001</v>
          </cell>
          <cell r="E6425" t="str">
            <v>Making Integrated Vocational &amp; Technology High School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0</v>
          </cell>
          <cell r="M6425">
            <v>0</v>
          </cell>
          <cell r="N6425">
            <v>0</v>
          </cell>
          <cell r="O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  <cell r="V6425">
            <v>0</v>
          </cell>
          <cell r="W6425">
            <v>0</v>
          </cell>
          <cell r="X6425">
            <v>0</v>
          </cell>
          <cell r="Y6425">
            <v>0</v>
          </cell>
        </row>
        <row r="6426">
          <cell r="D6426">
            <v>318301</v>
          </cell>
          <cell r="E6426" t="str">
            <v>Datu Usngan S. Mastura NHS</v>
          </cell>
          <cell r="F6426">
            <v>0</v>
          </cell>
          <cell r="G6426">
            <v>0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0</v>
          </cell>
          <cell r="M6426">
            <v>0</v>
          </cell>
          <cell r="N6426">
            <v>0</v>
          </cell>
          <cell r="O6426">
            <v>0</v>
          </cell>
          <cell r="P6426">
            <v>0</v>
          </cell>
          <cell r="Q6426">
            <v>0</v>
          </cell>
          <cell r="R6426">
            <v>0</v>
          </cell>
          <cell r="S6426">
            <v>0</v>
          </cell>
          <cell r="T6426">
            <v>0</v>
          </cell>
          <cell r="U6426">
            <v>0</v>
          </cell>
          <cell r="V6426">
            <v>0</v>
          </cell>
          <cell r="W6426">
            <v>0</v>
          </cell>
          <cell r="X6426">
            <v>0</v>
          </cell>
          <cell r="Y6426">
            <v>0</v>
          </cell>
        </row>
        <row r="6427">
          <cell r="D6427">
            <v>305008</v>
          </cell>
          <cell r="E6427" t="str">
            <v>Gayonga National High School</v>
          </cell>
          <cell r="F6427">
            <v>1</v>
          </cell>
          <cell r="G6427">
            <v>0</v>
          </cell>
          <cell r="H6427">
            <v>1</v>
          </cell>
          <cell r="I6427">
            <v>0</v>
          </cell>
          <cell r="J6427">
            <v>1</v>
          </cell>
          <cell r="K6427">
            <v>0</v>
          </cell>
          <cell r="L6427">
            <v>0</v>
          </cell>
          <cell r="M6427">
            <v>0</v>
          </cell>
          <cell r="N6427">
            <v>1</v>
          </cell>
          <cell r="O6427">
            <v>43662</v>
          </cell>
          <cell r="P6427">
            <v>0</v>
          </cell>
          <cell r="Q6427">
            <v>0</v>
          </cell>
          <cell r="R6427">
            <v>1</v>
          </cell>
          <cell r="S6427">
            <v>0</v>
          </cell>
          <cell r="T6427">
            <v>0</v>
          </cell>
          <cell r="U6427">
            <v>0</v>
          </cell>
          <cell r="V6427">
            <v>1</v>
          </cell>
          <cell r="W6427">
            <v>0</v>
          </cell>
          <cell r="X6427">
            <v>0</v>
          </cell>
          <cell r="Y6427">
            <v>0</v>
          </cell>
        </row>
        <row r="6428">
          <cell r="D6428">
            <v>326501</v>
          </cell>
          <cell r="E6428" t="str">
            <v>Sulon National High School</v>
          </cell>
          <cell r="F6428">
            <v>1</v>
          </cell>
          <cell r="G6428">
            <v>1</v>
          </cell>
          <cell r="H6428">
            <v>1</v>
          </cell>
          <cell r="I6428">
            <v>1</v>
          </cell>
          <cell r="J6428">
            <v>0</v>
          </cell>
          <cell r="K6428">
            <v>0</v>
          </cell>
          <cell r="L6428">
            <v>0</v>
          </cell>
          <cell r="M6428">
            <v>0</v>
          </cell>
          <cell r="N6428">
            <v>1</v>
          </cell>
          <cell r="O6428">
            <v>0</v>
          </cell>
          <cell r="P6428">
            <v>0</v>
          </cell>
          <cell r="Q6428">
            <v>1</v>
          </cell>
          <cell r="R6428">
            <v>0</v>
          </cell>
          <cell r="S6428">
            <v>0</v>
          </cell>
          <cell r="T6428">
            <v>0</v>
          </cell>
          <cell r="U6428">
            <v>0</v>
          </cell>
          <cell r="V6428">
            <v>0</v>
          </cell>
          <cell r="W6428">
            <v>0</v>
          </cell>
          <cell r="X6428">
            <v>0</v>
          </cell>
          <cell r="Y6428">
            <v>0</v>
          </cell>
        </row>
        <row r="6429">
          <cell r="D6429">
            <v>304953</v>
          </cell>
          <cell r="E6429" t="str">
            <v>Sumisip NHS-Tumahubong Annex</v>
          </cell>
          <cell r="F6429">
            <v>0</v>
          </cell>
          <cell r="G6429">
            <v>0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0</v>
          </cell>
          <cell r="T6429">
            <v>0</v>
          </cell>
          <cell r="U6429">
            <v>0</v>
          </cell>
          <cell r="V6429">
            <v>0</v>
          </cell>
          <cell r="W6429">
            <v>0</v>
          </cell>
          <cell r="X6429">
            <v>0</v>
          </cell>
          <cell r="Y6429">
            <v>0</v>
          </cell>
        </row>
        <row r="6430">
          <cell r="D6430">
            <v>304949</v>
          </cell>
          <cell r="E6430" t="str">
            <v>Sinulatan NHS-Tuburan Annex</v>
          </cell>
          <cell r="F6430">
            <v>1</v>
          </cell>
          <cell r="G6430">
            <v>1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0</v>
          </cell>
          <cell r="M6430">
            <v>0</v>
          </cell>
          <cell r="N6430">
            <v>0</v>
          </cell>
          <cell r="O6430">
            <v>0</v>
          </cell>
          <cell r="P6430">
            <v>0</v>
          </cell>
          <cell r="Q6430">
            <v>0</v>
          </cell>
          <cell r="R6430">
            <v>0</v>
          </cell>
          <cell r="S6430">
            <v>0</v>
          </cell>
          <cell r="T6430">
            <v>0</v>
          </cell>
          <cell r="U6430">
            <v>0</v>
          </cell>
          <cell r="V6430">
            <v>0</v>
          </cell>
          <cell r="W6430">
            <v>0</v>
          </cell>
          <cell r="X6430">
            <v>0</v>
          </cell>
          <cell r="Y6430">
            <v>0</v>
          </cell>
        </row>
        <row r="6431">
          <cell r="D6431">
            <v>304927</v>
          </cell>
          <cell r="E6431" t="str">
            <v>Atong-Atong NHS - Tairan Annex</v>
          </cell>
          <cell r="F6431">
            <v>1</v>
          </cell>
          <cell r="G6431">
            <v>1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0</v>
          </cell>
          <cell r="M6431">
            <v>0</v>
          </cell>
          <cell r="N6431">
            <v>0</v>
          </cell>
          <cell r="O6431">
            <v>0</v>
          </cell>
          <cell r="P6431">
            <v>0</v>
          </cell>
          <cell r="Q6431">
            <v>0</v>
          </cell>
          <cell r="R6431">
            <v>0</v>
          </cell>
          <cell r="S6431">
            <v>0</v>
          </cell>
          <cell r="T6431">
            <v>0</v>
          </cell>
          <cell r="U6431">
            <v>0</v>
          </cell>
          <cell r="V6431">
            <v>0</v>
          </cell>
          <cell r="W6431">
            <v>0</v>
          </cell>
          <cell r="X6431">
            <v>0</v>
          </cell>
          <cell r="Y6431">
            <v>0</v>
          </cell>
        </row>
        <row r="6432">
          <cell r="D6432">
            <v>304936</v>
          </cell>
          <cell r="E6432" t="str">
            <v>Concepcion NHS</v>
          </cell>
          <cell r="F6432">
            <v>0</v>
          </cell>
          <cell r="G6432">
            <v>0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0</v>
          </cell>
          <cell r="M6432">
            <v>0</v>
          </cell>
          <cell r="N6432">
            <v>0</v>
          </cell>
          <cell r="O6432">
            <v>0</v>
          </cell>
          <cell r="P6432">
            <v>0</v>
          </cell>
          <cell r="Q6432">
            <v>0</v>
          </cell>
          <cell r="R6432">
            <v>0</v>
          </cell>
          <cell r="S6432">
            <v>0</v>
          </cell>
          <cell r="T6432">
            <v>0</v>
          </cell>
          <cell r="U6432">
            <v>0</v>
          </cell>
          <cell r="V6432">
            <v>0</v>
          </cell>
          <cell r="W6432">
            <v>0</v>
          </cell>
          <cell r="X6432">
            <v>0</v>
          </cell>
          <cell r="Y6432">
            <v>0</v>
          </cell>
        </row>
        <row r="6433">
          <cell r="D6433">
            <v>304950</v>
          </cell>
          <cell r="E6433" t="str">
            <v>Sumisip Agro-Fisheries School</v>
          </cell>
          <cell r="F6433">
            <v>1</v>
          </cell>
          <cell r="G6433">
            <v>0</v>
          </cell>
          <cell r="H6433">
            <v>1</v>
          </cell>
          <cell r="I6433">
            <v>0</v>
          </cell>
          <cell r="J6433">
            <v>1</v>
          </cell>
          <cell r="K6433">
            <v>0</v>
          </cell>
          <cell r="L6433">
            <v>0</v>
          </cell>
          <cell r="M6433">
            <v>0</v>
          </cell>
          <cell r="N6433">
            <v>1</v>
          </cell>
          <cell r="O6433">
            <v>0</v>
          </cell>
          <cell r="P6433">
            <v>0</v>
          </cell>
          <cell r="Q6433">
            <v>0</v>
          </cell>
          <cell r="R6433">
            <v>1</v>
          </cell>
          <cell r="S6433">
            <v>0</v>
          </cell>
          <cell r="T6433">
            <v>0</v>
          </cell>
          <cell r="U6433">
            <v>0</v>
          </cell>
          <cell r="V6433">
            <v>0</v>
          </cell>
          <cell r="W6433">
            <v>0</v>
          </cell>
          <cell r="X6433">
            <v>0</v>
          </cell>
          <cell r="Y6433">
            <v>0</v>
          </cell>
        </row>
        <row r="6434">
          <cell r="D6434">
            <v>304937</v>
          </cell>
          <cell r="E6434" t="str">
            <v>Jacinto Cuevas NHS</v>
          </cell>
          <cell r="F6434">
            <v>0</v>
          </cell>
          <cell r="G6434">
            <v>0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0</v>
          </cell>
          <cell r="M6434">
            <v>0</v>
          </cell>
          <cell r="N6434">
            <v>0</v>
          </cell>
          <cell r="O6434">
            <v>0</v>
          </cell>
          <cell r="P6434">
            <v>0</v>
          </cell>
          <cell r="Q6434">
            <v>0</v>
          </cell>
          <cell r="R6434">
            <v>0</v>
          </cell>
          <cell r="S6434">
            <v>0</v>
          </cell>
          <cell r="T6434">
            <v>0</v>
          </cell>
          <cell r="U6434">
            <v>0</v>
          </cell>
          <cell r="V6434">
            <v>0</v>
          </cell>
          <cell r="W6434">
            <v>0</v>
          </cell>
          <cell r="X6434">
            <v>0</v>
          </cell>
          <cell r="Y6434">
            <v>0</v>
          </cell>
        </row>
        <row r="6435">
          <cell r="D6435">
            <v>304947</v>
          </cell>
          <cell r="E6435" t="str">
            <v>Sinangkapan NHS</v>
          </cell>
          <cell r="F6435">
            <v>1</v>
          </cell>
          <cell r="G6435">
            <v>1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0</v>
          </cell>
          <cell r="M6435">
            <v>0</v>
          </cell>
          <cell r="N6435">
            <v>0</v>
          </cell>
          <cell r="O6435">
            <v>0</v>
          </cell>
          <cell r="P6435">
            <v>0</v>
          </cell>
          <cell r="Q6435">
            <v>0</v>
          </cell>
          <cell r="R6435">
            <v>0</v>
          </cell>
          <cell r="S6435">
            <v>0</v>
          </cell>
          <cell r="T6435">
            <v>0</v>
          </cell>
          <cell r="U6435">
            <v>0</v>
          </cell>
          <cell r="V6435">
            <v>0</v>
          </cell>
          <cell r="W6435">
            <v>0</v>
          </cell>
          <cell r="X6435">
            <v>0</v>
          </cell>
          <cell r="Y6435">
            <v>0</v>
          </cell>
        </row>
        <row r="6436">
          <cell r="D6436">
            <v>304941</v>
          </cell>
          <cell r="E6436" t="str">
            <v>Lubukan NHS</v>
          </cell>
          <cell r="F6436">
            <v>1</v>
          </cell>
          <cell r="G6436">
            <v>1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0</v>
          </cell>
          <cell r="M6436">
            <v>0</v>
          </cell>
          <cell r="N6436">
            <v>0</v>
          </cell>
          <cell r="O6436">
            <v>0</v>
          </cell>
          <cell r="P6436">
            <v>0</v>
          </cell>
          <cell r="Q6436">
            <v>0</v>
          </cell>
          <cell r="R6436">
            <v>0</v>
          </cell>
          <cell r="S6436">
            <v>0</v>
          </cell>
          <cell r="T6436">
            <v>0</v>
          </cell>
          <cell r="U6436">
            <v>0</v>
          </cell>
          <cell r="V6436">
            <v>0</v>
          </cell>
          <cell r="W6436">
            <v>0</v>
          </cell>
          <cell r="X6436">
            <v>0</v>
          </cell>
          <cell r="Y6436">
            <v>0</v>
          </cell>
        </row>
        <row r="6437">
          <cell r="D6437">
            <v>318004</v>
          </cell>
          <cell r="E6437" t="str">
            <v>Upper Bato-Bato National High School</v>
          </cell>
          <cell r="F6437">
            <v>0</v>
          </cell>
          <cell r="G6437">
            <v>0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0</v>
          </cell>
          <cell r="M6437">
            <v>0</v>
          </cell>
          <cell r="N6437">
            <v>0</v>
          </cell>
          <cell r="O6437">
            <v>0</v>
          </cell>
          <cell r="P6437">
            <v>0</v>
          </cell>
          <cell r="Q6437">
            <v>0</v>
          </cell>
          <cell r="R6437">
            <v>0</v>
          </cell>
          <cell r="S6437">
            <v>0</v>
          </cell>
          <cell r="T6437">
            <v>0</v>
          </cell>
          <cell r="U6437">
            <v>0</v>
          </cell>
          <cell r="V6437">
            <v>0</v>
          </cell>
          <cell r="W6437">
            <v>0</v>
          </cell>
          <cell r="X6437">
            <v>0</v>
          </cell>
          <cell r="Y6437">
            <v>0</v>
          </cell>
        </row>
        <row r="6438">
          <cell r="D6438">
            <v>304934</v>
          </cell>
          <cell r="E6438" t="str">
            <v>Bubuan NHS-Saluping Annex</v>
          </cell>
          <cell r="F6438">
            <v>1</v>
          </cell>
          <cell r="G6438">
            <v>1</v>
          </cell>
          <cell r="H6438">
            <v>0</v>
          </cell>
          <cell r="I6438">
            <v>0</v>
          </cell>
          <cell r="J6438">
            <v>1</v>
          </cell>
          <cell r="K6438">
            <v>0</v>
          </cell>
          <cell r="L6438">
            <v>0</v>
          </cell>
          <cell r="M6438">
            <v>0</v>
          </cell>
          <cell r="N6438">
            <v>1</v>
          </cell>
          <cell r="O6438">
            <v>0</v>
          </cell>
          <cell r="P6438">
            <v>0</v>
          </cell>
          <cell r="Q6438">
            <v>0</v>
          </cell>
          <cell r="R6438">
            <v>1</v>
          </cell>
          <cell r="S6438">
            <v>0</v>
          </cell>
          <cell r="T6438">
            <v>0</v>
          </cell>
          <cell r="U6438">
            <v>0</v>
          </cell>
          <cell r="V6438">
            <v>1</v>
          </cell>
          <cell r="W6438">
            <v>0</v>
          </cell>
          <cell r="X6438">
            <v>0</v>
          </cell>
          <cell r="Y6438">
            <v>0</v>
          </cell>
        </row>
        <row r="6439">
          <cell r="D6439">
            <v>304948</v>
          </cell>
          <cell r="E6439" t="str">
            <v>Sinulatan NHS</v>
          </cell>
          <cell r="F6439">
            <v>0</v>
          </cell>
          <cell r="G6439">
            <v>0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0</v>
          </cell>
          <cell r="M6439">
            <v>0</v>
          </cell>
          <cell r="N6439">
            <v>0</v>
          </cell>
          <cell r="O6439">
            <v>0</v>
          </cell>
          <cell r="P6439">
            <v>0</v>
          </cell>
          <cell r="Q6439">
            <v>0</v>
          </cell>
          <cell r="R6439">
            <v>0</v>
          </cell>
          <cell r="S6439">
            <v>0</v>
          </cell>
          <cell r="T6439">
            <v>0</v>
          </cell>
          <cell r="U6439">
            <v>0</v>
          </cell>
          <cell r="V6439">
            <v>0</v>
          </cell>
          <cell r="W6439">
            <v>0</v>
          </cell>
          <cell r="X6439">
            <v>0</v>
          </cell>
          <cell r="Y6439">
            <v>0</v>
          </cell>
        </row>
        <row r="6440">
          <cell r="D6440">
            <v>304954</v>
          </cell>
          <cell r="E6440" t="str">
            <v>Tipo-Tipo NHS</v>
          </cell>
          <cell r="F6440">
            <v>1</v>
          </cell>
          <cell r="G6440">
            <v>0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>
            <v>0</v>
          </cell>
          <cell r="M6440">
            <v>0</v>
          </cell>
          <cell r="N6440">
            <v>0</v>
          </cell>
          <cell r="O6440">
            <v>0</v>
          </cell>
          <cell r="P6440">
            <v>0</v>
          </cell>
          <cell r="Q6440">
            <v>0</v>
          </cell>
          <cell r="R6440">
            <v>0</v>
          </cell>
          <cell r="S6440">
            <v>0</v>
          </cell>
          <cell r="T6440">
            <v>0</v>
          </cell>
          <cell r="U6440">
            <v>0</v>
          </cell>
          <cell r="V6440">
            <v>0</v>
          </cell>
          <cell r="W6440">
            <v>0</v>
          </cell>
          <cell r="X6440">
            <v>0</v>
          </cell>
          <cell r="Y6440">
            <v>0</v>
          </cell>
        </row>
        <row r="6441">
          <cell r="D6441">
            <v>318003</v>
          </cell>
          <cell r="E6441" t="str">
            <v>Buton NHS</v>
          </cell>
          <cell r="F6441">
            <v>1</v>
          </cell>
          <cell r="G6441">
            <v>0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0</v>
          </cell>
          <cell r="M6441">
            <v>0</v>
          </cell>
          <cell r="N6441">
            <v>0</v>
          </cell>
          <cell r="O6441">
            <v>0</v>
          </cell>
          <cell r="P6441">
            <v>0</v>
          </cell>
          <cell r="Q6441">
            <v>0</v>
          </cell>
          <cell r="R6441">
            <v>0</v>
          </cell>
          <cell r="S6441">
            <v>0</v>
          </cell>
          <cell r="T6441">
            <v>0</v>
          </cell>
          <cell r="U6441">
            <v>0</v>
          </cell>
          <cell r="V6441">
            <v>0</v>
          </cell>
          <cell r="W6441">
            <v>0</v>
          </cell>
          <cell r="X6441">
            <v>0</v>
          </cell>
          <cell r="Y6441">
            <v>0</v>
          </cell>
        </row>
        <row r="6442">
          <cell r="D6442">
            <v>304926</v>
          </cell>
          <cell r="E6442" t="str">
            <v>Atong-Atong NHS</v>
          </cell>
          <cell r="F6442">
            <v>0</v>
          </cell>
          <cell r="G6442">
            <v>0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>
            <v>0</v>
          </cell>
          <cell r="M6442">
            <v>0</v>
          </cell>
          <cell r="N6442">
            <v>0</v>
          </cell>
          <cell r="O6442">
            <v>0</v>
          </cell>
          <cell r="P6442">
            <v>0</v>
          </cell>
          <cell r="Q6442">
            <v>0</v>
          </cell>
          <cell r="R6442">
            <v>0</v>
          </cell>
          <cell r="S6442">
            <v>0</v>
          </cell>
          <cell r="T6442">
            <v>0</v>
          </cell>
          <cell r="U6442">
            <v>0</v>
          </cell>
          <cell r="V6442">
            <v>0</v>
          </cell>
          <cell r="W6442">
            <v>0</v>
          </cell>
          <cell r="X6442">
            <v>0</v>
          </cell>
          <cell r="Y6442">
            <v>0</v>
          </cell>
        </row>
        <row r="6443">
          <cell r="D6443">
            <v>304943</v>
          </cell>
          <cell r="E6443" t="str">
            <v>Maluso NHS</v>
          </cell>
          <cell r="F6443">
            <v>1</v>
          </cell>
          <cell r="G6443">
            <v>1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0</v>
          </cell>
          <cell r="M6443">
            <v>0</v>
          </cell>
          <cell r="N6443">
            <v>0</v>
          </cell>
          <cell r="O6443">
            <v>0</v>
          </cell>
          <cell r="P6443">
            <v>0</v>
          </cell>
          <cell r="Q6443">
            <v>0</v>
          </cell>
          <cell r="R6443">
            <v>0</v>
          </cell>
          <cell r="S6443">
            <v>0</v>
          </cell>
          <cell r="T6443">
            <v>0</v>
          </cell>
          <cell r="U6443">
            <v>0</v>
          </cell>
          <cell r="V6443">
            <v>0</v>
          </cell>
          <cell r="W6443">
            <v>0</v>
          </cell>
          <cell r="X6443">
            <v>0</v>
          </cell>
          <cell r="Y6443">
            <v>0</v>
          </cell>
        </row>
        <row r="6444">
          <cell r="D6444">
            <v>304952</v>
          </cell>
          <cell r="E6444" t="str">
            <v>Sumisip NHS-Manggal Annex</v>
          </cell>
          <cell r="F6444">
            <v>0</v>
          </cell>
          <cell r="G6444">
            <v>0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0</v>
          </cell>
          <cell r="M6444">
            <v>0</v>
          </cell>
          <cell r="N6444">
            <v>0</v>
          </cell>
          <cell r="O6444">
            <v>0</v>
          </cell>
          <cell r="P6444">
            <v>0</v>
          </cell>
          <cell r="Q6444">
            <v>0</v>
          </cell>
          <cell r="R6444">
            <v>0</v>
          </cell>
          <cell r="S6444">
            <v>0</v>
          </cell>
          <cell r="T6444">
            <v>0</v>
          </cell>
          <cell r="U6444">
            <v>0</v>
          </cell>
          <cell r="V6444">
            <v>0</v>
          </cell>
          <cell r="W6444">
            <v>0</v>
          </cell>
          <cell r="X6444">
            <v>0</v>
          </cell>
          <cell r="Y6444">
            <v>0</v>
          </cell>
        </row>
        <row r="6445">
          <cell r="D6445">
            <v>304976</v>
          </cell>
          <cell r="E6445" t="str">
            <v>Sampal MNHS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0</v>
          </cell>
          <cell r="M6445">
            <v>0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>
            <v>0</v>
          </cell>
          <cell r="V6445">
            <v>0</v>
          </cell>
          <cell r="W6445">
            <v>0</v>
          </cell>
          <cell r="X6445">
            <v>0</v>
          </cell>
          <cell r="Y6445">
            <v>0</v>
          </cell>
        </row>
        <row r="6446">
          <cell r="D6446">
            <v>304955</v>
          </cell>
          <cell r="E6446" t="str">
            <v>Acoon Memorial National High School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0</v>
          </cell>
          <cell r="M6446">
            <v>0</v>
          </cell>
          <cell r="N6446">
            <v>0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>
            <v>0</v>
          </cell>
          <cell r="V6446">
            <v>0</v>
          </cell>
          <cell r="W6446">
            <v>0</v>
          </cell>
          <cell r="X6446">
            <v>0</v>
          </cell>
          <cell r="Y6446">
            <v>0</v>
          </cell>
        </row>
        <row r="6447">
          <cell r="D6447">
            <v>304962</v>
          </cell>
          <cell r="E6447" t="str">
            <v>Amai Manabilang Memorial NHS</v>
          </cell>
          <cell r="F6447">
            <v>1</v>
          </cell>
          <cell r="G6447">
            <v>1</v>
          </cell>
          <cell r="H6447">
            <v>1</v>
          </cell>
          <cell r="I6447">
            <v>0</v>
          </cell>
          <cell r="J6447">
            <v>1</v>
          </cell>
          <cell r="K6447">
            <v>0</v>
          </cell>
          <cell r="L6447">
            <v>0</v>
          </cell>
          <cell r="M6447">
            <v>0</v>
          </cell>
          <cell r="N6447">
            <v>1</v>
          </cell>
          <cell r="O6447" t="str">
            <v>August 16, 2019</v>
          </cell>
          <cell r="P6447" t="str">
            <v>August 16, 2019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>
            <v>0</v>
          </cell>
          <cell r="V6447">
            <v>1</v>
          </cell>
          <cell r="W6447">
            <v>2</v>
          </cell>
          <cell r="X6447">
            <v>2</v>
          </cell>
          <cell r="Y6447">
            <v>2</v>
          </cell>
        </row>
        <row r="6448">
          <cell r="D6448">
            <v>318104</v>
          </cell>
          <cell r="E6448" t="str">
            <v>Sultan Alimoddin MNHS</v>
          </cell>
          <cell r="F6448">
            <v>1</v>
          </cell>
          <cell r="G6448">
            <v>1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>
            <v>0</v>
          </cell>
          <cell r="M6448">
            <v>0</v>
          </cell>
          <cell r="N6448">
            <v>0</v>
          </cell>
          <cell r="O6448">
            <v>0</v>
          </cell>
          <cell r="P6448">
            <v>0</v>
          </cell>
          <cell r="Q6448">
            <v>0</v>
          </cell>
          <cell r="R6448">
            <v>0</v>
          </cell>
          <cell r="S6448">
            <v>0</v>
          </cell>
          <cell r="T6448">
            <v>0</v>
          </cell>
          <cell r="U6448">
            <v>0</v>
          </cell>
          <cell r="V6448">
            <v>0</v>
          </cell>
          <cell r="W6448">
            <v>0</v>
          </cell>
          <cell r="X6448">
            <v>0</v>
          </cell>
          <cell r="Y6448">
            <v>0</v>
          </cell>
        </row>
        <row r="6449">
          <cell r="D6449">
            <v>304963</v>
          </cell>
          <cell r="E6449" t="str">
            <v>Datu Calaca MNCHS</v>
          </cell>
          <cell r="F6449">
            <v>1</v>
          </cell>
          <cell r="G6449">
            <v>1</v>
          </cell>
          <cell r="H6449">
            <v>1</v>
          </cell>
          <cell r="I6449">
            <v>0</v>
          </cell>
          <cell r="J6449">
            <v>1</v>
          </cell>
          <cell r="K6449">
            <v>0</v>
          </cell>
          <cell r="L6449">
            <v>0</v>
          </cell>
          <cell r="M6449">
            <v>0</v>
          </cell>
          <cell r="N6449">
            <v>0</v>
          </cell>
          <cell r="O6449">
            <v>0</v>
          </cell>
          <cell r="P6449">
            <v>0</v>
          </cell>
          <cell r="Q6449">
            <v>0</v>
          </cell>
          <cell r="R6449">
            <v>1</v>
          </cell>
          <cell r="S6449">
            <v>0</v>
          </cell>
          <cell r="T6449">
            <v>0</v>
          </cell>
          <cell r="U6449">
            <v>0</v>
          </cell>
          <cell r="V6449">
            <v>1</v>
          </cell>
          <cell r="W6449">
            <v>0</v>
          </cell>
          <cell r="X6449">
            <v>0</v>
          </cell>
          <cell r="Y6449">
            <v>0</v>
          </cell>
        </row>
        <row r="6450">
          <cell r="D6450">
            <v>304973</v>
          </cell>
          <cell r="E6450" t="str">
            <v>Piagapo NHS</v>
          </cell>
          <cell r="F6450">
            <v>1</v>
          </cell>
          <cell r="G6450">
            <v>0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>
            <v>0</v>
          </cell>
          <cell r="M6450">
            <v>0</v>
          </cell>
          <cell r="N6450">
            <v>0</v>
          </cell>
          <cell r="O6450">
            <v>0</v>
          </cell>
          <cell r="P6450">
            <v>0</v>
          </cell>
          <cell r="Q6450">
            <v>0</v>
          </cell>
          <cell r="R6450">
            <v>0</v>
          </cell>
          <cell r="S6450">
            <v>0</v>
          </cell>
          <cell r="T6450">
            <v>0</v>
          </cell>
          <cell r="U6450">
            <v>0</v>
          </cell>
          <cell r="V6450">
            <v>0</v>
          </cell>
          <cell r="W6450">
            <v>0</v>
          </cell>
          <cell r="X6450">
            <v>0</v>
          </cell>
          <cell r="Y6450">
            <v>0</v>
          </cell>
        </row>
        <row r="6451">
          <cell r="D6451">
            <v>304965</v>
          </cell>
          <cell r="E6451" t="str">
            <v>Datu Palawan Disomimba MNHS</v>
          </cell>
          <cell r="F6451">
            <v>1</v>
          </cell>
          <cell r="G6451">
            <v>1</v>
          </cell>
          <cell r="H6451">
            <v>1</v>
          </cell>
          <cell r="I6451">
            <v>0</v>
          </cell>
          <cell r="J6451">
            <v>1</v>
          </cell>
          <cell r="K6451">
            <v>0</v>
          </cell>
          <cell r="L6451">
            <v>0</v>
          </cell>
          <cell r="M6451">
            <v>0</v>
          </cell>
          <cell r="N6451">
            <v>1</v>
          </cell>
          <cell r="O6451">
            <v>0</v>
          </cell>
          <cell r="P6451">
            <v>0</v>
          </cell>
          <cell r="Q6451">
            <v>0</v>
          </cell>
          <cell r="R6451">
            <v>1</v>
          </cell>
          <cell r="S6451">
            <v>0</v>
          </cell>
          <cell r="T6451">
            <v>0</v>
          </cell>
          <cell r="U6451">
            <v>0</v>
          </cell>
          <cell r="V6451">
            <v>1</v>
          </cell>
          <cell r="W6451">
            <v>0</v>
          </cell>
          <cell r="X6451">
            <v>0</v>
          </cell>
          <cell r="Y6451">
            <v>0</v>
          </cell>
        </row>
        <row r="6452">
          <cell r="D6452">
            <v>318130</v>
          </cell>
          <cell r="E6452" t="str">
            <v>Panang NHS</v>
          </cell>
          <cell r="F6452">
            <v>1</v>
          </cell>
          <cell r="G6452">
            <v>1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0</v>
          </cell>
          <cell r="M6452">
            <v>0</v>
          </cell>
          <cell r="N6452">
            <v>0</v>
          </cell>
          <cell r="O6452">
            <v>0</v>
          </cell>
          <cell r="P6452">
            <v>0</v>
          </cell>
          <cell r="Q6452">
            <v>0</v>
          </cell>
          <cell r="R6452">
            <v>0</v>
          </cell>
          <cell r="S6452">
            <v>0</v>
          </cell>
          <cell r="T6452">
            <v>0</v>
          </cell>
          <cell r="U6452">
            <v>0</v>
          </cell>
          <cell r="V6452">
            <v>0</v>
          </cell>
          <cell r="W6452">
            <v>0</v>
          </cell>
          <cell r="X6452">
            <v>0</v>
          </cell>
          <cell r="Y6452">
            <v>0</v>
          </cell>
        </row>
        <row r="6453">
          <cell r="D6453">
            <v>318108</v>
          </cell>
          <cell r="E6453" t="str">
            <v>Sitty Amanie Moh. Kiram NHS</v>
          </cell>
          <cell r="F6453">
            <v>1</v>
          </cell>
          <cell r="G6453">
            <v>0</v>
          </cell>
          <cell r="H6453">
            <v>1</v>
          </cell>
          <cell r="I6453">
            <v>0</v>
          </cell>
          <cell r="J6453">
            <v>1</v>
          </cell>
          <cell r="K6453">
            <v>0</v>
          </cell>
          <cell r="L6453">
            <v>0</v>
          </cell>
          <cell r="M6453">
            <v>0</v>
          </cell>
          <cell r="N6453">
            <v>1</v>
          </cell>
          <cell r="O6453" t="str">
            <v>JULY 06, 2019</v>
          </cell>
          <cell r="P6453" t="str">
            <v>JULY 20, 2019</v>
          </cell>
          <cell r="Q6453">
            <v>0</v>
          </cell>
          <cell r="R6453">
            <v>1</v>
          </cell>
          <cell r="S6453">
            <v>0</v>
          </cell>
          <cell r="T6453">
            <v>0</v>
          </cell>
          <cell r="U6453">
            <v>0</v>
          </cell>
          <cell r="V6453">
            <v>1</v>
          </cell>
          <cell r="W6453">
            <v>2</v>
          </cell>
          <cell r="X6453">
            <v>1</v>
          </cell>
          <cell r="Y6453">
            <v>1</v>
          </cell>
        </row>
        <row r="6454">
          <cell r="D6454">
            <v>318109</v>
          </cell>
          <cell r="E6454" t="str">
            <v>Ansano Memorial NHS</v>
          </cell>
          <cell r="F6454">
            <v>1</v>
          </cell>
          <cell r="G6454">
            <v>0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>
            <v>0</v>
          </cell>
          <cell r="M6454">
            <v>0</v>
          </cell>
          <cell r="N6454">
            <v>0</v>
          </cell>
          <cell r="O6454">
            <v>0</v>
          </cell>
          <cell r="P6454">
            <v>0</v>
          </cell>
          <cell r="Q6454">
            <v>0</v>
          </cell>
          <cell r="R6454">
            <v>0</v>
          </cell>
          <cell r="S6454">
            <v>0</v>
          </cell>
          <cell r="T6454">
            <v>0</v>
          </cell>
          <cell r="U6454">
            <v>0</v>
          </cell>
          <cell r="V6454">
            <v>0</v>
          </cell>
          <cell r="W6454">
            <v>0</v>
          </cell>
          <cell r="X6454">
            <v>0</v>
          </cell>
          <cell r="Y6454">
            <v>0</v>
          </cell>
        </row>
        <row r="6455">
          <cell r="D6455">
            <v>318113</v>
          </cell>
          <cell r="E6455" t="str">
            <v>Macatanong Memorial NHS</v>
          </cell>
          <cell r="F6455">
            <v>1</v>
          </cell>
          <cell r="G6455">
            <v>0</v>
          </cell>
          <cell r="H6455">
            <v>1</v>
          </cell>
          <cell r="I6455">
            <v>0</v>
          </cell>
          <cell r="J6455">
            <v>1</v>
          </cell>
          <cell r="K6455">
            <v>0</v>
          </cell>
          <cell r="L6455">
            <v>0</v>
          </cell>
          <cell r="M6455">
            <v>0</v>
          </cell>
          <cell r="N6455">
            <v>1</v>
          </cell>
          <cell r="O6455">
            <v>43709</v>
          </cell>
          <cell r="P6455">
            <v>0</v>
          </cell>
          <cell r="Q6455">
            <v>0</v>
          </cell>
          <cell r="R6455">
            <v>0</v>
          </cell>
          <cell r="S6455">
            <v>0</v>
          </cell>
          <cell r="T6455">
            <v>1</v>
          </cell>
          <cell r="U6455" t="str">
            <v>N/A</v>
          </cell>
          <cell r="V6455">
            <v>0</v>
          </cell>
          <cell r="W6455">
            <v>1</v>
          </cell>
          <cell r="X6455">
            <v>1</v>
          </cell>
          <cell r="Y6455">
            <v>0</v>
          </cell>
        </row>
        <row r="6456">
          <cell r="D6456">
            <v>324601</v>
          </cell>
          <cell r="E6456" t="str">
            <v>Datu Mamintal Adiong Sr. Mem. NHS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1</v>
          </cell>
          <cell r="L6456">
            <v>0</v>
          </cell>
          <cell r="M6456">
            <v>0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>
            <v>0</v>
          </cell>
          <cell r="V6456">
            <v>0</v>
          </cell>
          <cell r="W6456">
            <v>0</v>
          </cell>
          <cell r="X6456">
            <v>0</v>
          </cell>
          <cell r="Y6456">
            <v>0</v>
          </cell>
        </row>
        <row r="6457">
          <cell r="D6457">
            <v>304970</v>
          </cell>
          <cell r="E6457" t="str">
            <v>Kakai Dayagun Dagalangit NHS</v>
          </cell>
          <cell r="F6457">
            <v>1</v>
          </cell>
          <cell r="G6457">
            <v>1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0</v>
          </cell>
          <cell r="M6457">
            <v>0</v>
          </cell>
          <cell r="N6457">
            <v>1</v>
          </cell>
          <cell r="O6457">
            <v>43637</v>
          </cell>
          <cell r="P6457">
            <v>43661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>
            <v>0</v>
          </cell>
          <cell r="V6457">
            <v>1</v>
          </cell>
          <cell r="W6457">
            <v>0</v>
          </cell>
          <cell r="X6457">
            <v>0</v>
          </cell>
          <cell r="Y6457">
            <v>0</v>
          </cell>
        </row>
        <row r="6458">
          <cell r="D6458">
            <v>304972</v>
          </cell>
          <cell r="E6458" t="str">
            <v>Pagalongan NHS</v>
          </cell>
          <cell r="F6458">
            <v>1</v>
          </cell>
          <cell r="G6458">
            <v>1</v>
          </cell>
          <cell r="H6458">
            <v>1</v>
          </cell>
          <cell r="I6458">
            <v>0</v>
          </cell>
          <cell r="J6458">
            <v>1</v>
          </cell>
          <cell r="K6458">
            <v>0</v>
          </cell>
          <cell r="L6458">
            <v>0</v>
          </cell>
          <cell r="M6458">
            <v>0</v>
          </cell>
          <cell r="N6458">
            <v>1</v>
          </cell>
          <cell r="O6458">
            <v>43626</v>
          </cell>
          <cell r="P6458">
            <v>0</v>
          </cell>
          <cell r="Q6458">
            <v>1</v>
          </cell>
          <cell r="R6458">
            <v>0</v>
          </cell>
          <cell r="S6458">
            <v>0</v>
          </cell>
          <cell r="T6458">
            <v>0</v>
          </cell>
          <cell r="U6458">
            <v>0</v>
          </cell>
          <cell r="V6458">
            <v>1</v>
          </cell>
          <cell r="W6458">
            <v>0</v>
          </cell>
          <cell r="X6458">
            <v>0</v>
          </cell>
          <cell r="Y6458">
            <v>0</v>
          </cell>
        </row>
        <row r="6459">
          <cell r="D6459">
            <v>318132</v>
          </cell>
          <cell r="E6459" t="str">
            <v>Milaya Saripada NHS</v>
          </cell>
          <cell r="F6459">
            <v>1</v>
          </cell>
          <cell r="G6459">
            <v>1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>
            <v>0</v>
          </cell>
          <cell r="M6459">
            <v>0</v>
          </cell>
          <cell r="N6459">
            <v>0</v>
          </cell>
          <cell r="O6459">
            <v>0</v>
          </cell>
          <cell r="P6459">
            <v>0</v>
          </cell>
          <cell r="Q6459">
            <v>0</v>
          </cell>
          <cell r="R6459">
            <v>0</v>
          </cell>
          <cell r="S6459">
            <v>0</v>
          </cell>
          <cell r="T6459">
            <v>0</v>
          </cell>
          <cell r="U6459">
            <v>0</v>
          </cell>
          <cell r="V6459">
            <v>0</v>
          </cell>
          <cell r="W6459">
            <v>0</v>
          </cell>
          <cell r="X6459">
            <v>0</v>
          </cell>
          <cell r="Y6459">
            <v>0</v>
          </cell>
        </row>
        <row r="6460">
          <cell r="D6460">
            <v>318107</v>
          </cell>
          <cell r="E6460" t="str">
            <v>Masiricampo Abantas Memorial NHS</v>
          </cell>
          <cell r="F6460">
            <v>1</v>
          </cell>
          <cell r="G6460">
            <v>1</v>
          </cell>
          <cell r="H6460">
            <v>1</v>
          </cell>
          <cell r="I6460">
            <v>1</v>
          </cell>
          <cell r="J6460">
            <v>0</v>
          </cell>
          <cell r="K6460">
            <v>0</v>
          </cell>
          <cell r="L6460">
            <v>0</v>
          </cell>
          <cell r="M6460">
            <v>0</v>
          </cell>
          <cell r="N6460">
            <v>1</v>
          </cell>
          <cell r="O6460">
            <v>43739</v>
          </cell>
          <cell r="P6460">
            <v>43739</v>
          </cell>
          <cell r="Q6460">
            <v>1</v>
          </cell>
          <cell r="R6460">
            <v>0</v>
          </cell>
          <cell r="S6460">
            <v>0</v>
          </cell>
          <cell r="T6460">
            <v>0</v>
          </cell>
          <cell r="U6460">
            <v>0</v>
          </cell>
          <cell r="V6460">
            <v>1</v>
          </cell>
          <cell r="W6460">
            <v>0</v>
          </cell>
          <cell r="X6460">
            <v>0</v>
          </cell>
          <cell r="Y6460">
            <v>0</v>
          </cell>
        </row>
        <row r="6461">
          <cell r="D6461">
            <v>304974</v>
          </cell>
          <cell r="E6461" t="str">
            <v>Pooni-Lomabao MNHS</v>
          </cell>
          <cell r="F6461">
            <v>1</v>
          </cell>
          <cell r="G6461">
            <v>1</v>
          </cell>
          <cell r="H6461">
            <v>1</v>
          </cell>
          <cell r="I6461">
            <v>0</v>
          </cell>
          <cell r="J6461">
            <v>0</v>
          </cell>
          <cell r="K6461">
            <v>0</v>
          </cell>
          <cell r="L6461">
            <v>0</v>
          </cell>
          <cell r="M6461">
            <v>0</v>
          </cell>
          <cell r="N6461">
            <v>1</v>
          </cell>
          <cell r="O6461">
            <v>0</v>
          </cell>
          <cell r="P6461">
            <v>0</v>
          </cell>
          <cell r="Q6461">
            <v>0</v>
          </cell>
          <cell r="R6461">
            <v>0</v>
          </cell>
          <cell r="S6461">
            <v>0</v>
          </cell>
          <cell r="T6461">
            <v>0</v>
          </cell>
          <cell r="U6461">
            <v>0</v>
          </cell>
          <cell r="V6461">
            <v>1</v>
          </cell>
          <cell r="W6461">
            <v>0</v>
          </cell>
          <cell r="X6461">
            <v>0</v>
          </cell>
          <cell r="Y6461">
            <v>0</v>
          </cell>
        </row>
        <row r="6462">
          <cell r="D6462">
            <v>304968</v>
          </cell>
          <cell r="E6462" t="str">
            <v>Mangurun Memorial NHS</v>
          </cell>
          <cell r="F6462">
            <v>1</v>
          </cell>
          <cell r="G6462">
            <v>1</v>
          </cell>
          <cell r="H6462">
            <v>1</v>
          </cell>
          <cell r="I6462">
            <v>0</v>
          </cell>
          <cell r="J6462">
            <v>1</v>
          </cell>
          <cell r="K6462">
            <v>0</v>
          </cell>
          <cell r="L6462">
            <v>0</v>
          </cell>
          <cell r="M6462">
            <v>0</v>
          </cell>
          <cell r="N6462">
            <v>0</v>
          </cell>
          <cell r="O6462">
            <v>0</v>
          </cell>
          <cell r="P6462" t="str">
            <v>NOV. 2019</v>
          </cell>
          <cell r="Q6462">
            <v>0</v>
          </cell>
          <cell r="R6462">
            <v>1</v>
          </cell>
          <cell r="S6462">
            <v>0</v>
          </cell>
          <cell r="T6462">
            <v>0</v>
          </cell>
          <cell r="U6462">
            <v>0</v>
          </cell>
          <cell r="V6462">
            <v>1</v>
          </cell>
          <cell r="W6462">
            <v>0</v>
          </cell>
          <cell r="X6462">
            <v>0</v>
          </cell>
          <cell r="Y6462">
            <v>0</v>
          </cell>
        </row>
        <row r="6463">
          <cell r="D6463">
            <v>304966</v>
          </cell>
          <cell r="E6463" t="str">
            <v>Kili-Kili NHS</v>
          </cell>
          <cell r="F6463">
            <v>1</v>
          </cell>
          <cell r="G6463">
            <v>1</v>
          </cell>
          <cell r="H6463">
            <v>1</v>
          </cell>
          <cell r="I6463">
            <v>0</v>
          </cell>
          <cell r="J6463">
            <v>0</v>
          </cell>
          <cell r="K6463">
            <v>1</v>
          </cell>
          <cell r="L6463">
            <v>0</v>
          </cell>
          <cell r="M6463">
            <v>0</v>
          </cell>
          <cell r="N6463">
            <v>1</v>
          </cell>
          <cell r="O6463">
            <v>0</v>
          </cell>
          <cell r="P6463">
            <v>0</v>
          </cell>
          <cell r="Q6463">
            <v>0</v>
          </cell>
          <cell r="R6463">
            <v>0</v>
          </cell>
          <cell r="S6463">
            <v>1</v>
          </cell>
          <cell r="T6463">
            <v>0</v>
          </cell>
          <cell r="U6463">
            <v>0</v>
          </cell>
          <cell r="V6463">
            <v>0</v>
          </cell>
          <cell r="W6463">
            <v>1</v>
          </cell>
          <cell r="X6463">
            <v>0</v>
          </cell>
          <cell r="Y6463">
            <v>0</v>
          </cell>
        </row>
        <row r="6464">
          <cell r="D6464">
            <v>318114</v>
          </cell>
          <cell r="E6464" t="str">
            <v>Sultan Guro Memorial NHS</v>
          </cell>
          <cell r="F6464">
            <v>1</v>
          </cell>
          <cell r="G6464">
            <v>1</v>
          </cell>
          <cell r="H6464">
            <v>0</v>
          </cell>
          <cell r="I6464">
            <v>0</v>
          </cell>
          <cell r="J6464">
            <v>1</v>
          </cell>
          <cell r="K6464">
            <v>0</v>
          </cell>
          <cell r="L6464">
            <v>0</v>
          </cell>
          <cell r="M6464">
            <v>0</v>
          </cell>
          <cell r="N6464">
            <v>0</v>
          </cell>
          <cell r="O6464">
            <v>0</v>
          </cell>
          <cell r="P6464">
            <v>0</v>
          </cell>
          <cell r="Q6464">
            <v>0</v>
          </cell>
          <cell r="R6464">
            <v>1</v>
          </cell>
          <cell r="S6464">
            <v>0</v>
          </cell>
          <cell r="T6464">
            <v>0</v>
          </cell>
          <cell r="U6464">
            <v>0</v>
          </cell>
          <cell r="V6464">
            <v>1</v>
          </cell>
          <cell r="W6464">
            <v>0</v>
          </cell>
          <cell r="X6464">
            <v>0</v>
          </cell>
          <cell r="Y6464">
            <v>0</v>
          </cell>
        </row>
        <row r="6465">
          <cell r="D6465">
            <v>318111</v>
          </cell>
          <cell r="E6465" t="str">
            <v>Ragayan National HS</v>
          </cell>
          <cell r="F6465">
            <v>1</v>
          </cell>
          <cell r="G6465">
            <v>1</v>
          </cell>
          <cell r="H6465">
            <v>1</v>
          </cell>
          <cell r="I6465">
            <v>0</v>
          </cell>
          <cell r="J6465">
            <v>1</v>
          </cell>
          <cell r="K6465">
            <v>0</v>
          </cell>
          <cell r="L6465">
            <v>0</v>
          </cell>
          <cell r="M6465">
            <v>0</v>
          </cell>
          <cell r="N6465">
            <v>1</v>
          </cell>
          <cell r="O6465">
            <v>43628</v>
          </cell>
          <cell r="P6465">
            <v>43263</v>
          </cell>
          <cell r="Q6465">
            <v>0</v>
          </cell>
          <cell r="R6465">
            <v>0</v>
          </cell>
          <cell r="S6465">
            <v>1</v>
          </cell>
          <cell r="T6465">
            <v>0</v>
          </cell>
          <cell r="U6465">
            <v>0</v>
          </cell>
          <cell r="V6465">
            <v>1</v>
          </cell>
          <cell r="W6465">
            <v>0</v>
          </cell>
          <cell r="X6465">
            <v>0</v>
          </cell>
          <cell r="Y6465">
            <v>0</v>
          </cell>
        </row>
        <row r="6466">
          <cell r="D6466">
            <v>304967</v>
          </cell>
          <cell r="E6466" t="str">
            <v>Sultan Labay Moriatao-Bae Technical-Vocational School</v>
          </cell>
          <cell r="F6466">
            <v>1</v>
          </cell>
          <cell r="G6466">
            <v>1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>
            <v>0</v>
          </cell>
          <cell r="M6466">
            <v>0</v>
          </cell>
          <cell r="N6466">
            <v>0</v>
          </cell>
          <cell r="O6466">
            <v>0</v>
          </cell>
          <cell r="P6466">
            <v>0</v>
          </cell>
          <cell r="Q6466">
            <v>0</v>
          </cell>
          <cell r="R6466">
            <v>0</v>
          </cell>
          <cell r="S6466">
            <v>0</v>
          </cell>
          <cell r="T6466">
            <v>0</v>
          </cell>
          <cell r="U6466">
            <v>0</v>
          </cell>
          <cell r="V6466">
            <v>0</v>
          </cell>
          <cell r="W6466">
            <v>0</v>
          </cell>
          <cell r="X6466">
            <v>0</v>
          </cell>
          <cell r="Y6466">
            <v>0</v>
          </cell>
        </row>
        <row r="6467">
          <cell r="D6467">
            <v>318124</v>
          </cell>
          <cell r="E6467" t="str">
            <v>M &amp; S Maito Basak NHS</v>
          </cell>
          <cell r="F6467">
            <v>1</v>
          </cell>
          <cell r="G6467">
            <v>1</v>
          </cell>
          <cell r="H6467">
            <v>1</v>
          </cell>
          <cell r="I6467">
            <v>0</v>
          </cell>
          <cell r="J6467">
            <v>1</v>
          </cell>
          <cell r="K6467">
            <v>0</v>
          </cell>
          <cell r="L6467">
            <v>0</v>
          </cell>
          <cell r="M6467">
            <v>0</v>
          </cell>
          <cell r="N6467">
            <v>1</v>
          </cell>
          <cell r="O6467" t="str">
            <v>07/15/2019</v>
          </cell>
          <cell r="P6467" t="str">
            <v>10/30/2019</v>
          </cell>
          <cell r="Q6467">
            <v>1</v>
          </cell>
          <cell r="R6467">
            <v>0</v>
          </cell>
          <cell r="S6467">
            <v>0</v>
          </cell>
          <cell r="T6467">
            <v>0</v>
          </cell>
          <cell r="U6467">
            <v>0</v>
          </cell>
          <cell r="V6467">
            <v>1</v>
          </cell>
          <cell r="W6467">
            <v>5</v>
          </cell>
          <cell r="X6467">
            <v>5</v>
          </cell>
          <cell r="Y6467">
            <v>5</v>
          </cell>
        </row>
        <row r="6468">
          <cell r="D6468">
            <v>304958</v>
          </cell>
          <cell r="E6468" t="str">
            <v>Balindong NHS</v>
          </cell>
          <cell r="F6468">
            <v>1</v>
          </cell>
          <cell r="G6468">
            <v>1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>
            <v>1</v>
          </cell>
          <cell r="M6468" t="str">
            <v>NONE</v>
          </cell>
          <cell r="N6468">
            <v>0</v>
          </cell>
          <cell r="O6468">
            <v>0</v>
          </cell>
          <cell r="P6468">
            <v>0</v>
          </cell>
          <cell r="Q6468">
            <v>0</v>
          </cell>
          <cell r="R6468">
            <v>0</v>
          </cell>
          <cell r="S6468">
            <v>0</v>
          </cell>
          <cell r="T6468">
            <v>1</v>
          </cell>
          <cell r="U6468" t="str">
            <v>NONE</v>
          </cell>
          <cell r="V6468">
            <v>0</v>
          </cell>
          <cell r="W6468">
            <v>0</v>
          </cell>
          <cell r="X6468">
            <v>0</v>
          </cell>
          <cell r="Y6468">
            <v>0</v>
          </cell>
        </row>
        <row r="6469">
          <cell r="D6469">
            <v>304957</v>
          </cell>
          <cell r="E6469" t="str">
            <v>Ambor MNHS</v>
          </cell>
          <cell r="F6469">
            <v>1</v>
          </cell>
          <cell r="G6469">
            <v>1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>
            <v>1</v>
          </cell>
          <cell r="M6469">
            <v>0</v>
          </cell>
          <cell r="N6469">
            <v>0</v>
          </cell>
          <cell r="O6469">
            <v>0</v>
          </cell>
          <cell r="P6469">
            <v>0</v>
          </cell>
          <cell r="Q6469">
            <v>0</v>
          </cell>
          <cell r="R6469">
            <v>0</v>
          </cell>
          <cell r="S6469">
            <v>0</v>
          </cell>
          <cell r="T6469">
            <v>1</v>
          </cell>
          <cell r="U6469">
            <v>0</v>
          </cell>
          <cell r="V6469">
            <v>0</v>
          </cell>
          <cell r="W6469">
            <v>0</v>
          </cell>
          <cell r="X6469">
            <v>0</v>
          </cell>
          <cell r="Y6469">
            <v>0</v>
          </cell>
        </row>
        <row r="6470">
          <cell r="D6470">
            <v>318118</v>
          </cell>
          <cell r="E6470" t="str">
            <v>Johayver Maulana NHS</v>
          </cell>
          <cell r="F6470">
            <v>1</v>
          </cell>
          <cell r="G6470">
            <v>1</v>
          </cell>
          <cell r="H6470">
            <v>1</v>
          </cell>
          <cell r="I6470">
            <v>0</v>
          </cell>
          <cell r="J6470">
            <v>0</v>
          </cell>
          <cell r="K6470">
            <v>0</v>
          </cell>
          <cell r="L6470">
            <v>0</v>
          </cell>
          <cell r="M6470">
            <v>0</v>
          </cell>
          <cell r="N6470">
            <v>0</v>
          </cell>
          <cell r="O6470">
            <v>0</v>
          </cell>
          <cell r="P6470">
            <v>0</v>
          </cell>
          <cell r="Q6470">
            <v>0</v>
          </cell>
          <cell r="R6470">
            <v>0</v>
          </cell>
          <cell r="S6470">
            <v>0</v>
          </cell>
          <cell r="T6470">
            <v>0</v>
          </cell>
          <cell r="U6470">
            <v>0</v>
          </cell>
          <cell r="V6470">
            <v>0</v>
          </cell>
          <cell r="W6470">
            <v>0</v>
          </cell>
          <cell r="X6470">
            <v>0</v>
          </cell>
          <cell r="Y6470">
            <v>0</v>
          </cell>
        </row>
        <row r="6471">
          <cell r="D6471">
            <v>304960</v>
          </cell>
          <cell r="E6471" t="str">
            <v>Buadiposo-Buntong NHS</v>
          </cell>
          <cell r="F6471">
            <v>1</v>
          </cell>
          <cell r="G6471">
            <v>1</v>
          </cell>
          <cell r="H6471">
            <v>0</v>
          </cell>
          <cell r="I6471">
            <v>0</v>
          </cell>
          <cell r="J6471">
            <v>1</v>
          </cell>
          <cell r="K6471">
            <v>0</v>
          </cell>
          <cell r="L6471">
            <v>0</v>
          </cell>
          <cell r="M6471">
            <v>0</v>
          </cell>
          <cell r="N6471">
            <v>1</v>
          </cell>
          <cell r="O6471" t="str">
            <v>10/21/2019</v>
          </cell>
          <cell r="P6471" t="str">
            <v>10/19/2019</v>
          </cell>
          <cell r="Q6471">
            <v>0</v>
          </cell>
          <cell r="R6471">
            <v>1</v>
          </cell>
          <cell r="S6471">
            <v>0</v>
          </cell>
          <cell r="T6471">
            <v>0</v>
          </cell>
          <cell r="U6471">
            <v>0</v>
          </cell>
          <cell r="V6471">
            <v>1</v>
          </cell>
          <cell r="W6471">
            <v>0</v>
          </cell>
          <cell r="X6471">
            <v>0</v>
          </cell>
          <cell r="Y6471">
            <v>0</v>
          </cell>
        </row>
        <row r="6472">
          <cell r="D6472">
            <v>304971</v>
          </cell>
          <cell r="E6472" t="str">
            <v>Mulondo NHS</v>
          </cell>
          <cell r="F6472">
            <v>1</v>
          </cell>
          <cell r="G6472">
            <v>1</v>
          </cell>
          <cell r="H6472">
            <v>1</v>
          </cell>
          <cell r="I6472">
            <v>0</v>
          </cell>
          <cell r="J6472">
            <v>1</v>
          </cell>
          <cell r="K6472">
            <v>0</v>
          </cell>
          <cell r="L6472">
            <v>0</v>
          </cell>
          <cell r="M6472">
            <v>0</v>
          </cell>
          <cell r="N6472">
            <v>1</v>
          </cell>
          <cell r="O6472">
            <v>43766</v>
          </cell>
          <cell r="P6472">
            <v>43766</v>
          </cell>
          <cell r="Q6472">
            <v>0</v>
          </cell>
          <cell r="R6472">
            <v>1</v>
          </cell>
          <cell r="S6472">
            <v>0</v>
          </cell>
          <cell r="T6472">
            <v>0</v>
          </cell>
          <cell r="U6472">
            <v>0</v>
          </cell>
          <cell r="V6472">
            <v>0</v>
          </cell>
          <cell r="W6472">
            <v>4</v>
          </cell>
          <cell r="X6472">
            <v>0</v>
          </cell>
          <cell r="Y6472">
            <v>4</v>
          </cell>
        </row>
        <row r="6473">
          <cell r="D6473">
            <v>318116</v>
          </cell>
          <cell r="E6473" t="str">
            <v>East Bayabao Integrated NHS of Vocational  Technology</v>
          </cell>
          <cell r="F6473">
            <v>1</v>
          </cell>
          <cell r="G6473">
            <v>1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>
            <v>0</v>
          </cell>
          <cell r="M6473">
            <v>0</v>
          </cell>
          <cell r="N6473">
            <v>0</v>
          </cell>
          <cell r="O6473">
            <v>0</v>
          </cell>
          <cell r="P6473">
            <v>0</v>
          </cell>
          <cell r="Q6473">
            <v>0</v>
          </cell>
          <cell r="R6473">
            <v>0</v>
          </cell>
          <cell r="S6473">
            <v>0</v>
          </cell>
          <cell r="T6473">
            <v>0</v>
          </cell>
          <cell r="U6473">
            <v>0</v>
          </cell>
          <cell r="V6473">
            <v>0</v>
          </cell>
          <cell r="W6473">
            <v>0</v>
          </cell>
          <cell r="X6473">
            <v>0</v>
          </cell>
          <cell r="Y6473">
            <v>0</v>
          </cell>
        </row>
        <row r="6474">
          <cell r="D6474">
            <v>318112</v>
          </cell>
          <cell r="E6474" t="str">
            <v>Bubonga Marantao NHS</v>
          </cell>
          <cell r="F6474">
            <v>1</v>
          </cell>
          <cell r="G6474">
            <v>1</v>
          </cell>
          <cell r="H6474">
            <v>1</v>
          </cell>
          <cell r="I6474">
            <v>0</v>
          </cell>
          <cell r="J6474">
            <v>1</v>
          </cell>
          <cell r="K6474">
            <v>0</v>
          </cell>
          <cell r="L6474">
            <v>0</v>
          </cell>
          <cell r="M6474">
            <v>0</v>
          </cell>
          <cell r="N6474">
            <v>1</v>
          </cell>
          <cell r="O6474">
            <v>0</v>
          </cell>
          <cell r="P6474" t="str">
            <v>August</v>
          </cell>
          <cell r="Q6474">
            <v>0</v>
          </cell>
          <cell r="R6474">
            <v>1</v>
          </cell>
          <cell r="S6474">
            <v>0</v>
          </cell>
          <cell r="T6474">
            <v>0</v>
          </cell>
          <cell r="U6474">
            <v>0</v>
          </cell>
          <cell r="V6474">
            <v>1</v>
          </cell>
          <cell r="W6474">
            <v>0</v>
          </cell>
          <cell r="X6474">
            <v>0</v>
          </cell>
          <cell r="Y6474">
            <v>0</v>
          </cell>
        </row>
        <row r="6475">
          <cell r="D6475">
            <v>304975</v>
          </cell>
          <cell r="E6475" t="str">
            <v>Sultan Angin Mem. NHS(Formerly Saguiaran NHS)</v>
          </cell>
          <cell r="F6475">
            <v>1</v>
          </cell>
          <cell r="G6475">
            <v>0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>
            <v>0</v>
          </cell>
          <cell r="M6475">
            <v>0</v>
          </cell>
          <cell r="N6475">
            <v>0</v>
          </cell>
          <cell r="O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0</v>
          </cell>
          <cell r="U6475">
            <v>0</v>
          </cell>
          <cell r="V6475">
            <v>0</v>
          </cell>
          <cell r="W6475">
            <v>0</v>
          </cell>
          <cell r="X6475">
            <v>0</v>
          </cell>
          <cell r="Y6475">
            <v>0</v>
          </cell>
        </row>
        <row r="6476">
          <cell r="D6476">
            <v>304977</v>
          </cell>
          <cell r="E6476" t="str">
            <v>Sarip MNHS</v>
          </cell>
          <cell r="F6476">
            <v>1</v>
          </cell>
          <cell r="G6476">
            <v>1</v>
          </cell>
          <cell r="H6476">
            <v>0</v>
          </cell>
          <cell r="I6476">
            <v>0</v>
          </cell>
          <cell r="J6476">
            <v>0</v>
          </cell>
          <cell r="K6476">
            <v>1</v>
          </cell>
          <cell r="L6476">
            <v>0</v>
          </cell>
          <cell r="M6476">
            <v>0</v>
          </cell>
          <cell r="N6476">
            <v>1</v>
          </cell>
          <cell r="O6476" t="str">
            <v>when needed</v>
          </cell>
          <cell r="P6476" t="str">
            <v>october 15, 2019</v>
          </cell>
          <cell r="Q6476">
            <v>0</v>
          </cell>
          <cell r="R6476">
            <v>1</v>
          </cell>
          <cell r="S6476">
            <v>0</v>
          </cell>
          <cell r="T6476">
            <v>0</v>
          </cell>
          <cell r="U6476">
            <v>0</v>
          </cell>
          <cell r="V6476">
            <v>1</v>
          </cell>
          <cell r="W6476">
            <v>0</v>
          </cell>
          <cell r="X6476">
            <v>0</v>
          </cell>
          <cell r="Y6476">
            <v>0</v>
          </cell>
        </row>
        <row r="6477">
          <cell r="D6477">
            <v>318215</v>
          </cell>
          <cell r="E6477" t="str">
            <v>Al Hamlan NHS</v>
          </cell>
          <cell r="F6477">
            <v>1</v>
          </cell>
          <cell r="G6477">
            <v>1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>
            <v>0</v>
          </cell>
          <cell r="M6477">
            <v>0</v>
          </cell>
          <cell r="N6477">
            <v>1</v>
          </cell>
          <cell r="O6477">
            <v>0</v>
          </cell>
          <cell r="P6477">
            <v>0</v>
          </cell>
          <cell r="Q6477">
            <v>0</v>
          </cell>
          <cell r="R6477">
            <v>0</v>
          </cell>
          <cell r="S6477">
            <v>0</v>
          </cell>
          <cell r="T6477">
            <v>0</v>
          </cell>
          <cell r="U6477">
            <v>0</v>
          </cell>
          <cell r="V6477">
            <v>0</v>
          </cell>
          <cell r="W6477">
            <v>0</v>
          </cell>
          <cell r="X6477">
            <v>0</v>
          </cell>
          <cell r="Y6477">
            <v>0</v>
          </cell>
        </row>
        <row r="6478">
          <cell r="D6478">
            <v>318208</v>
          </cell>
          <cell r="E6478" t="str">
            <v>Pagayawan National High School</v>
          </cell>
          <cell r="F6478">
            <v>1</v>
          </cell>
          <cell r="G6478">
            <v>1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>
            <v>0</v>
          </cell>
          <cell r="M6478">
            <v>0</v>
          </cell>
          <cell r="N6478">
            <v>1</v>
          </cell>
          <cell r="O6478">
            <v>0</v>
          </cell>
          <cell r="P6478">
            <v>0</v>
          </cell>
          <cell r="Q6478">
            <v>0</v>
          </cell>
          <cell r="R6478">
            <v>0</v>
          </cell>
          <cell r="S6478">
            <v>1</v>
          </cell>
          <cell r="T6478">
            <v>0</v>
          </cell>
          <cell r="U6478">
            <v>0</v>
          </cell>
          <cell r="V6478">
            <v>1</v>
          </cell>
          <cell r="W6478">
            <v>0</v>
          </cell>
          <cell r="X6478">
            <v>0</v>
          </cell>
          <cell r="Y6478">
            <v>0</v>
          </cell>
        </row>
        <row r="6479">
          <cell r="D6479">
            <v>304979</v>
          </cell>
          <cell r="E6479" t="str">
            <v>Andong National High School</v>
          </cell>
          <cell r="F6479">
            <v>1</v>
          </cell>
          <cell r="G6479">
            <v>1</v>
          </cell>
          <cell r="H6479">
            <v>1</v>
          </cell>
          <cell r="I6479">
            <v>0</v>
          </cell>
          <cell r="J6479">
            <v>0</v>
          </cell>
          <cell r="K6479">
            <v>0</v>
          </cell>
          <cell r="L6479">
            <v>1</v>
          </cell>
          <cell r="M6479">
            <v>0</v>
          </cell>
          <cell r="N6479">
            <v>0</v>
          </cell>
          <cell r="O6479">
            <v>0</v>
          </cell>
          <cell r="P6479">
            <v>0</v>
          </cell>
          <cell r="Q6479">
            <v>0</v>
          </cell>
          <cell r="R6479">
            <v>0</v>
          </cell>
          <cell r="S6479">
            <v>0</v>
          </cell>
          <cell r="T6479">
            <v>0</v>
          </cell>
          <cell r="U6479">
            <v>0</v>
          </cell>
          <cell r="V6479">
            <v>0</v>
          </cell>
          <cell r="W6479">
            <v>0</v>
          </cell>
          <cell r="X6479">
            <v>0</v>
          </cell>
          <cell r="Y6479">
            <v>0</v>
          </cell>
        </row>
        <row r="6480">
          <cell r="D6480">
            <v>318232</v>
          </cell>
          <cell r="E6480" t="str">
            <v>Bakikis NHS</v>
          </cell>
          <cell r="F6480">
            <v>1</v>
          </cell>
          <cell r="G6480">
            <v>0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>
            <v>0</v>
          </cell>
          <cell r="M6480">
            <v>0</v>
          </cell>
          <cell r="N6480">
            <v>0</v>
          </cell>
          <cell r="O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>
            <v>0</v>
          </cell>
          <cell r="V6480">
            <v>0</v>
          </cell>
          <cell r="W6480">
            <v>0</v>
          </cell>
          <cell r="X6480">
            <v>0</v>
          </cell>
          <cell r="Y6480">
            <v>0</v>
          </cell>
        </row>
        <row r="6481">
          <cell r="D6481">
            <v>324713</v>
          </cell>
          <cell r="E6481" t="str">
            <v>Aguam-Benito National High School</v>
          </cell>
          <cell r="F6481">
            <v>1</v>
          </cell>
          <cell r="G6481">
            <v>0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>
            <v>0</v>
          </cell>
          <cell r="M6481">
            <v>0</v>
          </cell>
          <cell r="N6481">
            <v>0</v>
          </cell>
          <cell r="O6481">
            <v>0</v>
          </cell>
          <cell r="P6481">
            <v>0</v>
          </cell>
          <cell r="Q6481">
            <v>0</v>
          </cell>
          <cell r="R6481">
            <v>0</v>
          </cell>
          <cell r="S6481">
            <v>0</v>
          </cell>
          <cell r="T6481">
            <v>0</v>
          </cell>
          <cell r="U6481">
            <v>0</v>
          </cell>
          <cell r="V6481">
            <v>0</v>
          </cell>
          <cell r="W6481">
            <v>0</v>
          </cell>
          <cell r="X6481">
            <v>0</v>
          </cell>
          <cell r="Y6481">
            <v>0</v>
          </cell>
        </row>
        <row r="6482">
          <cell r="D6482">
            <v>318240</v>
          </cell>
          <cell r="E6482" t="str">
            <v>Malabang National High School</v>
          </cell>
          <cell r="F6482">
            <v>1</v>
          </cell>
          <cell r="G6482">
            <v>0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>
            <v>0</v>
          </cell>
          <cell r="M6482">
            <v>0</v>
          </cell>
          <cell r="N6482">
            <v>0</v>
          </cell>
          <cell r="O6482">
            <v>0</v>
          </cell>
          <cell r="P6482">
            <v>0</v>
          </cell>
          <cell r="Q6482">
            <v>0</v>
          </cell>
          <cell r="R6482">
            <v>0</v>
          </cell>
          <cell r="S6482">
            <v>0</v>
          </cell>
          <cell r="T6482">
            <v>1</v>
          </cell>
          <cell r="U6482" t="str">
            <v>NEVER</v>
          </cell>
          <cell r="V6482">
            <v>0</v>
          </cell>
          <cell r="W6482">
            <v>0</v>
          </cell>
          <cell r="X6482">
            <v>0</v>
          </cell>
          <cell r="Y6482">
            <v>0</v>
          </cell>
        </row>
        <row r="6483">
          <cell r="D6483">
            <v>304997</v>
          </cell>
          <cell r="E6483" t="str">
            <v>Tubaran NHS</v>
          </cell>
          <cell r="F6483">
            <v>1</v>
          </cell>
          <cell r="G6483">
            <v>1</v>
          </cell>
          <cell r="H6483">
            <v>1</v>
          </cell>
          <cell r="I6483">
            <v>1</v>
          </cell>
          <cell r="J6483">
            <v>0</v>
          </cell>
          <cell r="K6483">
            <v>0</v>
          </cell>
          <cell r="L6483">
            <v>0</v>
          </cell>
          <cell r="M6483">
            <v>0</v>
          </cell>
          <cell r="N6483">
            <v>1</v>
          </cell>
          <cell r="O6483">
            <v>43623</v>
          </cell>
          <cell r="P6483">
            <v>43745</v>
          </cell>
          <cell r="Q6483">
            <v>1</v>
          </cell>
          <cell r="R6483">
            <v>0</v>
          </cell>
          <cell r="S6483">
            <v>0</v>
          </cell>
          <cell r="T6483">
            <v>0</v>
          </cell>
          <cell r="U6483">
            <v>0</v>
          </cell>
          <cell r="V6483">
            <v>1</v>
          </cell>
          <cell r="W6483">
            <v>2</v>
          </cell>
          <cell r="X6483">
            <v>2</v>
          </cell>
          <cell r="Y6483">
            <v>2</v>
          </cell>
        </row>
        <row r="6484">
          <cell r="D6484">
            <v>318218</v>
          </cell>
          <cell r="E6484" t="str">
            <v>Madamba National High School</v>
          </cell>
          <cell r="F6484">
            <v>1</v>
          </cell>
          <cell r="G6484">
            <v>1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>
            <v>0</v>
          </cell>
          <cell r="M6484">
            <v>0</v>
          </cell>
          <cell r="N6484">
            <v>0</v>
          </cell>
          <cell r="O6484">
            <v>0</v>
          </cell>
          <cell r="P6484">
            <v>0</v>
          </cell>
          <cell r="Q6484">
            <v>0</v>
          </cell>
          <cell r="R6484">
            <v>0</v>
          </cell>
          <cell r="S6484">
            <v>0</v>
          </cell>
          <cell r="T6484">
            <v>0</v>
          </cell>
          <cell r="U6484">
            <v>0</v>
          </cell>
          <cell r="V6484">
            <v>0</v>
          </cell>
          <cell r="W6484">
            <v>2</v>
          </cell>
          <cell r="X6484">
            <v>0</v>
          </cell>
          <cell r="Y6484">
            <v>0</v>
          </cell>
        </row>
        <row r="6485">
          <cell r="D6485">
            <v>324706</v>
          </cell>
          <cell r="E6485" t="str">
            <v>Kapatagan National High School</v>
          </cell>
          <cell r="F6485">
            <v>1</v>
          </cell>
          <cell r="G6485">
            <v>0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0</v>
          </cell>
          <cell r="M6485">
            <v>0</v>
          </cell>
          <cell r="N6485">
            <v>0</v>
          </cell>
          <cell r="O6485">
            <v>0</v>
          </cell>
          <cell r="P6485">
            <v>0</v>
          </cell>
          <cell r="Q6485">
            <v>0</v>
          </cell>
          <cell r="R6485">
            <v>0</v>
          </cell>
          <cell r="S6485">
            <v>0</v>
          </cell>
          <cell r="T6485">
            <v>0</v>
          </cell>
          <cell r="U6485">
            <v>0</v>
          </cell>
          <cell r="V6485">
            <v>0</v>
          </cell>
          <cell r="W6485">
            <v>0</v>
          </cell>
          <cell r="X6485">
            <v>0</v>
          </cell>
          <cell r="Y6485">
            <v>0</v>
          </cell>
        </row>
        <row r="6486">
          <cell r="D6486">
            <v>304989</v>
          </cell>
          <cell r="E6486" t="str">
            <v>Mananayo NHS</v>
          </cell>
          <cell r="F6486">
            <v>1</v>
          </cell>
          <cell r="G6486">
            <v>1</v>
          </cell>
          <cell r="H6486">
            <v>1</v>
          </cell>
          <cell r="I6486">
            <v>0</v>
          </cell>
          <cell r="J6486">
            <v>1</v>
          </cell>
          <cell r="K6486">
            <v>0</v>
          </cell>
          <cell r="L6486">
            <v>0</v>
          </cell>
          <cell r="M6486">
            <v>0</v>
          </cell>
          <cell r="N6486">
            <v>0</v>
          </cell>
          <cell r="O6486">
            <v>0</v>
          </cell>
          <cell r="P6486">
            <v>0</v>
          </cell>
          <cell r="Q6486">
            <v>0</v>
          </cell>
          <cell r="R6486">
            <v>0</v>
          </cell>
          <cell r="S6486">
            <v>0</v>
          </cell>
          <cell r="T6486">
            <v>0</v>
          </cell>
          <cell r="U6486">
            <v>0</v>
          </cell>
          <cell r="V6486">
            <v>0</v>
          </cell>
          <cell r="W6486">
            <v>0</v>
          </cell>
          <cell r="X6486">
            <v>0</v>
          </cell>
          <cell r="Y6486">
            <v>0</v>
          </cell>
        </row>
        <row r="6487">
          <cell r="D6487">
            <v>304992</v>
          </cell>
          <cell r="E6487" t="str">
            <v>Nanagun National High School</v>
          </cell>
          <cell r="F6487">
            <v>0</v>
          </cell>
          <cell r="G6487">
            <v>0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0</v>
          </cell>
          <cell r="M6487">
            <v>0</v>
          </cell>
          <cell r="N6487">
            <v>0</v>
          </cell>
          <cell r="O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>
            <v>0</v>
          </cell>
          <cell r="V6487">
            <v>0</v>
          </cell>
          <cell r="W6487">
            <v>0</v>
          </cell>
          <cell r="X6487">
            <v>0</v>
          </cell>
          <cell r="Y6487">
            <v>0</v>
          </cell>
        </row>
        <row r="6488">
          <cell r="D6488">
            <v>324716</v>
          </cell>
          <cell r="E6488" t="str">
            <v>Datu Aleem Balindong MNHS</v>
          </cell>
          <cell r="F6488">
            <v>0</v>
          </cell>
          <cell r="G6488">
            <v>0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0</v>
          </cell>
          <cell r="M6488">
            <v>0</v>
          </cell>
          <cell r="N6488">
            <v>0</v>
          </cell>
          <cell r="O6488">
            <v>0</v>
          </cell>
          <cell r="P6488">
            <v>0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>
            <v>0</v>
          </cell>
          <cell r="V6488">
            <v>0</v>
          </cell>
          <cell r="W6488">
            <v>0</v>
          </cell>
          <cell r="X6488">
            <v>0</v>
          </cell>
          <cell r="Y6488">
            <v>0</v>
          </cell>
        </row>
        <row r="6489">
          <cell r="D6489">
            <v>304985</v>
          </cell>
          <cell r="E6489" t="str">
            <v>Danugan NHS</v>
          </cell>
          <cell r="F6489">
            <v>1</v>
          </cell>
          <cell r="G6489">
            <v>1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>
            <v>0</v>
          </cell>
          <cell r="M6489">
            <v>0</v>
          </cell>
          <cell r="N6489">
            <v>0</v>
          </cell>
          <cell r="O6489">
            <v>0</v>
          </cell>
          <cell r="P6489">
            <v>0</v>
          </cell>
          <cell r="Q6489">
            <v>0</v>
          </cell>
          <cell r="R6489">
            <v>0</v>
          </cell>
          <cell r="S6489">
            <v>0</v>
          </cell>
          <cell r="T6489">
            <v>0</v>
          </cell>
          <cell r="U6489">
            <v>0</v>
          </cell>
          <cell r="V6489">
            <v>0</v>
          </cell>
          <cell r="W6489">
            <v>0</v>
          </cell>
          <cell r="X6489">
            <v>0</v>
          </cell>
          <cell r="Y6489">
            <v>0</v>
          </cell>
        </row>
        <row r="6490">
          <cell r="D6490">
            <v>318233</v>
          </cell>
          <cell r="E6490" t="str">
            <v>Balindong Pacalna National High School</v>
          </cell>
          <cell r="F6490">
            <v>1</v>
          </cell>
          <cell r="G6490">
            <v>1</v>
          </cell>
          <cell r="H6490">
            <v>1</v>
          </cell>
          <cell r="I6490">
            <v>0</v>
          </cell>
          <cell r="J6490">
            <v>0</v>
          </cell>
          <cell r="K6490">
            <v>1</v>
          </cell>
          <cell r="L6490">
            <v>0</v>
          </cell>
          <cell r="M6490">
            <v>0</v>
          </cell>
          <cell r="N6490">
            <v>0</v>
          </cell>
          <cell r="O6490">
            <v>0</v>
          </cell>
          <cell r="P6490">
            <v>0</v>
          </cell>
          <cell r="Q6490">
            <v>0</v>
          </cell>
          <cell r="R6490">
            <v>0</v>
          </cell>
          <cell r="S6490">
            <v>1</v>
          </cell>
          <cell r="T6490">
            <v>0</v>
          </cell>
          <cell r="U6490">
            <v>0</v>
          </cell>
          <cell r="V6490">
            <v>0</v>
          </cell>
          <cell r="W6490">
            <v>0</v>
          </cell>
          <cell r="X6490">
            <v>0</v>
          </cell>
          <cell r="Y6490">
            <v>0</v>
          </cell>
        </row>
        <row r="6491">
          <cell r="D6491">
            <v>304991</v>
          </cell>
          <cell r="E6491" t="str">
            <v>SULTAN ABDULMADID MARUHOM MEMORIAL NHS</v>
          </cell>
          <cell r="F6491">
            <v>0</v>
          </cell>
          <cell r="G6491">
            <v>0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0</v>
          </cell>
          <cell r="M6491">
            <v>0</v>
          </cell>
          <cell r="N6491">
            <v>0</v>
          </cell>
          <cell r="O6491">
            <v>0</v>
          </cell>
          <cell r="P6491">
            <v>0</v>
          </cell>
          <cell r="Q6491">
            <v>0</v>
          </cell>
          <cell r="R6491">
            <v>0</v>
          </cell>
          <cell r="S6491">
            <v>0</v>
          </cell>
          <cell r="T6491">
            <v>0</v>
          </cell>
          <cell r="U6491">
            <v>0</v>
          </cell>
          <cell r="V6491">
            <v>0</v>
          </cell>
          <cell r="W6491">
            <v>0</v>
          </cell>
          <cell r="X6491">
            <v>0</v>
          </cell>
          <cell r="Y6491">
            <v>0</v>
          </cell>
        </row>
        <row r="6492">
          <cell r="D6492">
            <v>318221</v>
          </cell>
          <cell r="E6492" t="str">
            <v>Bacayawan National High School</v>
          </cell>
          <cell r="F6492">
            <v>1</v>
          </cell>
          <cell r="G6492">
            <v>1</v>
          </cell>
          <cell r="H6492">
            <v>1</v>
          </cell>
          <cell r="I6492">
            <v>0</v>
          </cell>
          <cell r="J6492">
            <v>1</v>
          </cell>
          <cell r="K6492">
            <v>0</v>
          </cell>
          <cell r="L6492">
            <v>0</v>
          </cell>
          <cell r="M6492">
            <v>0</v>
          </cell>
          <cell r="N6492">
            <v>1</v>
          </cell>
          <cell r="O6492">
            <v>43748</v>
          </cell>
          <cell r="P6492">
            <v>43748</v>
          </cell>
          <cell r="Q6492">
            <v>0</v>
          </cell>
          <cell r="R6492">
            <v>1</v>
          </cell>
          <cell r="S6492">
            <v>0</v>
          </cell>
          <cell r="T6492">
            <v>0</v>
          </cell>
          <cell r="U6492">
            <v>0</v>
          </cell>
          <cell r="V6492">
            <v>1</v>
          </cell>
          <cell r="W6492">
            <v>0</v>
          </cell>
          <cell r="X6492">
            <v>0</v>
          </cell>
          <cell r="Y6492">
            <v>0</v>
          </cell>
        </row>
        <row r="6493">
          <cell r="D6493">
            <v>318205</v>
          </cell>
          <cell r="E6493" t="str">
            <v>Sittie Ayeesha NHS</v>
          </cell>
          <cell r="F6493">
            <v>1</v>
          </cell>
          <cell r="G6493">
            <v>1</v>
          </cell>
          <cell r="H6493">
            <v>1</v>
          </cell>
          <cell r="I6493">
            <v>0</v>
          </cell>
          <cell r="J6493">
            <v>1</v>
          </cell>
          <cell r="K6493">
            <v>0</v>
          </cell>
          <cell r="L6493">
            <v>1</v>
          </cell>
          <cell r="M6493">
            <v>0</v>
          </cell>
          <cell r="N6493">
            <v>1</v>
          </cell>
          <cell r="O6493">
            <v>0</v>
          </cell>
          <cell r="P6493">
            <v>0</v>
          </cell>
          <cell r="Q6493">
            <v>0</v>
          </cell>
          <cell r="R6493">
            <v>1</v>
          </cell>
          <cell r="S6493">
            <v>0</v>
          </cell>
          <cell r="T6493">
            <v>1</v>
          </cell>
          <cell r="U6493">
            <v>0</v>
          </cell>
          <cell r="V6493">
            <v>1</v>
          </cell>
          <cell r="W6493">
            <v>0</v>
          </cell>
          <cell r="X6493">
            <v>0</v>
          </cell>
          <cell r="Y6493">
            <v>0</v>
          </cell>
        </row>
        <row r="6494">
          <cell r="D6494">
            <v>304983</v>
          </cell>
          <cell r="E6494" t="str">
            <v>Butig National High School</v>
          </cell>
          <cell r="F6494">
            <v>1</v>
          </cell>
          <cell r="G6494">
            <v>1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0</v>
          </cell>
          <cell r="M6494">
            <v>0</v>
          </cell>
          <cell r="N6494">
            <v>0</v>
          </cell>
          <cell r="O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>
            <v>0</v>
          </cell>
          <cell r="V6494">
            <v>0</v>
          </cell>
          <cell r="W6494">
            <v>0</v>
          </cell>
          <cell r="X6494">
            <v>0</v>
          </cell>
          <cell r="Y6494">
            <v>0</v>
          </cell>
        </row>
        <row r="6495">
          <cell r="D6495">
            <v>324708</v>
          </cell>
          <cell r="E6495" t="str">
            <v>Sultan Mangalampa Daing NHS</v>
          </cell>
          <cell r="F6495">
            <v>0</v>
          </cell>
          <cell r="G6495">
            <v>0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>
            <v>0</v>
          </cell>
          <cell r="M6495">
            <v>0</v>
          </cell>
          <cell r="N6495">
            <v>0</v>
          </cell>
          <cell r="O6495">
            <v>0</v>
          </cell>
          <cell r="P6495">
            <v>0</v>
          </cell>
          <cell r="Q6495">
            <v>0</v>
          </cell>
          <cell r="R6495">
            <v>0</v>
          </cell>
          <cell r="S6495">
            <v>0</v>
          </cell>
          <cell r="T6495">
            <v>0</v>
          </cell>
          <cell r="U6495">
            <v>0</v>
          </cell>
          <cell r="V6495">
            <v>0</v>
          </cell>
          <cell r="W6495">
            <v>0</v>
          </cell>
          <cell r="X6495">
            <v>0</v>
          </cell>
          <cell r="Y6495">
            <v>0</v>
          </cell>
        </row>
        <row r="6496">
          <cell r="D6496">
            <v>304982</v>
          </cell>
          <cell r="E6496" t="str">
            <v>Bayang NHS</v>
          </cell>
          <cell r="F6496">
            <v>1</v>
          </cell>
          <cell r="G6496">
            <v>1</v>
          </cell>
          <cell r="H6496">
            <v>1</v>
          </cell>
          <cell r="I6496">
            <v>0</v>
          </cell>
          <cell r="J6496">
            <v>1</v>
          </cell>
          <cell r="K6496">
            <v>0</v>
          </cell>
          <cell r="L6496">
            <v>0</v>
          </cell>
          <cell r="M6496">
            <v>0</v>
          </cell>
          <cell r="N6496">
            <v>1</v>
          </cell>
          <cell r="O6496">
            <v>43811</v>
          </cell>
          <cell r="P6496" t="str">
            <v>12/13/2019</v>
          </cell>
          <cell r="Q6496">
            <v>0</v>
          </cell>
          <cell r="R6496">
            <v>1</v>
          </cell>
          <cell r="S6496">
            <v>0</v>
          </cell>
          <cell r="T6496">
            <v>0</v>
          </cell>
          <cell r="U6496">
            <v>0</v>
          </cell>
          <cell r="V6496">
            <v>1</v>
          </cell>
          <cell r="W6496">
            <v>1</v>
          </cell>
          <cell r="X6496">
            <v>1</v>
          </cell>
          <cell r="Y6496">
            <v>1</v>
          </cell>
        </row>
        <row r="6497">
          <cell r="D6497">
            <v>304988</v>
          </cell>
          <cell r="E6497" t="str">
            <v>Lakitan National High School</v>
          </cell>
          <cell r="F6497">
            <v>0</v>
          </cell>
          <cell r="G6497">
            <v>0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>
            <v>0</v>
          </cell>
          <cell r="M6497">
            <v>0</v>
          </cell>
          <cell r="N6497">
            <v>0</v>
          </cell>
          <cell r="O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>
            <v>0</v>
          </cell>
          <cell r="V6497">
            <v>0</v>
          </cell>
          <cell r="W6497">
            <v>0</v>
          </cell>
          <cell r="X6497">
            <v>0</v>
          </cell>
          <cell r="Y6497">
            <v>0</v>
          </cell>
        </row>
        <row r="6498">
          <cell r="D6498">
            <v>304998</v>
          </cell>
          <cell r="E6498" t="str">
            <v>Tugaya National High School</v>
          </cell>
          <cell r="F6498">
            <v>1</v>
          </cell>
          <cell r="G6498">
            <v>1</v>
          </cell>
          <cell r="H6498">
            <v>1</v>
          </cell>
          <cell r="I6498">
            <v>0</v>
          </cell>
          <cell r="J6498">
            <v>0</v>
          </cell>
          <cell r="K6498">
            <v>0</v>
          </cell>
          <cell r="L6498">
            <v>0</v>
          </cell>
          <cell r="M6498">
            <v>0</v>
          </cell>
          <cell r="N6498">
            <v>1</v>
          </cell>
          <cell r="O6498" t="str">
            <v>August 10, 2019</v>
          </cell>
          <cell r="P6498" t="str">
            <v>May 30, 2019</v>
          </cell>
          <cell r="Q6498">
            <v>0</v>
          </cell>
          <cell r="R6498">
            <v>0</v>
          </cell>
          <cell r="S6498">
            <v>1</v>
          </cell>
          <cell r="T6498">
            <v>0</v>
          </cell>
          <cell r="U6498">
            <v>0</v>
          </cell>
          <cell r="V6498">
            <v>1</v>
          </cell>
          <cell r="W6498">
            <v>0</v>
          </cell>
          <cell r="X6498">
            <v>0</v>
          </cell>
          <cell r="Y6498">
            <v>0</v>
          </cell>
        </row>
        <row r="6499">
          <cell r="D6499">
            <v>318201</v>
          </cell>
          <cell r="E6499" t="str">
            <v>Mauyag C. Papandayan SHS</v>
          </cell>
          <cell r="F6499">
            <v>1</v>
          </cell>
          <cell r="G6499">
            <v>1</v>
          </cell>
          <cell r="H6499">
            <v>1</v>
          </cell>
          <cell r="I6499">
            <v>0</v>
          </cell>
          <cell r="J6499">
            <v>1</v>
          </cell>
          <cell r="K6499">
            <v>0</v>
          </cell>
          <cell r="L6499">
            <v>0</v>
          </cell>
          <cell r="M6499">
            <v>0</v>
          </cell>
          <cell r="N6499">
            <v>0</v>
          </cell>
          <cell r="O6499">
            <v>0</v>
          </cell>
          <cell r="P6499">
            <v>43700</v>
          </cell>
          <cell r="Q6499">
            <v>0</v>
          </cell>
          <cell r="R6499">
            <v>1</v>
          </cell>
          <cell r="S6499">
            <v>0</v>
          </cell>
          <cell r="T6499">
            <v>0</v>
          </cell>
          <cell r="U6499">
            <v>0</v>
          </cell>
          <cell r="V6499">
            <v>1</v>
          </cell>
          <cell r="W6499">
            <v>0</v>
          </cell>
          <cell r="X6499">
            <v>0</v>
          </cell>
          <cell r="Y6499">
            <v>0</v>
          </cell>
        </row>
        <row r="6500">
          <cell r="D6500">
            <v>304994</v>
          </cell>
          <cell r="E6500" t="str">
            <v>Pualas National High School</v>
          </cell>
          <cell r="F6500">
            <v>1</v>
          </cell>
          <cell r="G6500">
            <v>1</v>
          </cell>
          <cell r="H6500">
            <v>1</v>
          </cell>
          <cell r="I6500">
            <v>0</v>
          </cell>
          <cell r="J6500">
            <v>1</v>
          </cell>
          <cell r="K6500">
            <v>0</v>
          </cell>
          <cell r="L6500">
            <v>0</v>
          </cell>
          <cell r="M6500">
            <v>0</v>
          </cell>
          <cell r="N6500">
            <v>0</v>
          </cell>
          <cell r="O6500">
            <v>0</v>
          </cell>
          <cell r="P6500">
            <v>0</v>
          </cell>
          <cell r="Q6500">
            <v>0</v>
          </cell>
          <cell r="R6500">
            <v>1</v>
          </cell>
          <cell r="S6500">
            <v>0</v>
          </cell>
          <cell r="T6500">
            <v>0</v>
          </cell>
          <cell r="U6500">
            <v>0</v>
          </cell>
          <cell r="V6500">
            <v>0</v>
          </cell>
          <cell r="W6500">
            <v>1</v>
          </cell>
          <cell r="X6500">
            <v>1</v>
          </cell>
          <cell r="Y6500">
            <v>1</v>
          </cell>
        </row>
        <row r="6501">
          <cell r="D6501">
            <v>318220</v>
          </cell>
          <cell r="E6501" t="str">
            <v>Dilausan National High School</v>
          </cell>
          <cell r="F6501">
            <v>0</v>
          </cell>
          <cell r="G6501">
            <v>0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0</v>
          </cell>
          <cell r="M6501">
            <v>0</v>
          </cell>
          <cell r="N6501">
            <v>0</v>
          </cell>
          <cell r="O6501">
            <v>0</v>
          </cell>
          <cell r="P6501">
            <v>0</v>
          </cell>
          <cell r="Q6501">
            <v>0</v>
          </cell>
          <cell r="R6501">
            <v>0</v>
          </cell>
          <cell r="S6501">
            <v>0</v>
          </cell>
          <cell r="T6501">
            <v>0</v>
          </cell>
          <cell r="U6501">
            <v>0</v>
          </cell>
          <cell r="V6501">
            <v>0</v>
          </cell>
          <cell r="W6501">
            <v>0</v>
          </cell>
          <cell r="X6501">
            <v>0</v>
          </cell>
          <cell r="Y6501">
            <v>0</v>
          </cell>
        </row>
        <row r="6502">
          <cell r="D6502">
            <v>304980</v>
          </cell>
          <cell r="E6502" t="str">
            <v>Bacolod-Kalawi National High School</v>
          </cell>
          <cell r="F6502">
            <v>1</v>
          </cell>
          <cell r="G6502">
            <v>1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0</v>
          </cell>
          <cell r="M6502">
            <v>0</v>
          </cell>
          <cell r="N6502">
            <v>0</v>
          </cell>
          <cell r="O6502">
            <v>0</v>
          </cell>
          <cell r="P6502">
            <v>0</v>
          </cell>
          <cell r="Q6502">
            <v>0</v>
          </cell>
          <cell r="R6502">
            <v>0</v>
          </cell>
          <cell r="S6502">
            <v>0</v>
          </cell>
          <cell r="T6502">
            <v>0</v>
          </cell>
          <cell r="U6502">
            <v>0</v>
          </cell>
          <cell r="V6502">
            <v>0</v>
          </cell>
          <cell r="W6502">
            <v>0</v>
          </cell>
          <cell r="X6502">
            <v>0</v>
          </cell>
          <cell r="Y6502">
            <v>0</v>
          </cell>
        </row>
        <row r="6503">
          <cell r="D6503">
            <v>324710</v>
          </cell>
          <cell r="E6503" t="str">
            <v>Madalum NHS</v>
          </cell>
          <cell r="F6503">
            <v>1</v>
          </cell>
          <cell r="G6503">
            <v>0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>
            <v>0</v>
          </cell>
          <cell r="M6503">
            <v>0</v>
          </cell>
          <cell r="N6503">
            <v>0</v>
          </cell>
          <cell r="O6503">
            <v>0</v>
          </cell>
          <cell r="P6503">
            <v>0</v>
          </cell>
          <cell r="Q6503">
            <v>0</v>
          </cell>
          <cell r="R6503">
            <v>0</v>
          </cell>
          <cell r="S6503">
            <v>0</v>
          </cell>
          <cell r="T6503">
            <v>0</v>
          </cell>
          <cell r="U6503">
            <v>0</v>
          </cell>
          <cell r="V6503">
            <v>0</v>
          </cell>
          <cell r="W6503">
            <v>0</v>
          </cell>
          <cell r="X6503">
            <v>0</v>
          </cell>
          <cell r="Y6503">
            <v>0</v>
          </cell>
        </row>
        <row r="6504">
          <cell r="D6504">
            <v>324704</v>
          </cell>
          <cell r="E6504" t="str">
            <v>Mamenting Memorial National High School</v>
          </cell>
          <cell r="F6504">
            <v>1</v>
          </cell>
          <cell r="G6504">
            <v>0</v>
          </cell>
          <cell r="H6504">
            <v>1</v>
          </cell>
          <cell r="I6504">
            <v>0</v>
          </cell>
          <cell r="J6504">
            <v>1</v>
          </cell>
          <cell r="K6504">
            <v>0</v>
          </cell>
          <cell r="L6504">
            <v>0</v>
          </cell>
          <cell r="M6504">
            <v>0</v>
          </cell>
          <cell r="N6504">
            <v>1</v>
          </cell>
          <cell r="O6504" t="str">
            <v>09/24/2019</v>
          </cell>
          <cell r="P6504">
            <v>0</v>
          </cell>
          <cell r="Q6504">
            <v>0</v>
          </cell>
          <cell r="R6504">
            <v>0</v>
          </cell>
          <cell r="S6504">
            <v>0</v>
          </cell>
          <cell r="T6504">
            <v>0</v>
          </cell>
          <cell r="U6504">
            <v>0</v>
          </cell>
          <cell r="V6504">
            <v>0</v>
          </cell>
          <cell r="W6504">
            <v>0</v>
          </cell>
          <cell r="X6504">
            <v>0</v>
          </cell>
          <cell r="Y6504">
            <v>0</v>
          </cell>
        </row>
        <row r="6505">
          <cell r="D6505">
            <v>324712</v>
          </cell>
          <cell r="E6505" t="str">
            <v>Datu Raquib Zainodin National Highschool</v>
          </cell>
          <cell r="F6505">
            <v>1</v>
          </cell>
          <cell r="G6505">
            <v>1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0</v>
          </cell>
          <cell r="M6505">
            <v>0</v>
          </cell>
          <cell r="N6505">
            <v>0</v>
          </cell>
          <cell r="O6505">
            <v>0</v>
          </cell>
          <cell r="P6505">
            <v>0</v>
          </cell>
          <cell r="Q6505">
            <v>0</v>
          </cell>
          <cell r="R6505">
            <v>0</v>
          </cell>
          <cell r="S6505">
            <v>0</v>
          </cell>
          <cell r="T6505">
            <v>0</v>
          </cell>
          <cell r="U6505">
            <v>0</v>
          </cell>
          <cell r="V6505">
            <v>0</v>
          </cell>
          <cell r="W6505">
            <v>0</v>
          </cell>
          <cell r="X6505">
            <v>0</v>
          </cell>
          <cell r="Y6505">
            <v>0</v>
          </cell>
        </row>
        <row r="6506">
          <cell r="D6506">
            <v>324709</v>
          </cell>
          <cell r="E6506" t="str">
            <v>Ganassi NHS</v>
          </cell>
          <cell r="F6506">
            <v>1</v>
          </cell>
          <cell r="G6506">
            <v>1</v>
          </cell>
          <cell r="H6506">
            <v>0</v>
          </cell>
          <cell r="I6506">
            <v>0</v>
          </cell>
          <cell r="J6506">
            <v>1</v>
          </cell>
          <cell r="K6506">
            <v>0</v>
          </cell>
          <cell r="L6506">
            <v>0</v>
          </cell>
          <cell r="M6506">
            <v>0</v>
          </cell>
          <cell r="N6506">
            <v>0</v>
          </cell>
          <cell r="O6506">
            <v>0</v>
          </cell>
          <cell r="P6506">
            <v>0</v>
          </cell>
          <cell r="Q6506">
            <v>0</v>
          </cell>
          <cell r="R6506">
            <v>0</v>
          </cell>
          <cell r="S6506">
            <v>0</v>
          </cell>
          <cell r="T6506">
            <v>0</v>
          </cell>
          <cell r="U6506">
            <v>0</v>
          </cell>
          <cell r="V6506">
            <v>0</v>
          </cell>
          <cell r="W6506">
            <v>0</v>
          </cell>
          <cell r="X6506">
            <v>0</v>
          </cell>
          <cell r="Y6506">
            <v>0</v>
          </cell>
        </row>
        <row r="6507">
          <cell r="D6507">
            <v>305014</v>
          </cell>
          <cell r="E6507" t="str">
            <v>Maguindanao NHS</v>
          </cell>
          <cell r="F6507">
            <v>1</v>
          </cell>
          <cell r="G6507">
            <v>1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>
            <v>0</v>
          </cell>
          <cell r="M6507">
            <v>0</v>
          </cell>
          <cell r="N6507">
            <v>0</v>
          </cell>
          <cell r="O6507">
            <v>0</v>
          </cell>
          <cell r="P6507">
            <v>0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>
            <v>0</v>
          </cell>
          <cell r="V6507">
            <v>1</v>
          </cell>
          <cell r="W6507">
            <v>0</v>
          </cell>
          <cell r="X6507">
            <v>0</v>
          </cell>
          <cell r="Y6507">
            <v>0</v>
          </cell>
        </row>
        <row r="6508">
          <cell r="D6508">
            <v>305001</v>
          </cell>
          <cell r="E6508" t="str">
            <v>Balungis NHS</v>
          </cell>
          <cell r="F6508">
            <v>0</v>
          </cell>
          <cell r="G6508">
            <v>0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0</v>
          </cell>
          <cell r="M6508">
            <v>0</v>
          </cell>
          <cell r="N6508">
            <v>0</v>
          </cell>
          <cell r="O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>
            <v>0</v>
          </cell>
          <cell r="V6508">
            <v>0</v>
          </cell>
          <cell r="W6508">
            <v>0</v>
          </cell>
          <cell r="X6508">
            <v>0</v>
          </cell>
          <cell r="Y6508">
            <v>0</v>
          </cell>
        </row>
        <row r="6509">
          <cell r="D6509">
            <v>305006</v>
          </cell>
          <cell r="E6509" t="str">
            <v>Datu Udtog Matalam Sr. MNHS</v>
          </cell>
          <cell r="F6509">
            <v>0</v>
          </cell>
          <cell r="G6509">
            <v>0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>
            <v>0</v>
          </cell>
          <cell r="M6509">
            <v>0</v>
          </cell>
          <cell r="N6509">
            <v>0</v>
          </cell>
          <cell r="O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>
            <v>0</v>
          </cell>
          <cell r="V6509">
            <v>0</v>
          </cell>
          <cell r="W6509">
            <v>0</v>
          </cell>
          <cell r="X6509">
            <v>0</v>
          </cell>
          <cell r="Y6509">
            <v>0</v>
          </cell>
        </row>
        <row r="6510">
          <cell r="D6510">
            <v>318336</v>
          </cell>
          <cell r="E6510" t="str">
            <v>Pandag NHS</v>
          </cell>
          <cell r="F6510">
            <v>0</v>
          </cell>
          <cell r="G6510">
            <v>0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0</v>
          </cell>
          <cell r="M6510">
            <v>0</v>
          </cell>
          <cell r="N6510">
            <v>0</v>
          </cell>
          <cell r="O6510">
            <v>0</v>
          </cell>
          <cell r="P6510">
            <v>0</v>
          </cell>
          <cell r="Q6510">
            <v>0</v>
          </cell>
          <cell r="R6510">
            <v>0</v>
          </cell>
          <cell r="S6510">
            <v>0</v>
          </cell>
          <cell r="T6510">
            <v>0</v>
          </cell>
          <cell r="U6510">
            <v>0</v>
          </cell>
          <cell r="V6510">
            <v>0</v>
          </cell>
          <cell r="W6510">
            <v>0</v>
          </cell>
          <cell r="X6510">
            <v>0</v>
          </cell>
          <cell r="Y6510">
            <v>0</v>
          </cell>
        </row>
        <row r="6511">
          <cell r="D6511">
            <v>305027</v>
          </cell>
          <cell r="E6511" t="str">
            <v>Talayan NHS</v>
          </cell>
          <cell r="F6511">
            <v>1</v>
          </cell>
          <cell r="G6511">
            <v>1</v>
          </cell>
          <cell r="H6511">
            <v>1</v>
          </cell>
          <cell r="I6511">
            <v>0</v>
          </cell>
          <cell r="J6511">
            <v>1</v>
          </cell>
          <cell r="K6511">
            <v>0</v>
          </cell>
          <cell r="L6511">
            <v>0</v>
          </cell>
          <cell r="M6511">
            <v>0</v>
          </cell>
          <cell r="N6511">
            <v>1</v>
          </cell>
          <cell r="O6511">
            <v>43654</v>
          </cell>
          <cell r="P6511">
            <v>0</v>
          </cell>
          <cell r="Q6511">
            <v>1</v>
          </cell>
          <cell r="R6511">
            <v>0</v>
          </cell>
          <cell r="S6511">
            <v>0</v>
          </cell>
          <cell r="T6511">
            <v>0</v>
          </cell>
          <cell r="U6511">
            <v>0</v>
          </cell>
          <cell r="V6511">
            <v>1</v>
          </cell>
          <cell r="W6511">
            <v>2</v>
          </cell>
          <cell r="X6511">
            <v>1</v>
          </cell>
          <cell r="Y6511">
            <v>0</v>
          </cell>
        </row>
        <row r="6512">
          <cell r="D6512">
            <v>305005</v>
          </cell>
          <cell r="E6512" t="str">
            <v>Datu Piang NHS</v>
          </cell>
          <cell r="F6512">
            <v>1</v>
          </cell>
          <cell r="G6512">
            <v>1</v>
          </cell>
          <cell r="H6512">
            <v>1</v>
          </cell>
          <cell r="I6512">
            <v>0</v>
          </cell>
          <cell r="J6512">
            <v>0</v>
          </cell>
          <cell r="K6512">
            <v>1</v>
          </cell>
          <cell r="L6512">
            <v>0</v>
          </cell>
          <cell r="M6512">
            <v>0</v>
          </cell>
          <cell r="N6512">
            <v>1</v>
          </cell>
          <cell r="O6512">
            <v>0</v>
          </cell>
          <cell r="P6512">
            <v>0</v>
          </cell>
          <cell r="Q6512">
            <v>0</v>
          </cell>
          <cell r="R6512">
            <v>1</v>
          </cell>
          <cell r="S6512">
            <v>0</v>
          </cell>
          <cell r="T6512">
            <v>0</v>
          </cell>
          <cell r="U6512">
            <v>0</v>
          </cell>
          <cell r="V6512">
            <v>1</v>
          </cell>
          <cell r="W6512">
            <v>0</v>
          </cell>
          <cell r="X6512">
            <v>0</v>
          </cell>
          <cell r="Y6512">
            <v>0</v>
          </cell>
        </row>
        <row r="6513">
          <cell r="D6513">
            <v>318333</v>
          </cell>
          <cell r="E6513" t="str">
            <v>Katong Madidis NHS</v>
          </cell>
          <cell r="F6513">
            <v>1</v>
          </cell>
          <cell r="G6513">
            <v>1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0</v>
          </cell>
          <cell r="M6513">
            <v>0</v>
          </cell>
          <cell r="N6513">
            <v>0</v>
          </cell>
          <cell r="O6513" t="str">
            <v>N/A</v>
          </cell>
          <cell r="P6513">
            <v>0</v>
          </cell>
          <cell r="Q6513">
            <v>0</v>
          </cell>
          <cell r="R6513">
            <v>0</v>
          </cell>
          <cell r="S6513">
            <v>0</v>
          </cell>
          <cell r="T6513">
            <v>1</v>
          </cell>
          <cell r="U6513" t="str">
            <v>N/A</v>
          </cell>
          <cell r="V6513">
            <v>0</v>
          </cell>
          <cell r="W6513">
            <v>0</v>
          </cell>
          <cell r="X6513">
            <v>0</v>
          </cell>
          <cell r="Y6513">
            <v>0</v>
          </cell>
        </row>
        <row r="6514">
          <cell r="D6514">
            <v>305012</v>
          </cell>
          <cell r="E6514" t="str">
            <v>Kauran NHS</v>
          </cell>
          <cell r="F6514">
            <v>1</v>
          </cell>
          <cell r="G6514">
            <v>0</v>
          </cell>
          <cell r="H6514">
            <v>0</v>
          </cell>
          <cell r="I6514">
            <v>0</v>
          </cell>
          <cell r="J6514">
            <v>0</v>
          </cell>
          <cell r="K6514">
            <v>1</v>
          </cell>
          <cell r="L6514">
            <v>0</v>
          </cell>
          <cell r="M6514">
            <v>0</v>
          </cell>
          <cell r="N6514">
            <v>0</v>
          </cell>
          <cell r="O6514">
            <v>0</v>
          </cell>
          <cell r="P6514">
            <v>0</v>
          </cell>
          <cell r="Q6514">
            <v>0</v>
          </cell>
          <cell r="R6514">
            <v>0</v>
          </cell>
          <cell r="S6514">
            <v>0</v>
          </cell>
          <cell r="T6514">
            <v>0</v>
          </cell>
          <cell r="U6514">
            <v>0</v>
          </cell>
          <cell r="V6514">
            <v>1</v>
          </cell>
          <cell r="W6514">
            <v>0</v>
          </cell>
          <cell r="X6514">
            <v>0</v>
          </cell>
          <cell r="Y6514">
            <v>0</v>
          </cell>
        </row>
        <row r="6515">
          <cell r="D6515">
            <v>318307</v>
          </cell>
          <cell r="E6515" t="str">
            <v>Buluan NHS</v>
          </cell>
          <cell r="F6515">
            <v>1</v>
          </cell>
          <cell r="G6515">
            <v>0</v>
          </cell>
          <cell r="H6515">
            <v>0</v>
          </cell>
          <cell r="I6515">
            <v>0</v>
          </cell>
          <cell r="J6515">
            <v>0</v>
          </cell>
          <cell r="K6515">
            <v>1</v>
          </cell>
          <cell r="L6515">
            <v>0</v>
          </cell>
          <cell r="M6515">
            <v>0</v>
          </cell>
          <cell r="N6515">
            <v>0</v>
          </cell>
          <cell r="O6515">
            <v>43612</v>
          </cell>
          <cell r="P6515">
            <v>43619</v>
          </cell>
          <cell r="Q6515">
            <v>0</v>
          </cell>
          <cell r="R6515">
            <v>0</v>
          </cell>
          <cell r="S6515">
            <v>1</v>
          </cell>
          <cell r="T6515">
            <v>0</v>
          </cell>
          <cell r="U6515">
            <v>0</v>
          </cell>
          <cell r="V6515">
            <v>1</v>
          </cell>
          <cell r="W6515">
            <v>0</v>
          </cell>
          <cell r="X6515">
            <v>0</v>
          </cell>
          <cell r="Y6515">
            <v>0</v>
          </cell>
        </row>
        <row r="6516">
          <cell r="D6516">
            <v>305009</v>
          </cell>
          <cell r="E6516" t="str">
            <v>Gen. Salipada K. Pendatun NHS</v>
          </cell>
          <cell r="F6516">
            <v>1</v>
          </cell>
          <cell r="G6516">
            <v>0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0</v>
          </cell>
          <cell r="M6516">
            <v>0</v>
          </cell>
          <cell r="N6516">
            <v>0</v>
          </cell>
          <cell r="O6516">
            <v>0</v>
          </cell>
          <cell r="P6516">
            <v>0</v>
          </cell>
          <cell r="Q6516">
            <v>0</v>
          </cell>
          <cell r="R6516">
            <v>0</v>
          </cell>
          <cell r="S6516">
            <v>0</v>
          </cell>
          <cell r="T6516">
            <v>0</v>
          </cell>
          <cell r="U6516">
            <v>0</v>
          </cell>
          <cell r="V6516">
            <v>0</v>
          </cell>
          <cell r="W6516">
            <v>0</v>
          </cell>
          <cell r="X6516">
            <v>0</v>
          </cell>
          <cell r="Y6516">
            <v>0</v>
          </cell>
        </row>
        <row r="6517">
          <cell r="D6517">
            <v>305028</v>
          </cell>
          <cell r="E6517" t="str">
            <v>Tunggol NHS</v>
          </cell>
          <cell r="F6517">
            <v>1</v>
          </cell>
          <cell r="G6517">
            <v>1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0</v>
          </cell>
          <cell r="M6517">
            <v>0</v>
          </cell>
          <cell r="N6517">
            <v>0</v>
          </cell>
          <cell r="O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0</v>
          </cell>
          <cell r="V6517">
            <v>0</v>
          </cell>
          <cell r="W6517">
            <v>0</v>
          </cell>
          <cell r="X6517">
            <v>0</v>
          </cell>
          <cell r="Y6517">
            <v>0</v>
          </cell>
        </row>
        <row r="6518">
          <cell r="D6518">
            <v>318304</v>
          </cell>
          <cell r="E6518" t="str">
            <v>Bulod NHS</v>
          </cell>
          <cell r="F6518">
            <v>1</v>
          </cell>
          <cell r="G6518">
            <v>0</v>
          </cell>
          <cell r="H6518">
            <v>0</v>
          </cell>
          <cell r="I6518">
            <v>0</v>
          </cell>
          <cell r="J6518">
            <v>1</v>
          </cell>
          <cell r="K6518">
            <v>0</v>
          </cell>
          <cell r="L6518">
            <v>0</v>
          </cell>
          <cell r="M6518">
            <v>0</v>
          </cell>
          <cell r="N6518">
            <v>0</v>
          </cell>
          <cell r="O6518">
            <v>0</v>
          </cell>
          <cell r="P6518" t="str">
            <v>NONE</v>
          </cell>
          <cell r="Q6518">
            <v>0</v>
          </cell>
          <cell r="R6518">
            <v>1</v>
          </cell>
          <cell r="S6518">
            <v>0</v>
          </cell>
          <cell r="T6518">
            <v>0</v>
          </cell>
          <cell r="U6518">
            <v>0</v>
          </cell>
          <cell r="V6518">
            <v>0</v>
          </cell>
          <cell r="W6518">
            <v>0</v>
          </cell>
          <cell r="X6518">
            <v>0</v>
          </cell>
          <cell r="Y6518">
            <v>0</v>
          </cell>
        </row>
        <row r="6519">
          <cell r="D6519">
            <v>305026</v>
          </cell>
          <cell r="E6519" t="str">
            <v>Mamasapano NHS</v>
          </cell>
          <cell r="F6519">
            <v>1</v>
          </cell>
          <cell r="G6519">
            <v>0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>
            <v>0</v>
          </cell>
          <cell r="M6519">
            <v>0</v>
          </cell>
          <cell r="N6519">
            <v>0</v>
          </cell>
          <cell r="O6519">
            <v>0</v>
          </cell>
          <cell r="P6519" t="str">
            <v>N/A</v>
          </cell>
          <cell r="Q6519">
            <v>0</v>
          </cell>
          <cell r="R6519">
            <v>0</v>
          </cell>
          <cell r="S6519">
            <v>0</v>
          </cell>
          <cell r="T6519">
            <v>0</v>
          </cell>
          <cell r="U6519">
            <v>0</v>
          </cell>
          <cell r="V6519">
            <v>0</v>
          </cell>
          <cell r="W6519">
            <v>0</v>
          </cell>
          <cell r="X6519">
            <v>0</v>
          </cell>
          <cell r="Y6519">
            <v>0</v>
          </cell>
        </row>
        <row r="6520">
          <cell r="D6520">
            <v>318308</v>
          </cell>
          <cell r="E6520" t="str">
            <v>Kilangan NHS</v>
          </cell>
          <cell r="F6520">
            <v>0</v>
          </cell>
          <cell r="G6520">
            <v>0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0</v>
          </cell>
          <cell r="M6520">
            <v>0</v>
          </cell>
          <cell r="N6520">
            <v>0</v>
          </cell>
          <cell r="O6520">
            <v>0</v>
          </cell>
          <cell r="P6520">
            <v>0</v>
          </cell>
          <cell r="Q6520">
            <v>0</v>
          </cell>
          <cell r="R6520">
            <v>0</v>
          </cell>
          <cell r="S6520">
            <v>0</v>
          </cell>
          <cell r="T6520">
            <v>0</v>
          </cell>
          <cell r="U6520">
            <v>0</v>
          </cell>
          <cell r="V6520">
            <v>0</v>
          </cell>
          <cell r="W6520">
            <v>0</v>
          </cell>
          <cell r="X6520">
            <v>0</v>
          </cell>
          <cell r="Y6520">
            <v>0</v>
          </cell>
        </row>
        <row r="6521">
          <cell r="D6521">
            <v>318312</v>
          </cell>
          <cell r="E6521" t="str">
            <v>Datu Tahir Ampatuan NHS</v>
          </cell>
          <cell r="F6521">
            <v>1</v>
          </cell>
          <cell r="G6521">
            <v>0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0</v>
          </cell>
          <cell r="M6521">
            <v>0</v>
          </cell>
          <cell r="N6521">
            <v>0</v>
          </cell>
          <cell r="O6521">
            <v>0</v>
          </cell>
          <cell r="P6521">
            <v>0</v>
          </cell>
          <cell r="Q6521">
            <v>0</v>
          </cell>
          <cell r="R6521">
            <v>0</v>
          </cell>
          <cell r="S6521">
            <v>0</v>
          </cell>
          <cell r="T6521">
            <v>0</v>
          </cell>
          <cell r="U6521">
            <v>0</v>
          </cell>
          <cell r="V6521">
            <v>0</v>
          </cell>
          <cell r="W6521">
            <v>0</v>
          </cell>
          <cell r="X6521">
            <v>0</v>
          </cell>
          <cell r="Y6521">
            <v>0</v>
          </cell>
        </row>
        <row r="6522">
          <cell r="D6522">
            <v>318341</v>
          </cell>
          <cell r="E6522" t="str">
            <v>Hadji Salik Kalaing NHS</v>
          </cell>
          <cell r="F6522">
            <v>1</v>
          </cell>
          <cell r="G6522">
            <v>1</v>
          </cell>
          <cell r="H6522">
            <v>1</v>
          </cell>
          <cell r="I6522">
            <v>1</v>
          </cell>
          <cell r="J6522">
            <v>0</v>
          </cell>
          <cell r="K6522">
            <v>0</v>
          </cell>
          <cell r="L6522">
            <v>0</v>
          </cell>
          <cell r="M6522">
            <v>0</v>
          </cell>
          <cell r="N6522">
            <v>0</v>
          </cell>
          <cell r="O6522">
            <v>0</v>
          </cell>
          <cell r="P6522">
            <v>0</v>
          </cell>
          <cell r="Q6522">
            <v>1</v>
          </cell>
          <cell r="R6522">
            <v>0</v>
          </cell>
          <cell r="S6522">
            <v>0</v>
          </cell>
          <cell r="T6522">
            <v>0</v>
          </cell>
          <cell r="U6522">
            <v>0</v>
          </cell>
          <cell r="V6522">
            <v>0</v>
          </cell>
          <cell r="W6522">
            <v>0</v>
          </cell>
          <cell r="X6522">
            <v>0</v>
          </cell>
          <cell r="Y6522">
            <v>0</v>
          </cell>
        </row>
        <row r="6523">
          <cell r="D6523">
            <v>318314</v>
          </cell>
          <cell r="E6523" t="str">
            <v>Datu Sailila NHS</v>
          </cell>
          <cell r="F6523">
            <v>1</v>
          </cell>
          <cell r="G6523">
            <v>0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>
            <v>0</v>
          </cell>
          <cell r="M6523">
            <v>0</v>
          </cell>
          <cell r="N6523">
            <v>0</v>
          </cell>
          <cell r="O6523">
            <v>0</v>
          </cell>
          <cell r="P6523">
            <v>0</v>
          </cell>
          <cell r="Q6523">
            <v>0</v>
          </cell>
          <cell r="R6523">
            <v>0</v>
          </cell>
          <cell r="S6523">
            <v>0</v>
          </cell>
          <cell r="T6523">
            <v>0</v>
          </cell>
          <cell r="U6523">
            <v>0</v>
          </cell>
          <cell r="V6523">
            <v>0</v>
          </cell>
          <cell r="W6523">
            <v>0</v>
          </cell>
          <cell r="X6523">
            <v>0</v>
          </cell>
          <cell r="Y6523">
            <v>0</v>
          </cell>
        </row>
        <row r="6524">
          <cell r="D6524">
            <v>318322</v>
          </cell>
          <cell r="E6524" t="str">
            <v>Datu Abdula M. Camino MNHS</v>
          </cell>
          <cell r="F6524">
            <v>1</v>
          </cell>
          <cell r="G6524">
            <v>1</v>
          </cell>
          <cell r="H6524">
            <v>1</v>
          </cell>
          <cell r="I6524">
            <v>0</v>
          </cell>
          <cell r="J6524">
            <v>1</v>
          </cell>
          <cell r="K6524">
            <v>0</v>
          </cell>
          <cell r="L6524">
            <v>0</v>
          </cell>
          <cell r="M6524">
            <v>0</v>
          </cell>
          <cell r="N6524">
            <v>1</v>
          </cell>
          <cell r="O6524" t="str">
            <v>July30,2019</v>
          </cell>
          <cell r="P6524" t="str">
            <v>July30,219</v>
          </cell>
          <cell r="Q6524">
            <v>1</v>
          </cell>
          <cell r="R6524">
            <v>0</v>
          </cell>
          <cell r="S6524">
            <v>0</v>
          </cell>
          <cell r="T6524">
            <v>0</v>
          </cell>
          <cell r="U6524">
            <v>0</v>
          </cell>
          <cell r="V6524">
            <v>1</v>
          </cell>
          <cell r="W6524">
            <v>3</v>
          </cell>
          <cell r="X6524">
            <v>1</v>
          </cell>
          <cell r="Y6524">
            <v>1</v>
          </cell>
        </row>
        <row r="6525">
          <cell r="D6525">
            <v>304999</v>
          </cell>
          <cell r="E6525" t="str">
            <v>Ampatuan NHS</v>
          </cell>
          <cell r="F6525">
            <v>0</v>
          </cell>
          <cell r="G6525">
            <v>0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0</v>
          </cell>
          <cell r="M6525">
            <v>0</v>
          </cell>
          <cell r="N6525">
            <v>0</v>
          </cell>
          <cell r="O6525">
            <v>0</v>
          </cell>
          <cell r="P6525">
            <v>0</v>
          </cell>
          <cell r="Q6525">
            <v>0</v>
          </cell>
          <cell r="R6525">
            <v>0</v>
          </cell>
          <cell r="S6525">
            <v>0</v>
          </cell>
          <cell r="T6525">
            <v>0</v>
          </cell>
          <cell r="U6525">
            <v>0</v>
          </cell>
          <cell r="V6525">
            <v>0</v>
          </cell>
          <cell r="W6525">
            <v>0</v>
          </cell>
          <cell r="X6525">
            <v>0</v>
          </cell>
          <cell r="Y6525">
            <v>0</v>
          </cell>
        </row>
        <row r="6526">
          <cell r="D6526">
            <v>318305</v>
          </cell>
          <cell r="E6526" t="str">
            <v>Datu Mamalo Memorial NHS</v>
          </cell>
          <cell r="F6526">
            <v>1</v>
          </cell>
          <cell r="G6526">
            <v>1</v>
          </cell>
          <cell r="H6526">
            <v>0</v>
          </cell>
          <cell r="I6526">
            <v>1</v>
          </cell>
          <cell r="J6526">
            <v>0</v>
          </cell>
          <cell r="K6526">
            <v>0</v>
          </cell>
          <cell r="L6526">
            <v>0</v>
          </cell>
          <cell r="M6526">
            <v>0</v>
          </cell>
          <cell r="N6526">
            <v>0</v>
          </cell>
          <cell r="O6526">
            <v>43619</v>
          </cell>
          <cell r="P6526">
            <v>43619</v>
          </cell>
          <cell r="Q6526">
            <v>1</v>
          </cell>
          <cell r="R6526">
            <v>0</v>
          </cell>
          <cell r="S6526">
            <v>0</v>
          </cell>
          <cell r="T6526">
            <v>0</v>
          </cell>
          <cell r="U6526">
            <v>0</v>
          </cell>
          <cell r="V6526">
            <v>1</v>
          </cell>
          <cell r="W6526">
            <v>0</v>
          </cell>
          <cell r="X6526">
            <v>0</v>
          </cell>
          <cell r="Y6526">
            <v>0</v>
          </cell>
        </row>
        <row r="6527">
          <cell r="D6527">
            <v>305022</v>
          </cell>
          <cell r="E6527" t="str">
            <v>South Upi NHS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0</v>
          </cell>
          <cell r="M6527">
            <v>0</v>
          </cell>
          <cell r="N6527">
            <v>0</v>
          </cell>
          <cell r="O6527">
            <v>0</v>
          </cell>
          <cell r="P6527">
            <v>0</v>
          </cell>
          <cell r="Q6527">
            <v>0</v>
          </cell>
          <cell r="R6527">
            <v>0</v>
          </cell>
          <cell r="S6527">
            <v>0</v>
          </cell>
          <cell r="T6527">
            <v>0</v>
          </cell>
          <cell r="U6527">
            <v>0</v>
          </cell>
          <cell r="V6527">
            <v>0</v>
          </cell>
          <cell r="W6527">
            <v>0</v>
          </cell>
          <cell r="X6527">
            <v>0</v>
          </cell>
          <cell r="Y6527">
            <v>0</v>
          </cell>
        </row>
        <row r="6528">
          <cell r="D6528">
            <v>318334</v>
          </cell>
          <cell r="E6528" t="str">
            <v>Mangudadatu NHS</v>
          </cell>
          <cell r="F6528">
            <v>1</v>
          </cell>
          <cell r="G6528">
            <v>0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  <cell r="N6528">
            <v>0</v>
          </cell>
          <cell r="O6528">
            <v>0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>
            <v>0</v>
          </cell>
          <cell r="V6528">
            <v>0</v>
          </cell>
          <cell r="W6528">
            <v>0</v>
          </cell>
          <cell r="X6528">
            <v>0</v>
          </cell>
          <cell r="Y6528">
            <v>0</v>
          </cell>
        </row>
        <row r="6529">
          <cell r="D6529">
            <v>305010</v>
          </cell>
          <cell r="E6529" t="str">
            <v>Paglat NHS</v>
          </cell>
          <cell r="F6529">
            <v>1</v>
          </cell>
          <cell r="G6529">
            <v>1</v>
          </cell>
          <cell r="H6529">
            <v>1</v>
          </cell>
          <cell r="I6529">
            <v>0</v>
          </cell>
          <cell r="J6529">
            <v>0</v>
          </cell>
          <cell r="K6529">
            <v>1</v>
          </cell>
          <cell r="L6529">
            <v>0</v>
          </cell>
          <cell r="M6529">
            <v>0</v>
          </cell>
          <cell r="N6529">
            <v>0</v>
          </cell>
          <cell r="O6529">
            <v>0</v>
          </cell>
          <cell r="P6529">
            <v>0</v>
          </cell>
          <cell r="Q6529">
            <v>0</v>
          </cell>
          <cell r="R6529">
            <v>0</v>
          </cell>
          <cell r="S6529">
            <v>1</v>
          </cell>
          <cell r="T6529">
            <v>0</v>
          </cell>
          <cell r="U6529">
            <v>0</v>
          </cell>
          <cell r="V6529">
            <v>0</v>
          </cell>
          <cell r="W6529">
            <v>0</v>
          </cell>
          <cell r="X6529">
            <v>0</v>
          </cell>
          <cell r="Y6529">
            <v>0</v>
          </cell>
        </row>
        <row r="6530">
          <cell r="D6530">
            <v>318323</v>
          </cell>
          <cell r="E6530" t="str">
            <v>Datu Unsay NHS</v>
          </cell>
          <cell r="F6530">
            <v>1</v>
          </cell>
          <cell r="G6530">
            <v>1</v>
          </cell>
          <cell r="H6530">
            <v>1</v>
          </cell>
          <cell r="I6530">
            <v>0</v>
          </cell>
          <cell r="J6530">
            <v>1</v>
          </cell>
          <cell r="K6530">
            <v>0</v>
          </cell>
          <cell r="L6530">
            <v>0</v>
          </cell>
          <cell r="M6530">
            <v>0</v>
          </cell>
          <cell r="N6530">
            <v>1</v>
          </cell>
          <cell r="O6530">
            <v>0</v>
          </cell>
          <cell r="P6530">
            <v>0</v>
          </cell>
          <cell r="Q6530">
            <v>1</v>
          </cell>
          <cell r="R6530">
            <v>0</v>
          </cell>
          <cell r="S6530">
            <v>0</v>
          </cell>
          <cell r="T6530">
            <v>0</v>
          </cell>
          <cell r="U6530">
            <v>0</v>
          </cell>
          <cell r="V6530">
            <v>1</v>
          </cell>
          <cell r="W6530">
            <v>0</v>
          </cell>
          <cell r="X6530">
            <v>0</v>
          </cell>
          <cell r="Y6530">
            <v>0</v>
          </cell>
        </row>
        <row r="6531">
          <cell r="D6531">
            <v>318332</v>
          </cell>
          <cell r="E6531" t="str">
            <v>Manindolo NHS</v>
          </cell>
          <cell r="F6531">
            <v>1</v>
          </cell>
          <cell r="G6531">
            <v>0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0</v>
          </cell>
          <cell r="M6531">
            <v>0</v>
          </cell>
          <cell r="N6531">
            <v>0</v>
          </cell>
          <cell r="O6531">
            <v>0</v>
          </cell>
          <cell r="P6531">
            <v>0</v>
          </cell>
          <cell r="Q6531">
            <v>0</v>
          </cell>
          <cell r="R6531">
            <v>1</v>
          </cell>
          <cell r="S6531">
            <v>0</v>
          </cell>
          <cell r="T6531">
            <v>0</v>
          </cell>
          <cell r="U6531">
            <v>0</v>
          </cell>
          <cell r="V6531">
            <v>1</v>
          </cell>
          <cell r="W6531">
            <v>0</v>
          </cell>
          <cell r="X6531">
            <v>0</v>
          </cell>
          <cell r="Y6531">
            <v>0</v>
          </cell>
        </row>
        <row r="6532">
          <cell r="D6532">
            <v>318315</v>
          </cell>
          <cell r="E6532" t="str">
            <v>Datu Saudi Uy Ampatuan NHS</v>
          </cell>
          <cell r="F6532">
            <v>1</v>
          </cell>
          <cell r="G6532">
            <v>0</v>
          </cell>
          <cell r="H6532">
            <v>1</v>
          </cell>
          <cell r="I6532">
            <v>0</v>
          </cell>
          <cell r="J6532">
            <v>0</v>
          </cell>
          <cell r="K6532">
            <v>0</v>
          </cell>
          <cell r="L6532">
            <v>1</v>
          </cell>
          <cell r="M6532" t="str">
            <v>as needed</v>
          </cell>
          <cell r="N6532">
            <v>0</v>
          </cell>
          <cell r="O6532">
            <v>0</v>
          </cell>
          <cell r="P6532" t="str">
            <v>none</v>
          </cell>
          <cell r="Q6532">
            <v>0</v>
          </cell>
          <cell r="R6532">
            <v>0</v>
          </cell>
          <cell r="S6532">
            <v>0</v>
          </cell>
          <cell r="T6532">
            <v>1</v>
          </cell>
          <cell r="U6532" t="str">
            <v>cigarettes is prohibited in our palce</v>
          </cell>
          <cell r="V6532">
            <v>0</v>
          </cell>
          <cell r="W6532">
            <v>0</v>
          </cell>
          <cell r="X6532">
            <v>0</v>
          </cell>
          <cell r="Y6532">
            <v>0</v>
          </cell>
        </row>
        <row r="6533">
          <cell r="D6533">
            <v>318335</v>
          </cell>
          <cell r="E6533" t="str">
            <v>Maulana NHS</v>
          </cell>
          <cell r="F6533">
            <v>1</v>
          </cell>
          <cell r="G6533">
            <v>1</v>
          </cell>
          <cell r="H6533">
            <v>1</v>
          </cell>
          <cell r="I6533">
            <v>0</v>
          </cell>
          <cell r="J6533">
            <v>0</v>
          </cell>
          <cell r="K6533">
            <v>0</v>
          </cell>
          <cell r="L6533">
            <v>1</v>
          </cell>
          <cell r="M6533">
            <v>0</v>
          </cell>
          <cell r="N6533">
            <v>1</v>
          </cell>
          <cell r="O6533">
            <v>0</v>
          </cell>
          <cell r="P6533">
            <v>0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>
            <v>0</v>
          </cell>
          <cell r="V6533">
            <v>1</v>
          </cell>
          <cell r="W6533">
            <v>0</v>
          </cell>
          <cell r="X6533">
            <v>0</v>
          </cell>
          <cell r="Y6533">
            <v>0</v>
          </cell>
        </row>
        <row r="6534">
          <cell r="D6534">
            <v>305025</v>
          </cell>
          <cell r="E6534" t="str">
            <v>Rajah Buayan NHS</v>
          </cell>
          <cell r="F6534">
            <v>0</v>
          </cell>
          <cell r="G6534">
            <v>0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0</v>
          </cell>
          <cell r="M6534">
            <v>0</v>
          </cell>
          <cell r="N6534">
            <v>0</v>
          </cell>
          <cell r="O6534">
            <v>0</v>
          </cell>
          <cell r="P6534">
            <v>0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>
            <v>0</v>
          </cell>
          <cell r="V6534">
            <v>0</v>
          </cell>
          <cell r="W6534">
            <v>0</v>
          </cell>
          <cell r="X6534">
            <v>0</v>
          </cell>
          <cell r="Y6534">
            <v>0</v>
          </cell>
        </row>
        <row r="6535">
          <cell r="D6535">
            <v>318330</v>
          </cell>
          <cell r="E6535" t="str">
            <v>Pandan NHS</v>
          </cell>
          <cell r="F6535">
            <v>0</v>
          </cell>
          <cell r="G6535">
            <v>0</v>
          </cell>
          <cell r="H6535">
            <v>1</v>
          </cell>
          <cell r="I6535">
            <v>0</v>
          </cell>
          <cell r="J6535">
            <v>0</v>
          </cell>
          <cell r="K6535">
            <v>1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 t="str">
            <v>August 13, 2019</v>
          </cell>
          <cell r="Q6535">
            <v>0</v>
          </cell>
          <cell r="R6535">
            <v>0</v>
          </cell>
          <cell r="S6535">
            <v>1</v>
          </cell>
          <cell r="T6535">
            <v>0</v>
          </cell>
          <cell r="U6535">
            <v>0</v>
          </cell>
          <cell r="V6535">
            <v>1</v>
          </cell>
          <cell r="W6535">
            <v>0</v>
          </cell>
          <cell r="X6535">
            <v>0</v>
          </cell>
          <cell r="Y6535">
            <v>0</v>
          </cell>
        </row>
        <row r="6536">
          <cell r="D6536">
            <v>318329</v>
          </cell>
          <cell r="E6536" t="str">
            <v>Lumao NHS</v>
          </cell>
          <cell r="F6536">
            <v>1</v>
          </cell>
          <cell r="G6536">
            <v>0</v>
          </cell>
          <cell r="H6536">
            <v>1</v>
          </cell>
          <cell r="I6536">
            <v>0</v>
          </cell>
          <cell r="J6536">
            <v>0</v>
          </cell>
          <cell r="K6536">
            <v>1</v>
          </cell>
          <cell r="L6536">
            <v>0</v>
          </cell>
          <cell r="M6536">
            <v>0</v>
          </cell>
          <cell r="N6536">
            <v>1</v>
          </cell>
          <cell r="O6536">
            <v>43552</v>
          </cell>
          <cell r="P6536">
            <v>43654</v>
          </cell>
          <cell r="Q6536">
            <v>0</v>
          </cell>
          <cell r="R6536">
            <v>1</v>
          </cell>
          <cell r="S6536">
            <v>0</v>
          </cell>
          <cell r="T6536">
            <v>0</v>
          </cell>
          <cell r="U6536">
            <v>0</v>
          </cell>
          <cell r="V6536">
            <v>1</v>
          </cell>
          <cell r="W6536">
            <v>0</v>
          </cell>
          <cell r="X6536">
            <v>0</v>
          </cell>
          <cell r="Y6536">
            <v>0</v>
          </cell>
        </row>
        <row r="6537">
          <cell r="D6537">
            <v>305004</v>
          </cell>
          <cell r="E6537" t="str">
            <v>Datu Paglas NHS</v>
          </cell>
          <cell r="F6537">
            <v>1</v>
          </cell>
          <cell r="G6537">
            <v>1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>
            <v>0</v>
          </cell>
          <cell r="M6537">
            <v>0</v>
          </cell>
          <cell r="N6537">
            <v>0</v>
          </cell>
          <cell r="O6537">
            <v>0</v>
          </cell>
          <cell r="P6537">
            <v>0</v>
          </cell>
          <cell r="Q6537">
            <v>0</v>
          </cell>
          <cell r="R6537">
            <v>0</v>
          </cell>
          <cell r="S6537">
            <v>0</v>
          </cell>
          <cell r="T6537">
            <v>0</v>
          </cell>
          <cell r="U6537">
            <v>0</v>
          </cell>
          <cell r="V6537">
            <v>0</v>
          </cell>
          <cell r="W6537">
            <v>0</v>
          </cell>
          <cell r="X6537">
            <v>0</v>
          </cell>
          <cell r="Y6537">
            <v>0</v>
          </cell>
        </row>
        <row r="6538">
          <cell r="D6538">
            <v>318318</v>
          </cell>
          <cell r="E6538" t="str">
            <v>Guindulungan NHS</v>
          </cell>
          <cell r="F6538">
            <v>1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  <cell r="M6538">
            <v>0</v>
          </cell>
          <cell r="N6538">
            <v>0</v>
          </cell>
          <cell r="O6538" t="str">
            <v>None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>
            <v>0</v>
          </cell>
          <cell r="V6538">
            <v>0</v>
          </cell>
          <cell r="W6538">
            <v>0</v>
          </cell>
          <cell r="X6538">
            <v>0</v>
          </cell>
          <cell r="Y6538">
            <v>0</v>
          </cell>
        </row>
        <row r="6539">
          <cell r="D6539">
            <v>318310</v>
          </cell>
          <cell r="E6539" t="str">
            <v>Sapakan NHS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  <cell r="N6539">
            <v>0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>
            <v>0</v>
          </cell>
          <cell r="V6539">
            <v>0</v>
          </cell>
          <cell r="W6539">
            <v>0</v>
          </cell>
          <cell r="X6539">
            <v>0</v>
          </cell>
          <cell r="Y6539">
            <v>0</v>
          </cell>
        </row>
        <row r="6540">
          <cell r="D6540">
            <v>318317</v>
          </cell>
          <cell r="E6540" t="str">
            <v>Hadji Datu Abubakar K. Pendatun NHS</v>
          </cell>
          <cell r="F6540">
            <v>0</v>
          </cell>
          <cell r="G6540">
            <v>0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0</v>
          </cell>
          <cell r="M6540">
            <v>0</v>
          </cell>
          <cell r="N6540">
            <v>0</v>
          </cell>
          <cell r="O6540">
            <v>0</v>
          </cell>
          <cell r="P6540">
            <v>0</v>
          </cell>
          <cell r="Q6540">
            <v>0</v>
          </cell>
          <cell r="R6540">
            <v>0</v>
          </cell>
          <cell r="S6540">
            <v>0</v>
          </cell>
          <cell r="T6540">
            <v>0</v>
          </cell>
          <cell r="U6540">
            <v>0</v>
          </cell>
          <cell r="V6540">
            <v>0</v>
          </cell>
          <cell r="W6540">
            <v>0</v>
          </cell>
          <cell r="X6540">
            <v>0</v>
          </cell>
          <cell r="Y6540">
            <v>0</v>
          </cell>
        </row>
        <row r="6541">
          <cell r="D6541">
            <v>318324</v>
          </cell>
          <cell r="E6541" t="str">
            <v>Bai Tembabay NHS</v>
          </cell>
          <cell r="F6541">
            <v>0</v>
          </cell>
          <cell r="G6541">
            <v>0</v>
          </cell>
          <cell r="H6541">
            <v>1</v>
          </cell>
          <cell r="I6541">
            <v>1</v>
          </cell>
          <cell r="J6541">
            <v>0</v>
          </cell>
          <cell r="K6541">
            <v>0</v>
          </cell>
          <cell r="L6541">
            <v>0</v>
          </cell>
          <cell r="M6541">
            <v>0</v>
          </cell>
          <cell r="N6541">
            <v>1</v>
          </cell>
          <cell r="O6541" t="str">
            <v>9/15/2019</v>
          </cell>
          <cell r="P6541">
            <v>43595</v>
          </cell>
          <cell r="Q6541">
            <v>1</v>
          </cell>
          <cell r="R6541">
            <v>0</v>
          </cell>
          <cell r="S6541">
            <v>0</v>
          </cell>
          <cell r="T6541">
            <v>0</v>
          </cell>
          <cell r="U6541">
            <v>0</v>
          </cell>
          <cell r="V6541">
            <v>1</v>
          </cell>
          <cell r="W6541">
            <v>3</v>
          </cell>
          <cell r="X6541">
            <v>2</v>
          </cell>
          <cell r="Y6541">
            <v>3</v>
          </cell>
        </row>
        <row r="6542">
          <cell r="D6542">
            <v>305041</v>
          </cell>
          <cell r="E6542" t="str">
            <v>Panglima Estino NHS-MAIN</v>
          </cell>
          <cell r="F6542">
            <v>1</v>
          </cell>
          <cell r="G6542">
            <v>1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0</v>
          </cell>
          <cell r="M6542">
            <v>0</v>
          </cell>
          <cell r="N6542">
            <v>0</v>
          </cell>
          <cell r="O6542">
            <v>0</v>
          </cell>
          <cell r="P6542">
            <v>0</v>
          </cell>
          <cell r="Q6542">
            <v>0</v>
          </cell>
          <cell r="R6542">
            <v>0</v>
          </cell>
          <cell r="S6542">
            <v>0</v>
          </cell>
          <cell r="T6542">
            <v>0</v>
          </cell>
          <cell r="U6542">
            <v>0</v>
          </cell>
          <cell r="V6542">
            <v>0</v>
          </cell>
          <cell r="W6542">
            <v>0</v>
          </cell>
          <cell r="X6542">
            <v>0</v>
          </cell>
          <cell r="Y6542">
            <v>0</v>
          </cell>
        </row>
        <row r="6543">
          <cell r="D6543">
            <v>305035</v>
          </cell>
          <cell r="E6543" t="str">
            <v>Lugus NHS</v>
          </cell>
          <cell r="F6543">
            <v>1</v>
          </cell>
          <cell r="G6543">
            <v>0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>
            <v>0</v>
          </cell>
          <cell r="M6543">
            <v>0</v>
          </cell>
          <cell r="N6543">
            <v>0</v>
          </cell>
          <cell r="O6543">
            <v>0</v>
          </cell>
          <cell r="P6543">
            <v>0</v>
          </cell>
          <cell r="Q6543">
            <v>0</v>
          </cell>
          <cell r="R6543">
            <v>0</v>
          </cell>
          <cell r="S6543">
            <v>0</v>
          </cell>
          <cell r="T6543">
            <v>0</v>
          </cell>
          <cell r="U6543">
            <v>0</v>
          </cell>
          <cell r="V6543">
            <v>0</v>
          </cell>
          <cell r="W6543">
            <v>0</v>
          </cell>
          <cell r="X6543">
            <v>0</v>
          </cell>
          <cell r="Y6543">
            <v>0</v>
          </cell>
        </row>
        <row r="6544">
          <cell r="D6544">
            <v>305037</v>
          </cell>
          <cell r="E6544" t="str">
            <v>Maimbung NHS-main</v>
          </cell>
          <cell r="F6544">
            <v>1</v>
          </cell>
          <cell r="G6544">
            <v>1</v>
          </cell>
          <cell r="H6544">
            <v>1</v>
          </cell>
          <cell r="I6544">
            <v>0</v>
          </cell>
          <cell r="J6544">
            <v>0</v>
          </cell>
          <cell r="K6544">
            <v>1</v>
          </cell>
          <cell r="L6544">
            <v>0</v>
          </cell>
          <cell r="M6544">
            <v>0</v>
          </cell>
          <cell r="N6544">
            <v>1</v>
          </cell>
          <cell r="O6544">
            <v>0</v>
          </cell>
          <cell r="P6544">
            <v>0</v>
          </cell>
          <cell r="Q6544">
            <v>0</v>
          </cell>
          <cell r="R6544">
            <v>0</v>
          </cell>
          <cell r="S6544">
            <v>0</v>
          </cell>
          <cell r="T6544">
            <v>0</v>
          </cell>
          <cell r="U6544">
            <v>0</v>
          </cell>
          <cell r="V6544">
            <v>1</v>
          </cell>
          <cell r="W6544">
            <v>0</v>
          </cell>
          <cell r="X6544">
            <v>0</v>
          </cell>
          <cell r="Y6544">
            <v>0</v>
          </cell>
        </row>
        <row r="6545">
          <cell r="D6545">
            <v>305044</v>
          </cell>
          <cell r="E6545" t="str">
            <v>Pata NHS</v>
          </cell>
          <cell r="F6545">
            <v>1</v>
          </cell>
          <cell r="G6545">
            <v>0</v>
          </cell>
          <cell r="H6545">
            <v>1</v>
          </cell>
          <cell r="I6545">
            <v>0</v>
          </cell>
          <cell r="J6545">
            <v>0</v>
          </cell>
          <cell r="K6545">
            <v>0</v>
          </cell>
          <cell r="L6545">
            <v>0</v>
          </cell>
          <cell r="M6545">
            <v>0</v>
          </cell>
          <cell r="N6545">
            <v>0</v>
          </cell>
          <cell r="O6545">
            <v>0</v>
          </cell>
          <cell r="P6545">
            <v>0</v>
          </cell>
          <cell r="Q6545">
            <v>0</v>
          </cell>
          <cell r="R6545">
            <v>0</v>
          </cell>
          <cell r="S6545">
            <v>0</v>
          </cell>
          <cell r="T6545">
            <v>0</v>
          </cell>
          <cell r="U6545">
            <v>0</v>
          </cell>
          <cell r="V6545">
            <v>0</v>
          </cell>
          <cell r="W6545">
            <v>0</v>
          </cell>
          <cell r="X6545">
            <v>0</v>
          </cell>
          <cell r="Y6545">
            <v>0</v>
          </cell>
        </row>
        <row r="6546">
          <cell r="D6546">
            <v>305039</v>
          </cell>
          <cell r="E6546" t="str">
            <v>Hadji Panglima Tahil National High School</v>
          </cell>
          <cell r="F6546">
            <v>1</v>
          </cell>
          <cell r="G6546">
            <v>1</v>
          </cell>
          <cell r="H6546">
            <v>1</v>
          </cell>
          <cell r="I6546">
            <v>0</v>
          </cell>
          <cell r="J6546">
            <v>0</v>
          </cell>
          <cell r="K6546">
            <v>1</v>
          </cell>
          <cell r="L6546">
            <v>0</v>
          </cell>
          <cell r="M6546">
            <v>0</v>
          </cell>
          <cell r="N6546">
            <v>1</v>
          </cell>
          <cell r="O6546" t="str">
            <v>August 21, 2019</v>
          </cell>
          <cell r="P6546" t="str">
            <v>August 21, 2019</v>
          </cell>
          <cell r="Q6546">
            <v>0</v>
          </cell>
          <cell r="R6546">
            <v>0</v>
          </cell>
          <cell r="S6546">
            <v>0</v>
          </cell>
          <cell r="T6546">
            <v>0</v>
          </cell>
          <cell r="U6546">
            <v>0</v>
          </cell>
          <cell r="V6546">
            <v>1</v>
          </cell>
          <cell r="W6546">
            <v>0</v>
          </cell>
          <cell r="X6546">
            <v>0</v>
          </cell>
          <cell r="Y6546">
            <v>0</v>
          </cell>
        </row>
        <row r="6547">
          <cell r="D6547">
            <v>305038</v>
          </cell>
          <cell r="E6547" t="str">
            <v>Old Panamao NHS</v>
          </cell>
          <cell r="F6547">
            <v>1</v>
          </cell>
          <cell r="G6547">
            <v>1</v>
          </cell>
          <cell r="H6547">
            <v>1</v>
          </cell>
          <cell r="I6547">
            <v>0</v>
          </cell>
          <cell r="J6547">
            <v>0</v>
          </cell>
          <cell r="K6547">
            <v>1</v>
          </cell>
          <cell r="L6547">
            <v>0</v>
          </cell>
          <cell r="M6547">
            <v>0</v>
          </cell>
          <cell r="N6547">
            <v>1</v>
          </cell>
          <cell r="O6547">
            <v>0</v>
          </cell>
          <cell r="P6547">
            <v>0</v>
          </cell>
          <cell r="Q6547">
            <v>0</v>
          </cell>
          <cell r="R6547">
            <v>0</v>
          </cell>
          <cell r="S6547">
            <v>1</v>
          </cell>
          <cell r="T6547">
            <v>0</v>
          </cell>
          <cell r="U6547">
            <v>0</v>
          </cell>
          <cell r="V6547">
            <v>0</v>
          </cell>
          <cell r="W6547">
            <v>3</v>
          </cell>
          <cell r="X6547">
            <v>2</v>
          </cell>
          <cell r="Y6547">
            <v>2</v>
          </cell>
        </row>
        <row r="6548">
          <cell r="D6548">
            <v>305033</v>
          </cell>
          <cell r="E6548" t="str">
            <v>K. Caluang NHS</v>
          </cell>
          <cell r="F6548">
            <v>0</v>
          </cell>
          <cell r="G6548">
            <v>0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0</v>
          </cell>
          <cell r="M6548">
            <v>0</v>
          </cell>
          <cell r="N6548">
            <v>0</v>
          </cell>
          <cell r="O6548">
            <v>0</v>
          </cell>
          <cell r="P6548">
            <v>0</v>
          </cell>
          <cell r="Q6548">
            <v>0</v>
          </cell>
          <cell r="R6548">
            <v>0</v>
          </cell>
          <cell r="S6548">
            <v>0</v>
          </cell>
          <cell r="T6548">
            <v>0</v>
          </cell>
          <cell r="U6548">
            <v>0</v>
          </cell>
          <cell r="V6548">
            <v>0</v>
          </cell>
          <cell r="W6548">
            <v>0</v>
          </cell>
          <cell r="X6548">
            <v>0</v>
          </cell>
          <cell r="Y6548">
            <v>0</v>
          </cell>
        </row>
        <row r="6549">
          <cell r="D6549">
            <v>305048</v>
          </cell>
          <cell r="E6549" t="str">
            <v>Tapul National High School</v>
          </cell>
          <cell r="F6549">
            <v>0</v>
          </cell>
          <cell r="G6549">
            <v>0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>
            <v>0</v>
          </cell>
          <cell r="M6549">
            <v>0</v>
          </cell>
          <cell r="N6549">
            <v>0</v>
          </cell>
          <cell r="O6549">
            <v>0</v>
          </cell>
          <cell r="P6549">
            <v>0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>
            <v>0</v>
          </cell>
          <cell r="V6549">
            <v>0</v>
          </cell>
          <cell r="W6549">
            <v>0</v>
          </cell>
          <cell r="X6549">
            <v>0</v>
          </cell>
          <cell r="Y6549">
            <v>0</v>
          </cell>
        </row>
        <row r="6550">
          <cell r="D6550">
            <v>305042</v>
          </cell>
          <cell r="E6550" t="str">
            <v>Pangutaran NHS</v>
          </cell>
          <cell r="F6550">
            <v>1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  <cell r="N6550">
            <v>0</v>
          </cell>
          <cell r="O6550">
            <v>0</v>
          </cell>
          <cell r="P6550">
            <v>0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0</v>
          </cell>
          <cell r="V6550">
            <v>0</v>
          </cell>
          <cell r="W6550">
            <v>0</v>
          </cell>
          <cell r="X6550">
            <v>0</v>
          </cell>
          <cell r="Y6550">
            <v>0</v>
          </cell>
        </row>
        <row r="6551">
          <cell r="D6551">
            <v>318402</v>
          </cell>
          <cell r="E6551" t="str">
            <v>Pasil Indanan</v>
          </cell>
          <cell r="F6551">
            <v>1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>
            <v>0</v>
          </cell>
          <cell r="M6551">
            <v>0</v>
          </cell>
          <cell r="N6551">
            <v>0</v>
          </cell>
          <cell r="O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  <cell r="V6551">
            <v>0</v>
          </cell>
          <cell r="W6551">
            <v>0</v>
          </cell>
          <cell r="X6551">
            <v>0</v>
          </cell>
          <cell r="Y6551">
            <v>0</v>
          </cell>
        </row>
        <row r="6552">
          <cell r="D6552">
            <v>305045</v>
          </cell>
          <cell r="E6552" t="str">
            <v>Patikul NHS</v>
          </cell>
          <cell r="F6552">
            <v>1</v>
          </cell>
          <cell r="G6552">
            <v>1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>
            <v>0</v>
          </cell>
          <cell r="M6552">
            <v>0</v>
          </cell>
          <cell r="N6552">
            <v>0</v>
          </cell>
          <cell r="O6552">
            <v>0</v>
          </cell>
          <cell r="P6552">
            <v>0</v>
          </cell>
          <cell r="Q6552">
            <v>0</v>
          </cell>
          <cell r="R6552">
            <v>0</v>
          </cell>
          <cell r="S6552">
            <v>0</v>
          </cell>
          <cell r="T6552">
            <v>0</v>
          </cell>
          <cell r="U6552">
            <v>0</v>
          </cell>
          <cell r="V6552">
            <v>0</v>
          </cell>
          <cell r="W6552">
            <v>1</v>
          </cell>
          <cell r="X6552">
            <v>0</v>
          </cell>
          <cell r="Y6552">
            <v>0</v>
          </cell>
        </row>
        <row r="6553">
          <cell r="D6553">
            <v>318403</v>
          </cell>
          <cell r="E6553" t="str">
            <v>Timbangan Indanan</v>
          </cell>
          <cell r="F6553">
            <v>1</v>
          </cell>
          <cell r="G6553">
            <v>0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0</v>
          </cell>
          <cell r="M6553">
            <v>0</v>
          </cell>
          <cell r="N6553">
            <v>0</v>
          </cell>
          <cell r="O6553">
            <v>0</v>
          </cell>
          <cell r="P6553">
            <v>0</v>
          </cell>
          <cell r="Q6553">
            <v>0</v>
          </cell>
          <cell r="R6553">
            <v>0</v>
          </cell>
          <cell r="S6553">
            <v>0</v>
          </cell>
          <cell r="T6553">
            <v>0</v>
          </cell>
          <cell r="U6553">
            <v>0</v>
          </cell>
          <cell r="V6553">
            <v>0</v>
          </cell>
          <cell r="W6553">
            <v>0</v>
          </cell>
          <cell r="X6553">
            <v>0</v>
          </cell>
          <cell r="Y6553">
            <v>0</v>
          </cell>
        </row>
        <row r="6554">
          <cell r="D6554">
            <v>318404</v>
          </cell>
          <cell r="E6554" t="str">
            <v>Capual NHS</v>
          </cell>
          <cell r="F6554">
            <v>0</v>
          </cell>
          <cell r="G6554">
            <v>0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>
            <v>0</v>
          </cell>
          <cell r="M6554">
            <v>0</v>
          </cell>
          <cell r="N6554">
            <v>0</v>
          </cell>
          <cell r="O6554">
            <v>0</v>
          </cell>
          <cell r="P6554">
            <v>0</v>
          </cell>
          <cell r="Q6554">
            <v>0</v>
          </cell>
          <cell r="R6554">
            <v>0</v>
          </cell>
          <cell r="S6554">
            <v>0</v>
          </cell>
          <cell r="T6554">
            <v>0</v>
          </cell>
          <cell r="U6554">
            <v>0</v>
          </cell>
          <cell r="V6554">
            <v>0</v>
          </cell>
          <cell r="W6554">
            <v>0</v>
          </cell>
          <cell r="X6554">
            <v>0</v>
          </cell>
          <cell r="Y6554">
            <v>0</v>
          </cell>
        </row>
        <row r="6555">
          <cell r="D6555">
            <v>305032</v>
          </cell>
          <cell r="E6555" t="str">
            <v>Jolo School of Fisheries</v>
          </cell>
          <cell r="F6555">
            <v>1</v>
          </cell>
          <cell r="G6555">
            <v>0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>
            <v>0</v>
          </cell>
          <cell r="M6555">
            <v>0</v>
          </cell>
          <cell r="N6555">
            <v>0</v>
          </cell>
          <cell r="O6555">
            <v>0</v>
          </cell>
          <cell r="P6555">
            <v>0</v>
          </cell>
          <cell r="Q6555">
            <v>0</v>
          </cell>
          <cell r="R6555">
            <v>0</v>
          </cell>
          <cell r="S6555">
            <v>0</v>
          </cell>
          <cell r="T6555">
            <v>0</v>
          </cell>
          <cell r="U6555">
            <v>0</v>
          </cell>
          <cell r="V6555">
            <v>0</v>
          </cell>
          <cell r="W6555">
            <v>0</v>
          </cell>
          <cell r="X6555">
            <v>0</v>
          </cell>
          <cell r="Y6555">
            <v>0</v>
          </cell>
        </row>
        <row r="6556">
          <cell r="D6556">
            <v>305043</v>
          </cell>
          <cell r="E6556" t="str">
            <v>Parang NHS</v>
          </cell>
          <cell r="F6556">
            <v>1</v>
          </cell>
          <cell r="G6556">
            <v>1</v>
          </cell>
          <cell r="H6556">
            <v>1</v>
          </cell>
          <cell r="I6556">
            <v>0</v>
          </cell>
          <cell r="J6556">
            <v>0</v>
          </cell>
          <cell r="K6556">
            <v>1</v>
          </cell>
          <cell r="L6556">
            <v>0</v>
          </cell>
          <cell r="M6556">
            <v>0</v>
          </cell>
          <cell r="N6556">
            <v>0</v>
          </cell>
          <cell r="O6556">
            <v>0</v>
          </cell>
          <cell r="P6556">
            <v>0</v>
          </cell>
          <cell r="Q6556">
            <v>0</v>
          </cell>
          <cell r="R6556">
            <v>0</v>
          </cell>
          <cell r="S6556">
            <v>1</v>
          </cell>
          <cell r="T6556">
            <v>0</v>
          </cell>
          <cell r="U6556">
            <v>0</v>
          </cell>
          <cell r="V6556">
            <v>1</v>
          </cell>
          <cell r="W6556">
            <v>0</v>
          </cell>
          <cell r="X6556">
            <v>0</v>
          </cell>
          <cell r="Y6556">
            <v>0</v>
          </cell>
        </row>
        <row r="6557">
          <cell r="D6557">
            <v>318410</v>
          </cell>
          <cell r="E6557" t="str">
            <v>Jolo Agricultural School-Annex (Bato-Bato)</v>
          </cell>
          <cell r="F6557">
            <v>0</v>
          </cell>
          <cell r="G6557">
            <v>0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>
            <v>0</v>
          </cell>
          <cell r="M6557">
            <v>0</v>
          </cell>
          <cell r="N6557">
            <v>0</v>
          </cell>
          <cell r="O6557">
            <v>0</v>
          </cell>
          <cell r="P6557">
            <v>0</v>
          </cell>
          <cell r="Q6557">
            <v>0</v>
          </cell>
          <cell r="R6557">
            <v>0</v>
          </cell>
          <cell r="S6557">
            <v>0</v>
          </cell>
          <cell r="T6557">
            <v>0</v>
          </cell>
          <cell r="U6557">
            <v>0</v>
          </cell>
          <cell r="V6557">
            <v>0</v>
          </cell>
          <cell r="W6557">
            <v>0</v>
          </cell>
          <cell r="X6557">
            <v>0</v>
          </cell>
          <cell r="Y6557">
            <v>0</v>
          </cell>
        </row>
        <row r="6558">
          <cell r="D6558">
            <v>318405</v>
          </cell>
          <cell r="E6558" t="str">
            <v>Lower Patibulan Panamao</v>
          </cell>
          <cell r="F6558">
            <v>1</v>
          </cell>
          <cell r="G6558">
            <v>1</v>
          </cell>
          <cell r="H6558">
            <v>1</v>
          </cell>
          <cell r="I6558">
            <v>0</v>
          </cell>
          <cell r="J6558">
            <v>0</v>
          </cell>
          <cell r="K6558">
            <v>1</v>
          </cell>
          <cell r="L6558">
            <v>0</v>
          </cell>
          <cell r="M6558">
            <v>0</v>
          </cell>
          <cell r="N6558">
            <v>1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1</v>
          </cell>
          <cell r="T6558">
            <v>0</v>
          </cell>
          <cell r="U6558">
            <v>0</v>
          </cell>
          <cell r="V6558">
            <v>0</v>
          </cell>
          <cell r="W6558">
            <v>3</v>
          </cell>
          <cell r="X6558">
            <v>2</v>
          </cell>
          <cell r="Y6558">
            <v>2</v>
          </cell>
        </row>
        <row r="6559">
          <cell r="D6559">
            <v>305034</v>
          </cell>
          <cell r="E6559" t="str">
            <v>Laminusa National High School</v>
          </cell>
          <cell r="F6559">
            <v>1</v>
          </cell>
          <cell r="G6559">
            <v>1</v>
          </cell>
          <cell r="H6559">
            <v>1</v>
          </cell>
          <cell r="I6559">
            <v>1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  <cell r="N6559">
            <v>1</v>
          </cell>
          <cell r="O6559">
            <v>43806</v>
          </cell>
          <cell r="P6559">
            <v>0</v>
          </cell>
          <cell r="Q6559">
            <v>1</v>
          </cell>
          <cell r="R6559">
            <v>0</v>
          </cell>
          <cell r="S6559">
            <v>0</v>
          </cell>
          <cell r="T6559">
            <v>1</v>
          </cell>
          <cell r="U6559">
            <v>0</v>
          </cell>
          <cell r="V6559">
            <v>1</v>
          </cell>
          <cell r="W6559">
            <v>6</v>
          </cell>
          <cell r="X6559">
            <v>3</v>
          </cell>
          <cell r="Y6559">
            <v>1</v>
          </cell>
        </row>
        <row r="6560">
          <cell r="D6560">
            <v>305047</v>
          </cell>
          <cell r="E6560" t="str">
            <v>Talipao National High School-Senior High</v>
          </cell>
          <cell r="F6560">
            <v>1</v>
          </cell>
          <cell r="G6560">
            <v>1</v>
          </cell>
          <cell r="H6560">
            <v>1</v>
          </cell>
          <cell r="I6560">
            <v>0</v>
          </cell>
          <cell r="J6560">
            <v>1</v>
          </cell>
          <cell r="K6560">
            <v>0</v>
          </cell>
          <cell r="L6560">
            <v>0</v>
          </cell>
          <cell r="M6560">
            <v>0</v>
          </cell>
          <cell r="N6560">
            <v>1</v>
          </cell>
          <cell r="O6560">
            <v>0</v>
          </cell>
          <cell r="P6560">
            <v>0</v>
          </cell>
          <cell r="Q6560">
            <v>0</v>
          </cell>
          <cell r="R6560">
            <v>1</v>
          </cell>
          <cell r="S6560">
            <v>0</v>
          </cell>
          <cell r="T6560">
            <v>0</v>
          </cell>
          <cell r="U6560">
            <v>0</v>
          </cell>
          <cell r="V6560">
            <v>1</v>
          </cell>
          <cell r="W6560">
            <v>1</v>
          </cell>
          <cell r="X6560">
            <v>0</v>
          </cell>
          <cell r="Y6560">
            <v>0</v>
          </cell>
        </row>
        <row r="6561">
          <cell r="D6561">
            <v>305040</v>
          </cell>
          <cell r="E6561" t="str">
            <v>Pandami National High School</v>
          </cell>
          <cell r="F6561">
            <v>0</v>
          </cell>
          <cell r="G6561">
            <v>0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>
            <v>0</v>
          </cell>
          <cell r="M6561">
            <v>0</v>
          </cell>
          <cell r="N6561">
            <v>0</v>
          </cell>
          <cell r="O6561">
            <v>0</v>
          </cell>
          <cell r="P6561">
            <v>0</v>
          </cell>
          <cell r="Q6561">
            <v>0</v>
          </cell>
          <cell r="R6561">
            <v>0</v>
          </cell>
          <cell r="S6561">
            <v>0</v>
          </cell>
          <cell r="T6561">
            <v>0</v>
          </cell>
          <cell r="U6561">
            <v>0</v>
          </cell>
          <cell r="V6561">
            <v>0</v>
          </cell>
          <cell r="W6561">
            <v>0</v>
          </cell>
          <cell r="X6561">
            <v>0</v>
          </cell>
          <cell r="Y6561">
            <v>0</v>
          </cell>
        </row>
        <row r="6562">
          <cell r="D6562">
            <v>318408</v>
          </cell>
          <cell r="E6562" t="str">
            <v>Maimbung Technical Vocational High School</v>
          </cell>
          <cell r="F6562">
            <v>1</v>
          </cell>
          <cell r="G6562">
            <v>1</v>
          </cell>
          <cell r="H6562">
            <v>1</v>
          </cell>
          <cell r="I6562">
            <v>0</v>
          </cell>
          <cell r="J6562">
            <v>0</v>
          </cell>
          <cell r="K6562">
            <v>0</v>
          </cell>
          <cell r="L6562">
            <v>0</v>
          </cell>
          <cell r="M6562">
            <v>0</v>
          </cell>
          <cell r="N6562">
            <v>1</v>
          </cell>
          <cell r="O6562">
            <v>43658</v>
          </cell>
          <cell r="P6562">
            <v>43658</v>
          </cell>
          <cell r="Q6562">
            <v>0</v>
          </cell>
          <cell r="R6562">
            <v>0</v>
          </cell>
          <cell r="S6562">
            <v>0</v>
          </cell>
          <cell r="T6562">
            <v>0</v>
          </cell>
          <cell r="U6562">
            <v>0</v>
          </cell>
          <cell r="V6562">
            <v>1</v>
          </cell>
          <cell r="W6562">
            <v>2</v>
          </cell>
          <cell r="X6562">
            <v>2</v>
          </cell>
          <cell r="Y6562">
            <v>1</v>
          </cell>
        </row>
        <row r="6563">
          <cell r="D6563">
            <v>305030</v>
          </cell>
          <cell r="E6563" t="str">
            <v>Jolo Agricultral School</v>
          </cell>
          <cell r="F6563">
            <v>1</v>
          </cell>
          <cell r="G6563">
            <v>1</v>
          </cell>
          <cell r="H6563">
            <v>1</v>
          </cell>
          <cell r="I6563">
            <v>0</v>
          </cell>
          <cell r="J6563">
            <v>0</v>
          </cell>
          <cell r="K6563">
            <v>1</v>
          </cell>
          <cell r="L6563">
            <v>0</v>
          </cell>
          <cell r="M6563">
            <v>0</v>
          </cell>
          <cell r="N6563">
            <v>0</v>
          </cell>
          <cell r="O6563">
            <v>0</v>
          </cell>
          <cell r="P6563">
            <v>0</v>
          </cell>
          <cell r="Q6563">
            <v>0</v>
          </cell>
          <cell r="R6563">
            <v>0</v>
          </cell>
          <cell r="S6563">
            <v>1</v>
          </cell>
          <cell r="T6563">
            <v>0</v>
          </cell>
          <cell r="U6563">
            <v>0</v>
          </cell>
          <cell r="V6563">
            <v>0</v>
          </cell>
          <cell r="W6563">
            <v>3</v>
          </cell>
          <cell r="X6563">
            <v>3</v>
          </cell>
          <cell r="Y6563">
            <v>3</v>
          </cell>
        </row>
        <row r="6564">
          <cell r="D6564">
            <v>318406</v>
          </cell>
          <cell r="E6564" t="str">
            <v>Lapak National School of Fisheries</v>
          </cell>
          <cell r="F6564">
            <v>0</v>
          </cell>
          <cell r="G6564">
            <v>1</v>
          </cell>
          <cell r="H6564">
            <v>0</v>
          </cell>
          <cell r="I6564">
            <v>0</v>
          </cell>
          <cell r="J6564">
            <v>1</v>
          </cell>
          <cell r="K6564">
            <v>0</v>
          </cell>
          <cell r="L6564">
            <v>0</v>
          </cell>
          <cell r="M6564">
            <v>0</v>
          </cell>
          <cell r="N6564">
            <v>1</v>
          </cell>
          <cell r="O6564">
            <v>0</v>
          </cell>
          <cell r="P6564">
            <v>0</v>
          </cell>
          <cell r="Q6564">
            <v>0</v>
          </cell>
          <cell r="R6564">
            <v>1</v>
          </cell>
          <cell r="S6564">
            <v>0</v>
          </cell>
          <cell r="T6564">
            <v>0</v>
          </cell>
          <cell r="U6564">
            <v>0</v>
          </cell>
          <cell r="V6564">
            <v>1</v>
          </cell>
          <cell r="W6564">
            <v>0</v>
          </cell>
          <cell r="X6564">
            <v>0</v>
          </cell>
          <cell r="Y6564">
            <v>0</v>
          </cell>
        </row>
        <row r="6565">
          <cell r="D6565">
            <v>305036</v>
          </cell>
          <cell r="E6565" t="str">
            <v>LUUK NATIONAL HIGH SCHOOL</v>
          </cell>
          <cell r="F6565">
            <v>1</v>
          </cell>
          <cell r="G6565">
            <v>1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>
            <v>0</v>
          </cell>
          <cell r="V6565">
            <v>0</v>
          </cell>
          <cell r="W6565">
            <v>1</v>
          </cell>
          <cell r="X6565">
            <v>1</v>
          </cell>
          <cell r="Y6565">
            <v>0</v>
          </cell>
        </row>
        <row r="6566">
          <cell r="D6566">
            <v>305046</v>
          </cell>
          <cell r="E6566" t="str">
            <v>Sulu National High School</v>
          </cell>
          <cell r="F6566">
            <v>0</v>
          </cell>
          <cell r="G6566">
            <v>0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>
            <v>0</v>
          </cell>
          <cell r="M6566">
            <v>0</v>
          </cell>
          <cell r="N6566">
            <v>0</v>
          </cell>
          <cell r="O6566">
            <v>0</v>
          </cell>
          <cell r="P6566">
            <v>0</v>
          </cell>
          <cell r="Q6566">
            <v>0</v>
          </cell>
          <cell r="R6566">
            <v>0</v>
          </cell>
          <cell r="S6566">
            <v>0</v>
          </cell>
          <cell r="T6566">
            <v>0</v>
          </cell>
          <cell r="U6566">
            <v>0</v>
          </cell>
          <cell r="V6566">
            <v>0</v>
          </cell>
          <cell r="W6566">
            <v>0</v>
          </cell>
          <cell r="X6566">
            <v>0</v>
          </cell>
          <cell r="Y6566">
            <v>0</v>
          </cell>
        </row>
        <row r="6567">
          <cell r="D6567">
            <v>305049</v>
          </cell>
          <cell r="E6567" t="str">
            <v>Tongkil NHS</v>
          </cell>
          <cell r="F6567">
            <v>0</v>
          </cell>
          <cell r="G6567">
            <v>0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>
            <v>0</v>
          </cell>
          <cell r="M6567">
            <v>0</v>
          </cell>
          <cell r="N6567">
            <v>0</v>
          </cell>
          <cell r="O6567">
            <v>0</v>
          </cell>
          <cell r="P6567">
            <v>0</v>
          </cell>
          <cell r="Q6567">
            <v>0</v>
          </cell>
          <cell r="R6567">
            <v>0</v>
          </cell>
          <cell r="S6567">
            <v>0</v>
          </cell>
          <cell r="T6567">
            <v>0</v>
          </cell>
          <cell r="U6567">
            <v>0</v>
          </cell>
          <cell r="V6567">
            <v>0</v>
          </cell>
          <cell r="W6567">
            <v>0</v>
          </cell>
          <cell r="X6567">
            <v>0</v>
          </cell>
          <cell r="Y6567">
            <v>0</v>
          </cell>
        </row>
        <row r="6568">
          <cell r="D6568">
            <v>318504</v>
          </cell>
          <cell r="E6568" t="str">
            <v>Hadji Omarsani Tambut NHS</v>
          </cell>
          <cell r="F6568">
            <v>1</v>
          </cell>
          <cell r="G6568">
            <v>1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0</v>
          </cell>
          <cell r="M6568">
            <v>0</v>
          </cell>
          <cell r="N6568">
            <v>0</v>
          </cell>
          <cell r="O6568">
            <v>0</v>
          </cell>
          <cell r="P6568">
            <v>0</v>
          </cell>
          <cell r="Q6568">
            <v>0</v>
          </cell>
          <cell r="R6568">
            <v>0</v>
          </cell>
          <cell r="S6568">
            <v>0</v>
          </cell>
          <cell r="T6568">
            <v>0</v>
          </cell>
          <cell r="U6568">
            <v>0</v>
          </cell>
          <cell r="V6568">
            <v>0</v>
          </cell>
          <cell r="W6568">
            <v>0</v>
          </cell>
          <cell r="X6568">
            <v>0</v>
          </cell>
          <cell r="Y6568">
            <v>0</v>
          </cell>
        </row>
        <row r="6569">
          <cell r="D6569">
            <v>305068</v>
          </cell>
          <cell r="E6569" t="str">
            <v>Tubig-indangan National High School</v>
          </cell>
          <cell r="F6569">
            <v>1</v>
          </cell>
          <cell r="G6569">
            <v>1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0</v>
          </cell>
          <cell r="M6569">
            <v>0</v>
          </cell>
          <cell r="N6569">
            <v>1</v>
          </cell>
          <cell r="O6569">
            <v>0</v>
          </cell>
          <cell r="P6569">
            <v>0</v>
          </cell>
          <cell r="Q6569">
            <v>0</v>
          </cell>
          <cell r="R6569">
            <v>0</v>
          </cell>
          <cell r="S6569">
            <v>1</v>
          </cell>
          <cell r="T6569">
            <v>0</v>
          </cell>
          <cell r="U6569">
            <v>0</v>
          </cell>
          <cell r="V6569">
            <v>0</v>
          </cell>
          <cell r="W6569">
            <v>0</v>
          </cell>
          <cell r="X6569">
            <v>0</v>
          </cell>
          <cell r="Y6569">
            <v>0</v>
          </cell>
        </row>
        <row r="6570">
          <cell r="D6570">
            <v>305067</v>
          </cell>
          <cell r="E6570" t="str">
            <v>Tawi Tawi West Coast Agricultural high school</v>
          </cell>
          <cell r="F6570">
            <v>0</v>
          </cell>
          <cell r="G6570">
            <v>0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0</v>
          </cell>
          <cell r="M6570">
            <v>0</v>
          </cell>
          <cell r="N6570">
            <v>0</v>
          </cell>
          <cell r="O6570">
            <v>0</v>
          </cell>
          <cell r="P6570" t="str">
            <v>N/A</v>
          </cell>
          <cell r="Q6570">
            <v>0</v>
          </cell>
          <cell r="R6570">
            <v>0</v>
          </cell>
          <cell r="S6570">
            <v>0</v>
          </cell>
          <cell r="T6570">
            <v>0</v>
          </cell>
          <cell r="U6570">
            <v>0</v>
          </cell>
          <cell r="V6570">
            <v>0</v>
          </cell>
          <cell r="W6570">
            <v>0</v>
          </cell>
          <cell r="X6570">
            <v>0</v>
          </cell>
          <cell r="Y6570">
            <v>0</v>
          </cell>
        </row>
        <row r="6571">
          <cell r="D6571">
            <v>305053</v>
          </cell>
          <cell r="E6571" t="str">
            <v>Batu-Batu NHS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0</v>
          </cell>
          <cell r="M6571">
            <v>0</v>
          </cell>
          <cell r="N6571">
            <v>0</v>
          </cell>
          <cell r="O6571">
            <v>0</v>
          </cell>
          <cell r="P6571">
            <v>0</v>
          </cell>
          <cell r="Q6571">
            <v>0</v>
          </cell>
          <cell r="R6571">
            <v>0</v>
          </cell>
          <cell r="S6571">
            <v>0</v>
          </cell>
          <cell r="T6571">
            <v>0</v>
          </cell>
          <cell r="U6571">
            <v>0</v>
          </cell>
          <cell r="V6571">
            <v>0</v>
          </cell>
          <cell r="W6571">
            <v>0</v>
          </cell>
          <cell r="X6571">
            <v>0</v>
          </cell>
          <cell r="Y6571">
            <v>0</v>
          </cell>
        </row>
        <row r="6572">
          <cell r="D6572">
            <v>318505</v>
          </cell>
          <cell r="E6572" t="str">
            <v>Boloboc Science and Technology High School</v>
          </cell>
          <cell r="F6572">
            <v>1</v>
          </cell>
          <cell r="G6572">
            <v>1</v>
          </cell>
          <cell r="H6572">
            <v>1</v>
          </cell>
          <cell r="I6572">
            <v>1</v>
          </cell>
          <cell r="J6572">
            <v>0</v>
          </cell>
          <cell r="K6572">
            <v>0</v>
          </cell>
          <cell r="L6572">
            <v>0</v>
          </cell>
          <cell r="M6572">
            <v>0</v>
          </cell>
          <cell r="N6572">
            <v>1</v>
          </cell>
          <cell r="O6572">
            <v>43505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>
            <v>0</v>
          </cell>
          <cell r="V6572">
            <v>1</v>
          </cell>
          <cell r="W6572">
            <v>0</v>
          </cell>
          <cell r="X6572">
            <v>0</v>
          </cell>
          <cell r="Y6572">
            <v>0</v>
          </cell>
        </row>
        <row r="6573">
          <cell r="D6573">
            <v>305063</v>
          </cell>
          <cell r="E6573" t="str">
            <v>Tandubanak NHS</v>
          </cell>
          <cell r="F6573">
            <v>1</v>
          </cell>
          <cell r="G6573">
            <v>1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  <cell r="M6573">
            <v>0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>
            <v>0</v>
          </cell>
          <cell r="V6573">
            <v>0</v>
          </cell>
          <cell r="W6573">
            <v>0</v>
          </cell>
          <cell r="X6573">
            <v>0</v>
          </cell>
          <cell r="Y6573">
            <v>0</v>
          </cell>
        </row>
        <row r="6574">
          <cell r="D6574">
            <v>501266</v>
          </cell>
          <cell r="E6574" t="str">
            <v>Tabawan Integrated School</v>
          </cell>
          <cell r="F6574">
            <v>0</v>
          </cell>
          <cell r="G6574">
            <v>0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0</v>
          </cell>
          <cell r="M6574">
            <v>0</v>
          </cell>
          <cell r="N6574">
            <v>0</v>
          </cell>
          <cell r="O6574">
            <v>0</v>
          </cell>
          <cell r="P6574">
            <v>0</v>
          </cell>
          <cell r="Q6574">
            <v>0</v>
          </cell>
          <cell r="R6574">
            <v>0</v>
          </cell>
          <cell r="S6574">
            <v>0</v>
          </cell>
          <cell r="T6574">
            <v>0</v>
          </cell>
          <cell r="U6574">
            <v>0</v>
          </cell>
          <cell r="V6574">
            <v>0</v>
          </cell>
          <cell r="W6574">
            <v>0</v>
          </cell>
          <cell r="X6574">
            <v>0</v>
          </cell>
          <cell r="Y6574">
            <v>0</v>
          </cell>
        </row>
        <row r="6575">
          <cell r="D6575">
            <v>305051</v>
          </cell>
          <cell r="E6575" t="str">
            <v>Banaran NHS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0</v>
          </cell>
          <cell r="M6575">
            <v>0</v>
          </cell>
          <cell r="N6575">
            <v>0</v>
          </cell>
          <cell r="O6575">
            <v>0</v>
          </cell>
          <cell r="P6575">
            <v>0</v>
          </cell>
          <cell r="Q6575">
            <v>0</v>
          </cell>
          <cell r="R6575">
            <v>0</v>
          </cell>
          <cell r="S6575">
            <v>0</v>
          </cell>
          <cell r="T6575">
            <v>0</v>
          </cell>
          <cell r="U6575">
            <v>0</v>
          </cell>
          <cell r="V6575">
            <v>0</v>
          </cell>
          <cell r="W6575">
            <v>0</v>
          </cell>
          <cell r="X6575">
            <v>0</v>
          </cell>
          <cell r="Y6575">
            <v>0</v>
          </cell>
        </row>
        <row r="6576">
          <cell r="D6576">
            <v>305056</v>
          </cell>
          <cell r="E6576" t="str">
            <v>Mantabuan NHS</v>
          </cell>
          <cell r="F6576">
            <v>1</v>
          </cell>
          <cell r="G6576">
            <v>1</v>
          </cell>
          <cell r="H6576">
            <v>1</v>
          </cell>
          <cell r="I6576">
            <v>0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  <cell r="N6576">
            <v>0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0</v>
          </cell>
          <cell r="U6576">
            <v>0</v>
          </cell>
          <cell r="V6576">
            <v>0</v>
          </cell>
          <cell r="W6576">
            <v>0</v>
          </cell>
          <cell r="X6576">
            <v>0</v>
          </cell>
          <cell r="Y6576">
            <v>0</v>
          </cell>
        </row>
        <row r="6577">
          <cell r="D6577">
            <v>305066</v>
          </cell>
          <cell r="E6577" t="str">
            <v>Tawi Tawi SAT</v>
          </cell>
          <cell r="F6577">
            <v>1</v>
          </cell>
          <cell r="G6577">
            <v>0</v>
          </cell>
          <cell r="H6577">
            <v>1</v>
          </cell>
          <cell r="I6577">
            <v>0</v>
          </cell>
          <cell r="J6577">
            <v>1</v>
          </cell>
          <cell r="K6577">
            <v>0</v>
          </cell>
          <cell r="L6577">
            <v>0</v>
          </cell>
          <cell r="M6577">
            <v>0</v>
          </cell>
          <cell r="N6577">
            <v>1</v>
          </cell>
          <cell r="O6577">
            <v>0</v>
          </cell>
          <cell r="P6577">
            <v>0</v>
          </cell>
          <cell r="Q6577">
            <v>1</v>
          </cell>
          <cell r="R6577">
            <v>0</v>
          </cell>
          <cell r="S6577">
            <v>0</v>
          </cell>
          <cell r="T6577">
            <v>0</v>
          </cell>
          <cell r="U6577">
            <v>0</v>
          </cell>
          <cell r="V6577">
            <v>0</v>
          </cell>
          <cell r="W6577">
            <v>2</v>
          </cell>
          <cell r="X6577">
            <v>0</v>
          </cell>
          <cell r="Y6577">
            <v>0</v>
          </cell>
        </row>
        <row r="6578">
          <cell r="D6578">
            <v>305060</v>
          </cell>
          <cell r="E6578" t="str">
            <v>Sipangkot NHS</v>
          </cell>
          <cell r="F6578">
            <v>0</v>
          </cell>
          <cell r="G6578">
            <v>0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0</v>
          </cell>
          <cell r="M6578">
            <v>0</v>
          </cell>
          <cell r="N6578">
            <v>0</v>
          </cell>
          <cell r="O6578">
            <v>0</v>
          </cell>
          <cell r="P6578">
            <v>0</v>
          </cell>
          <cell r="Q6578">
            <v>0</v>
          </cell>
          <cell r="R6578">
            <v>0</v>
          </cell>
          <cell r="S6578">
            <v>0</v>
          </cell>
          <cell r="T6578">
            <v>1</v>
          </cell>
          <cell r="U6578">
            <v>0</v>
          </cell>
          <cell r="V6578">
            <v>0</v>
          </cell>
          <cell r="W6578">
            <v>0</v>
          </cell>
          <cell r="X6578">
            <v>0</v>
          </cell>
          <cell r="Y6578">
            <v>0</v>
          </cell>
        </row>
        <row r="6579">
          <cell r="D6579">
            <v>318502</v>
          </cell>
          <cell r="E6579" t="str">
            <v>Pagasinan NHS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  <cell r="N6579">
            <v>0</v>
          </cell>
          <cell r="O6579">
            <v>0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>
            <v>0</v>
          </cell>
          <cell r="V6579">
            <v>0</v>
          </cell>
          <cell r="W6579">
            <v>0</v>
          </cell>
          <cell r="X6579">
            <v>0</v>
          </cell>
          <cell r="Y6579">
            <v>0</v>
          </cell>
        </row>
        <row r="6580">
          <cell r="D6580">
            <v>305057</v>
          </cell>
          <cell r="E6580" t="str">
            <v>Manuk Mangkaw NHS</v>
          </cell>
          <cell r="F6580">
            <v>1</v>
          </cell>
          <cell r="G6580">
            <v>1</v>
          </cell>
          <cell r="H6580">
            <v>0</v>
          </cell>
          <cell r="I6580">
            <v>0</v>
          </cell>
          <cell r="J6580">
            <v>0</v>
          </cell>
          <cell r="K6580">
            <v>1</v>
          </cell>
          <cell r="L6580">
            <v>0</v>
          </cell>
          <cell r="M6580">
            <v>0</v>
          </cell>
          <cell r="N6580">
            <v>1</v>
          </cell>
          <cell r="O6580">
            <v>0</v>
          </cell>
          <cell r="P6580">
            <v>0</v>
          </cell>
          <cell r="Q6580">
            <v>0</v>
          </cell>
          <cell r="R6580">
            <v>0</v>
          </cell>
          <cell r="S6580">
            <v>0</v>
          </cell>
          <cell r="T6580">
            <v>0</v>
          </cell>
          <cell r="U6580">
            <v>0</v>
          </cell>
          <cell r="V6580">
            <v>0</v>
          </cell>
          <cell r="W6580">
            <v>0</v>
          </cell>
          <cell r="X6580">
            <v>0</v>
          </cell>
          <cell r="Y6580">
            <v>0</v>
          </cell>
        </row>
        <row r="6581">
          <cell r="D6581">
            <v>305069</v>
          </cell>
          <cell r="E6581" t="str">
            <v>Turtle Island HS</v>
          </cell>
          <cell r="F6581">
            <v>1</v>
          </cell>
          <cell r="G6581">
            <v>0</v>
          </cell>
          <cell r="H6581">
            <v>1</v>
          </cell>
          <cell r="I6581">
            <v>0</v>
          </cell>
          <cell r="J6581">
            <v>1</v>
          </cell>
          <cell r="K6581">
            <v>0</v>
          </cell>
          <cell r="L6581">
            <v>0</v>
          </cell>
          <cell r="M6581">
            <v>0</v>
          </cell>
          <cell r="N6581">
            <v>1</v>
          </cell>
          <cell r="O6581">
            <v>0</v>
          </cell>
          <cell r="P6581">
            <v>0</v>
          </cell>
          <cell r="Q6581">
            <v>1</v>
          </cell>
          <cell r="R6581">
            <v>0</v>
          </cell>
          <cell r="S6581">
            <v>0</v>
          </cell>
          <cell r="T6581">
            <v>0</v>
          </cell>
          <cell r="U6581">
            <v>0</v>
          </cell>
          <cell r="V6581">
            <v>0</v>
          </cell>
          <cell r="W6581">
            <v>2</v>
          </cell>
          <cell r="X6581">
            <v>0</v>
          </cell>
          <cell r="Y6581">
            <v>0</v>
          </cell>
        </row>
        <row r="6582">
          <cell r="D6582">
            <v>305050</v>
          </cell>
          <cell r="E6582" t="str">
            <v>Balimbing NHS</v>
          </cell>
          <cell r="F6582">
            <v>1</v>
          </cell>
          <cell r="G6582">
            <v>1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>
            <v>0</v>
          </cell>
          <cell r="V6582">
            <v>0</v>
          </cell>
          <cell r="W6582">
            <v>0</v>
          </cell>
          <cell r="X6582">
            <v>0</v>
          </cell>
          <cell r="Y6582">
            <v>0</v>
          </cell>
        </row>
        <row r="6583">
          <cell r="D6583">
            <v>345750</v>
          </cell>
          <cell r="E6583" t="str">
            <v>Mapun National High School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>
            <v>0</v>
          </cell>
          <cell r="V6583">
            <v>0</v>
          </cell>
          <cell r="W6583">
            <v>0</v>
          </cell>
          <cell r="X6583">
            <v>0</v>
          </cell>
          <cell r="Y6583">
            <v>0</v>
          </cell>
        </row>
        <row r="6584">
          <cell r="D6584">
            <v>305071</v>
          </cell>
          <cell r="E6584" t="str">
            <v>Ungus Matata NHS</v>
          </cell>
          <cell r="F6584">
            <v>0</v>
          </cell>
          <cell r="G6584">
            <v>0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>
            <v>0</v>
          </cell>
          <cell r="M6584">
            <v>0</v>
          </cell>
          <cell r="N6584">
            <v>0</v>
          </cell>
          <cell r="O6584">
            <v>0</v>
          </cell>
          <cell r="P6584">
            <v>0</v>
          </cell>
          <cell r="Q6584">
            <v>0</v>
          </cell>
          <cell r="R6584">
            <v>0</v>
          </cell>
          <cell r="S6584">
            <v>0</v>
          </cell>
          <cell r="T6584">
            <v>0</v>
          </cell>
          <cell r="U6584">
            <v>0</v>
          </cell>
          <cell r="V6584">
            <v>0</v>
          </cell>
          <cell r="W6584">
            <v>0</v>
          </cell>
          <cell r="X6584">
            <v>0</v>
          </cell>
          <cell r="Y6584">
            <v>0</v>
          </cell>
        </row>
        <row r="6585">
          <cell r="D6585">
            <v>305065</v>
          </cell>
          <cell r="E6585" t="str">
            <v>Tawi-Tawi School of Fisheries</v>
          </cell>
          <cell r="F6585">
            <v>1</v>
          </cell>
          <cell r="G6585">
            <v>1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>
            <v>0</v>
          </cell>
          <cell r="M6585">
            <v>0</v>
          </cell>
          <cell r="N6585">
            <v>0</v>
          </cell>
          <cell r="O6585">
            <v>0</v>
          </cell>
          <cell r="P6585">
            <v>0</v>
          </cell>
          <cell r="Q6585">
            <v>0</v>
          </cell>
          <cell r="R6585">
            <v>0</v>
          </cell>
          <cell r="S6585">
            <v>0</v>
          </cell>
          <cell r="T6585">
            <v>0</v>
          </cell>
          <cell r="U6585">
            <v>0</v>
          </cell>
          <cell r="V6585">
            <v>0</v>
          </cell>
          <cell r="W6585">
            <v>0</v>
          </cell>
          <cell r="X6585">
            <v>0</v>
          </cell>
          <cell r="Y6585">
            <v>0</v>
          </cell>
        </row>
        <row r="6586">
          <cell r="D6586">
            <v>305064</v>
          </cell>
          <cell r="E6586" t="str">
            <v>Tandubas School of Fisheries</v>
          </cell>
          <cell r="F6586">
            <v>1</v>
          </cell>
          <cell r="G6586">
            <v>0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0</v>
          </cell>
          <cell r="M6586">
            <v>0</v>
          </cell>
          <cell r="N6586">
            <v>0</v>
          </cell>
          <cell r="O6586">
            <v>0</v>
          </cell>
          <cell r="P6586">
            <v>0</v>
          </cell>
          <cell r="Q6586">
            <v>0</v>
          </cell>
          <cell r="R6586">
            <v>0</v>
          </cell>
          <cell r="S6586">
            <v>0</v>
          </cell>
          <cell r="T6586">
            <v>0</v>
          </cell>
          <cell r="U6586">
            <v>0</v>
          </cell>
          <cell r="V6586">
            <v>0</v>
          </cell>
          <cell r="W6586">
            <v>0</v>
          </cell>
          <cell r="X6586">
            <v>0</v>
          </cell>
          <cell r="Y6586">
            <v>0</v>
          </cell>
        </row>
        <row r="6587">
          <cell r="D6587">
            <v>305061</v>
          </cell>
          <cell r="E6587" t="str">
            <v>Hadja Jatol Ahaja NHS</v>
          </cell>
          <cell r="F6587">
            <v>0</v>
          </cell>
          <cell r="G6587">
            <v>0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>
            <v>0</v>
          </cell>
          <cell r="M6587">
            <v>0</v>
          </cell>
          <cell r="N6587">
            <v>0</v>
          </cell>
          <cell r="O6587">
            <v>0</v>
          </cell>
          <cell r="P6587">
            <v>0</v>
          </cell>
          <cell r="Q6587">
            <v>0</v>
          </cell>
          <cell r="R6587">
            <v>0</v>
          </cell>
          <cell r="S6587">
            <v>0</v>
          </cell>
          <cell r="T6587">
            <v>0</v>
          </cell>
          <cell r="U6587">
            <v>0</v>
          </cell>
          <cell r="V6587">
            <v>0</v>
          </cell>
          <cell r="W6587">
            <v>0</v>
          </cell>
          <cell r="X6587">
            <v>0</v>
          </cell>
          <cell r="Y6587">
            <v>0</v>
          </cell>
        </row>
        <row r="6588">
          <cell r="D6588">
            <v>305072</v>
          </cell>
          <cell r="E6588" t="str">
            <v>Angoyao NHS</v>
          </cell>
          <cell r="F6588">
            <v>0</v>
          </cell>
          <cell r="G6588">
            <v>0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0</v>
          </cell>
          <cell r="M6588">
            <v>0</v>
          </cell>
          <cell r="N6588">
            <v>0</v>
          </cell>
          <cell r="O6588">
            <v>0</v>
          </cell>
          <cell r="P6588">
            <v>0</v>
          </cell>
          <cell r="Q6588">
            <v>0</v>
          </cell>
          <cell r="R6588">
            <v>0</v>
          </cell>
          <cell r="S6588">
            <v>0</v>
          </cell>
          <cell r="T6588">
            <v>0</v>
          </cell>
          <cell r="U6588">
            <v>0</v>
          </cell>
          <cell r="V6588">
            <v>0</v>
          </cell>
          <cell r="W6588">
            <v>0</v>
          </cell>
          <cell r="X6588">
            <v>0</v>
          </cell>
          <cell r="Y6588">
            <v>0</v>
          </cell>
        </row>
        <row r="6589">
          <cell r="D6589">
            <v>318605</v>
          </cell>
          <cell r="E6589" t="str">
            <v>RPMD National Science HS</v>
          </cell>
          <cell r="F6589">
            <v>0</v>
          </cell>
          <cell r="G6589">
            <v>0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>
            <v>0</v>
          </cell>
          <cell r="M6589">
            <v>0</v>
          </cell>
          <cell r="N6589">
            <v>0</v>
          </cell>
          <cell r="O6589">
            <v>0</v>
          </cell>
          <cell r="P6589">
            <v>0</v>
          </cell>
          <cell r="Q6589">
            <v>0</v>
          </cell>
          <cell r="R6589">
            <v>0</v>
          </cell>
          <cell r="S6589">
            <v>0</v>
          </cell>
          <cell r="T6589">
            <v>0</v>
          </cell>
          <cell r="U6589">
            <v>0</v>
          </cell>
          <cell r="V6589">
            <v>0</v>
          </cell>
          <cell r="W6589">
            <v>0</v>
          </cell>
          <cell r="X6589">
            <v>0</v>
          </cell>
          <cell r="Y6589">
            <v>0</v>
          </cell>
        </row>
        <row r="6590">
          <cell r="D6590">
            <v>305073</v>
          </cell>
          <cell r="E6590" t="str">
            <v>MARAWI CITY NATIONAL HIGH SCHOOL</v>
          </cell>
          <cell r="F6590">
            <v>1</v>
          </cell>
          <cell r="G6590">
            <v>1</v>
          </cell>
          <cell r="H6590">
            <v>1</v>
          </cell>
          <cell r="I6590">
            <v>0</v>
          </cell>
          <cell r="J6590">
            <v>1</v>
          </cell>
          <cell r="K6590">
            <v>0</v>
          </cell>
          <cell r="L6590">
            <v>0</v>
          </cell>
          <cell r="M6590">
            <v>0</v>
          </cell>
          <cell r="N6590">
            <v>1</v>
          </cell>
          <cell r="O6590">
            <v>0</v>
          </cell>
          <cell r="P6590">
            <v>43749</v>
          </cell>
          <cell r="Q6590">
            <v>1</v>
          </cell>
          <cell r="R6590">
            <v>0</v>
          </cell>
          <cell r="S6590">
            <v>0</v>
          </cell>
          <cell r="T6590">
            <v>0</v>
          </cell>
          <cell r="U6590">
            <v>0</v>
          </cell>
          <cell r="V6590">
            <v>1</v>
          </cell>
          <cell r="W6590">
            <v>0</v>
          </cell>
          <cell r="X6590">
            <v>0</v>
          </cell>
          <cell r="Y6590">
            <v>0</v>
          </cell>
        </row>
        <row r="6591">
          <cell r="D6591">
            <v>318602</v>
          </cell>
          <cell r="E6591" t="str">
            <v>Lake Lanao NHS</v>
          </cell>
          <cell r="F6591">
            <v>1</v>
          </cell>
          <cell r="G6591">
            <v>1</v>
          </cell>
          <cell r="H6591">
            <v>1</v>
          </cell>
          <cell r="I6591">
            <v>0</v>
          </cell>
          <cell r="J6591">
            <v>1</v>
          </cell>
          <cell r="K6591">
            <v>0</v>
          </cell>
          <cell r="L6591">
            <v>0</v>
          </cell>
          <cell r="M6591">
            <v>0</v>
          </cell>
          <cell r="N6591">
            <v>1</v>
          </cell>
          <cell r="O6591">
            <v>0</v>
          </cell>
          <cell r="P6591">
            <v>0</v>
          </cell>
          <cell r="Q6591">
            <v>1</v>
          </cell>
          <cell r="R6591">
            <v>0</v>
          </cell>
          <cell r="S6591">
            <v>0</v>
          </cell>
          <cell r="T6591">
            <v>0</v>
          </cell>
          <cell r="U6591">
            <v>0</v>
          </cell>
          <cell r="V6591">
            <v>0</v>
          </cell>
          <cell r="W6591">
            <v>0</v>
          </cell>
          <cell r="X6591">
            <v>0</v>
          </cell>
          <cell r="Y6591">
            <v>0</v>
          </cell>
        </row>
        <row r="6592">
          <cell r="D6592">
            <v>318601</v>
          </cell>
          <cell r="E6592" t="str">
            <v>Dansalan National High School</v>
          </cell>
          <cell r="F6592">
            <v>1</v>
          </cell>
          <cell r="G6592">
            <v>1</v>
          </cell>
          <cell r="H6592">
            <v>1</v>
          </cell>
          <cell r="I6592">
            <v>0</v>
          </cell>
          <cell r="J6592">
            <v>1</v>
          </cell>
          <cell r="K6592">
            <v>0</v>
          </cell>
          <cell r="L6592">
            <v>0</v>
          </cell>
          <cell r="M6592">
            <v>0</v>
          </cell>
          <cell r="N6592">
            <v>1</v>
          </cell>
          <cell r="O6592">
            <v>0</v>
          </cell>
          <cell r="P6592">
            <v>43748</v>
          </cell>
          <cell r="Q6592">
            <v>0</v>
          </cell>
          <cell r="R6592">
            <v>1</v>
          </cell>
          <cell r="S6592">
            <v>0</v>
          </cell>
          <cell r="T6592">
            <v>0</v>
          </cell>
          <cell r="U6592">
            <v>0</v>
          </cell>
          <cell r="V6592">
            <v>1</v>
          </cell>
          <cell r="W6592">
            <v>0</v>
          </cell>
          <cell r="X6592">
            <v>0</v>
          </cell>
          <cell r="Y6592">
            <v>0</v>
          </cell>
        </row>
        <row r="6593">
          <cell r="D6593">
            <v>304939</v>
          </cell>
          <cell r="E6593" t="str">
            <v>Lamitan National High School</v>
          </cell>
          <cell r="F6593">
            <v>1</v>
          </cell>
          <cell r="G6593">
            <v>0</v>
          </cell>
          <cell r="H6593">
            <v>1</v>
          </cell>
          <cell r="I6593">
            <v>1</v>
          </cell>
          <cell r="J6593">
            <v>0</v>
          </cell>
          <cell r="K6593">
            <v>0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>
            <v>0</v>
          </cell>
          <cell r="V6593">
            <v>0</v>
          </cell>
          <cell r="W6593">
            <v>0</v>
          </cell>
          <cell r="X6593">
            <v>0</v>
          </cell>
          <cell r="Y6593">
            <v>0</v>
          </cell>
        </row>
        <row r="6594">
          <cell r="D6594">
            <v>304945</v>
          </cell>
          <cell r="E6594" t="str">
            <v>Parangbasak NHS</v>
          </cell>
          <cell r="F6594">
            <v>1</v>
          </cell>
          <cell r="G6594">
            <v>0</v>
          </cell>
          <cell r="H6594">
            <v>1</v>
          </cell>
          <cell r="I6594">
            <v>0</v>
          </cell>
          <cell r="J6594">
            <v>0</v>
          </cell>
          <cell r="K6594">
            <v>1</v>
          </cell>
          <cell r="L6594">
            <v>0</v>
          </cell>
          <cell r="M6594">
            <v>0</v>
          </cell>
          <cell r="N6594">
            <v>0</v>
          </cell>
          <cell r="O6594">
            <v>0</v>
          </cell>
          <cell r="P6594">
            <v>0</v>
          </cell>
          <cell r="Q6594">
            <v>0</v>
          </cell>
          <cell r="R6594">
            <v>1</v>
          </cell>
          <cell r="S6594">
            <v>0</v>
          </cell>
          <cell r="T6594">
            <v>0</v>
          </cell>
          <cell r="U6594">
            <v>0</v>
          </cell>
          <cell r="V6594">
            <v>1</v>
          </cell>
          <cell r="W6594">
            <v>0</v>
          </cell>
          <cell r="X6594">
            <v>0</v>
          </cell>
          <cell r="Y6594">
            <v>0</v>
          </cell>
        </row>
        <row r="6595">
          <cell r="D6595">
            <v>318001</v>
          </cell>
          <cell r="E6595" t="str">
            <v>Ubit NHS</v>
          </cell>
          <cell r="F6595">
            <v>1</v>
          </cell>
          <cell r="G6595">
            <v>1</v>
          </cell>
          <cell r="H6595">
            <v>1</v>
          </cell>
          <cell r="I6595">
            <v>0</v>
          </cell>
          <cell r="J6595">
            <v>1</v>
          </cell>
          <cell r="K6595">
            <v>0</v>
          </cell>
          <cell r="L6595">
            <v>0</v>
          </cell>
          <cell r="M6595">
            <v>0</v>
          </cell>
          <cell r="N6595">
            <v>1</v>
          </cell>
          <cell r="O6595">
            <v>0</v>
          </cell>
          <cell r="P6595">
            <v>0</v>
          </cell>
          <cell r="Q6595">
            <v>0</v>
          </cell>
          <cell r="R6595">
            <v>0</v>
          </cell>
          <cell r="S6595">
            <v>1</v>
          </cell>
          <cell r="T6595">
            <v>0</v>
          </cell>
          <cell r="U6595">
            <v>0</v>
          </cell>
          <cell r="V6595">
            <v>1</v>
          </cell>
          <cell r="W6595">
            <v>1</v>
          </cell>
          <cell r="X6595">
            <v>1</v>
          </cell>
          <cell r="Y6595">
            <v>1</v>
          </cell>
        </row>
        <row r="6596">
          <cell r="D6596">
            <v>304935</v>
          </cell>
          <cell r="E6596" t="str">
            <v>Colony National High School</v>
          </cell>
          <cell r="F6596">
            <v>1</v>
          </cell>
          <cell r="G6596">
            <v>0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>
            <v>0</v>
          </cell>
          <cell r="M6596">
            <v>0</v>
          </cell>
          <cell r="N6596">
            <v>0</v>
          </cell>
          <cell r="O6596">
            <v>0</v>
          </cell>
          <cell r="P6596">
            <v>0</v>
          </cell>
          <cell r="Q6596">
            <v>0</v>
          </cell>
          <cell r="R6596">
            <v>0</v>
          </cell>
          <cell r="S6596">
            <v>0</v>
          </cell>
          <cell r="T6596">
            <v>0</v>
          </cell>
          <cell r="U6596">
            <v>0</v>
          </cell>
          <cell r="V6596">
            <v>0</v>
          </cell>
          <cell r="W6596">
            <v>0</v>
          </cell>
          <cell r="X6596">
            <v>0</v>
          </cell>
          <cell r="Y6596">
            <v>0</v>
          </cell>
        </row>
        <row r="6597">
          <cell r="D6597">
            <v>305076</v>
          </cell>
          <cell r="E6597" t="str">
            <v>Baay National High School</v>
          </cell>
          <cell r="F6597">
            <v>1</v>
          </cell>
          <cell r="G6597">
            <v>0</v>
          </cell>
          <cell r="H6597">
            <v>1</v>
          </cell>
          <cell r="I6597">
            <v>0</v>
          </cell>
          <cell r="J6597">
            <v>0</v>
          </cell>
          <cell r="K6597">
            <v>0</v>
          </cell>
          <cell r="L6597">
            <v>1</v>
          </cell>
          <cell r="M6597" t="str">
            <v>when the need arises</v>
          </cell>
          <cell r="N6597">
            <v>1</v>
          </cell>
          <cell r="O6597">
            <v>43623</v>
          </cell>
          <cell r="P6597">
            <v>43623</v>
          </cell>
          <cell r="Q6597">
            <v>0</v>
          </cell>
          <cell r="R6597">
            <v>0</v>
          </cell>
          <cell r="S6597">
            <v>1</v>
          </cell>
          <cell r="T6597">
            <v>0</v>
          </cell>
          <cell r="U6597">
            <v>0</v>
          </cell>
          <cell r="V6597">
            <v>1</v>
          </cell>
          <cell r="W6597">
            <v>0</v>
          </cell>
          <cell r="X6597">
            <v>0</v>
          </cell>
          <cell r="Y6597">
            <v>0</v>
          </cell>
        </row>
        <row r="6598">
          <cell r="D6598">
            <v>305095</v>
          </cell>
          <cell r="E6598" t="str">
            <v>Quidaoen NHS</v>
          </cell>
          <cell r="F6598">
            <v>0</v>
          </cell>
          <cell r="G6598">
            <v>0</v>
          </cell>
          <cell r="H6598">
            <v>1</v>
          </cell>
          <cell r="I6598">
            <v>0</v>
          </cell>
          <cell r="J6598">
            <v>0</v>
          </cell>
          <cell r="K6598">
            <v>1</v>
          </cell>
          <cell r="L6598">
            <v>0</v>
          </cell>
          <cell r="M6598">
            <v>0</v>
          </cell>
          <cell r="N6598">
            <v>0</v>
          </cell>
          <cell r="O6598">
            <v>0</v>
          </cell>
          <cell r="P6598">
            <v>0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>
            <v>0</v>
          </cell>
          <cell r="V6598">
            <v>0</v>
          </cell>
          <cell r="W6598">
            <v>0</v>
          </cell>
          <cell r="X6598">
            <v>0</v>
          </cell>
          <cell r="Y6598">
            <v>0</v>
          </cell>
        </row>
        <row r="6599">
          <cell r="D6599">
            <v>305105</v>
          </cell>
          <cell r="E6599" t="str">
            <v>Western Abra NHS</v>
          </cell>
          <cell r="F6599">
            <v>1</v>
          </cell>
          <cell r="G6599">
            <v>0</v>
          </cell>
          <cell r="H6599">
            <v>1</v>
          </cell>
          <cell r="I6599">
            <v>1</v>
          </cell>
          <cell r="J6599">
            <v>1</v>
          </cell>
          <cell r="K6599">
            <v>1</v>
          </cell>
          <cell r="L6599">
            <v>0</v>
          </cell>
          <cell r="M6599">
            <v>0</v>
          </cell>
          <cell r="N6599">
            <v>0</v>
          </cell>
          <cell r="O6599">
            <v>2018</v>
          </cell>
          <cell r="P6599">
            <v>0</v>
          </cell>
          <cell r="Q6599">
            <v>0</v>
          </cell>
          <cell r="R6599">
            <v>1</v>
          </cell>
          <cell r="S6599">
            <v>0</v>
          </cell>
          <cell r="T6599">
            <v>0</v>
          </cell>
          <cell r="U6599">
            <v>0</v>
          </cell>
          <cell r="V6599">
            <v>0</v>
          </cell>
          <cell r="W6599">
            <v>3</v>
          </cell>
          <cell r="X6599">
            <v>0</v>
          </cell>
          <cell r="Y6599">
            <v>0</v>
          </cell>
        </row>
        <row r="6600">
          <cell r="D6600">
            <v>305100</v>
          </cell>
          <cell r="E6600" t="str">
            <v>Supo NHS</v>
          </cell>
          <cell r="F6600">
            <v>1</v>
          </cell>
          <cell r="G6600">
            <v>0</v>
          </cell>
          <cell r="H6600">
            <v>1</v>
          </cell>
          <cell r="I6600">
            <v>0</v>
          </cell>
          <cell r="J6600">
            <v>1</v>
          </cell>
          <cell r="K6600">
            <v>0</v>
          </cell>
          <cell r="L6600">
            <v>0</v>
          </cell>
          <cell r="M6600">
            <v>0</v>
          </cell>
          <cell r="N6600">
            <v>1</v>
          </cell>
          <cell r="O6600">
            <v>43630</v>
          </cell>
          <cell r="P6600">
            <v>43644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>
            <v>0</v>
          </cell>
          <cell r="V6600">
            <v>1</v>
          </cell>
          <cell r="W6600">
            <v>0</v>
          </cell>
          <cell r="X6600">
            <v>0</v>
          </cell>
          <cell r="Y6600">
            <v>0</v>
          </cell>
        </row>
        <row r="6601">
          <cell r="D6601">
            <v>305082</v>
          </cell>
          <cell r="E6601" t="str">
            <v>Cristina B. Gonzales MHS</v>
          </cell>
          <cell r="F6601">
            <v>1</v>
          </cell>
          <cell r="G6601">
            <v>1</v>
          </cell>
          <cell r="H6601">
            <v>1</v>
          </cell>
          <cell r="I6601">
            <v>1</v>
          </cell>
          <cell r="J6601">
            <v>0</v>
          </cell>
          <cell r="K6601">
            <v>0</v>
          </cell>
          <cell r="L6601">
            <v>0</v>
          </cell>
          <cell r="M6601">
            <v>0</v>
          </cell>
          <cell r="N6601">
            <v>1</v>
          </cell>
          <cell r="O6601">
            <v>43623</v>
          </cell>
          <cell r="P6601">
            <v>43668</v>
          </cell>
          <cell r="Q6601">
            <v>1</v>
          </cell>
          <cell r="R6601">
            <v>0</v>
          </cell>
          <cell r="S6601">
            <v>0</v>
          </cell>
          <cell r="T6601">
            <v>0</v>
          </cell>
          <cell r="U6601">
            <v>0</v>
          </cell>
          <cell r="V6601">
            <v>1</v>
          </cell>
          <cell r="W6601">
            <v>3</v>
          </cell>
          <cell r="X6601">
            <v>3</v>
          </cell>
          <cell r="Y6601">
            <v>1</v>
          </cell>
        </row>
        <row r="6602">
          <cell r="D6602">
            <v>305085</v>
          </cell>
          <cell r="E6602" t="str">
            <v>Dugong National High School</v>
          </cell>
          <cell r="F6602">
            <v>1</v>
          </cell>
          <cell r="G6602">
            <v>1</v>
          </cell>
          <cell r="H6602">
            <v>1</v>
          </cell>
          <cell r="I6602">
            <v>0</v>
          </cell>
          <cell r="J6602">
            <v>0</v>
          </cell>
          <cell r="K6602">
            <v>1</v>
          </cell>
          <cell r="L6602">
            <v>1</v>
          </cell>
          <cell r="M6602" t="str">
            <v xml:space="preserve">as the need arises </v>
          </cell>
          <cell r="N6602">
            <v>1</v>
          </cell>
          <cell r="O6602">
            <v>43651</v>
          </cell>
          <cell r="P6602">
            <v>43675</v>
          </cell>
          <cell r="Q6602">
            <v>0</v>
          </cell>
          <cell r="R6602">
            <v>0</v>
          </cell>
          <cell r="S6602">
            <v>1</v>
          </cell>
          <cell r="T6602">
            <v>0</v>
          </cell>
          <cell r="U6602">
            <v>0</v>
          </cell>
          <cell r="V6602">
            <v>1</v>
          </cell>
          <cell r="W6602">
            <v>1</v>
          </cell>
          <cell r="X6602">
            <v>1</v>
          </cell>
          <cell r="Y6602">
            <v>1</v>
          </cell>
        </row>
        <row r="6603">
          <cell r="D6603">
            <v>305078</v>
          </cell>
          <cell r="E6603" t="str">
            <v>Boliney NHS</v>
          </cell>
          <cell r="F6603">
            <v>1</v>
          </cell>
          <cell r="G6603">
            <v>0</v>
          </cell>
          <cell r="H6603">
            <v>0</v>
          </cell>
          <cell r="I6603">
            <v>0</v>
          </cell>
          <cell r="J6603">
            <v>0</v>
          </cell>
          <cell r="K6603">
            <v>1</v>
          </cell>
          <cell r="L6603">
            <v>0</v>
          </cell>
          <cell r="M6603">
            <v>0</v>
          </cell>
          <cell r="N6603">
            <v>1</v>
          </cell>
          <cell r="O6603">
            <v>43693</v>
          </cell>
          <cell r="P6603" t="str">
            <v>none</v>
          </cell>
          <cell r="Q6603">
            <v>0</v>
          </cell>
          <cell r="R6603">
            <v>0</v>
          </cell>
          <cell r="S6603">
            <v>1</v>
          </cell>
          <cell r="T6603">
            <v>0</v>
          </cell>
          <cell r="U6603">
            <v>0</v>
          </cell>
          <cell r="V6603">
            <v>0</v>
          </cell>
          <cell r="W6603">
            <v>0</v>
          </cell>
          <cell r="X6603">
            <v>0</v>
          </cell>
          <cell r="Y6603">
            <v>0</v>
          </cell>
        </row>
        <row r="6604">
          <cell r="D6604">
            <v>305098</v>
          </cell>
          <cell r="E6604" t="str">
            <v>Manabo NHS (San Jose Catacdegan NHS)</v>
          </cell>
          <cell r="F6604">
            <v>1</v>
          </cell>
          <cell r="G6604">
            <v>1</v>
          </cell>
          <cell r="H6604">
            <v>1</v>
          </cell>
          <cell r="I6604">
            <v>1</v>
          </cell>
          <cell r="J6604">
            <v>0</v>
          </cell>
          <cell r="K6604">
            <v>0</v>
          </cell>
          <cell r="L6604">
            <v>0</v>
          </cell>
          <cell r="M6604">
            <v>0</v>
          </cell>
          <cell r="N6604">
            <v>1</v>
          </cell>
          <cell r="O6604">
            <v>0</v>
          </cell>
          <cell r="P6604">
            <v>43255</v>
          </cell>
          <cell r="Q6604">
            <v>1</v>
          </cell>
          <cell r="R6604">
            <v>0</v>
          </cell>
          <cell r="S6604">
            <v>0</v>
          </cell>
          <cell r="T6604">
            <v>0</v>
          </cell>
          <cell r="U6604">
            <v>0</v>
          </cell>
          <cell r="V6604">
            <v>1</v>
          </cell>
          <cell r="W6604">
            <v>0</v>
          </cell>
          <cell r="X6604">
            <v>0</v>
          </cell>
          <cell r="Y6604">
            <v>0</v>
          </cell>
        </row>
        <row r="6605">
          <cell r="D6605">
            <v>305081</v>
          </cell>
          <cell r="E6605" t="str">
            <v>Cayapa NHS</v>
          </cell>
          <cell r="F6605">
            <v>1</v>
          </cell>
          <cell r="G6605">
            <v>0</v>
          </cell>
          <cell r="H6605">
            <v>1</v>
          </cell>
          <cell r="I6605">
            <v>1</v>
          </cell>
          <cell r="J6605">
            <v>0</v>
          </cell>
          <cell r="K6605">
            <v>0</v>
          </cell>
          <cell r="L6605">
            <v>0</v>
          </cell>
          <cell r="M6605">
            <v>0</v>
          </cell>
          <cell r="N6605">
            <v>0</v>
          </cell>
          <cell r="O6605" t="str">
            <v>6/21/2019</v>
          </cell>
          <cell r="P6605">
            <v>0</v>
          </cell>
          <cell r="Q6605">
            <v>0</v>
          </cell>
          <cell r="R6605">
            <v>1</v>
          </cell>
          <cell r="S6605">
            <v>0</v>
          </cell>
          <cell r="T6605">
            <v>0</v>
          </cell>
          <cell r="U6605">
            <v>0</v>
          </cell>
          <cell r="V6605">
            <v>1</v>
          </cell>
          <cell r="W6605">
            <v>0</v>
          </cell>
          <cell r="X6605">
            <v>0</v>
          </cell>
          <cell r="Y6605">
            <v>0</v>
          </cell>
        </row>
        <row r="6606">
          <cell r="D6606">
            <v>305089</v>
          </cell>
          <cell r="E6606" t="str">
            <v>Luzong NHS</v>
          </cell>
          <cell r="F6606">
            <v>1</v>
          </cell>
          <cell r="G6606">
            <v>1</v>
          </cell>
          <cell r="H6606">
            <v>1</v>
          </cell>
          <cell r="I6606">
            <v>0</v>
          </cell>
          <cell r="J6606">
            <v>1</v>
          </cell>
          <cell r="K6606">
            <v>0</v>
          </cell>
          <cell r="L6606">
            <v>0</v>
          </cell>
          <cell r="M6606">
            <v>0</v>
          </cell>
          <cell r="N6606">
            <v>1</v>
          </cell>
          <cell r="O6606" t="str">
            <v>03-19-2019</v>
          </cell>
          <cell r="P6606" t="str">
            <v>06-19-2019</v>
          </cell>
          <cell r="Q6606">
            <v>0</v>
          </cell>
          <cell r="R6606">
            <v>1</v>
          </cell>
          <cell r="S6606">
            <v>0</v>
          </cell>
          <cell r="T6606">
            <v>0</v>
          </cell>
          <cell r="U6606">
            <v>0</v>
          </cell>
          <cell r="V6606">
            <v>1</v>
          </cell>
          <cell r="W6606">
            <v>2</v>
          </cell>
          <cell r="X6606">
            <v>1</v>
          </cell>
          <cell r="Y6606">
            <v>0</v>
          </cell>
        </row>
        <row r="6607">
          <cell r="D6607">
            <v>305090</v>
          </cell>
          <cell r="E6607" t="str">
            <v>Mataragan NAS</v>
          </cell>
          <cell r="F6607">
            <v>1</v>
          </cell>
          <cell r="G6607">
            <v>1</v>
          </cell>
          <cell r="H6607">
            <v>1</v>
          </cell>
          <cell r="I6607">
            <v>0</v>
          </cell>
          <cell r="J6607">
            <v>1</v>
          </cell>
          <cell r="K6607">
            <v>0</v>
          </cell>
          <cell r="L6607">
            <v>0</v>
          </cell>
          <cell r="M6607">
            <v>0</v>
          </cell>
          <cell r="N6607">
            <v>0</v>
          </cell>
          <cell r="O6607">
            <v>0</v>
          </cell>
          <cell r="P6607">
            <v>43679</v>
          </cell>
          <cell r="Q6607">
            <v>0</v>
          </cell>
          <cell r="R6607">
            <v>0</v>
          </cell>
          <cell r="S6607">
            <v>1</v>
          </cell>
          <cell r="T6607">
            <v>0</v>
          </cell>
          <cell r="U6607">
            <v>0</v>
          </cell>
          <cell r="V6607">
            <v>1</v>
          </cell>
          <cell r="W6607">
            <v>5</v>
          </cell>
          <cell r="X6607">
            <v>2</v>
          </cell>
          <cell r="Y6607">
            <v>0</v>
          </cell>
        </row>
        <row r="6608">
          <cell r="D6608">
            <v>305083</v>
          </cell>
          <cell r="E6608" t="str">
            <v>Dalit National High School</v>
          </cell>
          <cell r="F6608">
            <v>0</v>
          </cell>
          <cell r="G6608">
            <v>0</v>
          </cell>
          <cell r="H6608">
            <v>1</v>
          </cell>
          <cell r="I6608">
            <v>0</v>
          </cell>
          <cell r="J6608">
            <v>1</v>
          </cell>
          <cell r="K6608">
            <v>0</v>
          </cell>
          <cell r="L6608">
            <v>0</v>
          </cell>
          <cell r="M6608">
            <v>0</v>
          </cell>
          <cell r="N6608">
            <v>1</v>
          </cell>
          <cell r="O6608">
            <v>0</v>
          </cell>
          <cell r="P6608">
            <v>0</v>
          </cell>
          <cell r="Q6608">
            <v>0</v>
          </cell>
          <cell r="R6608">
            <v>1</v>
          </cell>
          <cell r="S6608">
            <v>0</v>
          </cell>
          <cell r="T6608">
            <v>0</v>
          </cell>
          <cell r="U6608">
            <v>0</v>
          </cell>
          <cell r="V6608">
            <v>1</v>
          </cell>
          <cell r="W6608">
            <v>7</v>
          </cell>
          <cell r="X6608">
            <v>0</v>
          </cell>
          <cell r="Y6608">
            <v>0</v>
          </cell>
        </row>
        <row r="6609">
          <cell r="D6609">
            <v>305080</v>
          </cell>
          <cell r="E6609" t="str">
            <v>Capitan NHS</v>
          </cell>
          <cell r="F6609">
            <v>1</v>
          </cell>
          <cell r="G6609">
            <v>0</v>
          </cell>
          <cell r="H6609">
            <v>1</v>
          </cell>
          <cell r="I6609">
            <v>0</v>
          </cell>
          <cell r="J6609">
            <v>0</v>
          </cell>
          <cell r="K6609">
            <v>1</v>
          </cell>
          <cell r="L6609">
            <v>0</v>
          </cell>
          <cell r="M6609">
            <v>0</v>
          </cell>
          <cell r="N6609">
            <v>1</v>
          </cell>
          <cell r="O6609">
            <v>43619</v>
          </cell>
          <cell r="P6609" t="str">
            <v>none</v>
          </cell>
          <cell r="Q6609">
            <v>0</v>
          </cell>
          <cell r="R6609">
            <v>0</v>
          </cell>
          <cell r="S6609">
            <v>0</v>
          </cell>
          <cell r="T6609">
            <v>0</v>
          </cell>
          <cell r="U6609">
            <v>0</v>
          </cell>
          <cell r="V6609">
            <v>0</v>
          </cell>
          <cell r="W6609">
            <v>0</v>
          </cell>
          <cell r="X6609">
            <v>0</v>
          </cell>
          <cell r="Y6609">
            <v>0</v>
          </cell>
        </row>
        <row r="6610">
          <cell r="D6610">
            <v>305096</v>
          </cell>
          <cell r="E6610" t="str">
            <v>Rosalio Eduarte NHS</v>
          </cell>
          <cell r="F6610">
            <v>1</v>
          </cell>
          <cell r="G6610">
            <v>1</v>
          </cell>
          <cell r="H6610">
            <v>0</v>
          </cell>
          <cell r="I6610">
            <v>0</v>
          </cell>
          <cell r="J6610">
            <v>1</v>
          </cell>
          <cell r="K6610">
            <v>0</v>
          </cell>
          <cell r="L6610">
            <v>0</v>
          </cell>
          <cell r="M6610">
            <v>0</v>
          </cell>
          <cell r="N6610">
            <v>1</v>
          </cell>
          <cell r="O6610">
            <v>43623</v>
          </cell>
          <cell r="P6610">
            <v>0</v>
          </cell>
          <cell r="Q6610">
            <v>0</v>
          </cell>
          <cell r="R6610">
            <v>1</v>
          </cell>
          <cell r="S6610">
            <v>0</v>
          </cell>
          <cell r="T6610">
            <v>0</v>
          </cell>
          <cell r="U6610">
            <v>0</v>
          </cell>
          <cell r="V6610">
            <v>1</v>
          </cell>
          <cell r="W6610">
            <v>0</v>
          </cell>
          <cell r="X6610">
            <v>0</v>
          </cell>
          <cell r="Y6610">
            <v>0</v>
          </cell>
        </row>
        <row r="6611">
          <cell r="D6611">
            <v>305075</v>
          </cell>
          <cell r="E6611" t="str">
            <v>Abra HS</v>
          </cell>
          <cell r="F6611">
            <v>1</v>
          </cell>
          <cell r="G6611">
            <v>1</v>
          </cell>
          <cell r="H6611">
            <v>1</v>
          </cell>
          <cell r="I6611">
            <v>0</v>
          </cell>
          <cell r="J6611">
            <v>1</v>
          </cell>
          <cell r="K6611">
            <v>0</v>
          </cell>
          <cell r="L6611">
            <v>0</v>
          </cell>
          <cell r="M6611">
            <v>0</v>
          </cell>
          <cell r="N6611">
            <v>1</v>
          </cell>
          <cell r="O6611" t="str">
            <v>09/16/2019</v>
          </cell>
          <cell r="P6611" t="str">
            <v>09/18/2019</v>
          </cell>
          <cell r="Q6611">
            <v>1</v>
          </cell>
          <cell r="R6611">
            <v>0</v>
          </cell>
          <cell r="S6611">
            <v>0</v>
          </cell>
          <cell r="T6611">
            <v>0</v>
          </cell>
          <cell r="U6611">
            <v>0</v>
          </cell>
          <cell r="V6611">
            <v>1</v>
          </cell>
          <cell r="W6611">
            <v>1</v>
          </cell>
          <cell r="X6611">
            <v>1</v>
          </cell>
          <cell r="Y6611">
            <v>1</v>
          </cell>
        </row>
        <row r="6612">
          <cell r="D6612">
            <v>305104</v>
          </cell>
          <cell r="E6612" t="str">
            <v>Tineg National High School</v>
          </cell>
          <cell r="F6612">
            <v>1</v>
          </cell>
          <cell r="G6612">
            <v>1</v>
          </cell>
          <cell r="H6612">
            <v>1</v>
          </cell>
          <cell r="I6612">
            <v>0</v>
          </cell>
          <cell r="J6612">
            <v>1</v>
          </cell>
          <cell r="K6612">
            <v>0</v>
          </cell>
          <cell r="L6612">
            <v>0</v>
          </cell>
          <cell r="M6612">
            <v>0</v>
          </cell>
          <cell r="N6612">
            <v>1</v>
          </cell>
          <cell r="O6612">
            <v>0</v>
          </cell>
          <cell r="P6612">
            <v>43592</v>
          </cell>
          <cell r="Q6612">
            <v>0</v>
          </cell>
          <cell r="R6612">
            <v>1</v>
          </cell>
          <cell r="S6612">
            <v>0</v>
          </cell>
          <cell r="T6612">
            <v>0</v>
          </cell>
          <cell r="U6612">
            <v>0</v>
          </cell>
          <cell r="V6612">
            <v>0</v>
          </cell>
          <cell r="W6612">
            <v>1</v>
          </cell>
          <cell r="X6612">
            <v>1</v>
          </cell>
          <cell r="Y6612">
            <v>1</v>
          </cell>
        </row>
        <row r="6613">
          <cell r="D6613">
            <v>305102</v>
          </cell>
          <cell r="E6613" t="str">
            <v>Tagodtod National High School</v>
          </cell>
          <cell r="F6613">
            <v>1</v>
          </cell>
          <cell r="G6613">
            <v>1</v>
          </cell>
          <cell r="H6613">
            <v>1</v>
          </cell>
          <cell r="I6613">
            <v>0</v>
          </cell>
          <cell r="J6613">
            <v>0</v>
          </cell>
          <cell r="K6613">
            <v>0</v>
          </cell>
          <cell r="L6613">
            <v>1</v>
          </cell>
          <cell r="M6613">
            <v>0</v>
          </cell>
          <cell r="N6613">
            <v>0</v>
          </cell>
          <cell r="O6613">
            <v>0</v>
          </cell>
          <cell r="P6613">
            <v>0</v>
          </cell>
          <cell r="Q6613">
            <v>0</v>
          </cell>
          <cell r="R6613">
            <v>0</v>
          </cell>
          <cell r="S6613">
            <v>0</v>
          </cell>
          <cell r="T6613">
            <v>0</v>
          </cell>
          <cell r="U6613">
            <v>0</v>
          </cell>
          <cell r="V6613">
            <v>0</v>
          </cell>
          <cell r="W6613">
            <v>0</v>
          </cell>
          <cell r="X6613">
            <v>0</v>
          </cell>
          <cell r="Y6613">
            <v>0</v>
          </cell>
        </row>
        <row r="6614">
          <cell r="D6614">
            <v>305094</v>
          </cell>
          <cell r="E6614" t="str">
            <v>Pulot National High School</v>
          </cell>
          <cell r="F6614">
            <v>0</v>
          </cell>
          <cell r="G6614">
            <v>0</v>
          </cell>
          <cell r="H6614">
            <v>0</v>
          </cell>
          <cell r="I6614">
            <v>0</v>
          </cell>
          <cell r="J6614">
            <v>0</v>
          </cell>
          <cell r="K6614">
            <v>1</v>
          </cell>
          <cell r="L6614">
            <v>0</v>
          </cell>
          <cell r="M6614">
            <v>0</v>
          </cell>
          <cell r="N6614">
            <v>0</v>
          </cell>
          <cell r="O6614">
            <v>0</v>
          </cell>
          <cell r="P6614">
            <v>0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>
            <v>0</v>
          </cell>
          <cell r="V6614">
            <v>0</v>
          </cell>
          <cell r="W6614">
            <v>0</v>
          </cell>
          <cell r="X6614">
            <v>0</v>
          </cell>
          <cell r="Y6614">
            <v>0</v>
          </cell>
        </row>
        <row r="6615">
          <cell r="D6615">
            <v>305086</v>
          </cell>
          <cell r="E6615" t="str">
            <v>Gaddani NHS</v>
          </cell>
          <cell r="F6615">
            <v>1</v>
          </cell>
          <cell r="G6615">
            <v>1</v>
          </cell>
          <cell r="H6615">
            <v>1</v>
          </cell>
          <cell r="I6615">
            <v>0</v>
          </cell>
          <cell r="J6615">
            <v>1</v>
          </cell>
          <cell r="K6615">
            <v>0</v>
          </cell>
          <cell r="L6615">
            <v>0</v>
          </cell>
          <cell r="M6615">
            <v>0</v>
          </cell>
          <cell r="N6615">
            <v>1</v>
          </cell>
          <cell r="O6615" t="str">
            <v>June 8, 2019</v>
          </cell>
          <cell r="P6615" t="str">
            <v>July 31, 2019</v>
          </cell>
          <cell r="Q6615">
            <v>1</v>
          </cell>
          <cell r="R6615">
            <v>0</v>
          </cell>
          <cell r="S6615">
            <v>0</v>
          </cell>
          <cell r="T6615">
            <v>0</v>
          </cell>
          <cell r="U6615">
            <v>0</v>
          </cell>
          <cell r="V6615">
            <v>1</v>
          </cell>
          <cell r="W6615">
            <v>0</v>
          </cell>
          <cell r="X6615">
            <v>0</v>
          </cell>
          <cell r="Y6615">
            <v>0</v>
          </cell>
        </row>
        <row r="6616">
          <cell r="D6616">
            <v>305088</v>
          </cell>
          <cell r="E6616" t="str">
            <v>Lul-luno NHS</v>
          </cell>
          <cell r="F6616">
            <v>0</v>
          </cell>
          <cell r="G6616">
            <v>0</v>
          </cell>
          <cell r="H6616">
            <v>1</v>
          </cell>
          <cell r="I6616">
            <v>0</v>
          </cell>
          <cell r="J6616">
            <v>0</v>
          </cell>
          <cell r="K6616">
            <v>1</v>
          </cell>
          <cell r="L6616">
            <v>0</v>
          </cell>
          <cell r="M6616">
            <v>0</v>
          </cell>
          <cell r="N6616">
            <v>0</v>
          </cell>
          <cell r="O6616">
            <v>43662</v>
          </cell>
          <cell r="P6616">
            <v>0</v>
          </cell>
          <cell r="Q6616">
            <v>0</v>
          </cell>
          <cell r="R6616">
            <v>0</v>
          </cell>
          <cell r="S6616">
            <v>0</v>
          </cell>
          <cell r="T6616">
            <v>0</v>
          </cell>
          <cell r="U6616">
            <v>0</v>
          </cell>
          <cell r="V6616">
            <v>0</v>
          </cell>
          <cell r="W6616">
            <v>0</v>
          </cell>
          <cell r="X6616">
            <v>0</v>
          </cell>
          <cell r="Y6616">
            <v>0</v>
          </cell>
        </row>
        <row r="6617">
          <cell r="D6617">
            <v>305101</v>
          </cell>
          <cell r="E6617" t="str">
            <v>Suyo National High School</v>
          </cell>
          <cell r="F6617">
            <v>1</v>
          </cell>
          <cell r="G6617">
            <v>1</v>
          </cell>
          <cell r="H6617">
            <v>1</v>
          </cell>
          <cell r="I6617">
            <v>0</v>
          </cell>
          <cell r="J6617">
            <v>0</v>
          </cell>
          <cell r="K6617">
            <v>1</v>
          </cell>
          <cell r="L6617">
            <v>0</v>
          </cell>
          <cell r="M6617">
            <v>0</v>
          </cell>
          <cell r="N6617">
            <v>1</v>
          </cell>
          <cell r="O6617">
            <v>0</v>
          </cell>
          <cell r="P6617">
            <v>0</v>
          </cell>
          <cell r="Q6617">
            <v>0</v>
          </cell>
          <cell r="R6617">
            <v>1</v>
          </cell>
          <cell r="S6617">
            <v>0</v>
          </cell>
          <cell r="T6617">
            <v>0</v>
          </cell>
          <cell r="U6617">
            <v>0</v>
          </cell>
          <cell r="V6617">
            <v>0</v>
          </cell>
          <cell r="W6617">
            <v>0</v>
          </cell>
          <cell r="X6617">
            <v>0</v>
          </cell>
          <cell r="Y6617">
            <v>0</v>
          </cell>
        </row>
        <row r="6618">
          <cell r="D6618">
            <v>305092</v>
          </cell>
          <cell r="E6618" t="str">
            <v>Pangtod NHS</v>
          </cell>
          <cell r="F6618">
            <v>0</v>
          </cell>
          <cell r="G6618">
            <v>0</v>
          </cell>
          <cell r="H6618">
            <v>1</v>
          </cell>
          <cell r="I6618">
            <v>0</v>
          </cell>
          <cell r="J6618">
            <v>0</v>
          </cell>
          <cell r="K6618">
            <v>1</v>
          </cell>
          <cell r="L6618">
            <v>0</v>
          </cell>
          <cell r="M6618">
            <v>0</v>
          </cell>
          <cell r="N6618">
            <v>0</v>
          </cell>
          <cell r="O6618">
            <v>0</v>
          </cell>
          <cell r="P6618">
            <v>0</v>
          </cell>
          <cell r="Q6618">
            <v>0</v>
          </cell>
          <cell r="R6618">
            <v>0</v>
          </cell>
          <cell r="S6618">
            <v>0</v>
          </cell>
          <cell r="T6618">
            <v>0</v>
          </cell>
          <cell r="U6618">
            <v>0</v>
          </cell>
          <cell r="V6618">
            <v>0</v>
          </cell>
          <cell r="W6618">
            <v>0</v>
          </cell>
          <cell r="X6618">
            <v>0</v>
          </cell>
          <cell r="Y6618">
            <v>0</v>
          </cell>
        </row>
        <row r="6619">
          <cell r="D6619">
            <v>305093</v>
          </cell>
          <cell r="E6619" t="str">
            <v>Pilar Rural High School</v>
          </cell>
          <cell r="F6619">
            <v>1</v>
          </cell>
          <cell r="G6619">
            <v>1</v>
          </cell>
          <cell r="H6619">
            <v>1</v>
          </cell>
          <cell r="I6619">
            <v>0</v>
          </cell>
          <cell r="J6619">
            <v>1</v>
          </cell>
          <cell r="K6619">
            <v>0</v>
          </cell>
          <cell r="L6619">
            <v>0</v>
          </cell>
          <cell r="M6619">
            <v>0</v>
          </cell>
          <cell r="N6619">
            <v>1</v>
          </cell>
          <cell r="O6619">
            <v>43640</v>
          </cell>
          <cell r="P6619" t="str">
            <v>Junbe 10, 2019</v>
          </cell>
          <cell r="Q6619">
            <v>0</v>
          </cell>
          <cell r="R6619">
            <v>1</v>
          </cell>
          <cell r="S6619">
            <v>0</v>
          </cell>
          <cell r="T6619">
            <v>0</v>
          </cell>
          <cell r="U6619">
            <v>0</v>
          </cell>
          <cell r="V6619">
            <v>1</v>
          </cell>
          <cell r="W6619">
            <v>3</v>
          </cell>
          <cell r="X6619">
            <v>2</v>
          </cell>
          <cell r="Y6619">
            <v>2</v>
          </cell>
        </row>
        <row r="6620">
          <cell r="D6620">
            <v>305103</v>
          </cell>
          <cell r="E6620" t="str">
            <v>Tiempo NHS</v>
          </cell>
          <cell r="F6620">
            <v>1</v>
          </cell>
          <cell r="G6620">
            <v>0</v>
          </cell>
          <cell r="H6620">
            <v>1</v>
          </cell>
          <cell r="I6620">
            <v>0</v>
          </cell>
          <cell r="J6620">
            <v>0</v>
          </cell>
          <cell r="K6620">
            <v>1</v>
          </cell>
          <cell r="L6620">
            <v>0</v>
          </cell>
          <cell r="M6620">
            <v>0</v>
          </cell>
          <cell r="N6620">
            <v>0</v>
          </cell>
          <cell r="O6620">
            <v>43621</v>
          </cell>
          <cell r="P6620">
            <v>43621</v>
          </cell>
          <cell r="Q6620">
            <v>0</v>
          </cell>
          <cell r="R6620">
            <v>0</v>
          </cell>
          <cell r="S6620">
            <v>1</v>
          </cell>
          <cell r="T6620">
            <v>0</v>
          </cell>
          <cell r="U6620">
            <v>0</v>
          </cell>
          <cell r="V6620">
            <v>1</v>
          </cell>
          <cell r="W6620">
            <v>4</v>
          </cell>
          <cell r="X6620">
            <v>2</v>
          </cell>
          <cell r="Y6620">
            <v>2</v>
          </cell>
        </row>
        <row r="6621">
          <cell r="D6621">
            <v>305087</v>
          </cell>
          <cell r="E6621" t="str">
            <v>Langiden NHS</v>
          </cell>
          <cell r="F6621">
            <v>0</v>
          </cell>
          <cell r="G6621">
            <v>0</v>
          </cell>
          <cell r="H6621">
            <v>1</v>
          </cell>
          <cell r="I6621">
            <v>0</v>
          </cell>
          <cell r="J6621">
            <v>0</v>
          </cell>
          <cell r="K6621">
            <v>0</v>
          </cell>
          <cell r="L6621">
            <v>0</v>
          </cell>
          <cell r="M6621">
            <v>0</v>
          </cell>
          <cell r="N6621">
            <v>0</v>
          </cell>
          <cell r="O6621">
            <v>0</v>
          </cell>
          <cell r="P6621">
            <v>0</v>
          </cell>
          <cell r="Q6621">
            <v>0</v>
          </cell>
          <cell r="R6621">
            <v>0</v>
          </cell>
          <cell r="S6621">
            <v>0</v>
          </cell>
          <cell r="T6621">
            <v>0</v>
          </cell>
          <cell r="U6621">
            <v>0</v>
          </cell>
          <cell r="V6621">
            <v>0</v>
          </cell>
          <cell r="W6621">
            <v>0</v>
          </cell>
          <cell r="X6621">
            <v>0</v>
          </cell>
          <cell r="Y6621">
            <v>0</v>
          </cell>
        </row>
        <row r="6622">
          <cell r="D6622">
            <v>305084</v>
          </cell>
          <cell r="E6622" t="str">
            <v>Dilong National High School</v>
          </cell>
          <cell r="F6622">
            <v>1</v>
          </cell>
          <cell r="G6622">
            <v>0</v>
          </cell>
          <cell r="H6622">
            <v>1</v>
          </cell>
          <cell r="I6622">
            <v>0</v>
          </cell>
          <cell r="J6622">
            <v>0</v>
          </cell>
          <cell r="K6622">
            <v>1</v>
          </cell>
          <cell r="L6622">
            <v>0</v>
          </cell>
          <cell r="M6622">
            <v>0</v>
          </cell>
          <cell r="N6622">
            <v>0</v>
          </cell>
          <cell r="O6622">
            <v>0</v>
          </cell>
          <cell r="P6622">
            <v>0</v>
          </cell>
          <cell r="Q6622">
            <v>0</v>
          </cell>
          <cell r="R6622">
            <v>0</v>
          </cell>
          <cell r="S6622">
            <v>0</v>
          </cell>
          <cell r="T6622">
            <v>1</v>
          </cell>
          <cell r="U6622" t="str">
            <v>no store within the 100-perimeter</v>
          </cell>
          <cell r="V6622">
            <v>0</v>
          </cell>
          <cell r="W6622">
            <v>0</v>
          </cell>
          <cell r="X6622">
            <v>0</v>
          </cell>
          <cell r="Y6622">
            <v>0</v>
          </cell>
        </row>
        <row r="6623">
          <cell r="D6623">
            <v>305099</v>
          </cell>
          <cell r="E6623" t="str">
            <v>San Quintin NHS</v>
          </cell>
          <cell r="F6623">
            <v>1</v>
          </cell>
          <cell r="G6623">
            <v>1</v>
          </cell>
          <cell r="H6623">
            <v>1</v>
          </cell>
          <cell r="I6623">
            <v>0</v>
          </cell>
          <cell r="J6623">
            <v>1</v>
          </cell>
          <cell r="K6623">
            <v>0</v>
          </cell>
          <cell r="L6623">
            <v>0</v>
          </cell>
          <cell r="M6623">
            <v>0</v>
          </cell>
          <cell r="N6623">
            <v>1</v>
          </cell>
          <cell r="O6623">
            <v>43671</v>
          </cell>
          <cell r="P6623">
            <v>43685</v>
          </cell>
          <cell r="Q6623">
            <v>0</v>
          </cell>
          <cell r="R6623">
            <v>1</v>
          </cell>
          <cell r="S6623">
            <v>0</v>
          </cell>
          <cell r="T6623">
            <v>0</v>
          </cell>
          <cell r="U6623">
            <v>0</v>
          </cell>
          <cell r="V6623">
            <v>1</v>
          </cell>
          <cell r="W6623">
            <v>3</v>
          </cell>
          <cell r="X6623">
            <v>0</v>
          </cell>
          <cell r="Y6623">
            <v>0</v>
          </cell>
        </row>
        <row r="6624">
          <cell r="D6624">
            <v>318701</v>
          </cell>
          <cell r="E6624" t="str">
            <v>MARC YSRAEL B. BERNOS MEMORIAL NATIONAL HIGH SCHOOL</v>
          </cell>
          <cell r="F6624">
            <v>0</v>
          </cell>
          <cell r="G6624">
            <v>0</v>
          </cell>
          <cell r="H6624">
            <v>1</v>
          </cell>
          <cell r="I6624">
            <v>0</v>
          </cell>
          <cell r="J6624">
            <v>0</v>
          </cell>
          <cell r="K6624">
            <v>0</v>
          </cell>
          <cell r="L6624">
            <v>1</v>
          </cell>
          <cell r="M6624" t="str">
            <v>AS THE NEED ARISES</v>
          </cell>
          <cell r="N6624">
            <v>1</v>
          </cell>
          <cell r="O6624" t="str">
            <v>06/25/2019</v>
          </cell>
          <cell r="P6624" t="str">
            <v>07/27/2019</v>
          </cell>
          <cell r="Q6624">
            <v>0</v>
          </cell>
          <cell r="R6624">
            <v>0</v>
          </cell>
          <cell r="S6624">
            <v>0</v>
          </cell>
          <cell r="T6624">
            <v>1</v>
          </cell>
          <cell r="U6624" t="str">
            <v>AS THE NEED ARISES</v>
          </cell>
          <cell r="V6624">
            <v>1</v>
          </cell>
          <cell r="W6624">
            <v>2</v>
          </cell>
          <cell r="X6624">
            <v>0</v>
          </cell>
          <cell r="Y6624">
            <v>0</v>
          </cell>
        </row>
        <row r="6625">
          <cell r="D6625">
            <v>305091</v>
          </cell>
          <cell r="E6625" t="str">
            <v>Northern Abra NHS</v>
          </cell>
          <cell r="F6625">
            <v>0</v>
          </cell>
          <cell r="G6625">
            <v>0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0</v>
          </cell>
          <cell r="M6625">
            <v>0</v>
          </cell>
          <cell r="N6625">
            <v>0</v>
          </cell>
          <cell r="O6625">
            <v>0</v>
          </cell>
          <cell r="P6625">
            <v>0</v>
          </cell>
          <cell r="Q6625">
            <v>0</v>
          </cell>
          <cell r="R6625">
            <v>0</v>
          </cell>
          <cell r="S6625">
            <v>0</v>
          </cell>
          <cell r="T6625">
            <v>0</v>
          </cell>
          <cell r="U6625">
            <v>0</v>
          </cell>
          <cell r="V6625">
            <v>0</v>
          </cell>
          <cell r="W6625">
            <v>0</v>
          </cell>
          <cell r="X6625">
            <v>0</v>
          </cell>
          <cell r="Y6625">
            <v>0</v>
          </cell>
        </row>
        <row r="6626">
          <cell r="D6626">
            <v>305074</v>
          </cell>
          <cell r="E6626" t="str">
            <v>Abas NHS</v>
          </cell>
          <cell r="F6626">
            <v>0</v>
          </cell>
          <cell r="G6626">
            <v>0</v>
          </cell>
          <cell r="H6626">
            <v>1</v>
          </cell>
          <cell r="I6626">
            <v>0</v>
          </cell>
          <cell r="J6626">
            <v>0</v>
          </cell>
          <cell r="K6626">
            <v>1</v>
          </cell>
          <cell r="L6626">
            <v>0</v>
          </cell>
          <cell r="M6626">
            <v>0</v>
          </cell>
          <cell r="N6626">
            <v>1</v>
          </cell>
          <cell r="O6626">
            <v>0</v>
          </cell>
          <cell r="P6626">
            <v>43735</v>
          </cell>
          <cell r="Q6626">
            <v>0</v>
          </cell>
          <cell r="R6626">
            <v>0</v>
          </cell>
          <cell r="S6626">
            <v>0</v>
          </cell>
          <cell r="T6626">
            <v>1</v>
          </cell>
          <cell r="U6626" t="str">
            <v>TWICE A MONTH</v>
          </cell>
          <cell r="V6626">
            <v>1</v>
          </cell>
          <cell r="W6626">
            <v>0</v>
          </cell>
          <cell r="X6626">
            <v>0</v>
          </cell>
          <cell r="Y6626">
            <v>0</v>
          </cell>
        </row>
        <row r="6627">
          <cell r="D6627">
            <v>500590</v>
          </cell>
          <cell r="E6627" t="str">
            <v>Penarrubia Integrated School</v>
          </cell>
          <cell r="F6627">
            <v>0</v>
          </cell>
          <cell r="G6627">
            <v>0</v>
          </cell>
          <cell r="H6627">
            <v>1</v>
          </cell>
          <cell r="I6627">
            <v>0</v>
          </cell>
          <cell r="J6627">
            <v>0</v>
          </cell>
          <cell r="K6627">
            <v>1</v>
          </cell>
          <cell r="L6627">
            <v>0</v>
          </cell>
          <cell r="M6627">
            <v>0</v>
          </cell>
          <cell r="N6627">
            <v>0</v>
          </cell>
          <cell r="O6627">
            <v>0</v>
          </cell>
          <cell r="P6627">
            <v>0</v>
          </cell>
          <cell r="Q6627">
            <v>1</v>
          </cell>
          <cell r="R6627">
            <v>0</v>
          </cell>
          <cell r="S6627">
            <v>0</v>
          </cell>
          <cell r="T6627">
            <v>0</v>
          </cell>
          <cell r="U6627">
            <v>0</v>
          </cell>
          <cell r="V6627">
            <v>1</v>
          </cell>
          <cell r="W6627">
            <v>0</v>
          </cell>
          <cell r="X6627">
            <v>0</v>
          </cell>
          <cell r="Y6627">
            <v>0</v>
          </cell>
        </row>
        <row r="6628">
          <cell r="D6628">
            <v>305097</v>
          </cell>
          <cell r="E6628" t="str">
            <v>San Isidro NHS</v>
          </cell>
          <cell r="F6628">
            <v>1</v>
          </cell>
          <cell r="G6628">
            <v>1</v>
          </cell>
          <cell r="H6628">
            <v>1</v>
          </cell>
          <cell r="I6628">
            <v>0</v>
          </cell>
          <cell r="J6628">
            <v>1</v>
          </cell>
          <cell r="K6628">
            <v>0</v>
          </cell>
          <cell r="L6628">
            <v>0</v>
          </cell>
          <cell r="M6628">
            <v>0</v>
          </cell>
          <cell r="N6628">
            <v>1</v>
          </cell>
          <cell r="O6628" t="str">
            <v>06/13/2019</v>
          </cell>
          <cell r="P6628" t="str">
            <v>06/13/2019</v>
          </cell>
          <cell r="Q6628">
            <v>1</v>
          </cell>
          <cell r="R6628">
            <v>0</v>
          </cell>
          <cell r="S6628">
            <v>0</v>
          </cell>
          <cell r="T6628">
            <v>0</v>
          </cell>
          <cell r="U6628">
            <v>0</v>
          </cell>
          <cell r="V6628">
            <v>1</v>
          </cell>
          <cell r="W6628">
            <v>0</v>
          </cell>
          <cell r="X6628">
            <v>0</v>
          </cell>
          <cell r="Y6628">
            <v>0</v>
          </cell>
        </row>
        <row r="6629">
          <cell r="D6629">
            <v>305113</v>
          </cell>
          <cell r="E6629" t="str">
            <v>FLORA NATIONAL HIGH SCHOOL</v>
          </cell>
          <cell r="F6629">
            <v>1</v>
          </cell>
          <cell r="G6629">
            <v>0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0</v>
          </cell>
          <cell r="M6629">
            <v>0</v>
          </cell>
          <cell r="N6629">
            <v>0</v>
          </cell>
          <cell r="O6629">
            <v>0</v>
          </cell>
          <cell r="P6629">
            <v>0</v>
          </cell>
          <cell r="Q6629">
            <v>0</v>
          </cell>
          <cell r="R6629">
            <v>0</v>
          </cell>
          <cell r="S6629">
            <v>0</v>
          </cell>
          <cell r="T6629">
            <v>0</v>
          </cell>
          <cell r="U6629">
            <v>0</v>
          </cell>
          <cell r="V6629">
            <v>0</v>
          </cell>
          <cell r="W6629">
            <v>0</v>
          </cell>
          <cell r="X6629">
            <v>0</v>
          </cell>
          <cell r="Y6629">
            <v>0</v>
          </cell>
        </row>
        <row r="6630">
          <cell r="D6630">
            <v>318802</v>
          </cell>
          <cell r="E6630" t="str">
            <v>Talifugo National High School</v>
          </cell>
          <cell r="F6630">
            <v>1</v>
          </cell>
          <cell r="G6630">
            <v>0</v>
          </cell>
          <cell r="H6630">
            <v>1</v>
          </cell>
          <cell r="I6630">
            <v>0</v>
          </cell>
          <cell r="J6630">
            <v>1</v>
          </cell>
          <cell r="K6630">
            <v>0</v>
          </cell>
          <cell r="L6630">
            <v>0</v>
          </cell>
          <cell r="M6630">
            <v>0</v>
          </cell>
          <cell r="N6630">
            <v>1</v>
          </cell>
          <cell r="O6630">
            <v>0</v>
          </cell>
          <cell r="P6630">
            <v>0</v>
          </cell>
          <cell r="Q6630">
            <v>0</v>
          </cell>
          <cell r="R6630">
            <v>0</v>
          </cell>
          <cell r="S6630">
            <v>0</v>
          </cell>
          <cell r="T6630">
            <v>0</v>
          </cell>
          <cell r="U6630">
            <v>0</v>
          </cell>
          <cell r="V6630">
            <v>0</v>
          </cell>
          <cell r="W6630">
            <v>0</v>
          </cell>
          <cell r="X6630">
            <v>0</v>
          </cell>
          <cell r="Y6630">
            <v>0</v>
          </cell>
        </row>
        <row r="6631">
          <cell r="D6631">
            <v>318803</v>
          </cell>
          <cell r="E6631" t="str">
            <v>Cupis National High School</v>
          </cell>
          <cell r="F6631">
            <v>1</v>
          </cell>
          <cell r="G6631">
            <v>0</v>
          </cell>
          <cell r="H6631">
            <v>1</v>
          </cell>
          <cell r="I6631">
            <v>0</v>
          </cell>
          <cell r="J6631">
            <v>1</v>
          </cell>
          <cell r="K6631">
            <v>0</v>
          </cell>
          <cell r="L6631">
            <v>0</v>
          </cell>
          <cell r="M6631">
            <v>0</v>
          </cell>
          <cell r="N6631">
            <v>1</v>
          </cell>
          <cell r="O6631">
            <v>0</v>
          </cell>
          <cell r="P6631">
            <v>0</v>
          </cell>
          <cell r="Q6631">
            <v>0</v>
          </cell>
          <cell r="R6631">
            <v>0</v>
          </cell>
          <cell r="S6631">
            <v>1</v>
          </cell>
          <cell r="T6631">
            <v>0</v>
          </cell>
          <cell r="U6631">
            <v>0</v>
          </cell>
          <cell r="V6631">
            <v>1</v>
          </cell>
          <cell r="W6631">
            <v>0</v>
          </cell>
          <cell r="X6631">
            <v>0</v>
          </cell>
          <cell r="Y6631">
            <v>0</v>
          </cell>
        </row>
        <row r="6632">
          <cell r="D6632">
            <v>305111</v>
          </cell>
          <cell r="E6632" t="str">
            <v>Conner Central NHS Main</v>
          </cell>
          <cell r="F6632">
            <v>0</v>
          </cell>
          <cell r="G6632">
            <v>0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0</v>
          </cell>
          <cell r="M6632">
            <v>0</v>
          </cell>
          <cell r="N6632">
            <v>0</v>
          </cell>
          <cell r="O6632">
            <v>0</v>
          </cell>
          <cell r="P6632">
            <v>0</v>
          </cell>
          <cell r="Q6632">
            <v>0</v>
          </cell>
          <cell r="R6632">
            <v>0</v>
          </cell>
          <cell r="S6632">
            <v>0</v>
          </cell>
          <cell r="T6632">
            <v>0</v>
          </cell>
          <cell r="U6632">
            <v>0</v>
          </cell>
          <cell r="V6632">
            <v>0</v>
          </cell>
          <cell r="W6632">
            <v>0</v>
          </cell>
          <cell r="X6632">
            <v>0</v>
          </cell>
          <cell r="Y6632">
            <v>0</v>
          </cell>
        </row>
        <row r="6633">
          <cell r="D6633">
            <v>305118</v>
          </cell>
          <cell r="E6633" t="str">
            <v>Mataguisi Comp. HS Main</v>
          </cell>
          <cell r="F6633">
            <v>1</v>
          </cell>
          <cell r="G6633">
            <v>0</v>
          </cell>
          <cell r="H6633">
            <v>1</v>
          </cell>
          <cell r="I6633">
            <v>0</v>
          </cell>
          <cell r="J6633">
            <v>0</v>
          </cell>
          <cell r="K6633">
            <v>1</v>
          </cell>
          <cell r="L6633">
            <v>0</v>
          </cell>
          <cell r="M6633">
            <v>0</v>
          </cell>
          <cell r="N6633">
            <v>0</v>
          </cell>
          <cell r="O6633">
            <v>0</v>
          </cell>
          <cell r="P6633" t="str">
            <v>06/21/2019</v>
          </cell>
          <cell r="Q6633">
            <v>1</v>
          </cell>
          <cell r="R6633">
            <v>0</v>
          </cell>
          <cell r="S6633">
            <v>0</v>
          </cell>
          <cell r="T6633">
            <v>0</v>
          </cell>
          <cell r="U6633">
            <v>0</v>
          </cell>
          <cell r="V6633">
            <v>1</v>
          </cell>
          <cell r="W6633">
            <v>0</v>
          </cell>
          <cell r="X6633">
            <v>0</v>
          </cell>
          <cell r="Y6633">
            <v>0</v>
          </cell>
        </row>
        <row r="6634">
          <cell r="D6634">
            <v>318801</v>
          </cell>
          <cell r="E6634" t="str">
            <v>Tumog National Agricultural and trade High School</v>
          </cell>
          <cell r="F6634">
            <v>1</v>
          </cell>
          <cell r="G6634">
            <v>1</v>
          </cell>
          <cell r="H6634">
            <v>1</v>
          </cell>
          <cell r="I6634">
            <v>0</v>
          </cell>
          <cell r="J6634">
            <v>1</v>
          </cell>
          <cell r="K6634">
            <v>0</v>
          </cell>
          <cell r="L6634">
            <v>0</v>
          </cell>
          <cell r="M6634">
            <v>0</v>
          </cell>
          <cell r="N6634">
            <v>1</v>
          </cell>
          <cell r="O6634" t="str">
            <v>June 18, 2019</v>
          </cell>
          <cell r="P6634" t="str">
            <v>June 28, 2019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>
            <v>0</v>
          </cell>
          <cell r="V6634">
            <v>1</v>
          </cell>
          <cell r="W6634">
            <v>0</v>
          </cell>
          <cell r="X6634">
            <v>0</v>
          </cell>
          <cell r="Y6634">
            <v>0</v>
          </cell>
        </row>
        <row r="6635">
          <cell r="D6635">
            <v>305112</v>
          </cell>
          <cell r="E6635" t="str">
            <v>Conner National HS</v>
          </cell>
          <cell r="F6635">
            <v>1</v>
          </cell>
          <cell r="G6635">
            <v>1</v>
          </cell>
          <cell r="H6635">
            <v>1</v>
          </cell>
          <cell r="I6635">
            <v>0</v>
          </cell>
          <cell r="J6635">
            <v>1</v>
          </cell>
          <cell r="K6635">
            <v>0</v>
          </cell>
          <cell r="L6635">
            <v>0</v>
          </cell>
          <cell r="M6635">
            <v>0</v>
          </cell>
          <cell r="N6635">
            <v>1</v>
          </cell>
          <cell r="O6635">
            <v>0</v>
          </cell>
          <cell r="P6635" t="str">
            <v>06/14/2019</v>
          </cell>
          <cell r="Q6635">
            <v>0</v>
          </cell>
          <cell r="R6635">
            <v>1</v>
          </cell>
          <cell r="S6635">
            <v>0</v>
          </cell>
          <cell r="T6635">
            <v>0</v>
          </cell>
          <cell r="U6635">
            <v>0</v>
          </cell>
          <cell r="V6635">
            <v>0</v>
          </cell>
          <cell r="W6635">
            <v>0</v>
          </cell>
          <cell r="X6635">
            <v>0</v>
          </cell>
          <cell r="Y6635">
            <v>0</v>
          </cell>
        </row>
        <row r="6636">
          <cell r="D6636">
            <v>318806</v>
          </cell>
          <cell r="E6636" t="str">
            <v>Kabugao National High School</v>
          </cell>
          <cell r="F6636">
            <v>0</v>
          </cell>
          <cell r="G6636">
            <v>0</v>
          </cell>
          <cell r="H6636">
            <v>1</v>
          </cell>
          <cell r="I6636">
            <v>0</v>
          </cell>
          <cell r="J6636">
            <v>0</v>
          </cell>
          <cell r="K6636">
            <v>0</v>
          </cell>
          <cell r="L6636">
            <v>0</v>
          </cell>
          <cell r="M6636">
            <v>0</v>
          </cell>
          <cell r="N6636">
            <v>0</v>
          </cell>
          <cell r="O6636">
            <v>0</v>
          </cell>
          <cell r="P6636">
            <v>0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>
            <v>0</v>
          </cell>
          <cell r="V6636">
            <v>1</v>
          </cell>
          <cell r="W6636">
            <v>0</v>
          </cell>
          <cell r="X6636">
            <v>0</v>
          </cell>
          <cell r="Y6636">
            <v>0</v>
          </cell>
        </row>
        <row r="6637">
          <cell r="D6637">
            <v>305108</v>
          </cell>
          <cell r="E6637" t="str">
            <v>BAC-DA National High School</v>
          </cell>
          <cell r="F6637">
            <v>1</v>
          </cell>
          <cell r="G6637">
            <v>1</v>
          </cell>
          <cell r="H6637">
            <v>1</v>
          </cell>
          <cell r="I6637">
            <v>0</v>
          </cell>
          <cell r="J6637">
            <v>1</v>
          </cell>
          <cell r="K6637">
            <v>0</v>
          </cell>
          <cell r="L6637">
            <v>0</v>
          </cell>
          <cell r="M6637">
            <v>0</v>
          </cell>
          <cell r="N6637">
            <v>1</v>
          </cell>
          <cell r="O6637">
            <v>0</v>
          </cell>
          <cell r="P6637">
            <v>0</v>
          </cell>
          <cell r="Q6637">
            <v>0</v>
          </cell>
          <cell r="R6637">
            <v>1</v>
          </cell>
          <cell r="S6637">
            <v>0</v>
          </cell>
          <cell r="T6637">
            <v>0</v>
          </cell>
          <cell r="U6637">
            <v>0</v>
          </cell>
          <cell r="V6637">
            <v>1</v>
          </cell>
          <cell r="W6637">
            <v>0</v>
          </cell>
          <cell r="X6637">
            <v>0</v>
          </cell>
          <cell r="Y6637">
            <v>0</v>
          </cell>
        </row>
        <row r="6638">
          <cell r="D6638">
            <v>305114</v>
          </cell>
          <cell r="E6638" t="str">
            <v>Gov. Benjamin Leguiab Sr. Memorial NHS</v>
          </cell>
          <cell r="F6638">
            <v>0</v>
          </cell>
          <cell r="G6638">
            <v>0</v>
          </cell>
          <cell r="H6638">
            <v>1</v>
          </cell>
          <cell r="I6638">
            <v>1</v>
          </cell>
          <cell r="J6638">
            <v>0</v>
          </cell>
          <cell r="K6638">
            <v>0</v>
          </cell>
          <cell r="L6638">
            <v>0</v>
          </cell>
          <cell r="M6638">
            <v>0</v>
          </cell>
          <cell r="N6638">
            <v>1</v>
          </cell>
          <cell r="O6638">
            <v>43617</v>
          </cell>
          <cell r="P6638">
            <v>43617</v>
          </cell>
          <cell r="Q6638">
            <v>1</v>
          </cell>
          <cell r="R6638">
            <v>0</v>
          </cell>
          <cell r="S6638">
            <v>0</v>
          </cell>
          <cell r="T6638">
            <v>0</v>
          </cell>
          <cell r="U6638">
            <v>0</v>
          </cell>
          <cell r="V6638">
            <v>0</v>
          </cell>
          <cell r="W6638">
            <v>0</v>
          </cell>
          <cell r="X6638">
            <v>0</v>
          </cell>
          <cell r="Y6638">
            <v>0</v>
          </cell>
        </row>
        <row r="6639">
          <cell r="D6639">
            <v>305123</v>
          </cell>
          <cell r="E6639" t="str">
            <v>Pudtol Vocational High School</v>
          </cell>
          <cell r="F6639">
            <v>0</v>
          </cell>
          <cell r="G6639">
            <v>0</v>
          </cell>
          <cell r="H6639">
            <v>0</v>
          </cell>
          <cell r="I6639">
            <v>0</v>
          </cell>
          <cell r="J6639">
            <v>1</v>
          </cell>
          <cell r="K6639">
            <v>0</v>
          </cell>
          <cell r="L6639">
            <v>0</v>
          </cell>
          <cell r="M6639">
            <v>0</v>
          </cell>
          <cell r="N6639">
            <v>1</v>
          </cell>
          <cell r="O6639">
            <v>43617</v>
          </cell>
          <cell r="P6639">
            <v>43617</v>
          </cell>
          <cell r="Q6639">
            <v>0</v>
          </cell>
          <cell r="R6639">
            <v>0</v>
          </cell>
          <cell r="S6639">
            <v>1</v>
          </cell>
          <cell r="T6639">
            <v>0</v>
          </cell>
          <cell r="U6639">
            <v>0</v>
          </cell>
          <cell r="V6639">
            <v>1</v>
          </cell>
          <cell r="W6639">
            <v>0</v>
          </cell>
          <cell r="X6639">
            <v>0</v>
          </cell>
          <cell r="Y6639">
            <v>0</v>
          </cell>
        </row>
        <row r="6640">
          <cell r="D6640">
            <v>305106</v>
          </cell>
          <cell r="E6640" t="str">
            <v>Apayao National Industrial Agricultural High School</v>
          </cell>
          <cell r="F6640">
            <v>1</v>
          </cell>
          <cell r="G6640">
            <v>1</v>
          </cell>
          <cell r="H6640">
            <v>1</v>
          </cell>
          <cell r="I6640">
            <v>1</v>
          </cell>
          <cell r="J6640">
            <v>0</v>
          </cell>
          <cell r="K6640">
            <v>0</v>
          </cell>
          <cell r="L6640">
            <v>1</v>
          </cell>
          <cell r="M6640" t="str">
            <v>anytime</v>
          </cell>
          <cell r="N6640">
            <v>1</v>
          </cell>
          <cell r="O6640">
            <v>43647</v>
          </cell>
          <cell r="P6640">
            <v>43723</v>
          </cell>
          <cell r="Q6640">
            <v>0</v>
          </cell>
          <cell r="R6640">
            <v>0</v>
          </cell>
          <cell r="S6640">
            <v>0</v>
          </cell>
          <cell r="T6640">
            <v>1</v>
          </cell>
          <cell r="U6640" t="str">
            <v>Frequent</v>
          </cell>
          <cell r="V6640">
            <v>1</v>
          </cell>
          <cell r="W6640">
            <v>4</v>
          </cell>
          <cell r="X6640">
            <v>2</v>
          </cell>
          <cell r="Y6640">
            <v>2</v>
          </cell>
        </row>
        <row r="6641">
          <cell r="D6641">
            <v>305116</v>
          </cell>
          <cell r="E6641" t="str">
            <v>Luna National High School</v>
          </cell>
          <cell r="F6641">
            <v>1</v>
          </cell>
          <cell r="G6641">
            <v>0</v>
          </cell>
          <cell r="H6641">
            <v>1</v>
          </cell>
          <cell r="I6641">
            <v>1</v>
          </cell>
          <cell r="J6641">
            <v>0</v>
          </cell>
          <cell r="K6641">
            <v>0</v>
          </cell>
          <cell r="L6641">
            <v>0</v>
          </cell>
          <cell r="M6641">
            <v>0</v>
          </cell>
          <cell r="N6641">
            <v>1</v>
          </cell>
          <cell r="O6641">
            <v>0</v>
          </cell>
          <cell r="P6641">
            <v>43647</v>
          </cell>
          <cell r="Q6641">
            <v>0</v>
          </cell>
          <cell r="R6641">
            <v>1</v>
          </cell>
          <cell r="S6641">
            <v>0</v>
          </cell>
          <cell r="T6641">
            <v>0</v>
          </cell>
          <cell r="U6641">
            <v>0</v>
          </cell>
          <cell r="V6641">
            <v>1</v>
          </cell>
          <cell r="W6641">
            <v>0</v>
          </cell>
          <cell r="X6641">
            <v>0</v>
          </cell>
          <cell r="Y6641">
            <v>0</v>
          </cell>
        </row>
        <row r="6642">
          <cell r="D6642">
            <v>305107</v>
          </cell>
          <cell r="E6642" t="str">
            <v>Apayao Science High Shool</v>
          </cell>
          <cell r="F6642">
            <v>0</v>
          </cell>
          <cell r="G6642">
            <v>0</v>
          </cell>
          <cell r="H6642">
            <v>1</v>
          </cell>
          <cell r="I6642">
            <v>0</v>
          </cell>
          <cell r="J6642">
            <v>1</v>
          </cell>
          <cell r="K6642">
            <v>0</v>
          </cell>
          <cell r="L6642">
            <v>0</v>
          </cell>
          <cell r="M6642">
            <v>0</v>
          </cell>
          <cell r="N6642">
            <v>0</v>
          </cell>
          <cell r="O6642">
            <v>0</v>
          </cell>
          <cell r="P6642">
            <v>0</v>
          </cell>
          <cell r="Q6642">
            <v>1</v>
          </cell>
          <cell r="R6642">
            <v>0</v>
          </cell>
          <cell r="S6642">
            <v>0</v>
          </cell>
          <cell r="T6642">
            <v>0</v>
          </cell>
          <cell r="U6642">
            <v>0</v>
          </cell>
          <cell r="V6642">
            <v>1</v>
          </cell>
          <cell r="W6642">
            <v>0</v>
          </cell>
          <cell r="X6642">
            <v>0</v>
          </cell>
          <cell r="Y6642">
            <v>0</v>
          </cell>
        </row>
        <row r="6643">
          <cell r="D6643">
            <v>305109</v>
          </cell>
          <cell r="E6643" t="str">
            <v>Sta. Marcela NHS</v>
          </cell>
          <cell r="F6643">
            <v>1</v>
          </cell>
          <cell r="G6643">
            <v>1</v>
          </cell>
          <cell r="H6643">
            <v>1</v>
          </cell>
          <cell r="I6643">
            <v>0</v>
          </cell>
          <cell r="J6643">
            <v>0</v>
          </cell>
          <cell r="K6643">
            <v>0</v>
          </cell>
          <cell r="L6643">
            <v>0</v>
          </cell>
          <cell r="M6643">
            <v>0</v>
          </cell>
          <cell r="N6643">
            <v>1</v>
          </cell>
          <cell r="O6643">
            <v>0</v>
          </cell>
          <cell r="P6643" t="str">
            <v>JULY 5, 2019</v>
          </cell>
          <cell r="Q6643">
            <v>1</v>
          </cell>
          <cell r="R6643">
            <v>0</v>
          </cell>
          <cell r="S6643">
            <v>0</v>
          </cell>
          <cell r="T6643">
            <v>0</v>
          </cell>
          <cell r="U6643">
            <v>0</v>
          </cell>
          <cell r="V6643">
            <v>0</v>
          </cell>
          <cell r="W6643">
            <v>2</v>
          </cell>
          <cell r="X6643">
            <v>1</v>
          </cell>
          <cell r="Y6643">
            <v>1</v>
          </cell>
        </row>
        <row r="6644">
          <cell r="D6644">
            <v>305124</v>
          </cell>
          <cell r="E6644" t="str">
            <v>Sipa-Imelda NHS</v>
          </cell>
          <cell r="F6644">
            <v>1</v>
          </cell>
          <cell r="G6644">
            <v>1</v>
          </cell>
          <cell r="H6644">
            <v>1</v>
          </cell>
          <cell r="I6644">
            <v>0</v>
          </cell>
          <cell r="J6644">
            <v>1</v>
          </cell>
          <cell r="K6644">
            <v>0</v>
          </cell>
          <cell r="L6644">
            <v>0</v>
          </cell>
          <cell r="M6644">
            <v>0</v>
          </cell>
          <cell r="N6644">
            <v>0</v>
          </cell>
          <cell r="O6644">
            <v>0</v>
          </cell>
          <cell r="P6644">
            <v>0</v>
          </cell>
          <cell r="Q6644">
            <v>0</v>
          </cell>
          <cell r="R6644">
            <v>0</v>
          </cell>
          <cell r="S6644">
            <v>0</v>
          </cell>
          <cell r="T6644">
            <v>0</v>
          </cell>
          <cell r="U6644">
            <v>0</v>
          </cell>
          <cell r="V6644">
            <v>0</v>
          </cell>
          <cell r="W6644">
            <v>0</v>
          </cell>
          <cell r="X6644">
            <v>0</v>
          </cell>
          <cell r="Y6644">
            <v>0</v>
          </cell>
        </row>
        <row r="6645">
          <cell r="D6645">
            <v>318808</v>
          </cell>
          <cell r="E6645" t="str">
            <v>Allig National Agricultural and Trade HS</v>
          </cell>
          <cell r="F6645">
            <v>1</v>
          </cell>
          <cell r="G6645">
            <v>0</v>
          </cell>
          <cell r="H6645">
            <v>1</v>
          </cell>
          <cell r="I6645">
            <v>0</v>
          </cell>
          <cell r="J6645">
            <v>1</v>
          </cell>
          <cell r="K6645">
            <v>0</v>
          </cell>
          <cell r="L6645">
            <v>0</v>
          </cell>
          <cell r="M6645">
            <v>0</v>
          </cell>
          <cell r="N6645">
            <v>0</v>
          </cell>
          <cell r="O6645">
            <v>0</v>
          </cell>
          <cell r="P6645">
            <v>0</v>
          </cell>
          <cell r="Q6645">
            <v>1</v>
          </cell>
          <cell r="R6645">
            <v>0</v>
          </cell>
          <cell r="S6645">
            <v>0</v>
          </cell>
          <cell r="T6645">
            <v>0</v>
          </cell>
          <cell r="U6645">
            <v>0</v>
          </cell>
          <cell r="V6645">
            <v>1</v>
          </cell>
          <cell r="W6645">
            <v>0</v>
          </cell>
          <cell r="X6645">
            <v>0</v>
          </cell>
          <cell r="Y6645">
            <v>0</v>
          </cell>
        </row>
        <row r="6646">
          <cell r="D6646">
            <v>318804</v>
          </cell>
          <cell r="E6646" t="str">
            <v>tanglagan national high school</v>
          </cell>
          <cell r="F6646">
            <v>1</v>
          </cell>
          <cell r="G6646">
            <v>0</v>
          </cell>
          <cell r="H6646">
            <v>1</v>
          </cell>
          <cell r="I6646">
            <v>0</v>
          </cell>
          <cell r="J6646">
            <v>1</v>
          </cell>
          <cell r="K6646">
            <v>0</v>
          </cell>
          <cell r="L6646">
            <v>0</v>
          </cell>
          <cell r="M6646">
            <v>0</v>
          </cell>
          <cell r="N6646">
            <v>0</v>
          </cell>
          <cell r="O6646" t="str">
            <v>n/a</v>
          </cell>
          <cell r="P6646" t="str">
            <v>n/a</v>
          </cell>
          <cell r="Q6646">
            <v>1</v>
          </cell>
          <cell r="R6646">
            <v>0</v>
          </cell>
          <cell r="S6646">
            <v>0</v>
          </cell>
          <cell r="T6646">
            <v>0</v>
          </cell>
          <cell r="U6646">
            <v>0</v>
          </cell>
          <cell r="V6646">
            <v>1</v>
          </cell>
          <cell r="W6646">
            <v>0</v>
          </cell>
          <cell r="X6646">
            <v>0</v>
          </cell>
          <cell r="Y6646">
            <v>0</v>
          </cell>
        </row>
        <row r="6647">
          <cell r="D6647">
            <v>305121</v>
          </cell>
          <cell r="E6647" t="str">
            <v>Mayor Ricardo de San Jose, Sr. Comp. HS</v>
          </cell>
          <cell r="F6647">
            <v>0</v>
          </cell>
          <cell r="G6647">
            <v>0</v>
          </cell>
          <cell r="H6647">
            <v>1</v>
          </cell>
          <cell r="I6647">
            <v>0</v>
          </cell>
          <cell r="J6647">
            <v>0</v>
          </cell>
          <cell r="K6647">
            <v>0</v>
          </cell>
          <cell r="L6647">
            <v>0</v>
          </cell>
          <cell r="M6647">
            <v>0</v>
          </cell>
          <cell r="N6647">
            <v>0</v>
          </cell>
          <cell r="O6647">
            <v>0</v>
          </cell>
          <cell r="P6647">
            <v>0</v>
          </cell>
          <cell r="Q6647">
            <v>0</v>
          </cell>
          <cell r="R6647">
            <v>0</v>
          </cell>
          <cell r="S6647">
            <v>0</v>
          </cell>
          <cell r="T6647">
            <v>0</v>
          </cell>
          <cell r="U6647">
            <v>0</v>
          </cell>
          <cell r="V6647">
            <v>0</v>
          </cell>
          <cell r="W6647">
            <v>0</v>
          </cell>
          <cell r="X6647">
            <v>0</v>
          </cell>
          <cell r="Y6647">
            <v>0</v>
          </cell>
        </row>
        <row r="6648">
          <cell r="D6648">
            <v>318811</v>
          </cell>
          <cell r="E6648" t="str">
            <v>Sta.Filomena School of Arts and Trade</v>
          </cell>
          <cell r="F6648">
            <v>0</v>
          </cell>
          <cell r="G6648">
            <v>0</v>
          </cell>
          <cell r="H6648">
            <v>1</v>
          </cell>
          <cell r="I6648">
            <v>0</v>
          </cell>
          <cell r="J6648">
            <v>1</v>
          </cell>
          <cell r="K6648">
            <v>0</v>
          </cell>
          <cell r="L6648">
            <v>0</v>
          </cell>
          <cell r="M6648">
            <v>0</v>
          </cell>
          <cell r="N6648">
            <v>1</v>
          </cell>
          <cell r="O6648">
            <v>43709</v>
          </cell>
          <cell r="P6648">
            <v>0</v>
          </cell>
          <cell r="Q6648">
            <v>1</v>
          </cell>
          <cell r="R6648">
            <v>0</v>
          </cell>
          <cell r="S6648">
            <v>0</v>
          </cell>
          <cell r="T6648">
            <v>1</v>
          </cell>
          <cell r="U6648">
            <v>43709</v>
          </cell>
          <cell r="V6648">
            <v>1</v>
          </cell>
          <cell r="W6648">
            <v>0</v>
          </cell>
          <cell r="X6648">
            <v>0</v>
          </cell>
          <cell r="Y6648">
            <v>0</v>
          </cell>
        </row>
        <row r="6649">
          <cell r="D6649">
            <v>305122</v>
          </cell>
          <cell r="E6649" t="str">
            <v>Pio Dalim Memorial SAT Main</v>
          </cell>
          <cell r="F6649">
            <v>1</v>
          </cell>
          <cell r="G6649">
            <v>0</v>
          </cell>
          <cell r="H6649">
            <v>1</v>
          </cell>
          <cell r="I6649">
            <v>0</v>
          </cell>
          <cell r="J6649">
            <v>1</v>
          </cell>
          <cell r="K6649">
            <v>0</v>
          </cell>
          <cell r="L6649">
            <v>0</v>
          </cell>
          <cell r="M6649">
            <v>0</v>
          </cell>
          <cell r="N6649">
            <v>1</v>
          </cell>
          <cell r="O6649" t="str">
            <v>07/26/2019</v>
          </cell>
          <cell r="P6649">
            <v>0</v>
          </cell>
          <cell r="Q6649">
            <v>0</v>
          </cell>
          <cell r="R6649">
            <v>0</v>
          </cell>
          <cell r="S6649">
            <v>0</v>
          </cell>
          <cell r="T6649">
            <v>0</v>
          </cell>
          <cell r="U6649">
            <v>0</v>
          </cell>
          <cell r="V6649">
            <v>1</v>
          </cell>
          <cell r="W6649">
            <v>0</v>
          </cell>
          <cell r="X6649">
            <v>0</v>
          </cell>
          <cell r="Y6649">
            <v>0</v>
          </cell>
        </row>
        <row r="6650">
          <cell r="D6650">
            <v>305115</v>
          </cell>
          <cell r="E6650" t="str">
            <v>Kabugao Agro-Ind'l. HS</v>
          </cell>
          <cell r="F6650">
            <v>1</v>
          </cell>
          <cell r="G6650">
            <v>1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>
            <v>0</v>
          </cell>
          <cell r="M6650">
            <v>0</v>
          </cell>
          <cell r="N6650">
            <v>0</v>
          </cell>
          <cell r="O6650">
            <v>0</v>
          </cell>
          <cell r="P6650">
            <v>0</v>
          </cell>
          <cell r="Q6650">
            <v>0</v>
          </cell>
          <cell r="R6650">
            <v>0</v>
          </cell>
          <cell r="S6650">
            <v>0</v>
          </cell>
          <cell r="T6650">
            <v>0</v>
          </cell>
          <cell r="U6650">
            <v>0</v>
          </cell>
          <cell r="V6650">
            <v>1</v>
          </cell>
          <cell r="W6650">
            <v>0</v>
          </cell>
          <cell r="X6650">
            <v>0</v>
          </cell>
          <cell r="Y6650">
            <v>0</v>
          </cell>
        </row>
        <row r="6651">
          <cell r="D6651">
            <v>305120</v>
          </cell>
          <cell r="E6651" t="str">
            <v>MAYOR GUILLERMO A. BARSATAN MEMORIAL SCHOOL OF ARTS AND TRADE</v>
          </cell>
          <cell r="F6651">
            <v>0</v>
          </cell>
          <cell r="G6651">
            <v>1</v>
          </cell>
          <cell r="H6651">
            <v>0</v>
          </cell>
          <cell r="I6651">
            <v>0</v>
          </cell>
          <cell r="J6651">
            <v>1</v>
          </cell>
          <cell r="K6651">
            <v>0</v>
          </cell>
          <cell r="L6651">
            <v>0</v>
          </cell>
          <cell r="M6651">
            <v>0</v>
          </cell>
          <cell r="N6651">
            <v>0</v>
          </cell>
          <cell r="O6651">
            <v>0</v>
          </cell>
          <cell r="P6651">
            <v>0</v>
          </cell>
          <cell r="Q6651">
            <v>0</v>
          </cell>
          <cell r="R6651">
            <v>0</v>
          </cell>
          <cell r="S6651">
            <v>0</v>
          </cell>
          <cell r="T6651">
            <v>0</v>
          </cell>
          <cell r="U6651">
            <v>0</v>
          </cell>
          <cell r="V6651">
            <v>0</v>
          </cell>
          <cell r="W6651">
            <v>0</v>
          </cell>
          <cell r="X6651">
            <v>0</v>
          </cell>
          <cell r="Y6651">
            <v>0</v>
          </cell>
        </row>
        <row r="6652">
          <cell r="D6652">
            <v>305110</v>
          </cell>
          <cell r="E6652" t="str">
            <v>Calanasan NHS</v>
          </cell>
          <cell r="F6652">
            <v>1</v>
          </cell>
          <cell r="G6652">
            <v>1</v>
          </cell>
          <cell r="H6652">
            <v>1</v>
          </cell>
          <cell r="I6652">
            <v>0</v>
          </cell>
          <cell r="J6652">
            <v>0</v>
          </cell>
          <cell r="K6652">
            <v>0</v>
          </cell>
          <cell r="L6652">
            <v>0</v>
          </cell>
          <cell r="M6652">
            <v>0</v>
          </cell>
          <cell r="N6652">
            <v>0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>
            <v>0</v>
          </cell>
          <cell r="V6652">
            <v>0</v>
          </cell>
          <cell r="W6652">
            <v>0</v>
          </cell>
          <cell r="X6652">
            <v>0</v>
          </cell>
          <cell r="Y6652">
            <v>0</v>
          </cell>
        </row>
        <row r="6653">
          <cell r="D6653">
            <v>305129</v>
          </cell>
          <cell r="E6653" t="str">
            <v>Atok National High School</v>
          </cell>
          <cell r="F6653">
            <v>0</v>
          </cell>
          <cell r="G6653">
            <v>0</v>
          </cell>
          <cell r="H6653">
            <v>1</v>
          </cell>
          <cell r="I6653">
            <v>0</v>
          </cell>
          <cell r="J6653">
            <v>0</v>
          </cell>
          <cell r="K6653">
            <v>0</v>
          </cell>
          <cell r="L6653">
            <v>0</v>
          </cell>
          <cell r="M6653">
            <v>0</v>
          </cell>
          <cell r="N6653">
            <v>1</v>
          </cell>
          <cell r="O6653">
            <v>43707</v>
          </cell>
          <cell r="P6653" t="str">
            <v>August 20, 20190</v>
          </cell>
          <cell r="Q6653">
            <v>0</v>
          </cell>
          <cell r="R6653">
            <v>1</v>
          </cell>
          <cell r="S6653">
            <v>0</v>
          </cell>
          <cell r="T6653">
            <v>0</v>
          </cell>
          <cell r="U6653">
            <v>0</v>
          </cell>
          <cell r="V6653">
            <v>1</v>
          </cell>
          <cell r="W6653">
            <v>0</v>
          </cell>
          <cell r="X6653">
            <v>0</v>
          </cell>
          <cell r="Y6653">
            <v>0</v>
          </cell>
        </row>
        <row r="6654">
          <cell r="D6654">
            <v>305133</v>
          </cell>
          <cell r="E6654" t="str">
            <v>Benguet National High School-Main</v>
          </cell>
          <cell r="F6654">
            <v>1</v>
          </cell>
          <cell r="G6654">
            <v>1</v>
          </cell>
          <cell r="H6654">
            <v>1</v>
          </cell>
          <cell r="I6654">
            <v>0</v>
          </cell>
          <cell r="J6654">
            <v>0</v>
          </cell>
          <cell r="K6654">
            <v>0</v>
          </cell>
          <cell r="L6654">
            <v>1</v>
          </cell>
          <cell r="M6654" t="str">
            <v>as the need arises</v>
          </cell>
          <cell r="N6654">
            <v>0</v>
          </cell>
          <cell r="O6654">
            <v>0</v>
          </cell>
          <cell r="P6654" t="str">
            <v>none</v>
          </cell>
          <cell r="Q6654">
            <v>0</v>
          </cell>
          <cell r="R6654">
            <v>0</v>
          </cell>
          <cell r="S6654">
            <v>0</v>
          </cell>
          <cell r="T6654">
            <v>1</v>
          </cell>
          <cell r="U6654" t="str">
            <v>as the need arises</v>
          </cell>
          <cell r="V6654">
            <v>0</v>
          </cell>
          <cell r="W6654">
            <v>0</v>
          </cell>
          <cell r="X6654">
            <v>0</v>
          </cell>
          <cell r="Y6654">
            <v>0</v>
          </cell>
        </row>
        <row r="6655">
          <cell r="D6655">
            <v>318918</v>
          </cell>
          <cell r="E6655" t="str">
            <v>Adaoay NHS Extension - Abucot</v>
          </cell>
          <cell r="F6655">
            <v>1</v>
          </cell>
          <cell r="G6655">
            <v>1</v>
          </cell>
          <cell r="H6655">
            <v>1</v>
          </cell>
          <cell r="I6655">
            <v>0</v>
          </cell>
          <cell r="J6655">
            <v>1</v>
          </cell>
          <cell r="K6655">
            <v>0</v>
          </cell>
          <cell r="L6655">
            <v>0</v>
          </cell>
          <cell r="M6655">
            <v>0</v>
          </cell>
          <cell r="N6655">
            <v>0</v>
          </cell>
          <cell r="O6655" t="str">
            <v>06/05/2019</v>
          </cell>
          <cell r="P6655" t="str">
            <v>06/05/2019</v>
          </cell>
          <cell r="Q6655">
            <v>0</v>
          </cell>
          <cell r="R6655">
            <v>1</v>
          </cell>
          <cell r="S6655">
            <v>0</v>
          </cell>
          <cell r="T6655">
            <v>0</v>
          </cell>
          <cell r="U6655">
            <v>0</v>
          </cell>
          <cell r="V6655">
            <v>0</v>
          </cell>
          <cell r="W6655">
            <v>7</v>
          </cell>
          <cell r="X6655">
            <v>4</v>
          </cell>
          <cell r="Y6655">
            <v>7</v>
          </cell>
        </row>
        <row r="6656">
          <cell r="D6656">
            <v>318912</v>
          </cell>
          <cell r="E6656" t="str">
            <v>Sinipsip NHS Extension - Natubleng</v>
          </cell>
          <cell r="F6656">
            <v>1</v>
          </cell>
          <cell r="G6656">
            <v>0</v>
          </cell>
          <cell r="H6656">
            <v>1</v>
          </cell>
          <cell r="I6656">
            <v>0</v>
          </cell>
          <cell r="J6656">
            <v>1</v>
          </cell>
          <cell r="K6656">
            <v>0</v>
          </cell>
          <cell r="L6656">
            <v>0</v>
          </cell>
          <cell r="M6656">
            <v>0</v>
          </cell>
          <cell r="N6656">
            <v>0</v>
          </cell>
          <cell r="O6656">
            <v>0</v>
          </cell>
          <cell r="P6656">
            <v>0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>
            <v>0</v>
          </cell>
          <cell r="V6656">
            <v>0</v>
          </cell>
          <cell r="W6656">
            <v>0</v>
          </cell>
          <cell r="X6656">
            <v>0</v>
          </cell>
          <cell r="Y6656">
            <v>0</v>
          </cell>
        </row>
        <row r="6657">
          <cell r="D6657">
            <v>318906</v>
          </cell>
          <cell r="E6657" t="str">
            <v>Benguet NHS Annex- Alno</v>
          </cell>
          <cell r="F6657">
            <v>1</v>
          </cell>
          <cell r="G6657">
            <v>0</v>
          </cell>
          <cell r="H6657">
            <v>1</v>
          </cell>
          <cell r="I6657">
            <v>0</v>
          </cell>
          <cell r="J6657">
            <v>1</v>
          </cell>
          <cell r="K6657">
            <v>0</v>
          </cell>
          <cell r="L6657">
            <v>0</v>
          </cell>
          <cell r="M6657">
            <v>0</v>
          </cell>
          <cell r="N6657">
            <v>0</v>
          </cell>
          <cell r="O6657">
            <v>0</v>
          </cell>
          <cell r="P6657">
            <v>0</v>
          </cell>
          <cell r="Q6657">
            <v>0</v>
          </cell>
          <cell r="R6657">
            <v>1</v>
          </cell>
          <cell r="S6657">
            <v>0</v>
          </cell>
          <cell r="T6657">
            <v>0</v>
          </cell>
          <cell r="U6657">
            <v>0</v>
          </cell>
          <cell r="V6657">
            <v>1</v>
          </cell>
          <cell r="W6657">
            <v>0</v>
          </cell>
          <cell r="X6657">
            <v>3</v>
          </cell>
          <cell r="Y6657">
            <v>1</v>
          </cell>
        </row>
        <row r="6658">
          <cell r="D6658">
            <v>305160</v>
          </cell>
          <cell r="E6658" t="str">
            <v>Tuba NHS (Nangalisan)</v>
          </cell>
          <cell r="F6658">
            <v>0</v>
          </cell>
          <cell r="G6658">
            <v>0</v>
          </cell>
          <cell r="H6658">
            <v>1</v>
          </cell>
          <cell r="I6658">
            <v>0</v>
          </cell>
          <cell r="J6658">
            <v>0</v>
          </cell>
          <cell r="K6658">
            <v>0</v>
          </cell>
          <cell r="L6658">
            <v>1</v>
          </cell>
          <cell r="M6658" t="str">
            <v>as needed</v>
          </cell>
          <cell r="N6658">
            <v>0</v>
          </cell>
          <cell r="O6658">
            <v>0</v>
          </cell>
          <cell r="P6658">
            <v>0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>
            <v>0</v>
          </cell>
          <cell r="V6658">
            <v>0</v>
          </cell>
          <cell r="W6658">
            <v>0</v>
          </cell>
          <cell r="X6658">
            <v>0</v>
          </cell>
          <cell r="Y6658">
            <v>0</v>
          </cell>
        </row>
        <row r="6659">
          <cell r="D6659">
            <v>305127</v>
          </cell>
          <cell r="E6659" t="str">
            <v>Loacan National High School</v>
          </cell>
          <cell r="F6659">
            <v>1</v>
          </cell>
          <cell r="G6659">
            <v>0</v>
          </cell>
          <cell r="H6659">
            <v>1</v>
          </cell>
          <cell r="I6659">
            <v>0</v>
          </cell>
          <cell r="J6659">
            <v>0</v>
          </cell>
          <cell r="K6659">
            <v>1</v>
          </cell>
          <cell r="L6659">
            <v>0</v>
          </cell>
          <cell r="M6659">
            <v>0</v>
          </cell>
          <cell r="N6659">
            <v>1</v>
          </cell>
          <cell r="O6659">
            <v>43530</v>
          </cell>
          <cell r="P6659">
            <v>0</v>
          </cell>
          <cell r="Q6659">
            <v>0</v>
          </cell>
          <cell r="R6659">
            <v>0</v>
          </cell>
          <cell r="S6659">
            <v>1</v>
          </cell>
          <cell r="T6659">
            <v>0</v>
          </cell>
          <cell r="U6659">
            <v>0</v>
          </cell>
          <cell r="V6659">
            <v>0</v>
          </cell>
          <cell r="W6659">
            <v>2</v>
          </cell>
          <cell r="X6659">
            <v>0</v>
          </cell>
          <cell r="Y6659">
            <v>0</v>
          </cell>
        </row>
        <row r="6660">
          <cell r="D6660">
            <v>305150</v>
          </cell>
          <cell r="E6660" t="str">
            <v>Tacadang NHS</v>
          </cell>
          <cell r="F6660">
            <v>0</v>
          </cell>
          <cell r="G6660">
            <v>0</v>
          </cell>
          <cell r="H6660">
            <v>1</v>
          </cell>
          <cell r="I6660">
            <v>0</v>
          </cell>
          <cell r="J6660">
            <v>1</v>
          </cell>
          <cell r="K6660">
            <v>0</v>
          </cell>
          <cell r="L6660">
            <v>0</v>
          </cell>
          <cell r="M6660">
            <v>0</v>
          </cell>
          <cell r="N6660">
            <v>0</v>
          </cell>
          <cell r="O6660">
            <v>0</v>
          </cell>
          <cell r="P6660">
            <v>0</v>
          </cell>
          <cell r="Q6660">
            <v>0</v>
          </cell>
          <cell r="R6660">
            <v>0</v>
          </cell>
          <cell r="S6660">
            <v>1</v>
          </cell>
          <cell r="T6660">
            <v>0</v>
          </cell>
          <cell r="U6660">
            <v>0</v>
          </cell>
          <cell r="V6660">
            <v>0</v>
          </cell>
          <cell r="W6660">
            <v>0</v>
          </cell>
          <cell r="X6660">
            <v>0</v>
          </cell>
          <cell r="Y6660">
            <v>0</v>
          </cell>
        </row>
        <row r="6661">
          <cell r="D6661">
            <v>318904</v>
          </cell>
          <cell r="E6661" t="str">
            <v>Tuba Central NHS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0</v>
          </cell>
          <cell r="M6661">
            <v>0</v>
          </cell>
          <cell r="N6661">
            <v>0</v>
          </cell>
          <cell r="O6661">
            <v>0</v>
          </cell>
          <cell r="P6661">
            <v>0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>
            <v>0</v>
          </cell>
          <cell r="V6661">
            <v>0</v>
          </cell>
          <cell r="W6661">
            <v>0</v>
          </cell>
          <cell r="X6661">
            <v>0</v>
          </cell>
          <cell r="Y6661">
            <v>0</v>
          </cell>
        </row>
        <row r="6662">
          <cell r="D6662">
            <v>318914</v>
          </cell>
          <cell r="E6662" t="str">
            <v>Evelio Javier Memorial NHS Annex - Ansagan</v>
          </cell>
          <cell r="F6662">
            <v>0</v>
          </cell>
          <cell r="G6662">
            <v>0</v>
          </cell>
          <cell r="H6662">
            <v>1</v>
          </cell>
          <cell r="I6662">
            <v>0</v>
          </cell>
          <cell r="J6662">
            <v>1</v>
          </cell>
          <cell r="K6662">
            <v>0</v>
          </cell>
          <cell r="L6662">
            <v>0</v>
          </cell>
          <cell r="M6662">
            <v>0</v>
          </cell>
          <cell r="N6662">
            <v>1</v>
          </cell>
          <cell r="O6662">
            <v>0</v>
          </cell>
          <cell r="P6662">
            <v>0</v>
          </cell>
          <cell r="Q6662">
            <v>0</v>
          </cell>
          <cell r="R6662">
            <v>0</v>
          </cell>
          <cell r="S6662">
            <v>1</v>
          </cell>
          <cell r="T6662">
            <v>0</v>
          </cell>
          <cell r="U6662">
            <v>0</v>
          </cell>
          <cell r="V6662">
            <v>1</v>
          </cell>
          <cell r="W6662">
            <v>0</v>
          </cell>
          <cell r="X6662">
            <v>0</v>
          </cell>
          <cell r="Y6662">
            <v>0</v>
          </cell>
        </row>
        <row r="6663">
          <cell r="D6663">
            <v>318903</v>
          </cell>
          <cell r="E6663" t="str">
            <v>Tawangan-Lusod NHS</v>
          </cell>
          <cell r="F6663">
            <v>1</v>
          </cell>
          <cell r="G6663">
            <v>0</v>
          </cell>
          <cell r="H6663">
            <v>1</v>
          </cell>
          <cell r="I6663">
            <v>1</v>
          </cell>
          <cell r="J6663">
            <v>0</v>
          </cell>
          <cell r="K6663">
            <v>0</v>
          </cell>
          <cell r="L6663">
            <v>1</v>
          </cell>
          <cell r="M6663" t="str">
            <v>as needed</v>
          </cell>
          <cell r="N6663">
            <v>0</v>
          </cell>
          <cell r="O6663">
            <v>0</v>
          </cell>
          <cell r="P6663">
            <v>0</v>
          </cell>
          <cell r="Q6663">
            <v>0</v>
          </cell>
          <cell r="R6663">
            <v>0</v>
          </cell>
          <cell r="S6663">
            <v>0</v>
          </cell>
          <cell r="T6663">
            <v>1</v>
          </cell>
          <cell r="U6663" t="str">
            <v>as needed</v>
          </cell>
          <cell r="V6663">
            <v>1</v>
          </cell>
          <cell r="W6663">
            <v>0</v>
          </cell>
          <cell r="X6663">
            <v>0</v>
          </cell>
          <cell r="Y6663">
            <v>0</v>
          </cell>
        </row>
        <row r="6664">
          <cell r="D6664">
            <v>305136</v>
          </cell>
          <cell r="E6664" t="str">
            <v>Buguias NHS</v>
          </cell>
          <cell r="F6664">
            <v>1</v>
          </cell>
          <cell r="G6664">
            <v>1</v>
          </cell>
          <cell r="H6664">
            <v>1</v>
          </cell>
          <cell r="I6664">
            <v>1</v>
          </cell>
          <cell r="J6664">
            <v>0</v>
          </cell>
          <cell r="K6664">
            <v>0</v>
          </cell>
          <cell r="L6664">
            <v>1</v>
          </cell>
          <cell r="M6664" t="str">
            <v>as need arrise</v>
          </cell>
          <cell r="N6664">
            <v>1</v>
          </cell>
          <cell r="O6664">
            <v>43696</v>
          </cell>
          <cell r="P6664">
            <v>0</v>
          </cell>
          <cell r="Q6664">
            <v>0</v>
          </cell>
          <cell r="R6664">
            <v>1</v>
          </cell>
          <cell r="S6664">
            <v>0</v>
          </cell>
          <cell r="T6664">
            <v>1</v>
          </cell>
          <cell r="U6664" t="str">
            <v>as need arrise</v>
          </cell>
          <cell r="V6664">
            <v>1</v>
          </cell>
          <cell r="W6664">
            <v>11</v>
          </cell>
          <cell r="X6664">
            <v>3</v>
          </cell>
          <cell r="Y6664">
            <v>10</v>
          </cell>
        </row>
        <row r="6665">
          <cell r="D6665">
            <v>305154</v>
          </cell>
          <cell r="E6665" t="str">
            <v>Madaymen National High School</v>
          </cell>
          <cell r="F6665">
            <v>0</v>
          </cell>
          <cell r="G6665">
            <v>0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>
            <v>0</v>
          </cell>
          <cell r="M6665">
            <v>0</v>
          </cell>
          <cell r="N6665">
            <v>0</v>
          </cell>
          <cell r="O6665">
            <v>0</v>
          </cell>
          <cell r="P6665">
            <v>0</v>
          </cell>
          <cell r="Q6665">
            <v>0</v>
          </cell>
          <cell r="R6665">
            <v>0</v>
          </cell>
          <cell r="S6665">
            <v>0</v>
          </cell>
          <cell r="T6665">
            <v>0</v>
          </cell>
          <cell r="U6665">
            <v>0</v>
          </cell>
          <cell r="V6665">
            <v>0</v>
          </cell>
          <cell r="W6665">
            <v>1</v>
          </cell>
          <cell r="X6665">
            <v>0</v>
          </cell>
          <cell r="Y6665">
            <v>0</v>
          </cell>
        </row>
        <row r="6666">
          <cell r="D6666">
            <v>305131</v>
          </cell>
          <cell r="E6666" t="str">
            <v>Bakun National High School</v>
          </cell>
          <cell r="F6666">
            <v>0</v>
          </cell>
          <cell r="G6666">
            <v>0</v>
          </cell>
          <cell r="H6666">
            <v>0</v>
          </cell>
          <cell r="I6666">
            <v>0</v>
          </cell>
          <cell r="J6666">
            <v>1</v>
          </cell>
          <cell r="K6666">
            <v>0</v>
          </cell>
          <cell r="L6666">
            <v>0</v>
          </cell>
          <cell r="M6666">
            <v>0</v>
          </cell>
          <cell r="N6666">
            <v>0</v>
          </cell>
          <cell r="O6666">
            <v>0</v>
          </cell>
          <cell r="P6666" t="str">
            <v>NONE</v>
          </cell>
          <cell r="Q6666">
            <v>1</v>
          </cell>
          <cell r="R6666">
            <v>0</v>
          </cell>
          <cell r="S6666">
            <v>0</v>
          </cell>
          <cell r="T6666">
            <v>1</v>
          </cell>
          <cell r="U6666">
            <v>0</v>
          </cell>
          <cell r="V6666">
            <v>1</v>
          </cell>
          <cell r="W6666">
            <v>15</v>
          </cell>
          <cell r="X6666">
            <v>4</v>
          </cell>
          <cell r="Y6666">
            <v>4</v>
          </cell>
        </row>
        <row r="6667">
          <cell r="D6667">
            <v>305128</v>
          </cell>
          <cell r="E6667" t="str">
            <v>Ampusongan NHS - Main</v>
          </cell>
          <cell r="F6667">
            <v>1</v>
          </cell>
          <cell r="G6667">
            <v>1</v>
          </cell>
          <cell r="H6667">
            <v>1</v>
          </cell>
          <cell r="I6667">
            <v>0</v>
          </cell>
          <cell r="J6667">
            <v>0</v>
          </cell>
          <cell r="K6667">
            <v>0</v>
          </cell>
          <cell r="L6667">
            <v>1</v>
          </cell>
          <cell r="M6667" t="str">
            <v>as the need arise</v>
          </cell>
          <cell r="N6667">
            <v>1</v>
          </cell>
          <cell r="O6667" t="str">
            <v>June 12, 2019</v>
          </cell>
          <cell r="P6667" t="str">
            <v>August 05, 2019</v>
          </cell>
          <cell r="Q6667">
            <v>0</v>
          </cell>
          <cell r="R6667">
            <v>0</v>
          </cell>
          <cell r="S6667">
            <v>0</v>
          </cell>
          <cell r="T6667">
            <v>1</v>
          </cell>
          <cell r="U6667" t="str">
            <v>as the need arises</v>
          </cell>
          <cell r="V6667">
            <v>1</v>
          </cell>
          <cell r="W6667">
            <v>0</v>
          </cell>
          <cell r="X6667">
            <v>0</v>
          </cell>
          <cell r="Y6667">
            <v>0</v>
          </cell>
        </row>
        <row r="6668">
          <cell r="D6668">
            <v>305159</v>
          </cell>
          <cell r="E6668" t="str">
            <v>Fianza Memorial National High School</v>
          </cell>
          <cell r="F6668">
            <v>1</v>
          </cell>
          <cell r="G6668">
            <v>1</v>
          </cell>
          <cell r="H6668">
            <v>0</v>
          </cell>
          <cell r="I6668">
            <v>0</v>
          </cell>
          <cell r="J6668">
            <v>1</v>
          </cell>
          <cell r="K6668">
            <v>0</v>
          </cell>
          <cell r="L6668">
            <v>0</v>
          </cell>
          <cell r="M6668">
            <v>0</v>
          </cell>
          <cell r="N6668">
            <v>1</v>
          </cell>
          <cell r="O6668">
            <v>43678</v>
          </cell>
          <cell r="P6668">
            <v>0</v>
          </cell>
          <cell r="Q6668">
            <v>0</v>
          </cell>
          <cell r="R6668">
            <v>0</v>
          </cell>
          <cell r="S6668">
            <v>0</v>
          </cell>
          <cell r="T6668">
            <v>1</v>
          </cell>
          <cell r="U6668" t="str">
            <v>as needed</v>
          </cell>
          <cell r="V6668">
            <v>1</v>
          </cell>
          <cell r="W6668">
            <v>3</v>
          </cell>
          <cell r="X6668">
            <v>0</v>
          </cell>
          <cell r="Y6668">
            <v>0</v>
          </cell>
        </row>
        <row r="6669">
          <cell r="D6669">
            <v>305148</v>
          </cell>
          <cell r="E6669" t="str">
            <v>Kapangan National High School</v>
          </cell>
          <cell r="F6669">
            <v>1</v>
          </cell>
          <cell r="G6669">
            <v>1</v>
          </cell>
          <cell r="H6669">
            <v>1</v>
          </cell>
          <cell r="I6669">
            <v>0</v>
          </cell>
          <cell r="J6669">
            <v>1</v>
          </cell>
          <cell r="K6669">
            <v>0</v>
          </cell>
          <cell r="L6669">
            <v>0</v>
          </cell>
          <cell r="M6669">
            <v>0</v>
          </cell>
          <cell r="N6669">
            <v>1</v>
          </cell>
          <cell r="O6669">
            <v>43617</v>
          </cell>
          <cell r="P6669">
            <v>0</v>
          </cell>
          <cell r="Q6669">
            <v>1</v>
          </cell>
          <cell r="R6669">
            <v>0</v>
          </cell>
          <cell r="S6669">
            <v>0</v>
          </cell>
          <cell r="T6669">
            <v>0</v>
          </cell>
          <cell r="U6669">
            <v>0</v>
          </cell>
          <cell r="V6669">
            <v>0</v>
          </cell>
          <cell r="W6669">
            <v>0</v>
          </cell>
          <cell r="X6669">
            <v>0</v>
          </cell>
          <cell r="Y6669">
            <v>0</v>
          </cell>
        </row>
        <row r="6670">
          <cell r="D6670">
            <v>305143</v>
          </cell>
          <cell r="E6670" t="str">
            <v>Gov. Bado Dangwa Agro-Industrial School</v>
          </cell>
          <cell r="F6670">
            <v>1</v>
          </cell>
          <cell r="G6670">
            <v>1</v>
          </cell>
          <cell r="H6670">
            <v>1</v>
          </cell>
          <cell r="I6670">
            <v>0</v>
          </cell>
          <cell r="J6670">
            <v>0</v>
          </cell>
          <cell r="K6670">
            <v>0</v>
          </cell>
          <cell r="L6670">
            <v>1</v>
          </cell>
          <cell r="M6670" t="str">
            <v>As the need arises</v>
          </cell>
          <cell r="N6670">
            <v>0</v>
          </cell>
          <cell r="O6670">
            <v>0</v>
          </cell>
          <cell r="P6670">
            <v>0</v>
          </cell>
          <cell r="Q6670">
            <v>0</v>
          </cell>
          <cell r="R6670">
            <v>0</v>
          </cell>
          <cell r="S6670">
            <v>0</v>
          </cell>
          <cell r="T6670">
            <v>1</v>
          </cell>
          <cell r="U6670" t="str">
            <v>Ocassional</v>
          </cell>
          <cell r="V6670">
            <v>1</v>
          </cell>
          <cell r="W6670">
            <v>5</v>
          </cell>
          <cell r="X6670">
            <v>3</v>
          </cell>
          <cell r="Y6670">
            <v>3</v>
          </cell>
        </row>
        <row r="6671">
          <cell r="D6671">
            <v>305142</v>
          </cell>
          <cell r="E6671" t="str">
            <v>Laurencio Fianza NHS - Main</v>
          </cell>
          <cell r="F6671">
            <v>1</v>
          </cell>
          <cell r="G6671">
            <v>0</v>
          </cell>
          <cell r="H6671">
            <v>0</v>
          </cell>
          <cell r="I6671">
            <v>0</v>
          </cell>
          <cell r="J6671">
            <v>1</v>
          </cell>
          <cell r="K6671">
            <v>0</v>
          </cell>
          <cell r="L6671">
            <v>0</v>
          </cell>
          <cell r="M6671">
            <v>0</v>
          </cell>
          <cell r="N6671">
            <v>1</v>
          </cell>
          <cell r="O6671" t="str">
            <v>JULY, 2018</v>
          </cell>
          <cell r="P6671" t="str">
            <v>JANUARY, 2019</v>
          </cell>
          <cell r="Q6671">
            <v>1</v>
          </cell>
          <cell r="R6671">
            <v>0</v>
          </cell>
          <cell r="S6671">
            <v>0</v>
          </cell>
          <cell r="T6671">
            <v>0</v>
          </cell>
          <cell r="U6671">
            <v>0</v>
          </cell>
          <cell r="V6671">
            <v>1</v>
          </cell>
          <cell r="W6671">
            <v>0</v>
          </cell>
          <cell r="X6671">
            <v>0</v>
          </cell>
          <cell r="Y6671">
            <v>0</v>
          </cell>
        </row>
        <row r="6672">
          <cell r="D6672">
            <v>305151</v>
          </cell>
          <cell r="E6672" t="str">
            <v>Lepanto NHS</v>
          </cell>
          <cell r="F6672">
            <v>1</v>
          </cell>
          <cell r="G6672">
            <v>1</v>
          </cell>
          <cell r="H6672">
            <v>1</v>
          </cell>
          <cell r="I6672">
            <v>1</v>
          </cell>
          <cell r="J6672">
            <v>0</v>
          </cell>
          <cell r="K6672">
            <v>0</v>
          </cell>
          <cell r="L6672">
            <v>0</v>
          </cell>
          <cell r="M6672">
            <v>0</v>
          </cell>
          <cell r="N6672">
            <v>1</v>
          </cell>
          <cell r="O6672">
            <v>43685</v>
          </cell>
          <cell r="P6672">
            <v>43685</v>
          </cell>
          <cell r="Q6672">
            <v>1</v>
          </cell>
          <cell r="R6672">
            <v>0</v>
          </cell>
          <cell r="S6672">
            <v>0</v>
          </cell>
          <cell r="T6672">
            <v>0</v>
          </cell>
          <cell r="U6672">
            <v>0</v>
          </cell>
          <cell r="V6672">
            <v>1</v>
          </cell>
          <cell r="W6672">
            <v>0</v>
          </cell>
          <cell r="X6672">
            <v>0</v>
          </cell>
          <cell r="Y6672">
            <v>0</v>
          </cell>
        </row>
        <row r="6673">
          <cell r="D6673">
            <v>305126</v>
          </cell>
          <cell r="E6673" t="str">
            <v>Ampucao National High School</v>
          </cell>
          <cell r="F6673">
            <v>1</v>
          </cell>
          <cell r="G6673">
            <v>1</v>
          </cell>
          <cell r="H6673">
            <v>1</v>
          </cell>
          <cell r="I6673">
            <v>0</v>
          </cell>
          <cell r="J6673">
            <v>1</v>
          </cell>
          <cell r="K6673">
            <v>0</v>
          </cell>
          <cell r="L6673">
            <v>0</v>
          </cell>
          <cell r="M6673">
            <v>0</v>
          </cell>
          <cell r="N6673">
            <v>1</v>
          </cell>
          <cell r="O6673">
            <v>0</v>
          </cell>
          <cell r="P6673">
            <v>0</v>
          </cell>
          <cell r="Q6673">
            <v>1</v>
          </cell>
          <cell r="R6673">
            <v>0</v>
          </cell>
          <cell r="S6673">
            <v>0</v>
          </cell>
          <cell r="T6673">
            <v>0</v>
          </cell>
          <cell r="U6673">
            <v>0</v>
          </cell>
          <cell r="V6673">
            <v>1</v>
          </cell>
          <cell r="W6673">
            <v>0</v>
          </cell>
          <cell r="X6673">
            <v>0</v>
          </cell>
          <cell r="Y6673">
            <v>0</v>
          </cell>
        </row>
        <row r="6674">
          <cell r="D6674">
            <v>305161</v>
          </cell>
          <cell r="E6674" t="str">
            <v>Taloy Sur NHS</v>
          </cell>
          <cell r="F6674">
            <v>0</v>
          </cell>
          <cell r="G6674">
            <v>0</v>
          </cell>
          <cell r="H6674">
            <v>1</v>
          </cell>
          <cell r="I6674">
            <v>0</v>
          </cell>
          <cell r="J6674">
            <v>1</v>
          </cell>
          <cell r="K6674">
            <v>0</v>
          </cell>
          <cell r="L6674">
            <v>0</v>
          </cell>
          <cell r="M6674">
            <v>0</v>
          </cell>
          <cell r="N6674">
            <v>1</v>
          </cell>
          <cell r="O6674" t="str">
            <v>October 18, 2019</v>
          </cell>
          <cell r="P6674" t="str">
            <v>October 28, 2019</v>
          </cell>
          <cell r="Q6674">
            <v>0</v>
          </cell>
          <cell r="R6674">
            <v>1</v>
          </cell>
          <cell r="S6674">
            <v>0</v>
          </cell>
          <cell r="T6674">
            <v>0</v>
          </cell>
          <cell r="U6674">
            <v>0</v>
          </cell>
          <cell r="V6674">
            <v>1</v>
          </cell>
          <cell r="W6674">
            <v>1</v>
          </cell>
          <cell r="X6674">
            <v>3</v>
          </cell>
          <cell r="Y6674">
            <v>1</v>
          </cell>
        </row>
        <row r="6675">
          <cell r="D6675">
            <v>318909</v>
          </cell>
          <cell r="E6675" t="str">
            <v>Eastern La Trinidad NHS</v>
          </cell>
          <cell r="F6675">
            <v>1</v>
          </cell>
          <cell r="G6675">
            <v>0</v>
          </cell>
          <cell r="H6675">
            <v>1</v>
          </cell>
          <cell r="I6675">
            <v>0</v>
          </cell>
          <cell r="J6675">
            <v>1</v>
          </cell>
          <cell r="K6675">
            <v>0</v>
          </cell>
          <cell r="L6675">
            <v>0</v>
          </cell>
          <cell r="M6675">
            <v>0</v>
          </cell>
          <cell r="N6675">
            <v>0</v>
          </cell>
          <cell r="O6675">
            <v>43556</v>
          </cell>
          <cell r="P6675">
            <v>43678</v>
          </cell>
          <cell r="Q6675">
            <v>1</v>
          </cell>
          <cell r="R6675">
            <v>0</v>
          </cell>
          <cell r="S6675">
            <v>0</v>
          </cell>
          <cell r="T6675">
            <v>0</v>
          </cell>
          <cell r="U6675">
            <v>0</v>
          </cell>
          <cell r="V6675">
            <v>1</v>
          </cell>
          <cell r="W6675">
            <v>0</v>
          </cell>
          <cell r="X6675">
            <v>0</v>
          </cell>
          <cell r="Y6675">
            <v>0</v>
          </cell>
        </row>
        <row r="6676">
          <cell r="D6676">
            <v>305132</v>
          </cell>
          <cell r="E6676" t="str">
            <v>Bedbed NHS</v>
          </cell>
          <cell r="F6676">
            <v>0</v>
          </cell>
          <cell r="G6676">
            <v>0</v>
          </cell>
          <cell r="H6676">
            <v>1</v>
          </cell>
          <cell r="I6676">
            <v>0</v>
          </cell>
          <cell r="J6676">
            <v>0</v>
          </cell>
          <cell r="K6676">
            <v>1</v>
          </cell>
          <cell r="L6676">
            <v>1</v>
          </cell>
          <cell r="M6676" t="str">
            <v>No smokers</v>
          </cell>
          <cell r="N6676">
            <v>0</v>
          </cell>
          <cell r="O6676">
            <v>0</v>
          </cell>
          <cell r="P6676">
            <v>0</v>
          </cell>
          <cell r="Q6676">
            <v>0</v>
          </cell>
          <cell r="R6676">
            <v>0</v>
          </cell>
          <cell r="S6676">
            <v>0</v>
          </cell>
          <cell r="T6676">
            <v>0</v>
          </cell>
          <cell r="U6676">
            <v>0</v>
          </cell>
          <cell r="V6676">
            <v>0</v>
          </cell>
          <cell r="W6676">
            <v>0</v>
          </cell>
          <cell r="X6676">
            <v>0</v>
          </cell>
          <cell r="Y6676">
            <v>0</v>
          </cell>
        </row>
        <row r="6677">
          <cell r="D6677">
            <v>305138</v>
          </cell>
          <cell r="E6677" t="str">
            <v>Loo National High School</v>
          </cell>
          <cell r="F6677">
            <v>1</v>
          </cell>
          <cell r="G6677">
            <v>1</v>
          </cell>
          <cell r="H6677">
            <v>1</v>
          </cell>
          <cell r="I6677">
            <v>0</v>
          </cell>
          <cell r="J6677">
            <v>0</v>
          </cell>
          <cell r="K6677">
            <v>0</v>
          </cell>
          <cell r="L6677">
            <v>1</v>
          </cell>
          <cell r="M6677" t="str">
            <v>as need arises</v>
          </cell>
          <cell r="N6677">
            <v>0</v>
          </cell>
          <cell r="O6677">
            <v>0</v>
          </cell>
          <cell r="P6677">
            <v>0</v>
          </cell>
          <cell r="Q6677">
            <v>0</v>
          </cell>
          <cell r="R6677">
            <v>0</v>
          </cell>
          <cell r="S6677">
            <v>0</v>
          </cell>
          <cell r="T6677">
            <v>1</v>
          </cell>
          <cell r="U6677" t="str">
            <v>as the need arises</v>
          </cell>
          <cell r="V6677">
            <v>1</v>
          </cell>
          <cell r="W6677">
            <v>6</v>
          </cell>
          <cell r="X6677">
            <v>0</v>
          </cell>
          <cell r="Y6677">
            <v>0</v>
          </cell>
        </row>
        <row r="6678">
          <cell r="D6678">
            <v>305153</v>
          </cell>
          <cell r="E6678" t="str">
            <v>Tabio NHS</v>
          </cell>
          <cell r="F6678">
            <v>1</v>
          </cell>
          <cell r="G6678">
            <v>1</v>
          </cell>
          <cell r="H6678">
            <v>1</v>
          </cell>
          <cell r="I6678">
            <v>0</v>
          </cell>
          <cell r="J6678">
            <v>1</v>
          </cell>
          <cell r="K6678">
            <v>0</v>
          </cell>
          <cell r="L6678">
            <v>0</v>
          </cell>
          <cell r="M6678">
            <v>0</v>
          </cell>
          <cell r="N6678">
            <v>1</v>
          </cell>
          <cell r="O6678">
            <v>0</v>
          </cell>
          <cell r="P6678">
            <v>0</v>
          </cell>
          <cell r="Q6678">
            <v>0</v>
          </cell>
          <cell r="R6678">
            <v>1</v>
          </cell>
          <cell r="S6678">
            <v>0</v>
          </cell>
          <cell r="T6678">
            <v>0</v>
          </cell>
          <cell r="U6678">
            <v>0</v>
          </cell>
          <cell r="V6678">
            <v>1</v>
          </cell>
          <cell r="W6678">
            <v>0</v>
          </cell>
          <cell r="X6678">
            <v>0</v>
          </cell>
          <cell r="Y6678">
            <v>0</v>
          </cell>
        </row>
        <row r="6679">
          <cell r="D6679">
            <v>305162</v>
          </cell>
          <cell r="E6679" t="str">
            <v>Tublay School of Home Industries-Main</v>
          </cell>
          <cell r="F6679">
            <v>0</v>
          </cell>
          <cell r="G6679">
            <v>0</v>
          </cell>
          <cell r="H6679">
            <v>1</v>
          </cell>
          <cell r="I6679">
            <v>0</v>
          </cell>
          <cell r="J6679">
            <v>0</v>
          </cell>
          <cell r="K6679">
            <v>0</v>
          </cell>
          <cell r="L6679">
            <v>1</v>
          </cell>
          <cell r="M6679" t="str">
            <v>When need</v>
          </cell>
          <cell r="N6679">
            <v>0</v>
          </cell>
          <cell r="O6679">
            <v>0</v>
          </cell>
          <cell r="P6679">
            <v>0</v>
          </cell>
          <cell r="Q6679">
            <v>0</v>
          </cell>
          <cell r="R6679">
            <v>0</v>
          </cell>
          <cell r="S6679">
            <v>1</v>
          </cell>
          <cell r="T6679">
            <v>0</v>
          </cell>
          <cell r="U6679">
            <v>0</v>
          </cell>
          <cell r="V6679">
            <v>0</v>
          </cell>
          <cell r="W6679">
            <v>0</v>
          </cell>
          <cell r="X6679">
            <v>0</v>
          </cell>
          <cell r="Y6679">
            <v>0</v>
          </cell>
        </row>
        <row r="6680">
          <cell r="D6680">
            <v>318911</v>
          </cell>
          <cell r="E6680" t="str">
            <v>Bakun NHS Extension-Sinacbat</v>
          </cell>
          <cell r="F6680">
            <v>1</v>
          </cell>
          <cell r="G6680">
            <v>0</v>
          </cell>
          <cell r="H6680">
            <v>1</v>
          </cell>
          <cell r="I6680">
            <v>0</v>
          </cell>
          <cell r="J6680">
            <v>1</v>
          </cell>
          <cell r="K6680">
            <v>0</v>
          </cell>
          <cell r="L6680">
            <v>0</v>
          </cell>
          <cell r="M6680">
            <v>0</v>
          </cell>
          <cell r="N6680">
            <v>1</v>
          </cell>
          <cell r="O6680" t="str">
            <v>September, 2019</v>
          </cell>
          <cell r="P6680" t="str">
            <v>June 4,2019</v>
          </cell>
          <cell r="Q6680">
            <v>0</v>
          </cell>
          <cell r="R6680">
            <v>1</v>
          </cell>
          <cell r="S6680">
            <v>0</v>
          </cell>
          <cell r="T6680">
            <v>0</v>
          </cell>
          <cell r="U6680">
            <v>0</v>
          </cell>
          <cell r="V6680">
            <v>1</v>
          </cell>
          <cell r="W6680">
            <v>0</v>
          </cell>
          <cell r="X6680">
            <v>0</v>
          </cell>
          <cell r="Y6680">
            <v>0</v>
          </cell>
        </row>
        <row r="6681">
          <cell r="D6681">
            <v>305157</v>
          </cell>
          <cell r="E6681" t="str">
            <v>Sablan NHS</v>
          </cell>
          <cell r="F6681">
            <v>1</v>
          </cell>
          <cell r="G6681">
            <v>1</v>
          </cell>
          <cell r="H6681">
            <v>1</v>
          </cell>
          <cell r="I6681">
            <v>0</v>
          </cell>
          <cell r="J6681">
            <v>1</v>
          </cell>
          <cell r="K6681">
            <v>0</v>
          </cell>
          <cell r="L6681">
            <v>0</v>
          </cell>
          <cell r="M6681">
            <v>0</v>
          </cell>
          <cell r="N6681">
            <v>1</v>
          </cell>
          <cell r="O6681">
            <v>0</v>
          </cell>
          <cell r="P6681">
            <v>0</v>
          </cell>
          <cell r="Q6681">
            <v>0</v>
          </cell>
          <cell r="R6681">
            <v>1</v>
          </cell>
          <cell r="S6681">
            <v>0</v>
          </cell>
          <cell r="T6681">
            <v>0</v>
          </cell>
          <cell r="U6681">
            <v>0</v>
          </cell>
          <cell r="V6681">
            <v>1</v>
          </cell>
          <cell r="W6681">
            <v>0</v>
          </cell>
          <cell r="X6681">
            <v>0</v>
          </cell>
          <cell r="Y6681">
            <v>0</v>
          </cell>
        </row>
        <row r="6682">
          <cell r="D6682">
            <v>305155</v>
          </cell>
          <cell r="E6682" t="str">
            <v>Mankayan National High School</v>
          </cell>
          <cell r="F6682">
            <v>1</v>
          </cell>
          <cell r="G6682">
            <v>0</v>
          </cell>
          <cell r="H6682">
            <v>1</v>
          </cell>
          <cell r="I6682">
            <v>0</v>
          </cell>
          <cell r="J6682">
            <v>0</v>
          </cell>
          <cell r="K6682">
            <v>0</v>
          </cell>
          <cell r="L6682">
            <v>0</v>
          </cell>
          <cell r="M6682">
            <v>0</v>
          </cell>
          <cell r="N6682">
            <v>1</v>
          </cell>
          <cell r="O6682" t="str">
            <v>06/30/2019</v>
          </cell>
          <cell r="P6682">
            <v>0</v>
          </cell>
          <cell r="Q6682">
            <v>0</v>
          </cell>
          <cell r="R6682">
            <v>0</v>
          </cell>
          <cell r="S6682">
            <v>0</v>
          </cell>
          <cell r="T6682">
            <v>0</v>
          </cell>
          <cell r="U6682">
            <v>0</v>
          </cell>
          <cell r="V6682">
            <v>0</v>
          </cell>
          <cell r="W6682">
            <v>0</v>
          </cell>
          <cell r="X6682">
            <v>0</v>
          </cell>
          <cell r="Y6682">
            <v>0</v>
          </cell>
        </row>
        <row r="6683">
          <cell r="D6683">
            <v>305137</v>
          </cell>
          <cell r="E6683" t="str">
            <v>Catlubong National High School</v>
          </cell>
          <cell r="F6683">
            <v>1</v>
          </cell>
          <cell r="G6683">
            <v>1</v>
          </cell>
          <cell r="H6683">
            <v>1</v>
          </cell>
          <cell r="I6683">
            <v>0</v>
          </cell>
          <cell r="J6683">
            <v>1</v>
          </cell>
          <cell r="K6683">
            <v>0</v>
          </cell>
          <cell r="L6683">
            <v>0</v>
          </cell>
          <cell r="M6683">
            <v>0</v>
          </cell>
          <cell r="N6683">
            <v>1</v>
          </cell>
          <cell r="O6683">
            <v>0</v>
          </cell>
          <cell r="P6683">
            <v>0</v>
          </cell>
          <cell r="Q6683">
            <v>0</v>
          </cell>
          <cell r="R6683">
            <v>0</v>
          </cell>
          <cell r="S6683">
            <v>0</v>
          </cell>
          <cell r="T6683">
            <v>0</v>
          </cell>
          <cell r="U6683">
            <v>0</v>
          </cell>
          <cell r="V6683">
            <v>1</v>
          </cell>
          <cell r="W6683">
            <v>0</v>
          </cell>
          <cell r="X6683">
            <v>0</v>
          </cell>
          <cell r="Y6683">
            <v>0</v>
          </cell>
        </row>
        <row r="6684">
          <cell r="D6684">
            <v>318913</v>
          </cell>
          <cell r="E6684" t="str">
            <v>Ampusongan National High School Annex-Kayapa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>
            <v>0</v>
          </cell>
          <cell r="V6684">
            <v>0</v>
          </cell>
          <cell r="W6684">
            <v>0</v>
          </cell>
          <cell r="X6684">
            <v>0</v>
          </cell>
          <cell r="Y6684">
            <v>0</v>
          </cell>
        </row>
        <row r="6685">
          <cell r="D6685">
            <v>318905</v>
          </cell>
          <cell r="E6685" t="str">
            <v>La Trinidad NHS</v>
          </cell>
          <cell r="F6685">
            <v>1</v>
          </cell>
          <cell r="G6685">
            <v>0</v>
          </cell>
          <cell r="H6685">
            <v>1</v>
          </cell>
          <cell r="I6685">
            <v>0</v>
          </cell>
          <cell r="J6685">
            <v>0</v>
          </cell>
          <cell r="K6685">
            <v>0</v>
          </cell>
          <cell r="L6685">
            <v>1</v>
          </cell>
          <cell r="M6685" t="str">
            <v>AS NECESSARY</v>
          </cell>
          <cell r="N6685">
            <v>1</v>
          </cell>
          <cell r="O6685">
            <v>0</v>
          </cell>
          <cell r="P6685">
            <v>0</v>
          </cell>
          <cell r="Q6685">
            <v>0</v>
          </cell>
          <cell r="R6685">
            <v>0</v>
          </cell>
          <cell r="S6685">
            <v>0</v>
          </cell>
          <cell r="T6685">
            <v>1</v>
          </cell>
          <cell r="U6685" t="str">
            <v>AS NECESSARY</v>
          </cell>
          <cell r="V6685">
            <v>1</v>
          </cell>
          <cell r="W6685">
            <v>0</v>
          </cell>
          <cell r="X6685">
            <v>0</v>
          </cell>
          <cell r="Y6685">
            <v>0</v>
          </cell>
        </row>
        <row r="6686">
          <cell r="D6686">
            <v>305141</v>
          </cell>
          <cell r="E6686" t="str">
            <v>Evelio Javier Memorial NHS - Main</v>
          </cell>
          <cell r="F6686">
            <v>1</v>
          </cell>
          <cell r="G6686">
            <v>0</v>
          </cell>
          <cell r="H6686">
            <v>1</v>
          </cell>
          <cell r="I6686">
            <v>0</v>
          </cell>
          <cell r="J6686">
            <v>1</v>
          </cell>
          <cell r="K6686">
            <v>0</v>
          </cell>
          <cell r="L6686">
            <v>0</v>
          </cell>
          <cell r="M6686">
            <v>0</v>
          </cell>
          <cell r="N6686">
            <v>1</v>
          </cell>
          <cell r="O6686" t="str">
            <v>06/17/2019</v>
          </cell>
          <cell r="P6686">
            <v>0</v>
          </cell>
          <cell r="Q6686">
            <v>0</v>
          </cell>
          <cell r="R6686">
            <v>1</v>
          </cell>
          <cell r="S6686">
            <v>0</v>
          </cell>
          <cell r="T6686">
            <v>0</v>
          </cell>
          <cell r="U6686">
            <v>0</v>
          </cell>
          <cell r="V6686">
            <v>1</v>
          </cell>
          <cell r="W6686">
            <v>0</v>
          </cell>
          <cell r="X6686">
            <v>0</v>
          </cell>
          <cell r="Y6686">
            <v>0</v>
          </cell>
        </row>
        <row r="6687">
          <cell r="D6687">
            <v>305134</v>
          </cell>
          <cell r="E6687" t="str">
            <v>Binga National High School</v>
          </cell>
          <cell r="F6687">
            <v>1</v>
          </cell>
          <cell r="G6687">
            <v>0</v>
          </cell>
          <cell r="H6687">
            <v>1</v>
          </cell>
          <cell r="I6687">
            <v>0</v>
          </cell>
          <cell r="J6687">
            <v>0</v>
          </cell>
          <cell r="K6687">
            <v>0</v>
          </cell>
          <cell r="L6687">
            <v>1</v>
          </cell>
          <cell r="M6687" t="str">
            <v>integrated to related subjects</v>
          </cell>
          <cell r="N6687">
            <v>0</v>
          </cell>
          <cell r="O6687">
            <v>0</v>
          </cell>
          <cell r="P6687">
            <v>0</v>
          </cell>
          <cell r="Q6687">
            <v>0</v>
          </cell>
          <cell r="R6687">
            <v>0</v>
          </cell>
          <cell r="S6687">
            <v>0</v>
          </cell>
          <cell r="T6687">
            <v>0</v>
          </cell>
          <cell r="U6687">
            <v>0</v>
          </cell>
          <cell r="V6687">
            <v>1</v>
          </cell>
          <cell r="W6687">
            <v>2</v>
          </cell>
          <cell r="X6687">
            <v>2</v>
          </cell>
          <cell r="Y6687">
            <v>1</v>
          </cell>
        </row>
        <row r="6688">
          <cell r="D6688">
            <v>305147</v>
          </cell>
          <cell r="E6688" t="str">
            <v>Kapangan Central National High School (RA8839)</v>
          </cell>
          <cell r="F6688">
            <v>1</v>
          </cell>
          <cell r="G6688">
            <v>1</v>
          </cell>
          <cell r="H6688">
            <v>1</v>
          </cell>
          <cell r="I6688">
            <v>0</v>
          </cell>
          <cell r="J6688">
            <v>0</v>
          </cell>
          <cell r="K6688">
            <v>0</v>
          </cell>
          <cell r="L6688">
            <v>0</v>
          </cell>
          <cell r="M6688">
            <v>0</v>
          </cell>
          <cell r="N6688">
            <v>1</v>
          </cell>
          <cell r="O6688">
            <v>0</v>
          </cell>
          <cell r="P6688">
            <v>0</v>
          </cell>
          <cell r="Q6688">
            <v>0</v>
          </cell>
          <cell r="R6688">
            <v>0</v>
          </cell>
          <cell r="S6688">
            <v>0</v>
          </cell>
          <cell r="T6688">
            <v>0</v>
          </cell>
          <cell r="U6688">
            <v>0</v>
          </cell>
          <cell r="V6688">
            <v>0</v>
          </cell>
          <cell r="W6688">
            <v>0</v>
          </cell>
          <cell r="X6688">
            <v>0</v>
          </cell>
          <cell r="Y6688">
            <v>0</v>
          </cell>
        </row>
        <row r="6689">
          <cell r="D6689">
            <v>318901</v>
          </cell>
          <cell r="E6689" t="str">
            <v>Daklan National High School</v>
          </cell>
          <cell r="F6689">
            <v>1</v>
          </cell>
          <cell r="G6689">
            <v>1</v>
          </cell>
          <cell r="H6689">
            <v>1</v>
          </cell>
          <cell r="I6689">
            <v>1</v>
          </cell>
          <cell r="J6689">
            <v>0</v>
          </cell>
          <cell r="K6689">
            <v>0</v>
          </cell>
          <cell r="L6689">
            <v>0</v>
          </cell>
          <cell r="M6689">
            <v>0</v>
          </cell>
          <cell r="N6689">
            <v>1</v>
          </cell>
          <cell r="O6689">
            <v>43647</v>
          </cell>
          <cell r="P6689">
            <v>0</v>
          </cell>
          <cell r="Q6689">
            <v>0</v>
          </cell>
          <cell r="R6689">
            <v>1</v>
          </cell>
          <cell r="S6689">
            <v>0</v>
          </cell>
          <cell r="T6689">
            <v>0</v>
          </cell>
          <cell r="U6689">
            <v>0</v>
          </cell>
          <cell r="V6689">
            <v>1</v>
          </cell>
          <cell r="W6689">
            <v>0</v>
          </cell>
          <cell r="X6689">
            <v>0</v>
          </cell>
          <cell r="Y6689">
            <v>0</v>
          </cell>
        </row>
        <row r="6690">
          <cell r="D6690">
            <v>305125</v>
          </cell>
          <cell r="E6690" t="str">
            <v>Alejo M. Pacalso Memorial National High School</v>
          </cell>
          <cell r="F6690">
            <v>0</v>
          </cell>
          <cell r="G6690">
            <v>0</v>
          </cell>
          <cell r="H6690">
            <v>1</v>
          </cell>
          <cell r="I6690">
            <v>0</v>
          </cell>
          <cell r="J6690">
            <v>0</v>
          </cell>
          <cell r="K6690">
            <v>0</v>
          </cell>
          <cell r="L6690">
            <v>1</v>
          </cell>
          <cell r="M6690" t="str">
            <v>weekly</v>
          </cell>
          <cell r="N6690">
            <v>1</v>
          </cell>
          <cell r="O6690">
            <v>43617</v>
          </cell>
          <cell r="P6690">
            <v>43678</v>
          </cell>
          <cell r="Q6690">
            <v>0</v>
          </cell>
          <cell r="R6690">
            <v>0</v>
          </cell>
          <cell r="S6690">
            <v>0</v>
          </cell>
          <cell r="T6690">
            <v>1</v>
          </cell>
          <cell r="U6690" t="str">
            <v>regularly</v>
          </cell>
          <cell r="V6690">
            <v>1</v>
          </cell>
          <cell r="W6690">
            <v>1</v>
          </cell>
          <cell r="X6690">
            <v>0</v>
          </cell>
          <cell r="Y6690">
            <v>0</v>
          </cell>
        </row>
        <row r="6691">
          <cell r="D6691">
            <v>305149</v>
          </cell>
          <cell r="E6691" t="str">
            <v>Kibungan NHS</v>
          </cell>
          <cell r="F6691">
            <v>1</v>
          </cell>
          <cell r="G6691">
            <v>0</v>
          </cell>
          <cell r="H6691">
            <v>1</v>
          </cell>
          <cell r="I6691">
            <v>0</v>
          </cell>
          <cell r="J6691">
            <v>0</v>
          </cell>
          <cell r="K6691">
            <v>0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>
            <v>0</v>
          </cell>
          <cell r="V6691">
            <v>0</v>
          </cell>
          <cell r="W6691">
            <v>0</v>
          </cell>
          <cell r="X6691">
            <v>0</v>
          </cell>
          <cell r="Y6691">
            <v>0</v>
          </cell>
        </row>
        <row r="6692">
          <cell r="D6692">
            <v>305130</v>
          </cell>
          <cell r="E6692" t="str">
            <v>Camp 30 National High School</v>
          </cell>
          <cell r="F6692">
            <v>0</v>
          </cell>
          <cell r="G6692">
            <v>0</v>
          </cell>
          <cell r="H6692">
            <v>1</v>
          </cell>
          <cell r="I6692">
            <v>0</v>
          </cell>
          <cell r="J6692">
            <v>1</v>
          </cell>
          <cell r="K6692">
            <v>0</v>
          </cell>
          <cell r="L6692">
            <v>0</v>
          </cell>
          <cell r="M6692">
            <v>0</v>
          </cell>
          <cell r="N6692">
            <v>0</v>
          </cell>
          <cell r="O6692">
            <v>0</v>
          </cell>
          <cell r="P6692">
            <v>0</v>
          </cell>
          <cell r="Q6692">
            <v>0</v>
          </cell>
          <cell r="R6692">
            <v>0</v>
          </cell>
          <cell r="S6692">
            <v>0</v>
          </cell>
          <cell r="T6692">
            <v>1</v>
          </cell>
          <cell r="U6692" t="str">
            <v>As need arises</v>
          </cell>
          <cell r="V6692">
            <v>1</v>
          </cell>
          <cell r="W6692">
            <v>0</v>
          </cell>
          <cell r="X6692">
            <v>0</v>
          </cell>
          <cell r="Y6692">
            <v>0</v>
          </cell>
        </row>
        <row r="6693">
          <cell r="D6693">
            <v>305144</v>
          </cell>
          <cell r="E6693" t="str">
            <v>Guinaoang National High School</v>
          </cell>
          <cell r="F6693">
            <v>1</v>
          </cell>
          <cell r="G6693">
            <v>1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1</v>
          </cell>
          <cell r="M6693" t="str">
            <v>As need Arises</v>
          </cell>
          <cell r="N6693">
            <v>1</v>
          </cell>
          <cell r="O6693">
            <v>0</v>
          </cell>
          <cell r="P6693" t="str">
            <v>7/27/2019 &amp;8/31/2019</v>
          </cell>
          <cell r="Q6693">
            <v>1</v>
          </cell>
          <cell r="R6693">
            <v>0</v>
          </cell>
          <cell r="S6693">
            <v>0</v>
          </cell>
          <cell r="T6693">
            <v>0</v>
          </cell>
          <cell r="U6693">
            <v>0</v>
          </cell>
          <cell r="V6693">
            <v>1</v>
          </cell>
          <cell r="W6693">
            <v>3</v>
          </cell>
          <cell r="X6693">
            <v>3</v>
          </cell>
          <cell r="Y6693">
            <v>0</v>
          </cell>
        </row>
        <row r="6694">
          <cell r="D6694">
            <v>318908</v>
          </cell>
          <cell r="E6694" t="str">
            <v>Gov. Bado Dangwa Agro-Industrial School-Extension (Taba-ao)</v>
          </cell>
          <cell r="F6694">
            <v>0</v>
          </cell>
          <cell r="G6694">
            <v>0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>
            <v>0</v>
          </cell>
          <cell r="M6694">
            <v>0</v>
          </cell>
          <cell r="N6694">
            <v>0</v>
          </cell>
          <cell r="O6694">
            <v>0</v>
          </cell>
          <cell r="P6694">
            <v>0</v>
          </cell>
          <cell r="Q6694">
            <v>0</v>
          </cell>
          <cell r="R6694">
            <v>0</v>
          </cell>
          <cell r="S6694">
            <v>0</v>
          </cell>
          <cell r="T6694">
            <v>0</v>
          </cell>
          <cell r="U6694">
            <v>0</v>
          </cell>
          <cell r="V6694">
            <v>0</v>
          </cell>
          <cell r="W6694">
            <v>0</v>
          </cell>
          <cell r="X6694">
            <v>0</v>
          </cell>
          <cell r="Y6694">
            <v>0</v>
          </cell>
        </row>
        <row r="6695">
          <cell r="D6695">
            <v>318917</v>
          </cell>
          <cell r="E6695" t="str">
            <v>Balili NHS Annex-Cabacab</v>
          </cell>
          <cell r="F6695">
            <v>1</v>
          </cell>
          <cell r="G6695">
            <v>1</v>
          </cell>
          <cell r="H6695">
            <v>1</v>
          </cell>
          <cell r="I6695">
            <v>0</v>
          </cell>
          <cell r="J6695">
            <v>0</v>
          </cell>
          <cell r="K6695">
            <v>0</v>
          </cell>
          <cell r="L6695">
            <v>1</v>
          </cell>
          <cell r="M6695" t="str">
            <v>as the need arise</v>
          </cell>
          <cell r="N6695">
            <v>1</v>
          </cell>
          <cell r="O6695">
            <v>43628</v>
          </cell>
          <cell r="P6695">
            <v>0</v>
          </cell>
          <cell r="Q6695">
            <v>0</v>
          </cell>
          <cell r="R6695">
            <v>0</v>
          </cell>
          <cell r="S6695">
            <v>0</v>
          </cell>
          <cell r="T6695">
            <v>1</v>
          </cell>
          <cell r="U6695" t="str">
            <v>as the need arise</v>
          </cell>
          <cell r="V6695">
            <v>1</v>
          </cell>
          <cell r="W6695">
            <v>0</v>
          </cell>
          <cell r="X6695">
            <v>0</v>
          </cell>
          <cell r="Y6695">
            <v>0</v>
          </cell>
        </row>
        <row r="6696">
          <cell r="D6696">
            <v>305139</v>
          </cell>
          <cell r="E6696" t="str">
            <v>Cabiten NHS (RA9087)</v>
          </cell>
          <cell r="F6696">
            <v>1</v>
          </cell>
          <cell r="G6696">
            <v>1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>
            <v>0</v>
          </cell>
          <cell r="M6696">
            <v>0</v>
          </cell>
          <cell r="N6696">
            <v>1</v>
          </cell>
          <cell r="O6696">
            <v>0</v>
          </cell>
          <cell r="P6696">
            <v>0</v>
          </cell>
          <cell r="Q6696">
            <v>0</v>
          </cell>
          <cell r="R6696">
            <v>1</v>
          </cell>
          <cell r="S6696">
            <v>0</v>
          </cell>
          <cell r="T6696">
            <v>0</v>
          </cell>
          <cell r="U6696">
            <v>0</v>
          </cell>
          <cell r="V6696">
            <v>0</v>
          </cell>
          <cell r="W6696">
            <v>1</v>
          </cell>
          <cell r="X6696">
            <v>0</v>
          </cell>
          <cell r="Y6696">
            <v>0</v>
          </cell>
        </row>
        <row r="6697">
          <cell r="D6697">
            <v>305140</v>
          </cell>
          <cell r="E6697" t="str">
            <v>Cordillera Regional Science High School</v>
          </cell>
          <cell r="F6697">
            <v>1</v>
          </cell>
          <cell r="G6697">
            <v>1</v>
          </cell>
          <cell r="H6697">
            <v>1</v>
          </cell>
          <cell r="I6697">
            <v>0</v>
          </cell>
          <cell r="J6697">
            <v>0</v>
          </cell>
          <cell r="K6697">
            <v>0</v>
          </cell>
          <cell r="L6697">
            <v>1</v>
          </cell>
          <cell r="M6697" t="str">
            <v>as needed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>
            <v>0</v>
          </cell>
          <cell r="V6697">
            <v>0</v>
          </cell>
          <cell r="W6697">
            <v>0</v>
          </cell>
          <cell r="X6697">
            <v>0</v>
          </cell>
          <cell r="Y6697">
            <v>0</v>
          </cell>
        </row>
        <row r="6698">
          <cell r="D6698">
            <v>305156</v>
          </cell>
          <cell r="E6698" t="str">
            <v>Bulalacao NHS</v>
          </cell>
          <cell r="F6698">
            <v>0</v>
          </cell>
          <cell r="G6698">
            <v>0</v>
          </cell>
          <cell r="H6698">
            <v>1</v>
          </cell>
          <cell r="I6698">
            <v>0</v>
          </cell>
          <cell r="J6698">
            <v>0</v>
          </cell>
          <cell r="K6698">
            <v>0</v>
          </cell>
          <cell r="L6698">
            <v>0</v>
          </cell>
          <cell r="M6698" t="str">
            <v>AS NEEDED</v>
          </cell>
          <cell r="N6698">
            <v>1</v>
          </cell>
          <cell r="O6698">
            <v>43700</v>
          </cell>
          <cell r="P6698">
            <v>43700</v>
          </cell>
          <cell r="Q6698">
            <v>0</v>
          </cell>
          <cell r="R6698">
            <v>1</v>
          </cell>
          <cell r="S6698">
            <v>0</v>
          </cell>
          <cell r="T6698">
            <v>0</v>
          </cell>
          <cell r="U6698">
            <v>0</v>
          </cell>
          <cell r="V6698">
            <v>1</v>
          </cell>
          <cell r="W6698">
            <v>1</v>
          </cell>
          <cell r="X6698">
            <v>1</v>
          </cell>
          <cell r="Y6698">
            <v>0</v>
          </cell>
        </row>
        <row r="6699">
          <cell r="D6699">
            <v>305163</v>
          </cell>
          <cell r="E6699" t="str">
            <v>Tublay School of Home Industries - Annex (Ambuklao)</v>
          </cell>
          <cell r="F6699">
            <v>1</v>
          </cell>
          <cell r="G6699">
            <v>1</v>
          </cell>
          <cell r="H6699">
            <v>1</v>
          </cell>
          <cell r="I6699">
            <v>0</v>
          </cell>
          <cell r="J6699">
            <v>1</v>
          </cell>
          <cell r="K6699">
            <v>0</v>
          </cell>
          <cell r="L6699">
            <v>0</v>
          </cell>
          <cell r="M6699">
            <v>0</v>
          </cell>
          <cell r="N6699">
            <v>0</v>
          </cell>
          <cell r="O6699">
            <v>0</v>
          </cell>
          <cell r="P6699">
            <v>0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>
            <v>0</v>
          </cell>
          <cell r="V6699">
            <v>0</v>
          </cell>
          <cell r="W6699">
            <v>0</v>
          </cell>
          <cell r="X6699">
            <v>0</v>
          </cell>
          <cell r="Y6699">
            <v>0</v>
          </cell>
        </row>
        <row r="6700">
          <cell r="D6700">
            <v>318902</v>
          </cell>
          <cell r="E6700" t="str">
            <v>Bangao NHS</v>
          </cell>
          <cell r="F6700">
            <v>1</v>
          </cell>
          <cell r="G6700">
            <v>1</v>
          </cell>
          <cell r="H6700">
            <v>1</v>
          </cell>
          <cell r="I6700">
            <v>0</v>
          </cell>
          <cell r="J6700">
            <v>1</v>
          </cell>
          <cell r="K6700">
            <v>0</v>
          </cell>
          <cell r="L6700">
            <v>0</v>
          </cell>
          <cell r="M6700">
            <v>0</v>
          </cell>
          <cell r="N6700">
            <v>1</v>
          </cell>
          <cell r="O6700" t="str">
            <v>Sept. 6, 2019</v>
          </cell>
          <cell r="P6700">
            <v>0</v>
          </cell>
          <cell r="Q6700">
            <v>0</v>
          </cell>
          <cell r="R6700">
            <v>1</v>
          </cell>
          <cell r="S6700">
            <v>0</v>
          </cell>
          <cell r="T6700">
            <v>0</v>
          </cell>
          <cell r="U6700">
            <v>0</v>
          </cell>
          <cell r="V6700">
            <v>1</v>
          </cell>
          <cell r="W6700">
            <v>4</v>
          </cell>
          <cell r="X6700">
            <v>4</v>
          </cell>
          <cell r="Y6700">
            <v>4</v>
          </cell>
        </row>
        <row r="6701">
          <cell r="D6701">
            <v>305135</v>
          </cell>
          <cell r="E6701" t="str">
            <v>Bokod NHS-Main</v>
          </cell>
          <cell r="F6701">
            <v>1</v>
          </cell>
          <cell r="G6701">
            <v>1</v>
          </cell>
          <cell r="H6701">
            <v>1</v>
          </cell>
          <cell r="I6701">
            <v>0</v>
          </cell>
          <cell r="J6701">
            <v>0</v>
          </cell>
          <cell r="K6701">
            <v>1</v>
          </cell>
          <cell r="L6701">
            <v>0</v>
          </cell>
          <cell r="M6701">
            <v>0</v>
          </cell>
          <cell r="N6701">
            <v>1</v>
          </cell>
          <cell r="O6701">
            <v>43344</v>
          </cell>
          <cell r="P6701" t="str">
            <v>December 1, 2018</v>
          </cell>
          <cell r="Q6701">
            <v>0</v>
          </cell>
          <cell r="R6701">
            <v>1</v>
          </cell>
          <cell r="S6701">
            <v>0</v>
          </cell>
          <cell r="T6701">
            <v>0</v>
          </cell>
          <cell r="U6701">
            <v>0</v>
          </cell>
          <cell r="V6701">
            <v>1</v>
          </cell>
          <cell r="W6701">
            <v>1</v>
          </cell>
          <cell r="X6701">
            <v>1</v>
          </cell>
          <cell r="Y6701">
            <v>1</v>
          </cell>
        </row>
        <row r="6702">
          <cell r="D6702">
            <v>305165</v>
          </cell>
          <cell r="E6702" t="str">
            <v>Twin Peaks National High School</v>
          </cell>
          <cell r="F6702">
            <v>0</v>
          </cell>
          <cell r="G6702">
            <v>0</v>
          </cell>
          <cell r="H6702">
            <v>1</v>
          </cell>
          <cell r="I6702">
            <v>0</v>
          </cell>
          <cell r="J6702">
            <v>0</v>
          </cell>
          <cell r="K6702">
            <v>1</v>
          </cell>
          <cell r="L6702">
            <v>0</v>
          </cell>
          <cell r="M6702">
            <v>0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>
            <v>0</v>
          </cell>
          <cell r="V6702">
            <v>0</v>
          </cell>
          <cell r="W6702">
            <v>0</v>
          </cell>
          <cell r="X6702">
            <v>0</v>
          </cell>
          <cell r="Y6702">
            <v>0</v>
          </cell>
        </row>
        <row r="6703">
          <cell r="D6703">
            <v>318910</v>
          </cell>
          <cell r="E6703" t="str">
            <v>Benguet NHS - Bineng Annex</v>
          </cell>
          <cell r="F6703">
            <v>0</v>
          </cell>
          <cell r="G6703">
            <v>0</v>
          </cell>
          <cell r="H6703">
            <v>1</v>
          </cell>
          <cell r="I6703">
            <v>0</v>
          </cell>
          <cell r="J6703">
            <v>0</v>
          </cell>
          <cell r="K6703">
            <v>0</v>
          </cell>
          <cell r="L6703">
            <v>1</v>
          </cell>
          <cell r="M6703" t="str">
            <v>As the need arises</v>
          </cell>
          <cell r="N6703">
            <v>0</v>
          </cell>
          <cell r="O6703">
            <v>0</v>
          </cell>
          <cell r="P6703">
            <v>0</v>
          </cell>
          <cell r="Q6703">
            <v>0</v>
          </cell>
          <cell r="R6703">
            <v>0</v>
          </cell>
          <cell r="S6703">
            <v>0</v>
          </cell>
          <cell r="T6703">
            <v>1</v>
          </cell>
          <cell r="U6703" t="str">
            <v>as the need arises</v>
          </cell>
          <cell r="V6703">
            <v>0</v>
          </cell>
          <cell r="W6703">
            <v>0</v>
          </cell>
          <cell r="X6703">
            <v>0</v>
          </cell>
          <cell r="Y6703">
            <v>0</v>
          </cell>
        </row>
        <row r="6704">
          <cell r="D6704">
            <v>305164</v>
          </cell>
          <cell r="E6704" t="str">
            <v>Tublay National Trade High School</v>
          </cell>
          <cell r="F6704">
            <v>0</v>
          </cell>
          <cell r="G6704">
            <v>0</v>
          </cell>
          <cell r="H6704">
            <v>1</v>
          </cell>
          <cell r="I6704">
            <v>0</v>
          </cell>
          <cell r="J6704">
            <v>1</v>
          </cell>
          <cell r="K6704">
            <v>0</v>
          </cell>
          <cell r="L6704">
            <v>0</v>
          </cell>
          <cell r="M6704">
            <v>0</v>
          </cell>
          <cell r="N6704">
            <v>1</v>
          </cell>
          <cell r="O6704">
            <v>0</v>
          </cell>
          <cell r="P6704">
            <v>0</v>
          </cell>
          <cell r="Q6704">
            <v>0</v>
          </cell>
          <cell r="R6704">
            <v>0</v>
          </cell>
          <cell r="S6704">
            <v>0</v>
          </cell>
          <cell r="T6704">
            <v>0</v>
          </cell>
          <cell r="U6704">
            <v>0</v>
          </cell>
          <cell r="V6704">
            <v>0</v>
          </cell>
          <cell r="W6704">
            <v>0</v>
          </cell>
          <cell r="X6704">
            <v>0</v>
          </cell>
          <cell r="Y6704">
            <v>0</v>
          </cell>
        </row>
        <row r="6705">
          <cell r="D6705">
            <v>305152</v>
          </cell>
          <cell r="E6705" t="str">
            <v>Balili NHS-Main</v>
          </cell>
          <cell r="F6705">
            <v>1</v>
          </cell>
          <cell r="G6705">
            <v>1</v>
          </cell>
          <cell r="H6705">
            <v>1</v>
          </cell>
          <cell r="I6705">
            <v>0</v>
          </cell>
          <cell r="J6705">
            <v>1</v>
          </cell>
          <cell r="K6705">
            <v>0</v>
          </cell>
          <cell r="L6705">
            <v>0</v>
          </cell>
          <cell r="M6705">
            <v>0</v>
          </cell>
          <cell r="N6705">
            <v>1</v>
          </cell>
          <cell r="O6705">
            <v>0</v>
          </cell>
          <cell r="P6705">
            <v>0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>
            <v>0</v>
          </cell>
          <cell r="V6705">
            <v>0</v>
          </cell>
          <cell r="W6705">
            <v>0</v>
          </cell>
          <cell r="X6705">
            <v>0</v>
          </cell>
          <cell r="Y6705">
            <v>0</v>
          </cell>
        </row>
        <row r="6706">
          <cell r="D6706">
            <v>305158</v>
          </cell>
          <cell r="E6706" t="str">
            <v>Sinipsip NHS-Main</v>
          </cell>
          <cell r="F6706">
            <v>0</v>
          </cell>
          <cell r="G6706">
            <v>0</v>
          </cell>
          <cell r="H6706">
            <v>1</v>
          </cell>
          <cell r="I6706">
            <v>0</v>
          </cell>
          <cell r="J6706">
            <v>0</v>
          </cell>
          <cell r="K6706">
            <v>1</v>
          </cell>
          <cell r="L6706">
            <v>0</v>
          </cell>
          <cell r="M6706">
            <v>0</v>
          </cell>
          <cell r="N6706">
            <v>0</v>
          </cell>
          <cell r="O6706">
            <v>43564</v>
          </cell>
          <cell r="P6706">
            <v>43682</v>
          </cell>
          <cell r="Q6706">
            <v>0</v>
          </cell>
          <cell r="R6706">
            <v>0</v>
          </cell>
          <cell r="S6706">
            <v>0</v>
          </cell>
          <cell r="T6706">
            <v>1</v>
          </cell>
          <cell r="U6706" t="str">
            <v>when there is a smoking cases</v>
          </cell>
          <cell r="V6706">
            <v>1</v>
          </cell>
          <cell r="W6706">
            <v>0</v>
          </cell>
          <cell r="X6706">
            <v>0</v>
          </cell>
          <cell r="Y6706">
            <v>0</v>
          </cell>
        </row>
        <row r="6707">
          <cell r="D6707">
            <v>305145</v>
          </cell>
          <cell r="E6707" t="str">
            <v>Kamora National High School</v>
          </cell>
          <cell r="F6707">
            <v>1</v>
          </cell>
          <cell r="G6707">
            <v>0</v>
          </cell>
          <cell r="H6707">
            <v>1</v>
          </cell>
          <cell r="I6707">
            <v>0</v>
          </cell>
          <cell r="J6707">
            <v>0</v>
          </cell>
          <cell r="K6707">
            <v>1</v>
          </cell>
          <cell r="L6707">
            <v>0</v>
          </cell>
          <cell r="M6707">
            <v>0</v>
          </cell>
          <cell r="N6707">
            <v>0</v>
          </cell>
          <cell r="O6707">
            <v>43530</v>
          </cell>
          <cell r="P6707">
            <v>43530</v>
          </cell>
          <cell r="Q6707">
            <v>0</v>
          </cell>
          <cell r="R6707">
            <v>0</v>
          </cell>
          <cell r="S6707">
            <v>1</v>
          </cell>
          <cell r="T6707">
            <v>0</v>
          </cell>
          <cell r="U6707">
            <v>0</v>
          </cell>
          <cell r="V6707">
            <v>0</v>
          </cell>
          <cell r="W6707">
            <v>0</v>
          </cell>
          <cell r="X6707">
            <v>0</v>
          </cell>
          <cell r="Y6707">
            <v>0</v>
          </cell>
        </row>
        <row r="6708">
          <cell r="D6708">
            <v>305146</v>
          </cell>
          <cell r="E6708" t="str">
            <v>Adaoay National High School</v>
          </cell>
          <cell r="F6708">
            <v>1</v>
          </cell>
          <cell r="G6708">
            <v>1</v>
          </cell>
          <cell r="H6708">
            <v>1</v>
          </cell>
          <cell r="I6708">
            <v>0</v>
          </cell>
          <cell r="J6708">
            <v>1</v>
          </cell>
          <cell r="K6708">
            <v>0</v>
          </cell>
          <cell r="L6708">
            <v>0</v>
          </cell>
          <cell r="M6708">
            <v>0</v>
          </cell>
          <cell r="N6708">
            <v>1</v>
          </cell>
          <cell r="O6708" t="str">
            <v>MARCH 10, 2019</v>
          </cell>
          <cell r="P6708">
            <v>0</v>
          </cell>
          <cell r="Q6708">
            <v>0</v>
          </cell>
          <cell r="R6708">
            <v>1</v>
          </cell>
          <cell r="S6708">
            <v>0</v>
          </cell>
          <cell r="T6708">
            <v>0</v>
          </cell>
          <cell r="U6708">
            <v>0</v>
          </cell>
          <cell r="V6708">
            <v>1</v>
          </cell>
          <cell r="W6708">
            <v>1</v>
          </cell>
          <cell r="X6708">
            <v>0</v>
          </cell>
          <cell r="Y6708">
            <v>0</v>
          </cell>
        </row>
        <row r="6709">
          <cell r="D6709">
            <v>305188</v>
          </cell>
          <cell r="E6709" t="str">
            <v>Pinto NHS</v>
          </cell>
          <cell r="F6709">
            <v>1</v>
          </cell>
          <cell r="G6709">
            <v>1</v>
          </cell>
          <cell r="H6709">
            <v>1</v>
          </cell>
          <cell r="I6709">
            <v>0</v>
          </cell>
          <cell r="J6709">
            <v>0</v>
          </cell>
          <cell r="K6709">
            <v>0</v>
          </cell>
          <cell r="L6709">
            <v>1</v>
          </cell>
          <cell r="M6709" t="str">
            <v>when the need arises</v>
          </cell>
          <cell r="N6709">
            <v>1</v>
          </cell>
          <cell r="O6709">
            <v>43635</v>
          </cell>
          <cell r="P6709">
            <v>43636</v>
          </cell>
          <cell r="Q6709">
            <v>0</v>
          </cell>
          <cell r="R6709">
            <v>1</v>
          </cell>
          <cell r="S6709">
            <v>0</v>
          </cell>
          <cell r="T6709">
            <v>0</v>
          </cell>
          <cell r="U6709">
            <v>0</v>
          </cell>
          <cell r="V6709">
            <v>1</v>
          </cell>
          <cell r="W6709">
            <v>0</v>
          </cell>
          <cell r="X6709">
            <v>0</v>
          </cell>
          <cell r="Y6709">
            <v>0</v>
          </cell>
        </row>
        <row r="6710">
          <cell r="D6710">
            <v>305183</v>
          </cell>
          <cell r="E6710" t="str">
            <v>Lawig NHS (Main)</v>
          </cell>
          <cell r="F6710">
            <v>1</v>
          </cell>
          <cell r="G6710">
            <v>0</v>
          </cell>
          <cell r="H6710">
            <v>1</v>
          </cell>
          <cell r="I6710">
            <v>0</v>
          </cell>
          <cell r="J6710">
            <v>0</v>
          </cell>
          <cell r="K6710">
            <v>0</v>
          </cell>
          <cell r="L6710">
            <v>1</v>
          </cell>
          <cell r="M6710" t="str">
            <v>AS THE NEED ARISE</v>
          </cell>
          <cell r="N6710">
            <v>0</v>
          </cell>
          <cell r="O6710">
            <v>0</v>
          </cell>
          <cell r="P6710">
            <v>0</v>
          </cell>
          <cell r="Q6710">
            <v>0</v>
          </cell>
          <cell r="R6710">
            <v>0</v>
          </cell>
          <cell r="S6710">
            <v>0</v>
          </cell>
          <cell r="T6710">
            <v>0</v>
          </cell>
          <cell r="U6710">
            <v>0</v>
          </cell>
          <cell r="V6710">
            <v>0</v>
          </cell>
          <cell r="W6710">
            <v>0</v>
          </cell>
          <cell r="X6710">
            <v>0</v>
          </cell>
          <cell r="Y6710">
            <v>0</v>
          </cell>
        </row>
        <row r="6711">
          <cell r="D6711">
            <v>305173</v>
          </cell>
          <cell r="E6711" t="str">
            <v>Haliap NHS</v>
          </cell>
          <cell r="F6711">
            <v>1</v>
          </cell>
          <cell r="G6711">
            <v>0</v>
          </cell>
          <cell r="H6711">
            <v>1</v>
          </cell>
          <cell r="I6711">
            <v>0</v>
          </cell>
          <cell r="J6711">
            <v>0</v>
          </cell>
          <cell r="K6711">
            <v>1</v>
          </cell>
          <cell r="L6711">
            <v>0</v>
          </cell>
          <cell r="M6711">
            <v>0</v>
          </cell>
          <cell r="N6711">
            <v>0</v>
          </cell>
          <cell r="O6711" t="str">
            <v>NONE</v>
          </cell>
          <cell r="P6711">
            <v>0</v>
          </cell>
          <cell r="Q6711">
            <v>0</v>
          </cell>
          <cell r="R6711">
            <v>0</v>
          </cell>
          <cell r="S6711">
            <v>0</v>
          </cell>
          <cell r="T6711">
            <v>0</v>
          </cell>
          <cell r="U6711">
            <v>0</v>
          </cell>
          <cell r="V6711">
            <v>1</v>
          </cell>
          <cell r="W6711">
            <v>0</v>
          </cell>
          <cell r="X6711">
            <v>0</v>
          </cell>
          <cell r="Y6711">
            <v>0</v>
          </cell>
        </row>
        <row r="6712">
          <cell r="D6712">
            <v>305181</v>
          </cell>
          <cell r="E6712" t="str">
            <v>Ifugao Prov'l. Science HS</v>
          </cell>
          <cell r="F6712">
            <v>1</v>
          </cell>
          <cell r="G6712">
            <v>1</v>
          </cell>
          <cell r="H6712">
            <v>1</v>
          </cell>
          <cell r="I6712">
            <v>0</v>
          </cell>
          <cell r="J6712">
            <v>0</v>
          </cell>
          <cell r="K6712">
            <v>0</v>
          </cell>
          <cell r="L6712">
            <v>1</v>
          </cell>
          <cell r="M6712" t="str">
            <v>as the need arises</v>
          </cell>
          <cell r="N6712">
            <v>1</v>
          </cell>
          <cell r="O6712">
            <v>0</v>
          </cell>
          <cell r="P6712">
            <v>0</v>
          </cell>
          <cell r="Q6712">
            <v>0</v>
          </cell>
          <cell r="R6712">
            <v>0</v>
          </cell>
          <cell r="S6712">
            <v>0</v>
          </cell>
          <cell r="T6712">
            <v>1</v>
          </cell>
          <cell r="U6712" t="str">
            <v>as the need arises</v>
          </cell>
          <cell r="V6712">
            <v>1</v>
          </cell>
          <cell r="W6712">
            <v>0</v>
          </cell>
          <cell r="X6712">
            <v>0</v>
          </cell>
          <cell r="Y6712">
            <v>0</v>
          </cell>
        </row>
        <row r="6713">
          <cell r="D6713">
            <v>500882</v>
          </cell>
          <cell r="E6713" t="str">
            <v>ALUPAPAN INTEGRATED SCHOOL</v>
          </cell>
          <cell r="F6713">
            <v>0</v>
          </cell>
          <cell r="G6713">
            <v>0</v>
          </cell>
          <cell r="H6713">
            <v>1</v>
          </cell>
          <cell r="I6713">
            <v>0</v>
          </cell>
          <cell r="J6713">
            <v>1</v>
          </cell>
          <cell r="K6713">
            <v>0</v>
          </cell>
          <cell r="L6713">
            <v>0</v>
          </cell>
          <cell r="M6713">
            <v>0</v>
          </cell>
          <cell r="N6713">
            <v>0</v>
          </cell>
          <cell r="O6713">
            <v>0</v>
          </cell>
          <cell r="P6713">
            <v>0</v>
          </cell>
          <cell r="Q6713">
            <v>0</v>
          </cell>
          <cell r="R6713">
            <v>1</v>
          </cell>
          <cell r="S6713">
            <v>0</v>
          </cell>
          <cell r="T6713">
            <v>0</v>
          </cell>
          <cell r="U6713">
            <v>0</v>
          </cell>
          <cell r="V6713">
            <v>0</v>
          </cell>
          <cell r="W6713">
            <v>0</v>
          </cell>
          <cell r="X6713">
            <v>0</v>
          </cell>
          <cell r="Y6713">
            <v>0</v>
          </cell>
        </row>
        <row r="6714">
          <cell r="D6714">
            <v>305190</v>
          </cell>
          <cell r="E6714" t="str">
            <v>Sta. Maria National High School</v>
          </cell>
          <cell r="F6714">
            <v>0</v>
          </cell>
          <cell r="G6714">
            <v>0</v>
          </cell>
          <cell r="H6714">
            <v>1</v>
          </cell>
          <cell r="I6714">
            <v>0</v>
          </cell>
          <cell r="J6714">
            <v>0</v>
          </cell>
          <cell r="K6714">
            <v>1</v>
          </cell>
          <cell r="L6714">
            <v>0</v>
          </cell>
          <cell r="M6714">
            <v>0</v>
          </cell>
          <cell r="N6714">
            <v>0</v>
          </cell>
          <cell r="O6714">
            <v>0</v>
          </cell>
          <cell r="P6714">
            <v>0</v>
          </cell>
          <cell r="Q6714">
            <v>0</v>
          </cell>
          <cell r="R6714">
            <v>0</v>
          </cell>
          <cell r="S6714">
            <v>0</v>
          </cell>
          <cell r="T6714">
            <v>0</v>
          </cell>
          <cell r="U6714">
            <v>0</v>
          </cell>
          <cell r="V6714">
            <v>0</v>
          </cell>
          <cell r="W6714">
            <v>0</v>
          </cell>
          <cell r="X6714">
            <v>0</v>
          </cell>
          <cell r="Y6714">
            <v>0</v>
          </cell>
        </row>
        <row r="6715">
          <cell r="D6715">
            <v>305167</v>
          </cell>
          <cell r="E6715" t="str">
            <v>Asipulo  National High School</v>
          </cell>
          <cell r="F6715">
            <v>1</v>
          </cell>
          <cell r="G6715">
            <v>0</v>
          </cell>
          <cell r="H6715">
            <v>1</v>
          </cell>
          <cell r="I6715">
            <v>0</v>
          </cell>
          <cell r="J6715">
            <v>0</v>
          </cell>
          <cell r="K6715">
            <v>1</v>
          </cell>
          <cell r="L6715">
            <v>0</v>
          </cell>
          <cell r="M6715">
            <v>0</v>
          </cell>
          <cell r="N6715">
            <v>0</v>
          </cell>
          <cell r="O6715">
            <v>0</v>
          </cell>
          <cell r="P6715">
            <v>43621</v>
          </cell>
          <cell r="Q6715">
            <v>0</v>
          </cell>
          <cell r="R6715">
            <v>0</v>
          </cell>
          <cell r="S6715">
            <v>1</v>
          </cell>
          <cell r="T6715">
            <v>0</v>
          </cell>
          <cell r="U6715">
            <v>0</v>
          </cell>
          <cell r="V6715">
            <v>1</v>
          </cell>
          <cell r="W6715">
            <v>0</v>
          </cell>
          <cell r="X6715">
            <v>0</v>
          </cell>
          <cell r="Y6715">
            <v>0</v>
          </cell>
        </row>
        <row r="6716">
          <cell r="D6716">
            <v>340118</v>
          </cell>
          <cell r="E6716" t="str">
            <v>SHS within Namulditan ES</v>
          </cell>
          <cell r="F6716">
            <v>0</v>
          </cell>
          <cell r="G6716">
            <v>0</v>
          </cell>
          <cell r="H6716">
            <v>1</v>
          </cell>
          <cell r="I6716">
            <v>0</v>
          </cell>
          <cell r="J6716">
            <v>1</v>
          </cell>
          <cell r="K6716">
            <v>0</v>
          </cell>
          <cell r="L6716">
            <v>0</v>
          </cell>
          <cell r="M6716">
            <v>0</v>
          </cell>
          <cell r="N6716">
            <v>0</v>
          </cell>
          <cell r="O6716" t="str">
            <v>N/A</v>
          </cell>
          <cell r="P6716" t="str">
            <v>N/A</v>
          </cell>
          <cell r="Q6716">
            <v>0</v>
          </cell>
          <cell r="R6716">
            <v>0</v>
          </cell>
          <cell r="S6716">
            <v>0</v>
          </cell>
          <cell r="T6716">
            <v>1</v>
          </cell>
          <cell r="U6716" t="str">
            <v>N/A</v>
          </cell>
          <cell r="V6716">
            <v>0</v>
          </cell>
          <cell r="W6716">
            <v>0</v>
          </cell>
          <cell r="X6716">
            <v>0</v>
          </cell>
          <cell r="Y6716">
            <v>0</v>
          </cell>
        </row>
        <row r="6717">
          <cell r="D6717">
            <v>305182</v>
          </cell>
          <cell r="E6717" t="str">
            <v>Kiangan NHS</v>
          </cell>
          <cell r="F6717">
            <v>1</v>
          </cell>
          <cell r="G6717">
            <v>1</v>
          </cell>
          <cell r="H6717">
            <v>1</v>
          </cell>
          <cell r="I6717">
            <v>0</v>
          </cell>
          <cell r="J6717">
            <v>1</v>
          </cell>
          <cell r="K6717">
            <v>0</v>
          </cell>
          <cell r="L6717">
            <v>0</v>
          </cell>
          <cell r="M6717">
            <v>0</v>
          </cell>
          <cell r="N6717">
            <v>1</v>
          </cell>
          <cell r="O6717">
            <v>0</v>
          </cell>
          <cell r="P6717">
            <v>0</v>
          </cell>
          <cell r="Q6717">
            <v>0</v>
          </cell>
          <cell r="R6717">
            <v>1</v>
          </cell>
          <cell r="S6717">
            <v>0</v>
          </cell>
          <cell r="T6717">
            <v>0</v>
          </cell>
          <cell r="U6717">
            <v>0</v>
          </cell>
          <cell r="V6717">
            <v>1</v>
          </cell>
          <cell r="W6717">
            <v>19</v>
          </cell>
          <cell r="X6717">
            <v>0</v>
          </cell>
          <cell r="Y6717">
            <v>0</v>
          </cell>
        </row>
        <row r="6718">
          <cell r="D6718">
            <v>305175</v>
          </cell>
          <cell r="E6718" t="str">
            <v>Camandag NHS</v>
          </cell>
          <cell r="F6718">
            <v>0</v>
          </cell>
          <cell r="G6718">
            <v>0</v>
          </cell>
          <cell r="H6718">
            <v>1</v>
          </cell>
          <cell r="I6718">
            <v>0</v>
          </cell>
          <cell r="J6718">
            <v>0</v>
          </cell>
          <cell r="K6718">
            <v>1</v>
          </cell>
          <cell r="L6718">
            <v>0</v>
          </cell>
          <cell r="M6718">
            <v>0</v>
          </cell>
          <cell r="N6718">
            <v>0</v>
          </cell>
          <cell r="O6718">
            <v>0</v>
          </cell>
          <cell r="P6718">
            <v>43678</v>
          </cell>
          <cell r="Q6718">
            <v>0</v>
          </cell>
          <cell r="R6718">
            <v>0</v>
          </cell>
          <cell r="S6718">
            <v>1</v>
          </cell>
          <cell r="T6718">
            <v>0</v>
          </cell>
          <cell r="U6718">
            <v>0</v>
          </cell>
          <cell r="V6718">
            <v>1</v>
          </cell>
          <cell r="W6718">
            <v>1</v>
          </cell>
          <cell r="X6718">
            <v>0</v>
          </cell>
          <cell r="Y6718">
            <v>0</v>
          </cell>
        </row>
        <row r="6719">
          <cell r="D6719">
            <v>305172</v>
          </cell>
          <cell r="E6719" t="str">
            <v>Gohang NHS</v>
          </cell>
          <cell r="F6719">
            <v>1</v>
          </cell>
          <cell r="G6719">
            <v>1</v>
          </cell>
          <cell r="H6719">
            <v>1</v>
          </cell>
          <cell r="I6719">
            <v>0</v>
          </cell>
          <cell r="J6719">
            <v>0</v>
          </cell>
          <cell r="K6719">
            <v>0</v>
          </cell>
          <cell r="L6719">
            <v>1</v>
          </cell>
          <cell r="M6719" t="str">
            <v>DURING GENERAL PTA ASSEMBLY</v>
          </cell>
          <cell r="N6719">
            <v>0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>
            <v>0</v>
          </cell>
          <cell r="V6719">
            <v>0</v>
          </cell>
          <cell r="W6719">
            <v>0</v>
          </cell>
          <cell r="X6719">
            <v>0</v>
          </cell>
          <cell r="Y6719">
            <v>0</v>
          </cell>
        </row>
        <row r="6720">
          <cell r="D6720">
            <v>305187</v>
          </cell>
          <cell r="E6720" t="str">
            <v>Namillangan NHS</v>
          </cell>
          <cell r="F6720">
            <v>0</v>
          </cell>
          <cell r="G6720">
            <v>0</v>
          </cell>
          <cell r="H6720">
            <v>1</v>
          </cell>
          <cell r="I6720">
            <v>0</v>
          </cell>
          <cell r="J6720">
            <v>1</v>
          </cell>
          <cell r="K6720">
            <v>0</v>
          </cell>
          <cell r="L6720">
            <v>0</v>
          </cell>
          <cell r="M6720">
            <v>0</v>
          </cell>
          <cell r="N6720">
            <v>0</v>
          </cell>
          <cell r="O6720">
            <v>0</v>
          </cell>
          <cell r="P6720">
            <v>0</v>
          </cell>
          <cell r="Q6720">
            <v>0</v>
          </cell>
          <cell r="R6720">
            <v>1</v>
          </cell>
          <cell r="S6720">
            <v>0</v>
          </cell>
          <cell r="T6720">
            <v>0</v>
          </cell>
          <cell r="U6720">
            <v>0</v>
          </cell>
          <cell r="V6720">
            <v>1</v>
          </cell>
          <cell r="W6720">
            <v>0</v>
          </cell>
          <cell r="X6720">
            <v>0</v>
          </cell>
          <cell r="Y6720">
            <v>0</v>
          </cell>
        </row>
        <row r="6721">
          <cell r="D6721">
            <v>305166</v>
          </cell>
          <cell r="E6721" t="str">
            <v>Aguinaldo NHS</v>
          </cell>
          <cell r="F6721">
            <v>0</v>
          </cell>
          <cell r="G6721">
            <v>0</v>
          </cell>
          <cell r="H6721">
            <v>1</v>
          </cell>
          <cell r="I6721">
            <v>0</v>
          </cell>
          <cell r="J6721">
            <v>1</v>
          </cell>
          <cell r="K6721">
            <v>0</v>
          </cell>
          <cell r="L6721">
            <v>0</v>
          </cell>
          <cell r="M6721">
            <v>0</v>
          </cell>
          <cell r="N6721">
            <v>1</v>
          </cell>
          <cell r="O6721">
            <v>43657</v>
          </cell>
          <cell r="P6721">
            <v>0</v>
          </cell>
          <cell r="Q6721">
            <v>0</v>
          </cell>
          <cell r="R6721">
            <v>1</v>
          </cell>
          <cell r="S6721">
            <v>0</v>
          </cell>
          <cell r="T6721">
            <v>0</v>
          </cell>
          <cell r="U6721">
            <v>0</v>
          </cell>
          <cell r="V6721">
            <v>1</v>
          </cell>
          <cell r="W6721">
            <v>0</v>
          </cell>
          <cell r="X6721">
            <v>0</v>
          </cell>
          <cell r="Y6721">
            <v>0</v>
          </cell>
        </row>
        <row r="6722">
          <cell r="D6722">
            <v>305171</v>
          </cell>
          <cell r="E6722" t="str">
            <v>Eastern Potia National High School</v>
          </cell>
          <cell r="F6722">
            <v>0</v>
          </cell>
          <cell r="G6722">
            <v>0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>
            <v>0</v>
          </cell>
          <cell r="M6722">
            <v>0</v>
          </cell>
          <cell r="N6722">
            <v>0</v>
          </cell>
          <cell r="O6722">
            <v>0</v>
          </cell>
          <cell r="P6722" t="str">
            <v>NONE</v>
          </cell>
          <cell r="Q6722">
            <v>0</v>
          </cell>
          <cell r="R6722">
            <v>0</v>
          </cell>
          <cell r="S6722">
            <v>0</v>
          </cell>
          <cell r="T6722">
            <v>1</v>
          </cell>
          <cell r="U6722" t="str">
            <v>NONE</v>
          </cell>
          <cell r="V6722">
            <v>0</v>
          </cell>
          <cell r="W6722">
            <v>0</v>
          </cell>
          <cell r="X6722">
            <v>0</v>
          </cell>
          <cell r="Y6722">
            <v>0</v>
          </cell>
        </row>
        <row r="6723">
          <cell r="D6723">
            <v>305176</v>
          </cell>
          <cell r="E6723" t="str">
            <v>Hapid NHS</v>
          </cell>
          <cell r="F6723">
            <v>1</v>
          </cell>
          <cell r="G6723">
            <v>0</v>
          </cell>
          <cell r="H6723">
            <v>1</v>
          </cell>
          <cell r="I6723">
            <v>0</v>
          </cell>
          <cell r="J6723">
            <v>1</v>
          </cell>
          <cell r="K6723">
            <v>0</v>
          </cell>
          <cell r="L6723">
            <v>0</v>
          </cell>
          <cell r="M6723">
            <v>0</v>
          </cell>
          <cell r="N6723">
            <v>1</v>
          </cell>
          <cell r="O6723">
            <v>43644</v>
          </cell>
          <cell r="P6723">
            <v>43707</v>
          </cell>
          <cell r="Q6723">
            <v>1</v>
          </cell>
          <cell r="R6723">
            <v>0</v>
          </cell>
          <cell r="S6723">
            <v>0</v>
          </cell>
          <cell r="T6723">
            <v>0</v>
          </cell>
          <cell r="U6723">
            <v>0</v>
          </cell>
          <cell r="V6723">
            <v>1</v>
          </cell>
          <cell r="W6723">
            <v>5</v>
          </cell>
          <cell r="X6723">
            <v>0</v>
          </cell>
          <cell r="Y6723">
            <v>0</v>
          </cell>
        </row>
        <row r="6724">
          <cell r="D6724">
            <v>305180</v>
          </cell>
          <cell r="E6724" t="str">
            <v>Hungduan National High School</v>
          </cell>
          <cell r="F6724">
            <v>1</v>
          </cell>
          <cell r="G6724">
            <v>0</v>
          </cell>
          <cell r="H6724">
            <v>1</v>
          </cell>
          <cell r="I6724">
            <v>0</v>
          </cell>
          <cell r="J6724">
            <v>1</v>
          </cell>
          <cell r="K6724">
            <v>0</v>
          </cell>
          <cell r="L6724">
            <v>0</v>
          </cell>
          <cell r="M6724">
            <v>0</v>
          </cell>
          <cell r="N6724">
            <v>0</v>
          </cell>
          <cell r="O6724" t="str">
            <v>N/A</v>
          </cell>
          <cell r="P6724">
            <v>43617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 t="str">
            <v>WHEN THE NEED ARISES</v>
          </cell>
          <cell r="V6724">
            <v>1</v>
          </cell>
          <cell r="W6724">
            <v>0</v>
          </cell>
          <cell r="X6724">
            <v>0</v>
          </cell>
          <cell r="Y6724">
            <v>0</v>
          </cell>
        </row>
        <row r="6725">
          <cell r="D6725">
            <v>305168</v>
          </cell>
          <cell r="E6725" t="str">
            <v>Ayangan National Agricultural &amp; Vocational HS</v>
          </cell>
          <cell r="F6725">
            <v>0</v>
          </cell>
          <cell r="G6725">
            <v>0</v>
          </cell>
          <cell r="H6725">
            <v>1</v>
          </cell>
          <cell r="I6725">
            <v>0</v>
          </cell>
          <cell r="J6725">
            <v>1</v>
          </cell>
          <cell r="K6725">
            <v>0</v>
          </cell>
          <cell r="L6725">
            <v>0</v>
          </cell>
          <cell r="M6725">
            <v>0</v>
          </cell>
          <cell r="N6725">
            <v>0</v>
          </cell>
          <cell r="O6725">
            <v>0</v>
          </cell>
          <cell r="P6725" t="str">
            <v>N/A</v>
          </cell>
          <cell r="Q6725">
            <v>0</v>
          </cell>
          <cell r="R6725">
            <v>0</v>
          </cell>
          <cell r="S6725">
            <v>0</v>
          </cell>
          <cell r="T6725">
            <v>0</v>
          </cell>
          <cell r="U6725">
            <v>0</v>
          </cell>
          <cell r="V6725">
            <v>0</v>
          </cell>
          <cell r="W6725">
            <v>0</v>
          </cell>
          <cell r="X6725">
            <v>0</v>
          </cell>
          <cell r="Y6725">
            <v>0</v>
          </cell>
        </row>
        <row r="6726">
          <cell r="D6726">
            <v>305177</v>
          </cell>
          <cell r="E6726" t="str">
            <v>Ifugao Technical Vocational School</v>
          </cell>
          <cell r="F6726">
            <v>1</v>
          </cell>
          <cell r="G6726">
            <v>0</v>
          </cell>
          <cell r="H6726">
            <v>1</v>
          </cell>
          <cell r="I6726">
            <v>0</v>
          </cell>
          <cell r="J6726">
            <v>0</v>
          </cell>
          <cell r="K6726">
            <v>0</v>
          </cell>
          <cell r="L6726">
            <v>1</v>
          </cell>
          <cell r="M6726" t="str">
            <v>as the need arises</v>
          </cell>
          <cell r="N6726">
            <v>1</v>
          </cell>
          <cell r="O6726" t="str">
            <v>none</v>
          </cell>
          <cell r="P6726">
            <v>43619</v>
          </cell>
          <cell r="Q6726">
            <v>0</v>
          </cell>
          <cell r="R6726">
            <v>1</v>
          </cell>
          <cell r="S6726">
            <v>0</v>
          </cell>
          <cell r="T6726">
            <v>0</v>
          </cell>
          <cell r="U6726">
            <v>0</v>
          </cell>
          <cell r="V6726">
            <v>1</v>
          </cell>
          <cell r="W6726">
            <v>2</v>
          </cell>
          <cell r="X6726">
            <v>0</v>
          </cell>
          <cell r="Y6726">
            <v>0</v>
          </cell>
        </row>
        <row r="6727">
          <cell r="D6727">
            <v>319001</v>
          </cell>
          <cell r="E6727" t="str">
            <v>Bangbang National High School</v>
          </cell>
          <cell r="F6727">
            <v>1</v>
          </cell>
          <cell r="G6727">
            <v>1</v>
          </cell>
          <cell r="H6727">
            <v>0</v>
          </cell>
          <cell r="I6727">
            <v>0</v>
          </cell>
          <cell r="J6727">
            <v>0</v>
          </cell>
          <cell r="K6727">
            <v>1</v>
          </cell>
          <cell r="L6727">
            <v>0</v>
          </cell>
          <cell r="M6727">
            <v>0</v>
          </cell>
          <cell r="N6727">
            <v>0</v>
          </cell>
          <cell r="O6727">
            <v>0</v>
          </cell>
          <cell r="P6727">
            <v>0</v>
          </cell>
          <cell r="Q6727">
            <v>0</v>
          </cell>
          <cell r="R6727">
            <v>0</v>
          </cell>
          <cell r="S6727">
            <v>0</v>
          </cell>
          <cell r="T6727">
            <v>0</v>
          </cell>
          <cell r="U6727">
            <v>0</v>
          </cell>
          <cell r="V6727">
            <v>0</v>
          </cell>
          <cell r="W6727">
            <v>1</v>
          </cell>
          <cell r="X6727">
            <v>1</v>
          </cell>
          <cell r="Y6727">
            <v>1</v>
          </cell>
        </row>
        <row r="6728">
          <cell r="D6728">
            <v>305192</v>
          </cell>
          <cell r="E6728" t="str">
            <v>Tinoc NHS</v>
          </cell>
          <cell r="F6728">
            <v>1</v>
          </cell>
          <cell r="G6728">
            <v>1</v>
          </cell>
          <cell r="H6728">
            <v>1</v>
          </cell>
          <cell r="I6728">
            <v>0</v>
          </cell>
          <cell r="J6728">
            <v>1</v>
          </cell>
          <cell r="K6728">
            <v>0</v>
          </cell>
          <cell r="L6728">
            <v>0</v>
          </cell>
          <cell r="M6728">
            <v>0</v>
          </cell>
          <cell r="N6728">
            <v>0</v>
          </cell>
          <cell r="O6728">
            <v>0</v>
          </cell>
          <cell r="P6728">
            <v>0</v>
          </cell>
          <cell r="Q6728">
            <v>0</v>
          </cell>
          <cell r="R6728">
            <v>1</v>
          </cell>
          <cell r="S6728">
            <v>0</v>
          </cell>
          <cell r="T6728">
            <v>0</v>
          </cell>
          <cell r="U6728">
            <v>0</v>
          </cell>
          <cell r="V6728">
            <v>0</v>
          </cell>
          <cell r="W6728">
            <v>3</v>
          </cell>
          <cell r="X6728">
            <v>2</v>
          </cell>
          <cell r="Y6728">
            <v>2</v>
          </cell>
        </row>
        <row r="6729">
          <cell r="D6729">
            <v>305178</v>
          </cell>
          <cell r="E6729" t="str">
            <v>Hingyon NHS</v>
          </cell>
          <cell r="F6729">
            <v>1</v>
          </cell>
          <cell r="G6729">
            <v>1</v>
          </cell>
          <cell r="H6729">
            <v>1</v>
          </cell>
          <cell r="I6729">
            <v>0</v>
          </cell>
          <cell r="J6729">
            <v>0</v>
          </cell>
          <cell r="K6729">
            <v>0</v>
          </cell>
          <cell r="L6729">
            <v>1</v>
          </cell>
          <cell r="M6729" t="str">
            <v>as needed</v>
          </cell>
          <cell r="N6729">
            <v>0</v>
          </cell>
          <cell r="O6729">
            <v>0</v>
          </cell>
          <cell r="P6729" t="str">
            <v>August, 2019</v>
          </cell>
          <cell r="Q6729">
            <v>0</v>
          </cell>
          <cell r="R6729">
            <v>0</v>
          </cell>
          <cell r="S6729">
            <v>0</v>
          </cell>
          <cell r="T6729">
            <v>1</v>
          </cell>
          <cell r="U6729" t="str">
            <v>as needed</v>
          </cell>
          <cell r="V6729">
            <v>1</v>
          </cell>
          <cell r="W6729">
            <v>0</v>
          </cell>
          <cell r="X6729">
            <v>0</v>
          </cell>
          <cell r="Y6729">
            <v>0</v>
          </cell>
        </row>
        <row r="6730">
          <cell r="D6730">
            <v>319002</v>
          </cell>
          <cell r="E6730" t="str">
            <v>Rufino I. Chungalao Science HS</v>
          </cell>
          <cell r="F6730">
            <v>1</v>
          </cell>
          <cell r="G6730">
            <v>1</v>
          </cell>
          <cell r="H6730">
            <v>1</v>
          </cell>
          <cell r="I6730">
            <v>0</v>
          </cell>
          <cell r="J6730">
            <v>0</v>
          </cell>
          <cell r="K6730">
            <v>1</v>
          </cell>
          <cell r="L6730">
            <v>0</v>
          </cell>
          <cell r="M6730">
            <v>0</v>
          </cell>
          <cell r="N6730">
            <v>0</v>
          </cell>
          <cell r="O6730">
            <v>0</v>
          </cell>
          <cell r="P6730">
            <v>0</v>
          </cell>
          <cell r="Q6730">
            <v>0</v>
          </cell>
          <cell r="R6730">
            <v>0</v>
          </cell>
          <cell r="S6730">
            <v>0</v>
          </cell>
          <cell r="T6730">
            <v>0</v>
          </cell>
          <cell r="U6730">
            <v>0</v>
          </cell>
          <cell r="V6730">
            <v>1</v>
          </cell>
          <cell r="W6730">
            <v>0</v>
          </cell>
          <cell r="X6730">
            <v>0</v>
          </cell>
          <cell r="Y6730">
            <v>0</v>
          </cell>
        </row>
        <row r="6731">
          <cell r="D6731">
            <v>319006</v>
          </cell>
          <cell r="E6731" t="str">
            <v>Banaue NHS Annex</v>
          </cell>
          <cell r="F6731">
            <v>1</v>
          </cell>
          <cell r="G6731">
            <v>0</v>
          </cell>
          <cell r="H6731">
            <v>1</v>
          </cell>
          <cell r="I6731">
            <v>0</v>
          </cell>
          <cell r="J6731">
            <v>0</v>
          </cell>
          <cell r="K6731">
            <v>1</v>
          </cell>
          <cell r="L6731">
            <v>0</v>
          </cell>
          <cell r="M6731">
            <v>0</v>
          </cell>
          <cell r="N6731">
            <v>0</v>
          </cell>
          <cell r="O6731" t="str">
            <v>never discuss about tobacco</v>
          </cell>
          <cell r="P6731">
            <v>43617</v>
          </cell>
          <cell r="Q6731">
            <v>0</v>
          </cell>
          <cell r="R6731">
            <v>0</v>
          </cell>
          <cell r="S6731">
            <v>1</v>
          </cell>
          <cell r="T6731">
            <v>0</v>
          </cell>
          <cell r="U6731">
            <v>0</v>
          </cell>
          <cell r="V6731">
            <v>1</v>
          </cell>
          <cell r="W6731">
            <v>0</v>
          </cell>
          <cell r="X6731">
            <v>0</v>
          </cell>
          <cell r="Y6731">
            <v>0</v>
          </cell>
        </row>
        <row r="6732">
          <cell r="D6732">
            <v>305193</v>
          </cell>
          <cell r="E6732" t="str">
            <v>Kalanguya NHS</v>
          </cell>
          <cell r="F6732">
            <v>1</v>
          </cell>
          <cell r="G6732">
            <v>1</v>
          </cell>
          <cell r="H6732">
            <v>1</v>
          </cell>
          <cell r="I6732">
            <v>0</v>
          </cell>
          <cell r="J6732">
            <v>1</v>
          </cell>
          <cell r="K6732">
            <v>0</v>
          </cell>
          <cell r="L6732">
            <v>0</v>
          </cell>
          <cell r="M6732">
            <v>0</v>
          </cell>
          <cell r="N6732">
            <v>1</v>
          </cell>
          <cell r="O6732">
            <v>43669</v>
          </cell>
          <cell r="P6732">
            <v>43672</v>
          </cell>
          <cell r="Q6732">
            <v>0</v>
          </cell>
          <cell r="R6732">
            <v>1</v>
          </cell>
          <cell r="S6732">
            <v>0</v>
          </cell>
          <cell r="T6732">
            <v>0</v>
          </cell>
          <cell r="U6732">
            <v>0</v>
          </cell>
          <cell r="V6732">
            <v>1</v>
          </cell>
          <cell r="W6732">
            <v>2</v>
          </cell>
          <cell r="X6732">
            <v>2</v>
          </cell>
          <cell r="Y6732">
            <v>2</v>
          </cell>
        </row>
        <row r="6733">
          <cell r="D6733">
            <v>319008</v>
          </cell>
          <cell r="E6733" t="str">
            <v>Ubao NHS Extension</v>
          </cell>
          <cell r="F6733">
            <v>0</v>
          </cell>
          <cell r="G6733">
            <v>0</v>
          </cell>
          <cell r="H6733">
            <v>1</v>
          </cell>
          <cell r="I6733">
            <v>0</v>
          </cell>
          <cell r="J6733">
            <v>1</v>
          </cell>
          <cell r="K6733">
            <v>0</v>
          </cell>
          <cell r="L6733">
            <v>0</v>
          </cell>
          <cell r="M6733">
            <v>0</v>
          </cell>
          <cell r="N6733">
            <v>0</v>
          </cell>
          <cell r="O6733">
            <v>0</v>
          </cell>
          <cell r="P6733">
            <v>0</v>
          </cell>
          <cell r="Q6733">
            <v>0</v>
          </cell>
          <cell r="R6733">
            <v>0</v>
          </cell>
          <cell r="S6733">
            <v>0</v>
          </cell>
          <cell r="T6733">
            <v>0</v>
          </cell>
          <cell r="U6733">
            <v>0</v>
          </cell>
          <cell r="V6733">
            <v>0</v>
          </cell>
          <cell r="W6733">
            <v>0</v>
          </cell>
          <cell r="X6733">
            <v>0</v>
          </cell>
          <cell r="Y6733">
            <v>0</v>
          </cell>
        </row>
        <row r="6734">
          <cell r="D6734">
            <v>305170</v>
          </cell>
          <cell r="E6734" t="str">
            <v>Banaue National High School</v>
          </cell>
          <cell r="F6734">
            <v>1</v>
          </cell>
          <cell r="G6734">
            <v>0</v>
          </cell>
          <cell r="H6734">
            <v>1</v>
          </cell>
          <cell r="I6734">
            <v>0</v>
          </cell>
          <cell r="J6734">
            <v>1</v>
          </cell>
          <cell r="K6734">
            <v>0</v>
          </cell>
          <cell r="L6734">
            <v>0</v>
          </cell>
          <cell r="M6734">
            <v>0</v>
          </cell>
          <cell r="N6734">
            <v>0</v>
          </cell>
          <cell r="O6734">
            <v>0</v>
          </cell>
          <cell r="P6734">
            <v>0</v>
          </cell>
          <cell r="Q6734">
            <v>0</v>
          </cell>
          <cell r="R6734">
            <v>0</v>
          </cell>
          <cell r="S6734">
            <v>1</v>
          </cell>
          <cell r="T6734">
            <v>0</v>
          </cell>
          <cell r="U6734">
            <v>0</v>
          </cell>
          <cell r="V6734">
            <v>0</v>
          </cell>
          <cell r="W6734">
            <v>0</v>
          </cell>
          <cell r="X6734">
            <v>0</v>
          </cell>
          <cell r="Y6734">
            <v>0</v>
          </cell>
        </row>
        <row r="6735">
          <cell r="D6735">
            <v>305194</v>
          </cell>
          <cell r="E6735" t="str">
            <v>Ubao National High School</v>
          </cell>
          <cell r="F6735">
            <v>1</v>
          </cell>
          <cell r="G6735">
            <v>1</v>
          </cell>
          <cell r="H6735">
            <v>1</v>
          </cell>
          <cell r="I6735">
            <v>0</v>
          </cell>
          <cell r="J6735">
            <v>0</v>
          </cell>
          <cell r="K6735">
            <v>1</v>
          </cell>
          <cell r="L6735">
            <v>0</v>
          </cell>
          <cell r="M6735">
            <v>0</v>
          </cell>
          <cell r="N6735">
            <v>1</v>
          </cell>
          <cell r="O6735">
            <v>0</v>
          </cell>
          <cell r="P6735">
            <v>43768</v>
          </cell>
          <cell r="Q6735">
            <v>0</v>
          </cell>
          <cell r="R6735">
            <v>1</v>
          </cell>
          <cell r="S6735">
            <v>0</v>
          </cell>
          <cell r="T6735">
            <v>0</v>
          </cell>
          <cell r="U6735">
            <v>0</v>
          </cell>
          <cell r="V6735">
            <v>1</v>
          </cell>
          <cell r="W6735">
            <v>0</v>
          </cell>
          <cell r="X6735">
            <v>0</v>
          </cell>
          <cell r="Y6735">
            <v>0</v>
          </cell>
        </row>
        <row r="6736">
          <cell r="D6736">
            <v>305185</v>
          </cell>
          <cell r="E6736" t="str">
            <v>Mayoyao NHS</v>
          </cell>
          <cell r="F6736">
            <v>1</v>
          </cell>
          <cell r="G6736">
            <v>1</v>
          </cell>
          <cell r="H6736">
            <v>1</v>
          </cell>
          <cell r="I6736">
            <v>0</v>
          </cell>
          <cell r="J6736">
            <v>0</v>
          </cell>
          <cell r="K6736">
            <v>0</v>
          </cell>
          <cell r="L6736">
            <v>1</v>
          </cell>
          <cell r="M6736">
            <v>0</v>
          </cell>
          <cell r="N6736">
            <v>0</v>
          </cell>
          <cell r="O6736">
            <v>0</v>
          </cell>
          <cell r="P6736">
            <v>0</v>
          </cell>
          <cell r="Q6736">
            <v>0</v>
          </cell>
          <cell r="R6736">
            <v>0</v>
          </cell>
          <cell r="S6736">
            <v>0</v>
          </cell>
          <cell r="T6736">
            <v>1</v>
          </cell>
          <cell r="U6736" t="str">
            <v>as need arise</v>
          </cell>
          <cell r="V6736">
            <v>0</v>
          </cell>
          <cell r="W6736">
            <v>2</v>
          </cell>
          <cell r="X6736">
            <v>0</v>
          </cell>
          <cell r="Y6736">
            <v>0</v>
          </cell>
        </row>
        <row r="6737">
          <cell r="D6737">
            <v>305174</v>
          </cell>
          <cell r="E6737" t="str">
            <v>Natcak NHS</v>
          </cell>
          <cell r="F6737">
            <v>1</v>
          </cell>
          <cell r="G6737">
            <v>0</v>
          </cell>
          <cell r="H6737">
            <v>1</v>
          </cell>
          <cell r="I6737">
            <v>0</v>
          </cell>
          <cell r="J6737">
            <v>0</v>
          </cell>
          <cell r="K6737">
            <v>1</v>
          </cell>
          <cell r="L6737">
            <v>0</v>
          </cell>
          <cell r="M6737">
            <v>0</v>
          </cell>
          <cell r="N6737">
            <v>1</v>
          </cell>
          <cell r="O6737">
            <v>43695</v>
          </cell>
          <cell r="P6737">
            <v>43695</v>
          </cell>
          <cell r="Q6737">
            <v>0</v>
          </cell>
          <cell r="R6737">
            <v>0</v>
          </cell>
          <cell r="S6737">
            <v>1</v>
          </cell>
          <cell r="T6737">
            <v>0</v>
          </cell>
          <cell r="U6737">
            <v>0</v>
          </cell>
          <cell r="V6737">
            <v>1</v>
          </cell>
          <cell r="W6737">
            <v>0</v>
          </cell>
          <cell r="X6737">
            <v>0</v>
          </cell>
          <cell r="Y6737">
            <v>0</v>
          </cell>
        </row>
        <row r="6738">
          <cell r="D6738">
            <v>305210</v>
          </cell>
          <cell r="E6738" t="str">
            <v>Limos National High School</v>
          </cell>
          <cell r="F6738">
            <v>1</v>
          </cell>
          <cell r="G6738">
            <v>0</v>
          </cell>
          <cell r="H6738">
            <v>1</v>
          </cell>
          <cell r="I6738">
            <v>0</v>
          </cell>
          <cell r="J6738">
            <v>1</v>
          </cell>
          <cell r="K6738">
            <v>0</v>
          </cell>
          <cell r="L6738">
            <v>0</v>
          </cell>
          <cell r="M6738">
            <v>0</v>
          </cell>
          <cell r="N6738">
            <v>0</v>
          </cell>
          <cell r="O6738">
            <v>0</v>
          </cell>
          <cell r="P6738">
            <v>0</v>
          </cell>
          <cell r="Q6738">
            <v>0</v>
          </cell>
          <cell r="R6738">
            <v>0</v>
          </cell>
          <cell r="S6738">
            <v>0</v>
          </cell>
          <cell r="T6738">
            <v>0</v>
          </cell>
          <cell r="U6738">
            <v>0</v>
          </cell>
          <cell r="V6738">
            <v>0</v>
          </cell>
          <cell r="W6738">
            <v>0</v>
          </cell>
          <cell r="X6738">
            <v>0</v>
          </cell>
          <cell r="Y6738">
            <v>0</v>
          </cell>
        </row>
        <row r="6739">
          <cell r="D6739">
            <v>305224</v>
          </cell>
          <cell r="E6739" t="str">
            <v>Tanudan National High School</v>
          </cell>
          <cell r="F6739">
            <v>1</v>
          </cell>
          <cell r="G6739">
            <v>1</v>
          </cell>
          <cell r="H6739">
            <v>0</v>
          </cell>
          <cell r="I6739">
            <v>1</v>
          </cell>
          <cell r="J6739">
            <v>0</v>
          </cell>
          <cell r="K6739">
            <v>0</v>
          </cell>
          <cell r="L6739">
            <v>0</v>
          </cell>
          <cell r="M6739">
            <v>0</v>
          </cell>
          <cell r="N6739">
            <v>1</v>
          </cell>
          <cell r="O6739">
            <v>0</v>
          </cell>
          <cell r="P6739">
            <v>0</v>
          </cell>
          <cell r="Q6739">
            <v>1</v>
          </cell>
          <cell r="R6739">
            <v>0</v>
          </cell>
          <cell r="S6739">
            <v>0</v>
          </cell>
          <cell r="T6739">
            <v>0</v>
          </cell>
          <cell r="U6739">
            <v>0</v>
          </cell>
          <cell r="V6739">
            <v>1</v>
          </cell>
          <cell r="W6739">
            <v>2</v>
          </cell>
          <cell r="X6739">
            <v>0</v>
          </cell>
          <cell r="Y6739">
            <v>0</v>
          </cell>
        </row>
        <row r="6740">
          <cell r="D6740">
            <v>305542</v>
          </cell>
          <cell r="E6740" t="str">
            <v>MALAGNAT NATIONAL HIGH SCHOOL</v>
          </cell>
          <cell r="F6740">
            <v>1</v>
          </cell>
          <cell r="G6740">
            <v>1</v>
          </cell>
          <cell r="H6740">
            <v>1</v>
          </cell>
          <cell r="I6740">
            <v>1</v>
          </cell>
          <cell r="J6740">
            <v>0</v>
          </cell>
          <cell r="K6740">
            <v>0</v>
          </cell>
          <cell r="L6740">
            <v>0</v>
          </cell>
          <cell r="M6740">
            <v>0</v>
          </cell>
          <cell r="N6740">
            <v>0</v>
          </cell>
          <cell r="O6740">
            <v>43699</v>
          </cell>
          <cell r="P6740" t="str">
            <v>none</v>
          </cell>
          <cell r="Q6740">
            <v>1</v>
          </cell>
          <cell r="R6740">
            <v>0</v>
          </cell>
          <cell r="S6740">
            <v>0</v>
          </cell>
          <cell r="T6740">
            <v>0</v>
          </cell>
          <cell r="U6740">
            <v>0</v>
          </cell>
          <cell r="V6740">
            <v>0</v>
          </cell>
          <cell r="W6740">
            <v>8</v>
          </cell>
          <cell r="X6740">
            <v>2</v>
          </cell>
          <cell r="Y6740">
            <v>0</v>
          </cell>
        </row>
        <row r="6741">
          <cell r="D6741">
            <v>305214</v>
          </cell>
          <cell r="E6741" t="str">
            <v>Central Pasil National High School</v>
          </cell>
          <cell r="F6741">
            <v>1</v>
          </cell>
          <cell r="G6741">
            <v>1</v>
          </cell>
          <cell r="H6741">
            <v>1</v>
          </cell>
          <cell r="I6741">
            <v>0</v>
          </cell>
          <cell r="J6741">
            <v>1</v>
          </cell>
          <cell r="K6741">
            <v>0</v>
          </cell>
          <cell r="L6741">
            <v>0</v>
          </cell>
          <cell r="M6741">
            <v>0</v>
          </cell>
          <cell r="N6741">
            <v>1</v>
          </cell>
          <cell r="O6741">
            <v>0</v>
          </cell>
          <cell r="P6741">
            <v>0</v>
          </cell>
          <cell r="Q6741">
            <v>1</v>
          </cell>
          <cell r="R6741">
            <v>0</v>
          </cell>
          <cell r="S6741">
            <v>0</v>
          </cell>
          <cell r="T6741">
            <v>0</v>
          </cell>
          <cell r="U6741">
            <v>0</v>
          </cell>
          <cell r="V6741">
            <v>0</v>
          </cell>
          <cell r="W6741">
            <v>0</v>
          </cell>
          <cell r="X6741">
            <v>0</v>
          </cell>
          <cell r="Y6741">
            <v>0</v>
          </cell>
        </row>
        <row r="6742">
          <cell r="D6742">
            <v>305213</v>
          </cell>
          <cell r="E6742" t="str">
            <v>Pasil National High School</v>
          </cell>
          <cell r="F6742">
            <v>1</v>
          </cell>
          <cell r="G6742">
            <v>1</v>
          </cell>
          <cell r="H6742">
            <v>1</v>
          </cell>
          <cell r="I6742">
            <v>0</v>
          </cell>
          <cell r="J6742">
            <v>1</v>
          </cell>
          <cell r="K6742">
            <v>0</v>
          </cell>
          <cell r="L6742">
            <v>0</v>
          </cell>
          <cell r="M6742">
            <v>0</v>
          </cell>
          <cell r="N6742">
            <v>1</v>
          </cell>
          <cell r="O6742">
            <v>0</v>
          </cell>
          <cell r="P6742">
            <v>0</v>
          </cell>
          <cell r="Q6742">
            <v>0</v>
          </cell>
          <cell r="R6742">
            <v>1</v>
          </cell>
          <cell r="S6742">
            <v>0</v>
          </cell>
          <cell r="T6742">
            <v>0</v>
          </cell>
          <cell r="U6742">
            <v>0</v>
          </cell>
          <cell r="V6742">
            <v>1</v>
          </cell>
          <cell r="W6742">
            <v>1</v>
          </cell>
          <cell r="X6742">
            <v>1</v>
          </cell>
          <cell r="Y6742">
            <v>1</v>
          </cell>
        </row>
        <row r="6743">
          <cell r="D6743">
            <v>305201</v>
          </cell>
          <cell r="E6743" t="str">
            <v>Cal-owan Agricultural Vocational National High School</v>
          </cell>
          <cell r="F6743">
            <v>0</v>
          </cell>
          <cell r="G6743">
            <v>0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>
            <v>0</v>
          </cell>
          <cell r="M6743">
            <v>0</v>
          </cell>
          <cell r="N6743">
            <v>0</v>
          </cell>
          <cell r="O6743">
            <v>43622</v>
          </cell>
          <cell r="P6743">
            <v>0</v>
          </cell>
          <cell r="Q6743">
            <v>0</v>
          </cell>
          <cell r="R6743">
            <v>0</v>
          </cell>
          <cell r="S6743">
            <v>0</v>
          </cell>
          <cell r="T6743">
            <v>0</v>
          </cell>
          <cell r="U6743">
            <v>0</v>
          </cell>
          <cell r="V6743">
            <v>0</v>
          </cell>
          <cell r="W6743">
            <v>4</v>
          </cell>
          <cell r="X6743">
            <v>0</v>
          </cell>
          <cell r="Y6743">
            <v>0</v>
          </cell>
        </row>
        <row r="6744">
          <cell r="D6744">
            <v>319107</v>
          </cell>
          <cell r="E6744" t="str">
            <v>Camalog National High School</v>
          </cell>
          <cell r="F6744">
            <v>1</v>
          </cell>
          <cell r="G6744">
            <v>1</v>
          </cell>
          <cell r="H6744">
            <v>1</v>
          </cell>
          <cell r="I6744">
            <v>0</v>
          </cell>
          <cell r="J6744">
            <v>1</v>
          </cell>
          <cell r="K6744">
            <v>0</v>
          </cell>
          <cell r="L6744">
            <v>0</v>
          </cell>
          <cell r="M6744">
            <v>0</v>
          </cell>
          <cell r="N6744">
            <v>1</v>
          </cell>
          <cell r="O6744">
            <v>43647</v>
          </cell>
          <cell r="P6744">
            <v>43679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>
            <v>0</v>
          </cell>
          <cell r="V6744">
            <v>1</v>
          </cell>
          <cell r="W6744">
            <v>0</v>
          </cell>
          <cell r="X6744">
            <v>0</v>
          </cell>
          <cell r="Y6744">
            <v>0</v>
          </cell>
        </row>
        <row r="6745">
          <cell r="D6745">
            <v>319109</v>
          </cell>
          <cell r="E6745" t="str">
            <v>Socbot National High School</v>
          </cell>
          <cell r="F6745">
            <v>1</v>
          </cell>
          <cell r="G6745">
            <v>0</v>
          </cell>
          <cell r="H6745">
            <v>1</v>
          </cell>
          <cell r="I6745">
            <v>0</v>
          </cell>
          <cell r="J6745">
            <v>1</v>
          </cell>
          <cell r="K6745">
            <v>0</v>
          </cell>
          <cell r="L6745">
            <v>0</v>
          </cell>
          <cell r="M6745">
            <v>0</v>
          </cell>
          <cell r="N6745">
            <v>0</v>
          </cell>
          <cell r="O6745">
            <v>0</v>
          </cell>
          <cell r="P6745">
            <v>0</v>
          </cell>
          <cell r="Q6745">
            <v>0</v>
          </cell>
          <cell r="R6745">
            <v>0</v>
          </cell>
          <cell r="S6745">
            <v>0</v>
          </cell>
          <cell r="T6745">
            <v>0</v>
          </cell>
          <cell r="U6745">
            <v>0</v>
          </cell>
          <cell r="V6745">
            <v>0</v>
          </cell>
          <cell r="W6745">
            <v>0</v>
          </cell>
          <cell r="X6745">
            <v>0</v>
          </cell>
          <cell r="Y6745">
            <v>0</v>
          </cell>
        </row>
        <row r="6746">
          <cell r="D6746">
            <v>305218</v>
          </cell>
          <cell r="E6746" t="str">
            <v>Macutay Palao National High School</v>
          </cell>
          <cell r="F6746">
            <v>1</v>
          </cell>
          <cell r="G6746">
            <v>0</v>
          </cell>
          <cell r="H6746">
            <v>1</v>
          </cell>
          <cell r="I6746">
            <v>0</v>
          </cell>
          <cell r="J6746">
            <v>0</v>
          </cell>
          <cell r="K6746">
            <v>1</v>
          </cell>
          <cell r="L6746">
            <v>0</v>
          </cell>
          <cell r="M6746">
            <v>0</v>
          </cell>
          <cell r="N6746">
            <v>1</v>
          </cell>
          <cell r="O6746">
            <v>0</v>
          </cell>
          <cell r="P6746">
            <v>0</v>
          </cell>
          <cell r="Q6746">
            <v>0</v>
          </cell>
          <cell r="R6746">
            <v>1</v>
          </cell>
          <cell r="S6746">
            <v>0</v>
          </cell>
          <cell r="T6746">
            <v>0</v>
          </cell>
          <cell r="U6746">
            <v>0</v>
          </cell>
          <cell r="V6746">
            <v>1</v>
          </cell>
          <cell r="W6746">
            <v>4</v>
          </cell>
          <cell r="X6746">
            <v>4</v>
          </cell>
          <cell r="Y6746">
            <v>0</v>
          </cell>
        </row>
        <row r="6747">
          <cell r="D6747">
            <v>305225</v>
          </cell>
          <cell r="E6747" t="str">
            <v>Tanudan Vocational School</v>
          </cell>
          <cell r="F6747">
            <v>1</v>
          </cell>
          <cell r="G6747">
            <v>1</v>
          </cell>
          <cell r="H6747">
            <v>0</v>
          </cell>
          <cell r="I6747">
            <v>0</v>
          </cell>
          <cell r="J6747">
            <v>1</v>
          </cell>
          <cell r="K6747">
            <v>0</v>
          </cell>
          <cell r="L6747">
            <v>0</v>
          </cell>
          <cell r="M6747">
            <v>0</v>
          </cell>
          <cell r="N6747">
            <v>1</v>
          </cell>
          <cell r="O6747" t="str">
            <v>July 15, 2019</v>
          </cell>
          <cell r="P6747">
            <v>0</v>
          </cell>
          <cell r="Q6747">
            <v>0</v>
          </cell>
          <cell r="R6747">
            <v>0</v>
          </cell>
          <cell r="S6747">
            <v>0</v>
          </cell>
          <cell r="T6747">
            <v>0</v>
          </cell>
          <cell r="U6747">
            <v>0</v>
          </cell>
          <cell r="V6747">
            <v>1</v>
          </cell>
          <cell r="W6747">
            <v>0</v>
          </cell>
          <cell r="X6747">
            <v>0</v>
          </cell>
          <cell r="Y6747">
            <v>0</v>
          </cell>
        </row>
        <row r="6748">
          <cell r="D6748">
            <v>305217</v>
          </cell>
          <cell r="E6748" t="str">
            <v>Rizal National School of Arts &amp; Trades</v>
          </cell>
          <cell r="F6748">
            <v>1</v>
          </cell>
          <cell r="G6748">
            <v>1</v>
          </cell>
          <cell r="H6748">
            <v>1</v>
          </cell>
          <cell r="I6748">
            <v>0</v>
          </cell>
          <cell r="J6748">
            <v>1</v>
          </cell>
          <cell r="K6748">
            <v>0</v>
          </cell>
          <cell r="L6748">
            <v>0</v>
          </cell>
          <cell r="M6748">
            <v>0</v>
          </cell>
          <cell r="N6748">
            <v>1</v>
          </cell>
          <cell r="O6748" t="str">
            <v>6/16/2019</v>
          </cell>
          <cell r="P6748">
            <v>43654</v>
          </cell>
          <cell r="Q6748">
            <v>0</v>
          </cell>
          <cell r="R6748">
            <v>1</v>
          </cell>
          <cell r="S6748">
            <v>0</v>
          </cell>
          <cell r="T6748">
            <v>0</v>
          </cell>
          <cell r="U6748">
            <v>0</v>
          </cell>
          <cell r="V6748">
            <v>1</v>
          </cell>
          <cell r="W6748">
            <v>0</v>
          </cell>
          <cell r="X6748">
            <v>0</v>
          </cell>
          <cell r="Y6748">
            <v>0</v>
          </cell>
        </row>
        <row r="6749">
          <cell r="D6749">
            <v>319102</v>
          </cell>
          <cell r="E6749" t="str">
            <v>Magtoma Pangol National High School - Dupligan Annex</v>
          </cell>
          <cell r="F6749">
            <v>1</v>
          </cell>
          <cell r="G6749">
            <v>1</v>
          </cell>
          <cell r="H6749">
            <v>0</v>
          </cell>
          <cell r="I6749">
            <v>0</v>
          </cell>
          <cell r="J6749">
            <v>1</v>
          </cell>
          <cell r="K6749">
            <v>0</v>
          </cell>
          <cell r="L6749">
            <v>0</v>
          </cell>
          <cell r="M6749">
            <v>0</v>
          </cell>
          <cell r="N6749">
            <v>1</v>
          </cell>
          <cell r="O6749">
            <v>43647</v>
          </cell>
          <cell r="P6749" t="str">
            <v>OCT. 20, 2019</v>
          </cell>
          <cell r="Q6749">
            <v>1</v>
          </cell>
          <cell r="R6749">
            <v>0</v>
          </cell>
          <cell r="S6749">
            <v>0</v>
          </cell>
          <cell r="T6749">
            <v>0</v>
          </cell>
          <cell r="U6749">
            <v>0</v>
          </cell>
          <cell r="V6749">
            <v>1</v>
          </cell>
          <cell r="W6749">
            <v>0</v>
          </cell>
          <cell r="X6749">
            <v>0</v>
          </cell>
          <cell r="Y6749">
            <v>0</v>
          </cell>
        </row>
        <row r="6750">
          <cell r="D6750">
            <v>305211</v>
          </cell>
          <cell r="E6750" t="str">
            <v>Magtoma Pangol National High School-Main</v>
          </cell>
          <cell r="F6750">
            <v>1</v>
          </cell>
          <cell r="G6750">
            <v>0</v>
          </cell>
          <cell r="H6750">
            <v>1</v>
          </cell>
          <cell r="I6750">
            <v>0</v>
          </cell>
          <cell r="J6750">
            <v>0</v>
          </cell>
          <cell r="K6750">
            <v>0</v>
          </cell>
          <cell r="L6750">
            <v>0</v>
          </cell>
          <cell r="M6750">
            <v>0</v>
          </cell>
          <cell r="N6750">
            <v>0</v>
          </cell>
          <cell r="O6750">
            <v>0</v>
          </cell>
          <cell r="P6750">
            <v>0</v>
          </cell>
          <cell r="Q6750">
            <v>0</v>
          </cell>
          <cell r="R6750">
            <v>1</v>
          </cell>
          <cell r="S6750">
            <v>0</v>
          </cell>
          <cell r="T6750">
            <v>0</v>
          </cell>
          <cell r="U6750">
            <v>0</v>
          </cell>
          <cell r="V6750">
            <v>0</v>
          </cell>
          <cell r="W6750">
            <v>0</v>
          </cell>
          <cell r="X6750">
            <v>0</v>
          </cell>
          <cell r="Y6750">
            <v>0</v>
          </cell>
        </row>
        <row r="6751">
          <cell r="D6751">
            <v>305199</v>
          </cell>
          <cell r="E6751" t="str">
            <v>Balbalan Agricultural and Industrial School</v>
          </cell>
          <cell r="F6751">
            <v>1</v>
          </cell>
          <cell r="G6751">
            <v>1</v>
          </cell>
          <cell r="H6751">
            <v>1</v>
          </cell>
          <cell r="I6751">
            <v>0</v>
          </cell>
          <cell r="J6751">
            <v>1</v>
          </cell>
          <cell r="K6751">
            <v>0</v>
          </cell>
          <cell r="L6751">
            <v>0</v>
          </cell>
          <cell r="M6751">
            <v>0</v>
          </cell>
          <cell r="N6751">
            <v>1</v>
          </cell>
          <cell r="O6751" t="str">
            <v>June 20, 2019</v>
          </cell>
          <cell r="P6751" t="str">
            <v>July 26, 2019</v>
          </cell>
          <cell r="Q6751">
            <v>0</v>
          </cell>
          <cell r="R6751">
            <v>1</v>
          </cell>
          <cell r="S6751">
            <v>0</v>
          </cell>
          <cell r="T6751">
            <v>0</v>
          </cell>
          <cell r="U6751">
            <v>0</v>
          </cell>
          <cell r="V6751">
            <v>0</v>
          </cell>
          <cell r="W6751">
            <v>0</v>
          </cell>
          <cell r="X6751">
            <v>0</v>
          </cell>
          <cell r="Y6751">
            <v>0</v>
          </cell>
        </row>
        <row r="6752">
          <cell r="D6752">
            <v>305227</v>
          </cell>
          <cell r="E6752" t="str">
            <v>Western Kalinga National High School</v>
          </cell>
          <cell r="F6752">
            <v>0</v>
          </cell>
          <cell r="G6752">
            <v>0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0</v>
          </cell>
          <cell r="M6752">
            <v>0</v>
          </cell>
          <cell r="N6752">
            <v>0</v>
          </cell>
          <cell r="O6752">
            <v>0</v>
          </cell>
          <cell r="P6752">
            <v>0</v>
          </cell>
          <cell r="Q6752">
            <v>0</v>
          </cell>
          <cell r="R6752">
            <v>0</v>
          </cell>
          <cell r="S6752">
            <v>0</v>
          </cell>
          <cell r="T6752">
            <v>0</v>
          </cell>
          <cell r="U6752">
            <v>0</v>
          </cell>
          <cell r="V6752">
            <v>0</v>
          </cell>
          <cell r="W6752">
            <v>0</v>
          </cell>
          <cell r="X6752">
            <v>0</v>
          </cell>
          <cell r="Y6752">
            <v>0</v>
          </cell>
        </row>
        <row r="6753">
          <cell r="D6753">
            <v>319115</v>
          </cell>
          <cell r="E6753" t="str">
            <v>Tinglayan National High School</v>
          </cell>
          <cell r="F6753">
            <v>1</v>
          </cell>
          <cell r="G6753">
            <v>1</v>
          </cell>
          <cell r="H6753">
            <v>0</v>
          </cell>
          <cell r="I6753">
            <v>0</v>
          </cell>
          <cell r="J6753">
            <v>1</v>
          </cell>
          <cell r="K6753">
            <v>0</v>
          </cell>
          <cell r="L6753">
            <v>0</v>
          </cell>
          <cell r="M6753">
            <v>0</v>
          </cell>
          <cell r="N6753">
            <v>1</v>
          </cell>
          <cell r="O6753">
            <v>0</v>
          </cell>
          <cell r="P6753">
            <v>0</v>
          </cell>
          <cell r="Q6753">
            <v>1</v>
          </cell>
          <cell r="R6753">
            <v>0</v>
          </cell>
          <cell r="S6753">
            <v>0</v>
          </cell>
          <cell r="T6753">
            <v>0</v>
          </cell>
          <cell r="U6753">
            <v>0</v>
          </cell>
          <cell r="V6753">
            <v>1</v>
          </cell>
          <cell r="W6753">
            <v>0</v>
          </cell>
          <cell r="X6753">
            <v>0</v>
          </cell>
          <cell r="Y6753">
            <v>0</v>
          </cell>
        </row>
        <row r="6754">
          <cell r="D6754">
            <v>305223</v>
          </cell>
          <cell r="E6754" t="str">
            <v>Lubuagan National High School</v>
          </cell>
          <cell r="F6754">
            <v>1</v>
          </cell>
          <cell r="G6754">
            <v>1</v>
          </cell>
          <cell r="H6754">
            <v>1</v>
          </cell>
          <cell r="I6754">
            <v>0</v>
          </cell>
          <cell r="J6754">
            <v>0</v>
          </cell>
          <cell r="K6754">
            <v>0</v>
          </cell>
          <cell r="L6754">
            <v>0</v>
          </cell>
          <cell r="M6754">
            <v>0</v>
          </cell>
          <cell r="N6754">
            <v>1</v>
          </cell>
          <cell r="O6754">
            <v>0</v>
          </cell>
          <cell r="P6754" t="str">
            <v xml:space="preserve">anytime </v>
          </cell>
          <cell r="Q6754">
            <v>0</v>
          </cell>
          <cell r="R6754">
            <v>0</v>
          </cell>
          <cell r="S6754">
            <v>0</v>
          </cell>
          <cell r="T6754">
            <v>1</v>
          </cell>
          <cell r="U6754">
            <v>0</v>
          </cell>
          <cell r="V6754">
            <v>1</v>
          </cell>
          <cell r="W6754">
            <v>0</v>
          </cell>
          <cell r="X6754">
            <v>0</v>
          </cell>
          <cell r="Y6754">
            <v>0</v>
          </cell>
        </row>
        <row r="6755">
          <cell r="D6755">
            <v>305197</v>
          </cell>
          <cell r="E6755" t="str">
            <v>Allaguia National High School</v>
          </cell>
          <cell r="F6755">
            <v>1</v>
          </cell>
          <cell r="G6755">
            <v>0</v>
          </cell>
          <cell r="H6755">
            <v>1</v>
          </cell>
          <cell r="I6755">
            <v>0</v>
          </cell>
          <cell r="J6755">
            <v>1</v>
          </cell>
          <cell r="K6755">
            <v>0</v>
          </cell>
          <cell r="L6755">
            <v>0</v>
          </cell>
          <cell r="M6755">
            <v>0</v>
          </cell>
          <cell r="N6755">
            <v>1</v>
          </cell>
          <cell r="O6755">
            <v>43647</v>
          </cell>
          <cell r="P6755">
            <v>0</v>
          </cell>
          <cell r="Q6755">
            <v>0</v>
          </cell>
          <cell r="R6755">
            <v>1</v>
          </cell>
          <cell r="S6755">
            <v>0</v>
          </cell>
          <cell r="T6755">
            <v>0</v>
          </cell>
          <cell r="U6755">
            <v>0</v>
          </cell>
          <cell r="V6755">
            <v>0</v>
          </cell>
          <cell r="W6755">
            <v>0</v>
          </cell>
          <cell r="X6755">
            <v>0</v>
          </cell>
          <cell r="Y6755">
            <v>0</v>
          </cell>
        </row>
        <row r="6756">
          <cell r="D6756">
            <v>305219</v>
          </cell>
          <cell r="E6756" t="str">
            <v>Sumadel National High School</v>
          </cell>
          <cell r="F6756">
            <v>1</v>
          </cell>
          <cell r="G6756">
            <v>1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>
            <v>0</v>
          </cell>
          <cell r="M6756">
            <v>0</v>
          </cell>
          <cell r="N6756">
            <v>0</v>
          </cell>
          <cell r="O6756">
            <v>0</v>
          </cell>
          <cell r="P6756">
            <v>0</v>
          </cell>
          <cell r="Q6756">
            <v>0</v>
          </cell>
          <cell r="R6756">
            <v>0</v>
          </cell>
          <cell r="S6756">
            <v>0</v>
          </cell>
          <cell r="T6756">
            <v>0</v>
          </cell>
          <cell r="U6756">
            <v>0</v>
          </cell>
          <cell r="V6756">
            <v>0</v>
          </cell>
          <cell r="W6756">
            <v>0</v>
          </cell>
          <cell r="X6756">
            <v>0</v>
          </cell>
          <cell r="Y6756">
            <v>0</v>
          </cell>
        </row>
        <row r="6757">
          <cell r="D6757">
            <v>319114</v>
          </cell>
          <cell r="E6757" t="str">
            <v>Santor National High School</v>
          </cell>
          <cell r="F6757">
            <v>0</v>
          </cell>
          <cell r="G6757">
            <v>0</v>
          </cell>
          <cell r="H6757">
            <v>1</v>
          </cell>
          <cell r="I6757">
            <v>0</v>
          </cell>
          <cell r="J6757">
            <v>0</v>
          </cell>
          <cell r="K6757">
            <v>1</v>
          </cell>
          <cell r="L6757">
            <v>0</v>
          </cell>
          <cell r="M6757">
            <v>0</v>
          </cell>
          <cell r="N6757">
            <v>1</v>
          </cell>
          <cell r="O6757" t="str">
            <v>JUNE 14, 2019</v>
          </cell>
          <cell r="P6757">
            <v>0</v>
          </cell>
          <cell r="Q6757">
            <v>0</v>
          </cell>
          <cell r="R6757">
            <v>0</v>
          </cell>
          <cell r="S6757">
            <v>0</v>
          </cell>
          <cell r="T6757">
            <v>0</v>
          </cell>
          <cell r="U6757">
            <v>0</v>
          </cell>
          <cell r="V6757">
            <v>0</v>
          </cell>
          <cell r="W6757">
            <v>0</v>
          </cell>
          <cell r="X6757">
            <v>0</v>
          </cell>
          <cell r="Y6757">
            <v>0</v>
          </cell>
        </row>
        <row r="6758">
          <cell r="D6758">
            <v>305209</v>
          </cell>
          <cell r="E6758" t="str">
            <v>Kinama National High School</v>
          </cell>
          <cell r="F6758">
            <v>0</v>
          </cell>
          <cell r="G6758">
            <v>0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0</v>
          </cell>
          <cell r="M6758">
            <v>0</v>
          </cell>
          <cell r="N6758">
            <v>0</v>
          </cell>
          <cell r="O6758">
            <v>0</v>
          </cell>
          <cell r="P6758">
            <v>0</v>
          </cell>
          <cell r="Q6758">
            <v>0</v>
          </cell>
          <cell r="R6758">
            <v>0</v>
          </cell>
          <cell r="S6758">
            <v>0</v>
          </cell>
          <cell r="T6758">
            <v>0</v>
          </cell>
          <cell r="U6758">
            <v>0</v>
          </cell>
          <cell r="V6758">
            <v>0</v>
          </cell>
          <cell r="W6758">
            <v>0</v>
          </cell>
          <cell r="X6758">
            <v>0</v>
          </cell>
          <cell r="Y6758">
            <v>0</v>
          </cell>
        </row>
        <row r="6759">
          <cell r="D6759">
            <v>319106</v>
          </cell>
          <cell r="E6759" t="str">
            <v>Taloctoc General Comprehensive National High School</v>
          </cell>
          <cell r="F6759">
            <v>0</v>
          </cell>
          <cell r="G6759">
            <v>0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0</v>
          </cell>
          <cell r="M6759">
            <v>0</v>
          </cell>
          <cell r="N6759">
            <v>0</v>
          </cell>
          <cell r="O6759">
            <v>0</v>
          </cell>
          <cell r="P6759">
            <v>0</v>
          </cell>
          <cell r="Q6759">
            <v>0</v>
          </cell>
          <cell r="R6759">
            <v>0</v>
          </cell>
          <cell r="S6759">
            <v>0</v>
          </cell>
          <cell r="T6759">
            <v>0</v>
          </cell>
          <cell r="U6759">
            <v>0</v>
          </cell>
          <cell r="V6759">
            <v>0</v>
          </cell>
          <cell r="W6759">
            <v>0</v>
          </cell>
          <cell r="X6759">
            <v>0</v>
          </cell>
          <cell r="Y6759">
            <v>0</v>
          </cell>
        </row>
        <row r="6760">
          <cell r="D6760">
            <v>340131</v>
          </cell>
          <cell r="E6760" t="str">
            <v>SHS in Lubuagan, Kalinga</v>
          </cell>
          <cell r="F6760">
            <v>0</v>
          </cell>
          <cell r="G6760">
            <v>0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>
            <v>0</v>
          </cell>
          <cell r="M6760">
            <v>0</v>
          </cell>
          <cell r="N6760">
            <v>0</v>
          </cell>
          <cell r="O6760">
            <v>0</v>
          </cell>
          <cell r="P6760">
            <v>0</v>
          </cell>
          <cell r="Q6760">
            <v>0</v>
          </cell>
          <cell r="R6760">
            <v>0</v>
          </cell>
          <cell r="S6760">
            <v>0</v>
          </cell>
          <cell r="T6760">
            <v>0</v>
          </cell>
          <cell r="U6760">
            <v>0</v>
          </cell>
          <cell r="V6760">
            <v>0</v>
          </cell>
          <cell r="W6760">
            <v>0</v>
          </cell>
          <cell r="X6760">
            <v>0</v>
          </cell>
          <cell r="Y6760">
            <v>0</v>
          </cell>
        </row>
        <row r="6761">
          <cell r="D6761">
            <v>305220</v>
          </cell>
          <cell r="E6761" t="str">
            <v>Bangad National High School</v>
          </cell>
          <cell r="F6761">
            <v>0</v>
          </cell>
          <cell r="G6761">
            <v>0</v>
          </cell>
          <cell r="H6761">
            <v>1</v>
          </cell>
          <cell r="I6761">
            <v>0</v>
          </cell>
          <cell r="J6761">
            <v>1</v>
          </cell>
          <cell r="K6761">
            <v>0</v>
          </cell>
          <cell r="L6761">
            <v>0</v>
          </cell>
          <cell r="M6761">
            <v>0</v>
          </cell>
          <cell r="N6761">
            <v>0</v>
          </cell>
          <cell r="O6761">
            <v>0</v>
          </cell>
          <cell r="P6761">
            <v>0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>
            <v>0</v>
          </cell>
          <cell r="V6761">
            <v>0</v>
          </cell>
          <cell r="W6761">
            <v>0</v>
          </cell>
          <cell r="X6761">
            <v>0</v>
          </cell>
          <cell r="Y6761">
            <v>0</v>
          </cell>
        </row>
        <row r="6762">
          <cell r="D6762">
            <v>305202</v>
          </cell>
          <cell r="E6762" t="str">
            <v>Cawagayan National High School</v>
          </cell>
          <cell r="F6762">
            <v>1</v>
          </cell>
          <cell r="G6762">
            <v>1</v>
          </cell>
          <cell r="H6762">
            <v>1</v>
          </cell>
          <cell r="I6762">
            <v>1</v>
          </cell>
          <cell r="J6762">
            <v>0</v>
          </cell>
          <cell r="K6762">
            <v>0</v>
          </cell>
          <cell r="L6762">
            <v>1</v>
          </cell>
          <cell r="M6762" t="str">
            <v>AS THE NEED ARISES</v>
          </cell>
          <cell r="N6762">
            <v>1</v>
          </cell>
          <cell r="O6762" t="str">
            <v>JULY 31, 2019</v>
          </cell>
          <cell r="P6762" t="str">
            <v>JULY 20, 2019</v>
          </cell>
          <cell r="Q6762">
            <v>0</v>
          </cell>
          <cell r="R6762">
            <v>1</v>
          </cell>
          <cell r="S6762">
            <v>0</v>
          </cell>
          <cell r="T6762">
            <v>0</v>
          </cell>
          <cell r="U6762">
            <v>0</v>
          </cell>
          <cell r="V6762">
            <v>0</v>
          </cell>
          <cell r="W6762">
            <v>2</v>
          </cell>
          <cell r="X6762">
            <v>2</v>
          </cell>
          <cell r="Y6762">
            <v>2</v>
          </cell>
        </row>
        <row r="6763">
          <cell r="D6763">
            <v>305216</v>
          </cell>
          <cell r="E6763" t="str">
            <v>Pinukpuk Vocational School</v>
          </cell>
          <cell r="F6763">
            <v>0</v>
          </cell>
          <cell r="G6763">
            <v>0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0</v>
          </cell>
          <cell r="M6763">
            <v>0</v>
          </cell>
          <cell r="N6763">
            <v>0</v>
          </cell>
          <cell r="O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0</v>
          </cell>
          <cell r="U6763">
            <v>0</v>
          </cell>
          <cell r="V6763">
            <v>0</v>
          </cell>
          <cell r="W6763">
            <v>0</v>
          </cell>
          <cell r="X6763">
            <v>0</v>
          </cell>
          <cell r="Y6763">
            <v>0</v>
          </cell>
        </row>
        <row r="6764">
          <cell r="D6764">
            <v>305208</v>
          </cell>
          <cell r="E6764" t="str">
            <v>Southern Tinglayan National High School</v>
          </cell>
          <cell r="F6764">
            <v>1</v>
          </cell>
          <cell r="G6764">
            <v>1</v>
          </cell>
          <cell r="H6764">
            <v>1</v>
          </cell>
          <cell r="I6764">
            <v>0</v>
          </cell>
          <cell r="J6764">
            <v>1</v>
          </cell>
          <cell r="K6764">
            <v>0</v>
          </cell>
          <cell r="L6764">
            <v>0</v>
          </cell>
          <cell r="M6764">
            <v>0</v>
          </cell>
          <cell r="N6764">
            <v>1</v>
          </cell>
          <cell r="O6764">
            <v>0</v>
          </cell>
          <cell r="P6764">
            <v>0</v>
          </cell>
          <cell r="Q6764">
            <v>0</v>
          </cell>
          <cell r="R6764">
            <v>1</v>
          </cell>
          <cell r="S6764">
            <v>0</v>
          </cell>
          <cell r="T6764">
            <v>0</v>
          </cell>
          <cell r="U6764">
            <v>0</v>
          </cell>
          <cell r="V6764">
            <v>1</v>
          </cell>
          <cell r="W6764">
            <v>0</v>
          </cell>
          <cell r="X6764">
            <v>0</v>
          </cell>
          <cell r="Y6764">
            <v>0</v>
          </cell>
        </row>
        <row r="6765">
          <cell r="D6765">
            <v>305255</v>
          </cell>
          <cell r="E6765" t="str">
            <v>Mt. Prov. Gen. Comprehensive HS</v>
          </cell>
          <cell r="F6765">
            <v>0</v>
          </cell>
          <cell r="G6765">
            <v>0</v>
          </cell>
          <cell r="H6765">
            <v>1</v>
          </cell>
          <cell r="I6765">
            <v>0</v>
          </cell>
          <cell r="J6765">
            <v>0</v>
          </cell>
          <cell r="K6765">
            <v>1</v>
          </cell>
          <cell r="L6765">
            <v>0</v>
          </cell>
          <cell r="M6765">
            <v>0</v>
          </cell>
          <cell r="N6765">
            <v>1</v>
          </cell>
          <cell r="O6765">
            <v>0</v>
          </cell>
          <cell r="P6765">
            <v>0</v>
          </cell>
          <cell r="Q6765">
            <v>1</v>
          </cell>
          <cell r="R6765">
            <v>0</v>
          </cell>
          <cell r="S6765">
            <v>0</v>
          </cell>
          <cell r="T6765">
            <v>0</v>
          </cell>
          <cell r="U6765">
            <v>0</v>
          </cell>
          <cell r="V6765">
            <v>0</v>
          </cell>
          <cell r="W6765">
            <v>0</v>
          </cell>
          <cell r="X6765">
            <v>0</v>
          </cell>
          <cell r="Y6765">
            <v>0</v>
          </cell>
        </row>
        <row r="6766">
          <cell r="D6766">
            <v>305251</v>
          </cell>
          <cell r="E6766" t="str">
            <v>Masla National High School</v>
          </cell>
          <cell r="F6766">
            <v>1</v>
          </cell>
          <cell r="G6766">
            <v>1</v>
          </cell>
          <cell r="H6766">
            <v>1</v>
          </cell>
          <cell r="I6766">
            <v>0</v>
          </cell>
          <cell r="J6766">
            <v>1</v>
          </cell>
          <cell r="K6766">
            <v>0</v>
          </cell>
          <cell r="L6766">
            <v>0</v>
          </cell>
          <cell r="M6766">
            <v>0</v>
          </cell>
          <cell r="N6766">
            <v>1</v>
          </cell>
          <cell r="O6766" t="str">
            <v>Sept. 7, 2019</v>
          </cell>
          <cell r="P6766">
            <v>0</v>
          </cell>
          <cell r="Q6766">
            <v>0</v>
          </cell>
          <cell r="R6766">
            <v>1</v>
          </cell>
          <cell r="S6766">
            <v>0</v>
          </cell>
          <cell r="T6766">
            <v>0</v>
          </cell>
          <cell r="U6766">
            <v>0</v>
          </cell>
          <cell r="V6766">
            <v>1</v>
          </cell>
          <cell r="W6766">
            <v>2</v>
          </cell>
          <cell r="X6766">
            <v>2</v>
          </cell>
          <cell r="Y6766">
            <v>2</v>
          </cell>
        </row>
        <row r="6767">
          <cell r="D6767">
            <v>305260</v>
          </cell>
          <cell r="E6767" t="str">
            <v>Panabungen School of Arts, trades, and Home Industries</v>
          </cell>
          <cell r="F6767">
            <v>1</v>
          </cell>
          <cell r="G6767">
            <v>0</v>
          </cell>
          <cell r="H6767">
            <v>1</v>
          </cell>
          <cell r="I6767">
            <v>0</v>
          </cell>
          <cell r="J6767">
            <v>0</v>
          </cell>
          <cell r="K6767">
            <v>1</v>
          </cell>
          <cell r="L6767">
            <v>0</v>
          </cell>
          <cell r="M6767">
            <v>0</v>
          </cell>
          <cell r="N6767">
            <v>1</v>
          </cell>
          <cell r="O6767">
            <v>0</v>
          </cell>
          <cell r="P6767">
            <v>0</v>
          </cell>
          <cell r="Q6767">
            <v>0</v>
          </cell>
          <cell r="R6767">
            <v>0</v>
          </cell>
          <cell r="S6767">
            <v>0</v>
          </cell>
          <cell r="T6767">
            <v>0</v>
          </cell>
          <cell r="U6767">
            <v>0</v>
          </cell>
          <cell r="V6767">
            <v>0</v>
          </cell>
          <cell r="W6767">
            <v>0</v>
          </cell>
          <cell r="X6767">
            <v>0</v>
          </cell>
          <cell r="Y6767">
            <v>0</v>
          </cell>
        </row>
        <row r="6768">
          <cell r="D6768">
            <v>305262</v>
          </cell>
          <cell r="E6768" t="str">
            <v>Pingad National High School</v>
          </cell>
          <cell r="F6768">
            <v>1</v>
          </cell>
          <cell r="G6768">
            <v>1</v>
          </cell>
          <cell r="H6768">
            <v>1</v>
          </cell>
          <cell r="I6768">
            <v>0</v>
          </cell>
          <cell r="J6768">
            <v>1</v>
          </cell>
          <cell r="K6768">
            <v>0</v>
          </cell>
          <cell r="L6768">
            <v>0</v>
          </cell>
          <cell r="M6768">
            <v>0</v>
          </cell>
          <cell r="N6768">
            <v>0</v>
          </cell>
          <cell r="O6768">
            <v>0</v>
          </cell>
          <cell r="P6768">
            <v>0</v>
          </cell>
          <cell r="Q6768">
            <v>0</v>
          </cell>
          <cell r="R6768">
            <v>1</v>
          </cell>
          <cell r="S6768">
            <v>0</v>
          </cell>
          <cell r="T6768">
            <v>0</v>
          </cell>
          <cell r="U6768">
            <v>0</v>
          </cell>
          <cell r="V6768">
            <v>1</v>
          </cell>
          <cell r="W6768">
            <v>1</v>
          </cell>
          <cell r="X6768">
            <v>1</v>
          </cell>
          <cell r="Y6768">
            <v>0</v>
          </cell>
        </row>
        <row r="6769">
          <cell r="D6769">
            <v>305263</v>
          </cell>
          <cell r="E6769" t="str">
            <v>Sabangan National High School</v>
          </cell>
          <cell r="F6769">
            <v>1</v>
          </cell>
          <cell r="G6769">
            <v>1</v>
          </cell>
          <cell r="H6769">
            <v>1</v>
          </cell>
          <cell r="I6769">
            <v>0</v>
          </cell>
          <cell r="J6769">
            <v>1</v>
          </cell>
          <cell r="K6769">
            <v>0</v>
          </cell>
          <cell r="L6769">
            <v>0</v>
          </cell>
          <cell r="M6769">
            <v>0</v>
          </cell>
          <cell r="N6769">
            <v>1</v>
          </cell>
          <cell r="O6769">
            <v>0</v>
          </cell>
          <cell r="P6769" t="str">
            <v>June 8, 2019</v>
          </cell>
          <cell r="Q6769">
            <v>0</v>
          </cell>
          <cell r="R6769">
            <v>0</v>
          </cell>
          <cell r="S6769">
            <v>1</v>
          </cell>
          <cell r="T6769">
            <v>0</v>
          </cell>
          <cell r="U6769">
            <v>0</v>
          </cell>
          <cell r="V6769">
            <v>1</v>
          </cell>
          <cell r="W6769">
            <v>8</v>
          </cell>
          <cell r="X6769">
            <v>8</v>
          </cell>
          <cell r="Y6769">
            <v>0</v>
          </cell>
        </row>
        <row r="6770">
          <cell r="D6770">
            <v>305239</v>
          </cell>
          <cell r="E6770" t="str">
            <v>Butigue National High School</v>
          </cell>
          <cell r="F6770">
            <v>1</v>
          </cell>
          <cell r="G6770">
            <v>1</v>
          </cell>
          <cell r="H6770">
            <v>1</v>
          </cell>
          <cell r="I6770">
            <v>0</v>
          </cell>
          <cell r="J6770">
            <v>0</v>
          </cell>
          <cell r="K6770">
            <v>0</v>
          </cell>
          <cell r="L6770">
            <v>0</v>
          </cell>
          <cell r="M6770">
            <v>0</v>
          </cell>
          <cell r="N6770">
            <v>1</v>
          </cell>
          <cell r="O6770">
            <v>43689</v>
          </cell>
          <cell r="P6770">
            <v>43717</v>
          </cell>
          <cell r="Q6770">
            <v>0</v>
          </cell>
          <cell r="R6770">
            <v>1</v>
          </cell>
          <cell r="S6770">
            <v>0</v>
          </cell>
          <cell r="T6770">
            <v>0</v>
          </cell>
          <cell r="U6770">
            <v>0</v>
          </cell>
          <cell r="V6770">
            <v>1</v>
          </cell>
          <cell r="W6770">
            <v>0</v>
          </cell>
          <cell r="X6770">
            <v>0</v>
          </cell>
          <cell r="Y6770">
            <v>0</v>
          </cell>
        </row>
        <row r="6771">
          <cell r="D6771">
            <v>319220</v>
          </cell>
          <cell r="E6771" t="str">
            <v>Anonat National Agricultural and Vocational High School</v>
          </cell>
          <cell r="F6771">
            <v>0</v>
          </cell>
          <cell r="G6771">
            <v>0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>
            <v>0</v>
          </cell>
          <cell r="M6771">
            <v>0</v>
          </cell>
          <cell r="N6771">
            <v>0</v>
          </cell>
          <cell r="O6771">
            <v>0</v>
          </cell>
          <cell r="P6771">
            <v>43765</v>
          </cell>
          <cell r="Q6771">
            <v>0</v>
          </cell>
          <cell r="R6771">
            <v>0</v>
          </cell>
          <cell r="S6771">
            <v>0</v>
          </cell>
          <cell r="T6771">
            <v>0</v>
          </cell>
          <cell r="U6771">
            <v>0</v>
          </cell>
          <cell r="V6771">
            <v>0</v>
          </cell>
          <cell r="W6771">
            <v>0</v>
          </cell>
          <cell r="X6771">
            <v>0</v>
          </cell>
          <cell r="Y6771">
            <v>0</v>
          </cell>
        </row>
        <row r="6772">
          <cell r="D6772">
            <v>319217</v>
          </cell>
          <cell r="E6772" t="str">
            <v>Dacudac National High School</v>
          </cell>
          <cell r="F6772">
            <v>1</v>
          </cell>
          <cell r="G6772">
            <v>0</v>
          </cell>
          <cell r="H6772">
            <v>1</v>
          </cell>
          <cell r="I6772">
            <v>0</v>
          </cell>
          <cell r="J6772">
            <v>1</v>
          </cell>
          <cell r="K6772">
            <v>0</v>
          </cell>
          <cell r="L6772">
            <v>0</v>
          </cell>
          <cell r="M6772">
            <v>0</v>
          </cell>
          <cell r="N6772">
            <v>1</v>
          </cell>
          <cell r="O6772" t="str">
            <v>June 4, 2019</v>
          </cell>
          <cell r="P6772" t="str">
            <v>June 4, 2019</v>
          </cell>
          <cell r="Q6772">
            <v>0</v>
          </cell>
          <cell r="R6772">
            <v>1</v>
          </cell>
          <cell r="S6772">
            <v>0</v>
          </cell>
          <cell r="T6772">
            <v>0</v>
          </cell>
          <cell r="U6772">
            <v>0</v>
          </cell>
          <cell r="V6772">
            <v>1</v>
          </cell>
          <cell r="W6772">
            <v>0</v>
          </cell>
          <cell r="X6772">
            <v>0</v>
          </cell>
          <cell r="Y6772">
            <v>0</v>
          </cell>
        </row>
        <row r="6773">
          <cell r="D6773">
            <v>305259</v>
          </cell>
          <cell r="E6773" t="str">
            <v>Otucan-Bila National High School</v>
          </cell>
          <cell r="F6773">
            <v>1</v>
          </cell>
          <cell r="G6773">
            <v>1</v>
          </cell>
          <cell r="H6773">
            <v>1</v>
          </cell>
          <cell r="I6773">
            <v>0</v>
          </cell>
          <cell r="J6773">
            <v>0</v>
          </cell>
          <cell r="K6773">
            <v>1</v>
          </cell>
          <cell r="L6773">
            <v>0</v>
          </cell>
          <cell r="M6773">
            <v>0</v>
          </cell>
          <cell r="N6773">
            <v>1</v>
          </cell>
          <cell r="O6773" t="str">
            <v>Sept. 2019</v>
          </cell>
          <cell r="P6773" t="str">
            <v>Sept. 2019</v>
          </cell>
          <cell r="Q6773">
            <v>0</v>
          </cell>
          <cell r="R6773">
            <v>1</v>
          </cell>
          <cell r="S6773">
            <v>0</v>
          </cell>
          <cell r="T6773">
            <v>0</v>
          </cell>
          <cell r="U6773">
            <v>0</v>
          </cell>
          <cell r="V6773">
            <v>1</v>
          </cell>
          <cell r="W6773">
            <v>0</v>
          </cell>
          <cell r="X6773">
            <v>0</v>
          </cell>
          <cell r="Y6773">
            <v>0</v>
          </cell>
        </row>
        <row r="6774">
          <cell r="D6774">
            <v>340155</v>
          </cell>
          <cell r="E6774" t="str">
            <v>Natonin Stand Alone Senior High School</v>
          </cell>
          <cell r="F6774">
            <v>1</v>
          </cell>
          <cell r="G6774">
            <v>0</v>
          </cell>
          <cell r="H6774">
            <v>1</v>
          </cell>
          <cell r="I6774">
            <v>0</v>
          </cell>
          <cell r="J6774">
            <v>1</v>
          </cell>
          <cell r="K6774">
            <v>0</v>
          </cell>
          <cell r="L6774">
            <v>0</v>
          </cell>
          <cell r="M6774">
            <v>0</v>
          </cell>
          <cell r="N6774">
            <v>1</v>
          </cell>
          <cell r="O6774" t="str">
            <v>JUY 12,2019</v>
          </cell>
          <cell r="P6774">
            <v>43648</v>
          </cell>
          <cell r="Q6774">
            <v>0</v>
          </cell>
          <cell r="R6774">
            <v>0</v>
          </cell>
          <cell r="S6774">
            <v>0</v>
          </cell>
          <cell r="T6774">
            <v>0</v>
          </cell>
          <cell r="U6774">
            <v>0</v>
          </cell>
          <cell r="V6774">
            <v>0</v>
          </cell>
          <cell r="W6774">
            <v>2</v>
          </cell>
          <cell r="X6774">
            <v>0</v>
          </cell>
          <cell r="Y6774">
            <v>0</v>
          </cell>
        </row>
        <row r="6775">
          <cell r="D6775">
            <v>305231</v>
          </cell>
          <cell r="E6775" t="str">
            <v>Paracelis Technical &amp; Vocational High School</v>
          </cell>
          <cell r="F6775">
            <v>1</v>
          </cell>
          <cell r="G6775">
            <v>0</v>
          </cell>
          <cell r="H6775">
            <v>1</v>
          </cell>
          <cell r="I6775">
            <v>0</v>
          </cell>
          <cell r="J6775">
            <v>0</v>
          </cell>
          <cell r="K6775">
            <v>1</v>
          </cell>
          <cell r="L6775">
            <v>1</v>
          </cell>
          <cell r="M6775" t="str">
            <v>WHEN THERE ARE CASES</v>
          </cell>
          <cell r="N6775">
            <v>0</v>
          </cell>
          <cell r="O6775" t="str">
            <v>NONE</v>
          </cell>
          <cell r="P6775">
            <v>0</v>
          </cell>
          <cell r="Q6775">
            <v>0</v>
          </cell>
          <cell r="R6775">
            <v>0</v>
          </cell>
          <cell r="S6775">
            <v>0</v>
          </cell>
          <cell r="T6775">
            <v>0</v>
          </cell>
          <cell r="U6775">
            <v>0</v>
          </cell>
          <cell r="V6775">
            <v>0</v>
          </cell>
          <cell r="W6775">
            <v>0</v>
          </cell>
          <cell r="X6775">
            <v>0</v>
          </cell>
          <cell r="Y6775">
            <v>0</v>
          </cell>
        </row>
        <row r="6776">
          <cell r="D6776">
            <v>305267</v>
          </cell>
          <cell r="E6776" t="str">
            <v>Tadian School of Arts &amp; Trades</v>
          </cell>
          <cell r="F6776">
            <v>1</v>
          </cell>
          <cell r="G6776">
            <v>0</v>
          </cell>
          <cell r="H6776">
            <v>1</v>
          </cell>
          <cell r="I6776">
            <v>0</v>
          </cell>
          <cell r="J6776">
            <v>1</v>
          </cell>
          <cell r="K6776">
            <v>0</v>
          </cell>
          <cell r="L6776">
            <v>0</v>
          </cell>
          <cell r="M6776">
            <v>0</v>
          </cell>
          <cell r="N6776">
            <v>0</v>
          </cell>
          <cell r="O6776">
            <v>0</v>
          </cell>
          <cell r="P6776">
            <v>0</v>
          </cell>
          <cell r="Q6776">
            <v>0</v>
          </cell>
          <cell r="R6776">
            <v>0</v>
          </cell>
          <cell r="S6776">
            <v>0</v>
          </cell>
          <cell r="T6776">
            <v>1</v>
          </cell>
          <cell r="U6776" t="str">
            <v>When reports reach the school authorities</v>
          </cell>
          <cell r="V6776">
            <v>1</v>
          </cell>
          <cell r="W6776">
            <v>1</v>
          </cell>
          <cell r="X6776">
            <v>0</v>
          </cell>
          <cell r="Y6776">
            <v>0</v>
          </cell>
        </row>
        <row r="6777">
          <cell r="D6777">
            <v>305264</v>
          </cell>
          <cell r="E6777" t="str">
            <v>Sadanga National Technical Vocational and Skills Training High School</v>
          </cell>
          <cell r="F6777">
            <v>1</v>
          </cell>
          <cell r="G6777">
            <v>0</v>
          </cell>
          <cell r="H6777">
            <v>1</v>
          </cell>
          <cell r="I6777">
            <v>0</v>
          </cell>
          <cell r="J6777">
            <v>0</v>
          </cell>
          <cell r="K6777">
            <v>0</v>
          </cell>
          <cell r="L6777">
            <v>1</v>
          </cell>
          <cell r="M6777" t="str">
            <v>as needs arises</v>
          </cell>
          <cell r="N6777">
            <v>0</v>
          </cell>
          <cell r="O6777" t="str">
            <v>n/a</v>
          </cell>
          <cell r="P6777" t="str">
            <v>n/a</v>
          </cell>
          <cell r="Q6777">
            <v>0</v>
          </cell>
          <cell r="R6777">
            <v>0</v>
          </cell>
          <cell r="S6777">
            <v>0</v>
          </cell>
          <cell r="T6777">
            <v>1</v>
          </cell>
          <cell r="U6777" t="str">
            <v>no store within 300km away from the school</v>
          </cell>
          <cell r="V6777">
            <v>0</v>
          </cell>
          <cell r="W6777">
            <v>0</v>
          </cell>
          <cell r="X6777">
            <v>0</v>
          </cell>
          <cell r="Y6777">
            <v>0</v>
          </cell>
        </row>
        <row r="6778">
          <cell r="D6778">
            <v>305244</v>
          </cell>
          <cell r="E6778" t="str">
            <v>Guinzadan National High School</v>
          </cell>
          <cell r="F6778">
            <v>1</v>
          </cell>
          <cell r="G6778">
            <v>1</v>
          </cell>
          <cell r="H6778">
            <v>1</v>
          </cell>
          <cell r="I6778">
            <v>1</v>
          </cell>
          <cell r="J6778">
            <v>1</v>
          </cell>
          <cell r="K6778">
            <v>0</v>
          </cell>
          <cell r="L6778">
            <v>0</v>
          </cell>
          <cell r="M6778">
            <v>0</v>
          </cell>
          <cell r="N6778">
            <v>1</v>
          </cell>
          <cell r="O6778" t="str">
            <v>August 27, 2019</v>
          </cell>
          <cell r="P6778" t="str">
            <v>August 27, 2019</v>
          </cell>
          <cell r="Q6778">
            <v>0</v>
          </cell>
          <cell r="R6778">
            <v>1</v>
          </cell>
          <cell r="S6778">
            <v>0</v>
          </cell>
          <cell r="T6778">
            <v>0</v>
          </cell>
          <cell r="U6778">
            <v>0</v>
          </cell>
          <cell r="V6778">
            <v>1</v>
          </cell>
          <cell r="W6778">
            <v>2</v>
          </cell>
          <cell r="X6778">
            <v>0</v>
          </cell>
          <cell r="Y6778">
            <v>0</v>
          </cell>
        </row>
        <row r="6779">
          <cell r="D6779">
            <v>305265</v>
          </cell>
          <cell r="E6779" t="str">
            <v>Sagada National High School</v>
          </cell>
          <cell r="F6779">
            <v>1</v>
          </cell>
          <cell r="G6779">
            <v>1</v>
          </cell>
          <cell r="H6779">
            <v>1</v>
          </cell>
          <cell r="I6779">
            <v>0</v>
          </cell>
          <cell r="J6779">
            <v>1</v>
          </cell>
          <cell r="K6779">
            <v>0</v>
          </cell>
          <cell r="L6779">
            <v>0</v>
          </cell>
          <cell r="M6779">
            <v>0</v>
          </cell>
          <cell r="N6779">
            <v>1</v>
          </cell>
          <cell r="O6779" t="str">
            <v>August, 2019</v>
          </cell>
          <cell r="P6779" t="str">
            <v>August, 2019</v>
          </cell>
          <cell r="Q6779">
            <v>0</v>
          </cell>
          <cell r="R6779">
            <v>1</v>
          </cell>
          <cell r="S6779">
            <v>0</v>
          </cell>
          <cell r="T6779">
            <v>0</v>
          </cell>
          <cell r="U6779">
            <v>0</v>
          </cell>
          <cell r="V6779">
            <v>1</v>
          </cell>
          <cell r="W6779">
            <v>4</v>
          </cell>
          <cell r="X6779">
            <v>3</v>
          </cell>
          <cell r="Y6779">
            <v>4</v>
          </cell>
        </row>
        <row r="6780">
          <cell r="D6780">
            <v>305230</v>
          </cell>
          <cell r="E6780" t="str">
            <v>Bacarri National Trade &amp; Agricultural School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0</v>
          </cell>
          <cell r="M6780">
            <v>0</v>
          </cell>
          <cell r="N6780">
            <v>0</v>
          </cell>
          <cell r="O6780">
            <v>0</v>
          </cell>
          <cell r="P6780">
            <v>0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>
            <v>0</v>
          </cell>
          <cell r="V6780">
            <v>0</v>
          </cell>
          <cell r="W6780">
            <v>6</v>
          </cell>
          <cell r="X6780">
            <v>6</v>
          </cell>
          <cell r="Y6780">
            <v>6</v>
          </cell>
        </row>
        <row r="6781">
          <cell r="D6781">
            <v>305247</v>
          </cell>
          <cell r="E6781" t="str">
            <v>Lubon National High School</v>
          </cell>
          <cell r="F6781">
            <v>1</v>
          </cell>
          <cell r="G6781">
            <v>1</v>
          </cell>
          <cell r="H6781">
            <v>1</v>
          </cell>
          <cell r="I6781">
            <v>0</v>
          </cell>
          <cell r="J6781">
            <v>0</v>
          </cell>
          <cell r="K6781">
            <v>0</v>
          </cell>
          <cell r="L6781">
            <v>1</v>
          </cell>
          <cell r="M6781" t="str">
            <v>As need arises</v>
          </cell>
          <cell r="N6781">
            <v>0</v>
          </cell>
          <cell r="O6781">
            <v>0</v>
          </cell>
          <cell r="P6781">
            <v>0</v>
          </cell>
          <cell r="Q6781">
            <v>0</v>
          </cell>
          <cell r="R6781">
            <v>0</v>
          </cell>
          <cell r="S6781">
            <v>0</v>
          </cell>
          <cell r="T6781">
            <v>0</v>
          </cell>
          <cell r="U6781">
            <v>0</v>
          </cell>
          <cell r="V6781">
            <v>0</v>
          </cell>
          <cell r="W6781">
            <v>1</v>
          </cell>
          <cell r="X6781">
            <v>1</v>
          </cell>
          <cell r="Y6781">
            <v>0</v>
          </cell>
        </row>
        <row r="6782">
          <cell r="D6782">
            <v>305237</v>
          </cell>
          <cell r="E6782" t="str">
            <v>Besao National High School</v>
          </cell>
          <cell r="F6782">
            <v>1</v>
          </cell>
          <cell r="G6782">
            <v>1</v>
          </cell>
          <cell r="H6782">
            <v>1</v>
          </cell>
          <cell r="I6782">
            <v>0</v>
          </cell>
          <cell r="J6782">
            <v>1</v>
          </cell>
          <cell r="K6782">
            <v>0</v>
          </cell>
          <cell r="L6782">
            <v>0</v>
          </cell>
          <cell r="M6782">
            <v>0</v>
          </cell>
          <cell r="N6782">
            <v>1</v>
          </cell>
          <cell r="O6782">
            <v>0</v>
          </cell>
          <cell r="P6782" t="str">
            <v>DECEMBER, 2018</v>
          </cell>
          <cell r="Q6782">
            <v>0</v>
          </cell>
          <cell r="R6782">
            <v>0</v>
          </cell>
          <cell r="S6782">
            <v>0</v>
          </cell>
          <cell r="T6782">
            <v>1</v>
          </cell>
          <cell r="U6782" t="str">
            <v>as need arises</v>
          </cell>
          <cell r="V6782">
            <v>0</v>
          </cell>
          <cell r="W6782">
            <v>0</v>
          </cell>
          <cell r="X6782">
            <v>0</v>
          </cell>
          <cell r="Y6782">
            <v>0</v>
          </cell>
        </row>
        <row r="6783">
          <cell r="D6783">
            <v>305248</v>
          </cell>
          <cell r="E6783" t="str">
            <v>Mabaay National High School</v>
          </cell>
          <cell r="F6783">
            <v>1</v>
          </cell>
          <cell r="G6783">
            <v>1</v>
          </cell>
          <cell r="H6783">
            <v>1</v>
          </cell>
          <cell r="I6783">
            <v>0</v>
          </cell>
          <cell r="J6783">
            <v>0</v>
          </cell>
          <cell r="K6783">
            <v>0</v>
          </cell>
          <cell r="L6783">
            <v>0</v>
          </cell>
          <cell r="M6783">
            <v>0</v>
          </cell>
          <cell r="N6783">
            <v>1</v>
          </cell>
          <cell r="O6783">
            <v>0</v>
          </cell>
          <cell r="P6783">
            <v>0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>
            <v>0</v>
          </cell>
          <cell r="V6783">
            <v>1</v>
          </cell>
          <cell r="W6783">
            <v>0</v>
          </cell>
          <cell r="X6783">
            <v>0</v>
          </cell>
          <cell r="Y6783">
            <v>0</v>
          </cell>
        </row>
        <row r="6784">
          <cell r="D6784">
            <v>305242</v>
          </cell>
          <cell r="E6784" t="str">
            <v>Eastern Bontoc NAVHS</v>
          </cell>
          <cell r="F6784">
            <v>1</v>
          </cell>
          <cell r="G6784">
            <v>1</v>
          </cell>
          <cell r="H6784">
            <v>1</v>
          </cell>
          <cell r="I6784">
            <v>0</v>
          </cell>
          <cell r="J6784">
            <v>0</v>
          </cell>
          <cell r="K6784">
            <v>0</v>
          </cell>
          <cell r="L6784">
            <v>1</v>
          </cell>
          <cell r="M6784" t="str">
            <v>As needed</v>
          </cell>
          <cell r="N6784">
            <v>1</v>
          </cell>
          <cell r="O6784">
            <v>43542</v>
          </cell>
          <cell r="P6784">
            <v>0</v>
          </cell>
          <cell r="Q6784">
            <v>0</v>
          </cell>
          <cell r="R6784">
            <v>0</v>
          </cell>
          <cell r="S6784">
            <v>0</v>
          </cell>
          <cell r="T6784">
            <v>1</v>
          </cell>
          <cell r="U6784" t="str">
            <v>When minor was reported</v>
          </cell>
          <cell r="V6784">
            <v>1</v>
          </cell>
          <cell r="W6784">
            <v>1</v>
          </cell>
          <cell r="X6784">
            <v>1</v>
          </cell>
          <cell r="Y6784">
            <v>1</v>
          </cell>
        </row>
        <row r="6785">
          <cell r="D6785">
            <v>305261</v>
          </cell>
          <cell r="E6785" t="str">
            <v>Paracelis National High School</v>
          </cell>
          <cell r="F6785">
            <v>1</v>
          </cell>
          <cell r="G6785">
            <v>1</v>
          </cell>
          <cell r="H6785">
            <v>1</v>
          </cell>
          <cell r="I6785">
            <v>0</v>
          </cell>
          <cell r="J6785">
            <v>1</v>
          </cell>
          <cell r="K6785">
            <v>0</v>
          </cell>
          <cell r="L6785">
            <v>0</v>
          </cell>
          <cell r="M6785">
            <v>0</v>
          </cell>
          <cell r="N6785">
            <v>1</v>
          </cell>
          <cell r="O6785">
            <v>0</v>
          </cell>
          <cell r="P6785">
            <v>43617</v>
          </cell>
          <cell r="Q6785">
            <v>1</v>
          </cell>
          <cell r="R6785">
            <v>0</v>
          </cell>
          <cell r="S6785">
            <v>0</v>
          </cell>
          <cell r="T6785">
            <v>0</v>
          </cell>
          <cell r="U6785">
            <v>0</v>
          </cell>
          <cell r="V6785">
            <v>1</v>
          </cell>
          <cell r="W6785">
            <v>1</v>
          </cell>
          <cell r="X6785">
            <v>0</v>
          </cell>
          <cell r="Y6785">
            <v>0</v>
          </cell>
        </row>
        <row r="6786">
          <cell r="D6786">
            <v>305252</v>
          </cell>
          <cell r="E6786" t="str">
            <v>Mt. Data National High School</v>
          </cell>
          <cell r="F6786">
            <v>1</v>
          </cell>
          <cell r="G6786">
            <v>1</v>
          </cell>
          <cell r="H6786">
            <v>1</v>
          </cell>
          <cell r="I6786">
            <v>0</v>
          </cell>
          <cell r="J6786">
            <v>1</v>
          </cell>
          <cell r="K6786">
            <v>0</v>
          </cell>
          <cell r="L6786">
            <v>0</v>
          </cell>
          <cell r="M6786">
            <v>0</v>
          </cell>
          <cell r="N6786">
            <v>1</v>
          </cell>
          <cell r="O6786">
            <v>0</v>
          </cell>
          <cell r="P6786">
            <v>0</v>
          </cell>
          <cell r="Q6786">
            <v>0</v>
          </cell>
          <cell r="R6786">
            <v>1</v>
          </cell>
          <cell r="S6786">
            <v>0</v>
          </cell>
          <cell r="T6786">
            <v>0</v>
          </cell>
          <cell r="U6786">
            <v>0</v>
          </cell>
          <cell r="V6786">
            <v>1</v>
          </cell>
          <cell r="W6786">
            <v>1</v>
          </cell>
          <cell r="X6786">
            <v>1</v>
          </cell>
          <cell r="Y6786">
            <v>1</v>
          </cell>
        </row>
        <row r="6787">
          <cell r="D6787">
            <v>305240</v>
          </cell>
          <cell r="E6787" t="str">
            <v>Cagubatan National High School</v>
          </cell>
          <cell r="F6787">
            <v>1</v>
          </cell>
          <cell r="G6787">
            <v>0</v>
          </cell>
          <cell r="H6787">
            <v>1</v>
          </cell>
          <cell r="I6787">
            <v>1</v>
          </cell>
          <cell r="J6787">
            <v>0</v>
          </cell>
          <cell r="K6787">
            <v>0</v>
          </cell>
          <cell r="L6787">
            <v>0</v>
          </cell>
          <cell r="M6787">
            <v>0</v>
          </cell>
          <cell r="N6787">
            <v>1</v>
          </cell>
          <cell r="O6787">
            <v>43697</v>
          </cell>
          <cell r="P6787">
            <v>43697</v>
          </cell>
          <cell r="Q6787">
            <v>1</v>
          </cell>
          <cell r="R6787">
            <v>0</v>
          </cell>
          <cell r="S6787">
            <v>0</v>
          </cell>
          <cell r="T6787">
            <v>0</v>
          </cell>
          <cell r="U6787">
            <v>0</v>
          </cell>
          <cell r="V6787">
            <v>1</v>
          </cell>
          <cell r="W6787">
            <v>3</v>
          </cell>
          <cell r="X6787">
            <v>3</v>
          </cell>
          <cell r="Y6787">
            <v>0</v>
          </cell>
        </row>
        <row r="6788">
          <cell r="D6788">
            <v>305266</v>
          </cell>
          <cell r="E6788" t="str">
            <v>Ankileng NHS (Suyo NHS)</v>
          </cell>
          <cell r="F6788">
            <v>0</v>
          </cell>
          <cell r="G6788">
            <v>0</v>
          </cell>
          <cell r="H6788">
            <v>1</v>
          </cell>
          <cell r="I6788">
            <v>0</v>
          </cell>
          <cell r="J6788">
            <v>0</v>
          </cell>
          <cell r="K6788">
            <v>1</v>
          </cell>
          <cell r="L6788">
            <v>0</v>
          </cell>
          <cell r="M6788">
            <v>0</v>
          </cell>
          <cell r="N6788">
            <v>0</v>
          </cell>
          <cell r="O6788">
            <v>0</v>
          </cell>
          <cell r="P6788" t="str">
            <v>5/26/2019</v>
          </cell>
          <cell r="Q6788">
            <v>0</v>
          </cell>
          <cell r="R6788">
            <v>0</v>
          </cell>
          <cell r="S6788">
            <v>1</v>
          </cell>
          <cell r="T6788">
            <v>0</v>
          </cell>
          <cell r="U6788">
            <v>0</v>
          </cell>
          <cell r="V6788">
            <v>1</v>
          </cell>
          <cell r="W6788">
            <v>0</v>
          </cell>
          <cell r="X6788">
            <v>0</v>
          </cell>
          <cell r="Y6788">
            <v>0</v>
          </cell>
        </row>
        <row r="6789">
          <cell r="D6789">
            <v>340055</v>
          </cell>
          <cell r="E6789" t="str">
            <v>Baguio City National Science High School</v>
          </cell>
          <cell r="F6789">
            <v>1</v>
          </cell>
          <cell r="G6789">
            <v>1</v>
          </cell>
          <cell r="H6789">
            <v>1</v>
          </cell>
          <cell r="I6789">
            <v>0</v>
          </cell>
          <cell r="J6789">
            <v>0</v>
          </cell>
          <cell r="K6789">
            <v>0</v>
          </cell>
          <cell r="L6789">
            <v>1</v>
          </cell>
          <cell r="M6789" t="str">
            <v>As Needed</v>
          </cell>
          <cell r="N6789">
            <v>0</v>
          </cell>
          <cell r="O6789" t="str">
            <v>00/00/000</v>
          </cell>
          <cell r="P6789">
            <v>43720</v>
          </cell>
          <cell r="Q6789">
            <v>0</v>
          </cell>
          <cell r="R6789">
            <v>0</v>
          </cell>
          <cell r="S6789">
            <v>0</v>
          </cell>
          <cell r="T6789">
            <v>1</v>
          </cell>
          <cell r="U6789" t="str">
            <v>As Needed</v>
          </cell>
          <cell r="V6789">
            <v>1</v>
          </cell>
          <cell r="W6789">
            <v>0</v>
          </cell>
          <cell r="X6789">
            <v>0</v>
          </cell>
          <cell r="Y6789">
            <v>0</v>
          </cell>
        </row>
        <row r="6790">
          <cell r="D6790">
            <v>305280</v>
          </cell>
          <cell r="E6790" t="str">
            <v>Irisan National High School</v>
          </cell>
          <cell r="F6790">
            <v>1</v>
          </cell>
          <cell r="G6790">
            <v>1</v>
          </cell>
          <cell r="H6790">
            <v>0</v>
          </cell>
          <cell r="I6790">
            <v>0</v>
          </cell>
          <cell r="J6790">
            <v>0</v>
          </cell>
          <cell r="K6790">
            <v>1</v>
          </cell>
          <cell r="L6790">
            <v>0</v>
          </cell>
          <cell r="M6790">
            <v>0</v>
          </cell>
          <cell r="N6790">
            <v>1</v>
          </cell>
          <cell r="O6790">
            <v>0</v>
          </cell>
          <cell r="P6790">
            <v>0</v>
          </cell>
          <cell r="Q6790">
            <v>0</v>
          </cell>
          <cell r="R6790">
            <v>0</v>
          </cell>
          <cell r="S6790">
            <v>0</v>
          </cell>
          <cell r="T6790">
            <v>0</v>
          </cell>
          <cell r="U6790">
            <v>0</v>
          </cell>
          <cell r="V6790">
            <v>0</v>
          </cell>
          <cell r="W6790">
            <v>0</v>
          </cell>
          <cell r="X6790">
            <v>0</v>
          </cell>
          <cell r="Y6790">
            <v>0</v>
          </cell>
        </row>
        <row r="6791">
          <cell r="D6791">
            <v>305275</v>
          </cell>
          <cell r="E6791" t="str">
            <v>Mil-an National High School</v>
          </cell>
          <cell r="F6791">
            <v>0</v>
          </cell>
          <cell r="G6791">
            <v>0</v>
          </cell>
          <cell r="H6791">
            <v>0</v>
          </cell>
          <cell r="I6791">
            <v>0</v>
          </cell>
          <cell r="J6791">
            <v>1</v>
          </cell>
          <cell r="K6791">
            <v>0</v>
          </cell>
          <cell r="L6791">
            <v>0</v>
          </cell>
          <cell r="M6791">
            <v>0</v>
          </cell>
          <cell r="N6791">
            <v>0</v>
          </cell>
          <cell r="O6791">
            <v>0</v>
          </cell>
          <cell r="P6791">
            <v>0</v>
          </cell>
          <cell r="Q6791">
            <v>0</v>
          </cell>
          <cell r="R6791">
            <v>1</v>
          </cell>
          <cell r="S6791">
            <v>0</v>
          </cell>
          <cell r="T6791">
            <v>0</v>
          </cell>
          <cell r="U6791">
            <v>0</v>
          </cell>
          <cell r="V6791">
            <v>0</v>
          </cell>
          <cell r="W6791">
            <v>0</v>
          </cell>
          <cell r="X6791">
            <v>0</v>
          </cell>
          <cell r="Y6791">
            <v>0</v>
          </cell>
        </row>
        <row r="6792">
          <cell r="D6792">
            <v>305284</v>
          </cell>
          <cell r="E6792" t="str">
            <v>Joaquin Smith National High School</v>
          </cell>
          <cell r="F6792">
            <v>1</v>
          </cell>
          <cell r="G6792">
            <v>0</v>
          </cell>
          <cell r="H6792">
            <v>1</v>
          </cell>
          <cell r="I6792">
            <v>0</v>
          </cell>
          <cell r="J6792">
            <v>0</v>
          </cell>
          <cell r="K6792">
            <v>0</v>
          </cell>
          <cell r="L6792">
            <v>0</v>
          </cell>
          <cell r="M6792" t="str">
            <v>ON DEMAND</v>
          </cell>
          <cell r="N6792">
            <v>1</v>
          </cell>
          <cell r="O6792">
            <v>43678</v>
          </cell>
          <cell r="P6792">
            <v>0</v>
          </cell>
          <cell r="Q6792">
            <v>0</v>
          </cell>
          <cell r="R6792">
            <v>0</v>
          </cell>
          <cell r="S6792">
            <v>0</v>
          </cell>
          <cell r="T6792">
            <v>0</v>
          </cell>
          <cell r="U6792">
            <v>0</v>
          </cell>
          <cell r="V6792">
            <v>0</v>
          </cell>
          <cell r="W6792">
            <v>3</v>
          </cell>
          <cell r="X6792">
            <v>0</v>
          </cell>
          <cell r="Y6792">
            <v>0</v>
          </cell>
        </row>
        <row r="6793">
          <cell r="D6793">
            <v>305279</v>
          </cell>
          <cell r="E6793" t="str">
            <v>Sto. Tomas National High School</v>
          </cell>
          <cell r="F6793">
            <v>1</v>
          </cell>
          <cell r="G6793">
            <v>1</v>
          </cell>
          <cell r="H6793">
            <v>1</v>
          </cell>
          <cell r="I6793">
            <v>0</v>
          </cell>
          <cell r="J6793">
            <v>0</v>
          </cell>
          <cell r="K6793">
            <v>0</v>
          </cell>
          <cell r="L6793">
            <v>0</v>
          </cell>
          <cell r="M6793">
            <v>0</v>
          </cell>
          <cell r="N6793">
            <v>1</v>
          </cell>
          <cell r="O6793">
            <v>0</v>
          </cell>
          <cell r="P6793">
            <v>43471</v>
          </cell>
          <cell r="Q6793">
            <v>0</v>
          </cell>
          <cell r="R6793">
            <v>0</v>
          </cell>
          <cell r="S6793">
            <v>0</v>
          </cell>
          <cell r="T6793">
            <v>1</v>
          </cell>
          <cell r="U6793" t="str">
            <v>Ocassionally</v>
          </cell>
          <cell r="V6793">
            <v>1</v>
          </cell>
          <cell r="W6793">
            <v>3</v>
          </cell>
          <cell r="X6793">
            <v>0</v>
          </cell>
          <cell r="Y6793">
            <v>0</v>
          </cell>
        </row>
        <row r="6794">
          <cell r="D6794">
            <v>305281</v>
          </cell>
          <cell r="E6794" t="str">
            <v>Pines City National High School</v>
          </cell>
          <cell r="F6794">
            <v>0</v>
          </cell>
          <cell r="G6794">
            <v>1</v>
          </cell>
          <cell r="H6794">
            <v>0</v>
          </cell>
          <cell r="I6794">
            <v>0</v>
          </cell>
          <cell r="J6794">
            <v>0</v>
          </cell>
          <cell r="K6794">
            <v>1</v>
          </cell>
          <cell r="L6794">
            <v>0</v>
          </cell>
          <cell r="M6794">
            <v>0</v>
          </cell>
          <cell r="N6794">
            <v>0</v>
          </cell>
          <cell r="O6794">
            <v>0</v>
          </cell>
          <cell r="P6794">
            <v>0</v>
          </cell>
          <cell r="Q6794">
            <v>0</v>
          </cell>
          <cell r="R6794">
            <v>0</v>
          </cell>
          <cell r="S6794">
            <v>0</v>
          </cell>
          <cell r="T6794">
            <v>0</v>
          </cell>
          <cell r="U6794">
            <v>0</v>
          </cell>
          <cell r="V6794">
            <v>0</v>
          </cell>
          <cell r="W6794">
            <v>0</v>
          </cell>
          <cell r="X6794">
            <v>0</v>
          </cell>
          <cell r="Y6794">
            <v>0</v>
          </cell>
        </row>
        <row r="6795">
          <cell r="D6795">
            <v>305269</v>
          </cell>
          <cell r="E6795" t="str">
            <v>Baguio City High School - Main</v>
          </cell>
          <cell r="F6795">
            <v>1</v>
          </cell>
          <cell r="G6795">
            <v>1</v>
          </cell>
          <cell r="H6795">
            <v>1</v>
          </cell>
          <cell r="I6795">
            <v>0</v>
          </cell>
          <cell r="J6795">
            <v>0</v>
          </cell>
          <cell r="K6795">
            <v>0</v>
          </cell>
          <cell r="L6795">
            <v>1</v>
          </cell>
          <cell r="M6795" t="str">
            <v>as needed</v>
          </cell>
          <cell r="N6795">
            <v>1</v>
          </cell>
          <cell r="O6795">
            <v>0</v>
          </cell>
          <cell r="P6795" t="str">
            <v>none</v>
          </cell>
          <cell r="Q6795">
            <v>1</v>
          </cell>
          <cell r="R6795">
            <v>0</v>
          </cell>
          <cell r="S6795">
            <v>0</v>
          </cell>
          <cell r="T6795">
            <v>0</v>
          </cell>
          <cell r="U6795">
            <v>0</v>
          </cell>
          <cell r="V6795">
            <v>1</v>
          </cell>
          <cell r="W6795">
            <v>2</v>
          </cell>
          <cell r="X6795">
            <v>0</v>
          </cell>
          <cell r="Y6795">
            <v>0</v>
          </cell>
        </row>
        <row r="6796">
          <cell r="D6796">
            <v>305282</v>
          </cell>
          <cell r="E6796" t="str">
            <v>Guisad Valley National High School</v>
          </cell>
          <cell r="F6796">
            <v>1</v>
          </cell>
          <cell r="G6796">
            <v>0</v>
          </cell>
          <cell r="H6796">
            <v>1</v>
          </cell>
          <cell r="I6796">
            <v>0</v>
          </cell>
          <cell r="J6796">
            <v>0</v>
          </cell>
          <cell r="K6796">
            <v>0</v>
          </cell>
          <cell r="L6796">
            <v>1</v>
          </cell>
          <cell r="M6796" t="str">
            <v>as required</v>
          </cell>
          <cell r="N6796">
            <v>1</v>
          </cell>
          <cell r="O6796">
            <v>43597</v>
          </cell>
          <cell r="P6796">
            <v>43597</v>
          </cell>
          <cell r="Q6796">
            <v>0</v>
          </cell>
          <cell r="R6796">
            <v>1</v>
          </cell>
          <cell r="S6796">
            <v>0</v>
          </cell>
          <cell r="T6796">
            <v>0</v>
          </cell>
          <cell r="U6796">
            <v>0</v>
          </cell>
          <cell r="V6796">
            <v>1</v>
          </cell>
          <cell r="W6796">
            <v>0</v>
          </cell>
          <cell r="X6796">
            <v>0</v>
          </cell>
          <cell r="Y6796">
            <v>0</v>
          </cell>
        </row>
        <row r="6797">
          <cell r="D6797">
            <v>303115</v>
          </cell>
          <cell r="E6797" t="str">
            <v>PHILIPPINE SCIENCE HIGH SCHOOL - CORDILLERA ADMINISTRATIVE REGION</v>
          </cell>
          <cell r="F6797">
            <v>0</v>
          </cell>
          <cell r="G6797">
            <v>0</v>
          </cell>
          <cell r="H6797">
            <v>1</v>
          </cell>
          <cell r="I6797">
            <v>0</v>
          </cell>
          <cell r="J6797">
            <v>0</v>
          </cell>
          <cell r="K6797">
            <v>0</v>
          </cell>
          <cell r="L6797">
            <v>0</v>
          </cell>
          <cell r="M6797">
            <v>0</v>
          </cell>
          <cell r="N6797">
            <v>0</v>
          </cell>
          <cell r="O6797">
            <v>0</v>
          </cell>
          <cell r="P6797">
            <v>0</v>
          </cell>
          <cell r="Q6797">
            <v>0</v>
          </cell>
          <cell r="R6797">
            <v>0</v>
          </cell>
          <cell r="S6797">
            <v>0</v>
          </cell>
          <cell r="T6797">
            <v>0</v>
          </cell>
          <cell r="U6797">
            <v>0</v>
          </cell>
          <cell r="V6797">
            <v>0</v>
          </cell>
          <cell r="W6797">
            <v>0</v>
          </cell>
          <cell r="X6797">
            <v>0</v>
          </cell>
          <cell r="Y6797">
            <v>0</v>
          </cell>
        </row>
        <row r="6798">
          <cell r="D6798">
            <v>305205</v>
          </cell>
          <cell r="E6798" t="str">
            <v>Kalinga National High School</v>
          </cell>
          <cell r="F6798">
            <v>1</v>
          </cell>
          <cell r="G6798">
            <v>1</v>
          </cell>
          <cell r="H6798">
            <v>1</v>
          </cell>
          <cell r="I6798">
            <v>0</v>
          </cell>
          <cell r="J6798">
            <v>1</v>
          </cell>
          <cell r="K6798">
            <v>0</v>
          </cell>
          <cell r="L6798">
            <v>0</v>
          </cell>
          <cell r="M6798">
            <v>0</v>
          </cell>
          <cell r="N6798">
            <v>1</v>
          </cell>
          <cell r="O6798" t="str">
            <v>07/24/2019</v>
          </cell>
          <cell r="P6798">
            <v>0</v>
          </cell>
          <cell r="Q6798">
            <v>0</v>
          </cell>
          <cell r="R6798">
            <v>0</v>
          </cell>
          <cell r="S6798">
            <v>1</v>
          </cell>
          <cell r="T6798">
            <v>0</v>
          </cell>
          <cell r="U6798">
            <v>0</v>
          </cell>
          <cell r="V6798">
            <v>0</v>
          </cell>
          <cell r="W6798">
            <v>0</v>
          </cell>
          <cell r="X6798">
            <v>0</v>
          </cell>
          <cell r="Y6798">
            <v>0</v>
          </cell>
        </row>
        <row r="6799">
          <cell r="D6799">
            <v>305226</v>
          </cell>
          <cell r="E6799" t="str">
            <v>TUGA NATIONAL HIGH SCHOOL</v>
          </cell>
          <cell r="F6799">
            <v>1</v>
          </cell>
          <cell r="G6799">
            <v>0</v>
          </cell>
          <cell r="H6799">
            <v>1</v>
          </cell>
          <cell r="I6799">
            <v>0</v>
          </cell>
          <cell r="J6799">
            <v>0</v>
          </cell>
          <cell r="K6799">
            <v>1</v>
          </cell>
          <cell r="L6799">
            <v>0</v>
          </cell>
          <cell r="M6799">
            <v>0</v>
          </cell>
          <cell r="N6799">
            <v>0</v>
          </cell>
          <cell r="O6799">
            <v>0</v>
          </cell>
          <cell r="P6799">
            <v>0</v>
          </cell>
          <cell r="Q6799">
            <v>0</v>
          </cell>
          <cell r="R6799">
            <v>0</v>
          </cell>
          <cell r="S6799">
            <v>0</v>
          </cell>
          <cell r="T6799">
            <v>0</v>
          </cell>
          <cell r="U6799">
            <v>0</v>
          </cell>
          <cell r="V6799">
            <v>0</v>
          </cell>
          <cell r="W6799">
            <v>0</v>
          </cell>
          <cell r="X6799">
            <v>0</v>
          </cell>
          <cell r="Y6799">
            <v>0</v>
          </cell>
        </row>
        <row r="6800">
          <cell r="D6800">
            <v>305212</v>
          </cell>
          <cell r="E6800" t="str">
            <v>Nambaran Agro-Industrial National High School</v>
          </cell>
          <cell r="F6800">
            <v>1</v>
          </cell>
          <cell r="G6800">
            <v>1</v>
          </cell>
          <cell r="H6800">
            <v>1</v>
          </cell>
          <cell r="I6800">
            <v>0</v>
          </cell>
          <cell r="J6800">
            <v>1</v>
          </cell>
          <cell r="K6800">
            <v>0</v>
          </cell>
          <cell r="L6800">
            <v>0</v>
          </cell>
          <cell r="M6800">
            <v>0</v>
          </cell>
          <cell r="N6800">
            <v>1</v>
          </cell>
          <cell r="O6800" t="str">
            <v>July, 2019</v>
          </cell>
          <cell r="P6800" t="str">
            <v>August, 2019</v>
          </cell>
          <cell r="Q6800">
            <v>1</v>
          </cell>
          <cell r="R6800">
            <v>0</v>
          </cell>
          <cell r="S6800">
            <v>0</v>
          </cell>
          <cell r="T6800">
            <v>0</v>
          </cell>
          <cell r="U6800">
            <v>0</v>
          </cell>
          <cell r="V6800">
            <v>1</v>
          </cell>
          <cell r="W6800">
            <v>1</v>
          </cell>
          <cell r="X6800">
            <v>1</v>
          </cell>
          <cell r="Y6800">
            <v>1</v>
          </cell>
        </row>
        <row r="6801">
          <cell r="D6801">
            <v>319104</v>
          </cell>
          <cell r="E6801" t="str">
            <v>Bado Dangwa National High School</v>
          </cell>
          <cell r="F6801">
            <v>1</v>
          </cell>
          <cell r="G6801">
            <v>0</v>
          </cell>
          <cell r="H6801">
            <v>1</v>
          </cell>
          <cell r="I6801">
            <v>0</v>
          </cell>
          <cell r="J6801">
            <v>0</v>
          </cell>
          <cell r="K6801">
            <v>0</v>
          </cell>
          <cell r="L6801">
            <v>0</v>
          </cell>
          <cell r="M6801">
            <v>0</v>
          </cell>
          <cell r="N6801">
            <v>0</v>
          </cell>
          <cell r="O6801">
            <v>0</v>
          </cell>
          <cell r="P6801">
            <v>0</v>
          </cell>
          <cell r="Q6801">
            <v>0</v>
          </cell>
          <cell r="R6801">
            <v>0</v>
          </cell>
          <cell r="S6801">
            <v>0</v>
          </cell>
          <cell r="T6801">
            <v>0</v>
          </cell>
          <cell r="U6801">
            <v>0</v>
          </cell>
          <cell r="V6801">
            <v>0</v>
          </cell>
          <cell r="W6801">
            <v>0</v>
          </cell>
          <cell r="X6801">
            <v>0</v>
          </cell>
          <cell r="Y6801">
            <v>0</v>
          </cell>
        </row>
        <row r="6802">
          <cell r="D6802">
            <v>305203</v>
          </cell>
          <cell r="E6802" t="str">
            <v>Cudal National High School</v>
          </cell>
          <cell r="F6802">
            <v>1</v>
          </cell>
          <cell r="G6802">
            <v>1</v>
          </cell>
          <cell r="H6802">
            <v>1</v>
          </cell>
          <cell r="I6802">
            <v>0</v>
          </cell>
          <cell r="J6802">
            <v>1</v>
          </cell>
          <cell r="K6802">
            <v>0</v>
          </cell>
          <cell r="L6802">
            <v>0</v>
          </cell>
          <cell r="M6802">
            <v>0</v>
          </cell>
          <cell r="N6802">
            <v>1</v>
          </cell>
          <cell r="O6802" t="str">
            <v>Oct. 1, 2018</v>
          </cell>
          <cell r="P6802" t="str">
            <v>08/20/2019</v>
          </cell>
          <cell r="Q6802">
            <v>0</v>
          </cell>
          <cell r="R6802">
            <v>1</v>
          </cell>
          <cell r="S6802">
            <v>0</v>
          </cell>
          <cell r="T6802">
            <v>0</v>
          </cell>
          <cell r="U6802">
            <v>0</v>
          </cell>
          <cell r="V6802">
            <v>1</v>
          </cell>
          <cell r="W6802">
            <v>0</v>
          </cell>
          <cell r="X6802">
            <v>0</v>
          </cell>
          <cell r="Y6802">
            <v>0</v>
          </cell>
        </row>
        <row r="6803">
          <cell r="D6803">
            <v>305222</v>
          </cell>
          <cell r="E6803" t="str">
            <v>New Tanglag National High School</v>
          </cell>
          <cell r="F6803">
            <v>1</v>
          </cell>
          <cell r="G6803">
            <v>0</v>
          </cell>
          <cell r="H6803">
            <v>1</v>
          </cell>
          <cell r="I6803">
            <v>0</v>
          </cell>
          <cell r="J6803">
            <v>1</v>
          </cell>
          <cell r="K6803">
            <v>0</v>
          </cell>
          <cell r="L6803">
            <v>0</v>
          </cell>
          <cell r="M6803">
            <v>0</v>
          </cell>
          <cell r="N6803">
            <v>1</v>
          </cell>
          <cell r="O6803">
            <v>43623</v>
          </cell>
          <cell r="P6803">
            <v>43626</v>
          </cell>
          <cell r="Q6803">
            <v>0</v>
          </cell>
          <cell r="R6803">
            <v>1</v>
          </cell>
          <cell r="S6803">
            <v>0</v>
          </cell>
          <cell r="T6803">
            <v>0</v>
          </cell>
          <cell r="U6803">
            <v>0</v>
          </cell>
          <cell r="V6803">
            <v>1</v>
          </cell>
          <cell r="W6803">
            <v>0</v>
          </cell>
          <cell r="X6803">
            <v>0</v>
          </cell>
          <cell r="Y6803">
            <v>0</v>
          </cell>
        </row>
        <row r="6804">
          <cell r="D6804">
            <v>305195</v>
          </cell>
          <cell r="E6804" t="str">
            <v>Agbannawag National High School</v>
          </cell>
          <cell r="F6804">
            <v>0</v>
          </cell>
          <cell r="G6804">
            <v>0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0</v>
          </cell>
          <cell r="M6804">
            <v>0</v>
          </cell>
          <cell r="N6804">
            <v>0</v>
          </cell>
          <cell r="O6804">
            <v>0</v>
          </cell>
          <cell r="P6804">
            <v>0</v>
          </cell>
          <cell r="Q6804">
            <v>0</v>
          </cell>
          <cell r="R6804">
            <v>0</v>
          </cell>
          <cell r="S6804">
            <v>0</v>
          </cell>
          <cell r="T6804">
            <v>0</v>
          </cell>
          <cell r="U6804">
            <v>0</v>
          </cell>
          <cell r="V6804">
            <v>0</v>
          </cell>
          <cell r="W6804">
            <v>0</v>
          </cell>
          <cell r="X6804">
            <v>0</v>
          </cell>
          <cell r="Y6804">
            <v>0</v>
          </cell>
        </row>
        <row r="6805">
          <cell r="D6805">
            <v>305221</v>
          </cell>
          <cell r="E6805" t="str">
            <v>Tabuk City National High School</v>
          </cell>
          <cell r="F6805">
            <v>1</v>
          </cell>
          <cell r="G6805">
            <v>0</v>
          </cell>
          <cell r="H6805">
            <v>1</v>
          </cell>
          <cell r="I6805">
            <v>0</v>
          </cell>
          <cell r="J6805">
            <v>0</v>
          </cell>
          <cell r="K6805">
            <v>1</v>
          </cell>
          <cell r="L6805">
            <v>0</v>
          </cell>
          <cell r="M6805">
            <v>0</v>
          </cell>
          <cell r="N6805">
            <v>1</v>
          </cell>
          <cell r="O6805">
            <v>43132</v>
          </cell>
          <cell r="P6805">
            <v>43678</v>
          </cell>
          <cell r="Q6805">
            <v>0</v>
          </cell>
          <cell r="R6805">
            <v>0</v>
          </cell>
          <cell r="S6805">
            <v>1</v>
          </cell>
          <cell r="T6805">
            <v>0</v>
          </cell>
          <cell r="U6805">
            <v>0</v>
          </cell>
          <cell r="V6805">
            <v>1</v>
          </cell>
          <cell r="W6805">
            <v>0</v>
          </cell>
          <cell r="X6805">
            <v>0</v>
          </cell>
          <cell r="Y6805">
            <v>0</v>
          </cell>
        </row>
        <row r="6806">
          <cell r="D6806">
            <v>305198</v>
          </cell>
          <cell r="E6806" t="str">
            <v>Balawag National High School</v>
          </cell>
          <cell r="F6806">
            <v>0</v>
          </cell>
          <cell r="G6806">
            <v>0</v>
          </cell>
          <cell r="H6806">
            <v>1</v>
          </cell>
          <cell r="I6806">
            <v>0</v>
          </cell>
          <cell r="J6806">
            <v>1</v>
          </cell>
          <cell r="K6806">
            <v>0</v>
          </cell>
          <cell r="L6806">
            <v>0</v>
          </cell>
          <cell r="M6806">
            <v>0</v>
          </cell>
          <cell r="N6806">
            <v>0</v>
          </cell>
          <cell r="O6806">
            <v>0</v>
          </cell>
          <cell r="P6806">
            <v>0</v>
          </cell>
          <cell r="Q6806">
            <v>0</v>
          </cell>
          <cell r="R6806">
            <v>1</v>
          </cell>
          <cell r="S6806">
            <v>0</v>
          </cell>
          <cell r="T6806">
            <v>0</v>
          </cell>
          <cell r="U6806">
            <v>0</v>
          </cell>
          <cell r="V6806">
            <v>0</v>
          </cell>
          <cell r="W6806">
            <v>0</v>
          </cell>
          <cell r="X6806">
            <v>0</v>
          </cell>
          <cell r="Y6806">
            <v>0</v>
          </cell>
        </row>
        <row r="6807">
          <cell r="D6807">
            <v>305401</v>
          </cell>
          <cell r="E6807" t="str">
            <v>Marikina Science HS</v>
          </cell>
          <cell r="F6807">
            <v>1</v>
          </cell>
          <cell r="G6807">
            <v>0</v>
          </cell>
          <cell r="H6807">
            <v>1</v>
          </cell>
          <cell r="I6807">
            <v>0</v>
          </cell>
          <cell r="J6807">
            <v>1</v>
          </cell>
          <cell r="K6807">
            <v>0</v>
          </cell>
          <cell r="L6807">
            <v>0</v>
          </cell>
          <cell r="M6807">
            <v>0</v>
          </cell>
          <cell r="N6807">
            <v>0</v>
          </cell>
          <cell r="O6807">
            <v>0</v>
          </cell>
          <cell r="P6807">
            <v>0</v>
          </cell>
          <cell r="Q6807">
            <v>0</v>
          </cell>
          <cell r="R6807">
            <v>0</v>
          </cell>
          <cell r="S6807">
            <v>0</v>
          </cell>
          <cell r="T6807">
            <v>0</v>
          </cell>
          <cell r="U6807">
            <v>0</v>
          </cell>
          <cell r="V6807">
            <v>0</v>
          </cell>
          <cell r="W6807">
            <v>0</v>
          </cell>
          <cell r="X6807">
            <v>0</v>
          </cell>
          <cell r="Y6807">
            <v>0</v>
          </cell>
        </row>
        <row r="6808">
          <cell r="D6808">
            <v>500052</v>
          </cell>
          <cell r="E6808" t="str">
            <v>Concepcion Integrated School</v>
          </cell>
          <cell r="F6808">
            <v>1</v>
          </cell>
          <cell r="G6808">
            <v>1</v>
          </cell>
          <cell r="H6808">
            <v>1</v>
          </cell>
          <cell r="I6808">
            <v>0</v>
          </cell>
          <cell r="J6808">
            <v>0</v>
          </cell>
          <cell r="K6808">
            <v>1</v>
          </cell>
          <cell r="L6808">
            <v>0</v>
          </cell>
          <cell r="M6808">
            <v>0</v>
          </cell>
          <cell r="N6808">
            <v>0</v>
          </cell>
          <cell r="O6808" t="str">
            <v>SEPTEMBER 19, 2019</v>
          </cell>
          <cell r="P6808">
            <v>0</v>
          </cell>
          <cell r="Q6808">
            <v>0</v>
          </cell>
          <cell r="R6808">
            <v>0</v>
          </cell>
          <cell r="S6808">
            <v>1</v>
          </cell>
          <cell r="T6808">
            <v>0</v>
          </cell>
          <cell r="U6808">
            <v>0</v>
          </cell>
          <cell r="V6808">
            <v>1</v>
          </cell>
          <cell r="W6808">
            <v>2</v>
          </cell>
          <cell r="X6808">
            <v>0</v>
          </cell>
          <cell r="Y6808">
            <v>0</v>
          </cell>
        </row>
        <row r="6809">
          <cell r="D6809">
            <v>319901</v>
          </cell>
          <cell r="E6809" t="str">
            <v>Nangka HS</v>
          </cell>
          <cell r="F6809">
            <v>0</v>
          </cell>
          <cell r="G6809">
            <v>0</v>
          </cell>
          <cell r="H6809">
            <v>1</v>
          </cell>
          <cell r="I6809">
            <v>0</v>
          </cell>
          <cell r="J6809">
            <v>0</v>
          </cell>
          <cell r="K6809">
            <v>1</v>
          </cell>
          <cell r="L6809">
            <v>0</v>
          </cell>
          <cell r="M6809">
            <v>0</v>
          </cell>
          <cell r="N6809">
            <v>0</v>
          </cell>
          <cell r="O6809">
            <v>0</v>
          </cell>
          <cell r="P6809">
            <v>0</v>
          </cell>
          <cell r="Q6809">
            <v>0</v>
          </cell>
          <cell r="R6809">
            <v>0</v>
          </cell>
          <cell r="S6809">
            <v>1</v>
          </cell>
          <cell r="T6809">
            <v>0</v>
          </cell>
          <cell r="U6809">
            <v>0</v>
          </cell>
          <cell r="V6809">
            <v>0</v>
          </cell>
          <cell r="W6809">
            <v>0</v>
          </cell>
          <cell r="X6809">
            <v>0</v>
          </cell>
          <cell r="Y6809">
            <v>0</v>
          </cell>
        </row>
        <row r="6810">
          <cell r="D6810">
            <v>305398</v>
          </cell>
          <cell r="E6810" t="str">
            <v>Marikina HS</v>
          </cell>
          <cell r="F6810">
            <v>1</v>
          </cell>
          <cell r="G6810">
            <v>1</v>
          </cell>
          <cell r="H6810">
            <v>1</v>
          </cell>
          <cell r="I6810">
            <v>0</v>
          </cell>
          <cell r="J6810">
            <v>1</v>
          </cell>
          <cell r="K6810">
            <v>0</v>
          </cell>
          <cell r="L6810">
            <v>0</v>
          </cell>
          <cell r="M6810">
            <v>0</v>
          </cell>
          <cell r="N6810">
            <v>0</v>
          </cell>
          <cell r="O6810">
            <v>0</v>
          </cell>
          <cell r="P6810">
            <v>0</v>
          </cell>
          <cell r="Q6810">
            <v>0</v>
          </cell>
          <cell r="R6810">
            <v>0</v>
          </cell>
          <cell r="S6810">
            <v>0</v>
          </cell>
          <cell r="T6810">
            <v>1</v>
          </cell>
          <cell r="U6810" t="str">
            <v>Every school year</v>
          </cell>
          <cell r="V6810">
            <v>0</v>
          </cell>
          <cell r="W6810">
            <v>0</v>
          </cell>
          <cell r="X6810">
            <v>0</v>
          </cell>
          <cell r="Y6810">
            <v>0</v>
          </cell>
        </row>
        <row r="6811">
          <cell r="D6811">
            <v>305404</v>
          </cell>
          <cell r="E6811" t="str">
            <v>Parang HS</v>
          </cell>
          <cell r="F6811">
            <v>0</v>
          </cell>
          <cell r="G6811">
            <v>0</v>
          </cell>
          <cell r="H6811">
            <v>1</v>
          </cell>
          <cell r="I6811">
            <v>1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  <cell r="N6811">
            <v>1</v>
          </cell>
          <cell r="O6811">
            <v>43694</v>
          </cell>
          <cell r="P6811">
            <v>43694</v>
          </cell>
          <cell r="Q6811">
            <v>1</v>
          </cell>
          <cell r="R6811">
            <v>0</v>
          </cell>
          <cell r="S6811">
            <v>0</v>
          </cell>
          <cell r="T6811">
            <v>0</v>
          </cell>
          <cell r="U6811">
            <v>0</v>
          </cell>
          <cell r="V6811">
            <v>1</v>
          </cell>
          <cell r="W6811">
            <v>0</v>
          </cell>
          <cell r="X6811">
            <v>0</v>
          </cell>
          <cell r="Y6811">
            <v>0</v>
          </cell>
        </row>
        <row r="6812">
          <cell r="D6812">
            <v>320101</v>
          </cell>
          <cell r="E6812" t="str">
            <v>Pasig City Science HS</v>
          </cell>
          <cell r="F6812">
            <v>1</v>
          </cell>
          <cell r="G6812">
            <v>0</v>
          </cell>
          <cell r="H6812">
            <v>1</v>
          </cell>
          <cell r="I6812">
            <v>0</v>
          </cell>
          <cell r="J6812">
            <v>1</v>
          </cell>
          <cell r="K6812">
            <v>0</v>
          </cell>
          <cell r="L6812">
            <v>0</v>
          </cell>
          <cell r="M6812">
            <v>0</v>
          </cell>
          <cell r="N6812">
            <v>0</v>
          </cell>
          <cell r="O6812">
            <v>0</v>
          </cell>
          <cell r="P6812">
            <v>0</v>
          </cell>
          <cell r="Q6812">
            <v>0</v>
          </cell>
          <cell r="R6812">
            <v>1</v>
          </cell>
          <cell r="S6812">
            <v>0</v>
          </cell>
          <cell r="T6812">
            <v>0</v>
          </cell>
          <cell r="U6812">
            <v>0</v>
          </cell>
          <cell r="V6812">
            <v>0</v>
          </cell>
          <cell r="W6812">
            <v>0</v>
          </cell>
          <cell r="X6812">
            <v>0</v>
          </cell>
          <cell r="Y6812">
            <v>0</v>
          </cell>
        </row>
        <row r="6813">
          <cell r="D6813">
            <v>320001</v>
          </cell>
          <cell r="E6813" t="str">
            <v>Pitogo HS</v>
          </cell>
          <cell r="F6813">
            <v>1</v>
          </cell>
          <cell r="G6813">
            <v>1</v>
          </cell>
          <cell r="H6813">
            <v>1</v>
          </cell>
          <cell r="I6813">
            <v>1</v>
          </cell>
          <cell r="J6813">
            <v>0</v>
          </cell>
          <cell r="K6813">
            <v>0</v>
          </cell>
          <cell r="L6813">
            <v>0</v>
          </cell>
          <cell r="M6813">
            <v>0</v>
          </cell>
          <cell r="N6813">
            <v>0</v>
          </cell>
          <cell r="O6813">
            <v>0</v>
          </cell>
          <cell r="P6813">
            <v>0</v>
          </cell>
          <cell r="Q6813">
            <v>1</v>
          </cell>
          <cell r="R6813">
            <v>0</v>
          </cell>
          <cell r="S6813">
            <v>0</v>
          </cell>
          <cell r="T6813">
            <v>0</v>
          </cell>
          <cell r="U6813">
            <v>0</v>
          </cell>
          <cell r="V6813">
            <v>1</v>
          </cell>
          <cell r="W6813">
            <v>0</v>
          </cell>
          <cell r="X6813">
            <v>0</v>
          </cell>
          <cell r="Y6813">
            <v>0</v>
          </cell>
        </row>
        <row r="6814">
          <cell r="D6814">
            <v>305405</v>
          </cell>
          <cell r="E6814" t="str">
            <v>Sta. Elena HS</v>
          </cell>
          <cell r="F6814">
            <v>1</v>
          </cell>
          <cell r="G6814">
            <v>1</v>
          </cell>
          <cell r="H6814">
            <v>1</v>
          </cell>
          <cell r="I6814">
            <v>0</v>
          </cell>
          <cell r="J6814">
            <v>0</v>
          </cell>
          <cell r="K6814">
            <v>1</v>
          </cell>
          <cell r="L6814">
            <v>0</v>
          </cell>
          <cell r="M6814">
            <v>0</v>
          </cell>
          <cell r="N6814">
            <v>0</v>
          </cell>
          <cell r="O6814" t="str">
            <v>N/A</v>
          </cell>
          <cell r="P6814" t="str">
            <v>N/A</v>
          </cell>
          <cell r="Q6814">
            <v>0</v>
          </cell>
          <cell r="R6814">
            <v>0</v>
          </cell>
          <cell r="S6814">
            <v>1</v>
          </cell>
          <cell r="T6814">
            <v>0</v>
          </cell>
          <cell r="U6814">
            <v>0</v>
          </cell>
          <cell r="V6814">
            <v>0</v>
          </cell>
          <cell r="W6814">
            <v>0</v>
          </cell>
          <cell r="X6814">
            <v>0</v>
          </cell>
          <cell r="Y6814">
            <v>0</v>
          </cell>
        </row>
        <row r="6815">
          <cell r="D6815">
            <v>340554</v>
          </cell>
          <cell r="E6815" t="str">
            <v>SHS within Nemesio Yabut ES</v>
          </cell>
          <cell r="F6815">
            <v>1</v>
          </cell>
          <cell r="G6815">
            <v>1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0</v>
          </cell>
          <cell r="M6815">
            <v>0</v>
          </cell>
          <cell r="N6815">
            <v>0</v>
          </cell>
          <cell r="O6815">
            <v>0</v>
          </cell>
          <cell r="P6815">
            <v>0</v>
          </cell>
          <cell r="Q6815">
            <v>0</v>
          </cell>
          <cell r="R6815">
            <v>0</v>
          </cell>
          <cell r="S6815">
            <v>0</v>
          </cell>
          <cell r="T6815">
            <v>0</v>
          </cell>
          <cell r="U6815">
            <v>0</v>
          </cell>
          <cell r="V6815">
            <v>0</v>
          </cell>
          <cell r="W6815">
            <v>0</v>
          </cell>
          <cell r="X6815">
            <v>0</v>
          </cell>
          <cell r="Y6815">
            <v>0</v>
          </cell>
        </row>
        <row r="6816">
          <cell r="D6816">
            <v>319907</v>
          </cell>
          <cell r="E6816" t="str">
            <v>Jesus Dela Peña National High School</v>
          </cell>
          <cell r="F6816">
            <v>0</v>
          </cell>
          <cell r="G6816">
            <v>0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>
            <v>0</v>
          </cell>
          <cell r="M6816">
            <v>0</v>
          </cell>
          <cell r="N6816">
            <v>0</v>
          </cell>
          <cell r="O6816">
            <v>0</v>
          </cell>
          <cell r="P6816">
            <v>0</v>
          </cell>
          <cell r="Q6816">
            <v>0</v>
          </cell>
          <cell r="R6816">
            <v>0</v>
          </cell>
          <cell r="S6816">
            <v>0</v>
          </cell>
          <cell r="T6816">
            <v>0</v>
          </cell>
          <cell r="U6816">
            <v>0</v>
          </cell>
          <cell r="V6816">
            <v>0</v>
          </cell>
          <cell r="W6816">
            <v>0</v>
          </cell>
          <cell r="X6816">
            <v>0</v>
          </cell>
          <cell r="Y6816">
            <v>0</v>
          </cell>
        </row>
        <row r="6817">
          <cell r="D6817">
            <v>305411</v>
          </cell>
          <cell r="E6817" t="str">
            <v>Fort Bonifacio HS</v>
          </cell>
          <cell r="F6817">
            <v>1</v>
          </cell>
          <cell r="G6817">
            <v>1</v>
          </cell>
          <cell r="H6817">
            <v>1</v>
          </cell>
          <cell r="I6817">
            <v>0</v>
          </cell>
          <cell r="J6817">
            <v>0</v>
          </cell>
          <cell r="K6817">
            <v>0</v>
          </cell>
          <cell r="L6817">
            <v>1</v>
          </cell>
          <cell r="M6817" t="str">
            <v>AS THE NEED ARISES</v>
          </cell>
          <cell r="N6817">
            <v>1</v>
          </cell>
          <cell r="O6817">
            <v>43252</v>
          </cell>
          <cell r="P6817">
            <v>0</v>
          </cell>
          <cell r="Q6817">
            <v>0</v>
          </cell>
          <cell r="R6817">
            <v>0</v>
          </cell>
          <cell r="S6817">
            <v>0</v>
          </cell>
          <cell r="T6817">
            <v>1</v>
          </cell>
          <cell r="U6817" t="str">
            <v>AS THE NEED ARISES</v>
          </cell>
          <cell r="V6817">
            <v>1</v>
          </cell>
          <cell r="W6817">
            <v>0</v>
          </cell>
          <cell r="X6817">
            <v>0</v>
          </cell>
          <cell r="Y6817">
            <v>0</v>
          </cell>
        </row>
        <row r="6818">
          <cell r="D6818">
            <v>340568</v>
          </cell>
          <cell r="E6818" t="str">
            <v>SHS within Ninoy Aquino ES</v>
          </cell>
          <cell r="F6818">
            <v>1</v>
          </cell>
          <cell r="G6818">
            <v>1</v>
          </cell>
          <cell r="H6818">
            <v>1</v>
          </cell>
          <cell r="I6818">
            <v>0</v>
          </cell>
          <cell r="J6818">
            <v>1</v>
          </cell>
          <cell r="K6818">
            <v>0</v>
          </cell>
          <cell r="L6818">
            <v>0</v>
          </cell>
          <cell r="M6818" t="str">
            <v>APRIL, AUGUST AND DECEMBER</v>
          </cell>
          <cell r="N6818">
            <v>0</v>
          </cell>
          <cell r="O6818" t="str">
            <v>AUGUST 16, 2019</v>
          </cell>
          <cell r="P6818" t="str">
            <v>AUGUST 16, 2019</v>
          </cell>
          <cell r="Q6818">
            <v>0</v>
          </cell>
          <cell r="R6818">
            <v>0</v>
          </cell>
          <cell r="S6818">
            <v>0</v>
          </cell>
          <cell r="T6818">
            <v>1</v>
          </cell>
          <cell r="U6818" t="str">
            <v>NONE</v>
          </cell>
          <cell r="V6818">
            <v>0</v>
          </cell>
          <cell r="W6818">
            <v>0</v>
          </cell>
          <cell r="X6818">
            <v>0</v>
          </cell>
          <cell r="Y6818">
            <v>0</v>
          </cell>
        </row>
        <row r="6819">
          <cell r="D6819">
            <v>305367</v>
          </cell>
          <cell r="E6819" t="str">
            <v>Pasay City East HS</v>
          </cell>
          <cell r="F6819">
            <v>1</v>
          </cell>
          <cell r="G6819">
            <v>1</v>
          </cell>
          <cell r="H6819">
            <v>1</v>
          </cell>
          <cell r="I6819">
            <v>0</v>
          </cell>
          <cell r="J6819">
            <v>1</v>
          </cell>
          <cell r="K6819">
            <v>0</v>
          </cell>
          <cell r="L6819">
            <v>0</v>
          </cell>
          <cell r="M6819">
            <v>0</v>
          </cell>
          <cell r="N6819">
            <v>1</v>
          </cell>
          <cell r="O6819">
            <v>43707</v>
          </cell>
          <cell r="P6819">
            <v>43617</v>
          </cell>
          <cell r="Q6819">
            <v>0</v>
          </cell>
          <cell r="R6819">
            <v>1</v>
          </cell>
          <cell r="S6819">
            <v>0</v>
          </cell>
          <cell r="T6819">
            <v>0</v>
          </cell>
          <cell r="U6819">
            <v>0</v>
          </cell>
          <cell r="V6819">
            <v>1</v>
          </cell>
          <cell r="W6819">
            <v>5</v>
          </cell>
          <cell r="X6819">
            <v>0</v>
          </cell>
          <cell r="Y6819">
            <v>0</v>
          </cell>
        </row>
        <row r="6820">
          <cell r="D6820">
            <v>340694</v>
          </cell>
          <cell r="E6820" t="str">
            <v>SHS within E. Abada ES</v>
          </cell>
          <cell r="F6820">
            <v>1</v>
          </cell>
          <cell r="G6820">
            <v>0</v>
          </cell>
          <cell r="H6820">
            <v>1</v>
          </cell>
          <cell r="I6820">
            <v>0</v>
          </cell>
          <cell r="J6820">
            <v>0</v>
          </cell>
          <cell r="K6820">
            <v>0</v>
          </cell>
          <cell r="L6820">
            <v>0</v>
          </cell>
          <cell r="M6820">
            <v>0</v>
          </cell>
          <cell r="N6820">
            <v>1</v>
          </cell>
          <cell r="O6820">
            <v>0</v>
          </cell>
          <cell r="P6820">
            <v>0</v>
          </cell>
          <cell r="Q6820">
            <v>0</v>
          </cell>
          <cell r="R6820">
            <v>0</v>
          </cell>
          <cell r="S6820">
            <v>0</v>
          </cell>
          <cell r="T6820">
            <v>0</v>
          </cell>
          <cell r="U6820">
            <v>0</v>
          </cell>
          <cell r="V6820">
            <v>0</v>
          </cell>
          <cell r="W6820">
            <v>0</v>
          </cell>
          <cell r="X6820">
            <v>0</v>
          </cell>
          <cell r="Y6820">
            <v>0</v>
          </cell>
        </row>
        <row r="6821">
          <cell r="D6821">
            <v>319501</v>
          </cell>
          <cell r="E6821" t="str">
            <v>Holy Spirit National High School</v>
          </cell>
          <cell r="F6821">
            <v>0</v>
          </cell>
          <cell r="G6821">
            <v>0</v>
          </cell>
          <cell r="H6821">
            <v>1</v>
          </cell>
          <cell r="I6821">
            <v>0</v>
          </cell>
          <cell r="J6821">
            <v>0</v>
          </cell>
          <cell r="K6821">
            <v>0</v>
          </cell>
          <cell r="L6821">
            <v>0</v>
          </cell>
          <cell r="M6821" t="str">
            <v>N/A</v>
          </cell>
          <cell r="N6821">
            <v>0</v>
          </cell>
          <cell r="O6821">
            <v>0</v>
          </cell>
          <cell r="P6821">
            <v>0</v>
          </cell>
          <cell r="Q6821">
            <v>0</v>
          </cell>
          <cell r="R6821">
            <v>0</v>
          </cell>
          <cell r="S6821">
            <v>0</v>
          </cell>
          <cell r="T6821">
            <v>0</v>
          </cell>
          <cell r="U6821">
            <v>0</v>
          </cell>
          <cell r="V6821">
            <v>0</v>
          </cell>
          <cell r="W6821">
            <v>0</v>
          </cell>
          <cell r="X6821">
            <v>0</v>
          </cell>
          <cell r="Y6821">
            <v>0</v>
          </cell>
        </row>
        <row r="6822">
          <cell r="D6822">
            <v>305412</v>
          </cell>
          <cell r="E6822" t="str">
            <v>Benigno "Ninoy" S. Aquino HS</v>
          </cell>
          <cell r="F6822">
            <v>1</v>
          </cell>
          <cell r="G6822">
            <v>1</v>
          </cell>
          <cell r="H6822">
            <v>1</v>
          </cell>
          <cell r="I6822">
            <v>0</v>
          </cell>
          <cell r="J6822">
            <v>0</v>
          </cell>
          <cell r="K6822">
            <v>0</v>
          </cell>
          <cell r="L6822">
            <v>0</v>
          </cell>
          <cell r="M6822">
            <v>0</v>
          </cell>
          <cell r="N6822">
            <v>1</v>
          </cell>
          <cell r="O6822">
            <v>43724</v>
          </cell>
          <cell r="P6822">
            <v>43724</v>
          </cell>
          <cell r="Q6822">
            <v>0</v>
          </cell>
          <cell r="R6822">
            <v>0</v>
          </cell>
          <cell r="S6822">
            <v>0</v>
          </cell>
          <cell r="T6822">
            <v>0</v>
          </cell>
          <cell r="U6822">
            <v>0</v>
          </cell>
          <cell r="V6822">
            <v>1</v>
          </cell>
          <cell r="W6822">
            <v>3</v>
          </cell>
          <cell r="X6822">
            <v>3</v>
          </cell>
          <cell r="Y6822">
            <v>3</v>
          </cell>
        </row>
        <row r="6823">
          <cell r="D6823">
            <v>305466</v>
          </cell>
          <cell r="E6823" t="str">
            <v>Pateros National High School</v>
          </cell>
          <cell r="F6823">
            <v>1</v>
          </cell>
          <cell r="G6823">
            <v>0</v>
          </cell>
          <cell r="H6823">
            <v>1</v>
          </cell>
          <cell r="I6823">
            <v>0</v>
          </cell>
          <cell r="J6823">
            <v>1</v>
          </cell>
          <cell r="K6823">
            <v>0</v>
          </cell>
          <cell r="L6823">
            <v>0</v>
          </cell>
          <cell r="M6823">
            <v>0</v>
          </cell>
          <cell r="N6823">
            <v>1</v>
          </cell>
          <cell r="O6823">
            <v>0</v>
          </cell>
          <cell r="P6823">
            <v>0</v>
          </cell>
          <cell r="Q6823">
            <v>0</v>
          </cell>
          <cell r="R6823">
            <v>1</v>
          </cell>
          <cell r="S6823">
            <v>0</v>
          </cell>
          <cell r="T6823">
            <v>0</v>
          </cell>
          <cell r="U6823">
            <v>0</v>
          </cell>
          <cell r="V6823">
            <v>1</v>
          </cell>
          <cell r="W6823">
            <v>2</v>
          </cell>
          <cell r="X6823">
            <v>0</v>
          </cell>
          <cell r="Y6823">
            <v>0</v>
          </cell>
        </row>
        <row r="6824">
          <cell r="D6824">
            <v>305308</v>
          </cell>
          <cell r="E6824" t="str">
            <v>Valeriano E. Fugoso Memorial High School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0</v>
          </cell>
          <cell r="M6824">
            <v>0</v>
          </cell>
          <cell r="N6824">
            <v>0</v>
          </cell>
          <cell r="O6824">
            <v>0</v>
          </cell>
          <cell r="P6824">
            <v>0</v>
          </cell>
          <cell r="Q6824">
            <v>0</v>
          </cell>
          <cell r="R6824">
            <v>0</v>
          </cell>
          <cell r="S6824">
            <v>0</v>
          </cell>
          <cell r="T6824">
            <v>0</v>
          </cell>
          <cell r="U6824">
            <v>0</v>
          </cell>
          <cell r="V6824">
            <v>0</v>
          </cell>
          <cell r="W6824">
            <v>0</v>
          </cell>
          <cell r="X6824">
            <v>0</v>
          </cell>
          <cell r="Y6824">
            <v>0</v>
          </cell>
        </row>
        <row r="6825">
          <cell r="D6825">
            <v>305410</v>
          </cell>
          <cell r="E6825" t="str">
            <v>Makati West HS (Makati Science HS)</v>
          </cell>
          <cell r="F6825">
            <v>1</v>
          </cell>
          <cell r="G6825">
            <v>1</v>
          </cell>
          <cell r="H6825">
            <v>1</v>
          </cell>
          <cell r="I6825">
            <v>1</v>
          </cell>
          <cell r="J6825">
            <v>0</v>
          </cell>
          <cell r="K6825">
            <v>0</v>
          </cell>
          <cell r="L6825">
            <v>0</v>
          </cell>
          <cell r="M6825">
            <v>0</v>
          </cell>
          <cell r="N6825">
            <v>1</v>
          </cell>
          <cell r="O6825">
            <v>0</v>
          </cell>
          <cell r="P6825" t="str">
            <v>AUGUST</v>
          </cell>
          <cell r="Q6825">
            <v>1</v>
          </cell>
          <cell r="R6825">
            <v>0</v>
          </cell>
          <cell r="S6825">
            <v>0</v>
          </cell>
          <cell r="T6825">
            <v>0</v>
          </cell>
          <cell r="U6825">
            <v>0</v>
          </cell>
          <cell r="V6825">
            <v>1</v>
          </cell>
          <cell r="W6825">
            <v>1</v>
          </cell>
          <cell r="X6825">
            <v>0</v>
          </cell>
          <cell r="Y6825">
            <v>0</v>
          </cell>
        </row>
        <row r="6826">
          <cell r="D6826">
            <v>319505</v>
          </cell>
          <cell r="E6826" t="str">
            <v>Judge Feliciano Belmonte, Sr. HS</v>
          </cell>
          <cell r="F6826">
            <v>1</v>
          </cell>
          <cell r="G6826">
            <v>1</v>
          </cell>
          <cell r="H6826">
            <v>0</v>
          </cell>
          <cell r="I6826">
            <v>0</v>
          </cell>
          <cell r="J6826">
            <v>1</v>
          </cell>
          <cell r="K6826">
            <v>0</v>
          </cell>
          <cell r="L6826">
            <v>0</v>
          </cell>
          <cell r="M6826">
            <v>0</v>
          </cell>
          <cell r="N6826">
            <v>1</v>
          </cell>
          <cell r="O6826">
            <v>0</v>
          </cell>
          <cell r="P6826">
            <v>0</v>
          </cell>
          <cell r="Q6826">
            <v>0</v>
          </cell>
          <cell r="R6826">
            <v>1</v>
          </cell>
          <cell r="S6826">
            <v>0</v>
          </cell>
          <cell r="T6826">
            <v>0</v>
          </cell>
          <cell r="U6826">
            <v>0</v>
          </cell>
          <cell r="V6826">
            <v>1</v>
          </cell>
          <cell r="W6826">
            <v>0</v>
          </cell>
          <cell r="X6826">
            <v>0</v>
          </cell>
          <cell r="Y6826">
            <v>0</v>
          </cell>
        </row>
        <row r="6827">
          <cell r="D6827">
            <v>305462</v>
          </cell>
          <cell r="E6827" t="str">
            <v>Gen. Ricardo G. Papa, Sr. Memorial HS Annex</v>
          </cell>
          <cell r="F6827">
            <v>1</v>
          </cell>
          <cell r="G6827">
            <v>1</v>
          </cell>
          <cell r="H6827">
            <v>1</v>
          </cell>
          <cell r="I6827">
            <v>0</v>
          </cell>
          <cell r="J6827">
            <v>1</v>
          </cell>
          <cell r="K6827">
            <v>0</v>
          </cell>
          <cell r="L6827">
            <v>0</v>
          </cell>
          <cell r="M6827">
            <v>0</v>
          </cell>
          <cell r="N6827">
            <v>1</v>
          </cell>
          <cell r="O6827">
            <v>43762</v>
          </cell>
          <cell r="P6827">
            <v>43762</v>
          </cell>
          <cell r="Q6827">
            <v>0</v>
          </cell>
          <cell r="R6827">
            <v>0</v>
          </cell>
          <cell r="S6827">
            <v>0</v>
          </cell>
          <cell r="T6827">
            <v>0</v>
          </cell>
          <cell r="U6827">
            <v>0</v>
          </cell>
          <cell r="V6827">
            <v>1</v>
          </cell>
          <cell r="W6827">
            <v>0</v>
          </cell>
          <cell r="X6827">
            <v>0</v>
          </cell>
          <cell r="Y6827">
            <v>0</v>
          </cell>
        </row>
        <row r="6828">
          <cell r="D6828">
            <v>340710</v>
          </cell>
          <cell r="E6828" t="str">
            <v>SHS within Taguig ES</v>
          </cell>
          <cell r="F6828">
            <v>1</v>
          </cell>
          <cell r="G6828">
            <v>1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>
            <v>0</v>
          </cell>
          <cell r="M6828">
            <v>0</v>
          </cell>
          <cell r="N6828">
            <v>0</v>
          </cell>
          <cell r="O6828">
            <v>0</v>
          </cell>
          <cell r="P6828">
            <v>0</v>
          </cell>
          <cell r="Q6828">
            <v>0</v>
          </cell>
          <cell r="R6828">
            <v>0</v>
          </cell>
          <cell r="S6828">
            <v>0</v>
          </cell>
          <cell r="T6828">
            <v>0</v>
          </cell>
          <cell r="U6828">
            <v>0</v>
          </cell>
          <cell r="V6828">
            <v>0</v>
          </cell>
          <cell r="W6828">
            <v>5</v>
          </cell>
          <cell r="X6828">
            <v>3</v>
          </cell>
          <cell r="Y6828">
            <v>3</v>
          </cell>
        </row>
        <row r="6829">
          <cell r="D6829">
            <v>305459</v>
          </cell>
          <cell r="E6829" t="str">
            <v>Bagumbayan National High School</v>
          </cell>
          <cell r="F6829">
            <v>1</v>
          </cell>
          <cell r="G6829">
            <v>1</v>
          </cell>
          <cell r="H6829">
            <v>1</v>
          </cell>
          <cell r="I6829">
            <v>0</v>
          </cell>
          <cell r="J6829">
            <v>1</v>
          </cell>
          <cell r="K6829">
            <v>0</v>
          </cell>
          <cell r="L6829">
            <v>0</v>
          </cell>
          <cell r="M6829">
            <v>0</v>
          </cell>
          <cell r="N6829">
            <v>1</v>
          </cell>
          <cell r="O6829">
            <v>0</v>
          </cell>
          <cell r="P6829">
            <v>0</v>
          </cell>
          <cell r="Q6829">
            <v>0</v>
          </cell>
          <cell r="R6829">
            <v>1</v>
          </cell>
          <cell r="S6829">
            <v>0</v>
          </cell>
          <cell r="T6829">
            <v>0</v>
          </cell>
          <cell r="U6829">
            <v>0</v>
          </cell>
          <cell r="V6829">
            <v>1</v>
          </cell>
          <cell r="W6829">
            <v>3</v>
          </cell>
          <cell r="X6829">
            <v>0</v>
          </cell>
          <cell r="Y6829">
            <v>0</v>
          </cell>
        </row>
        <row r="6830">
          <cell r="D6830">
            <v>320601</v>
          </cell>
          <cell r="E6830" t="str">
            <v>Taguig Science High School</v>
          </cell>
          <cell r="F6830">
            <v>1</v>
          </cell>
          <cell r="G6830">
            <v>1</v>
          </cell>
          <cell r="H6830">
            <v>1</v>
          </cell>
          <cell r="I6830">
            <v>0</v>
          </cell>
          <cell r="J6830">
            <v>0</v>
          </cell>
          <cell r="K6830">
            <v>1</v>
          </cell>
          <cell r="L6830">
            <v>0</v>
          </cell>
          <cell r="M6830">
            <v>0</v>
          </cell>
          <cell r="N6830">
            <v>1</v>
          </cell>
          <cell r="O6830">
            <v>43313</v>
          </cell>
          <cell r="P6830">
            <v>43748</v>
          </cell>
          <cell r="Q6830">
            <v>1</v>
          </cell>
          <cell r="R6830">
            <v>0</v>
          </cell>
          <cell r="S6830">
            <v>0</v>
          </cell>
          <cell r="T6830">
            <v>0</v>
          </cell>
          <cell r="U6830">
            <v>0</v>
          </cell>
          <cell r="V6830">
            <v>1</v>
          </cell>
          <cell r="W6830">
            <v>0</v>
          </cell>
          <cell r="X6830">
            <v>0</v>
          </cell>
          <cell r="Y6830">
            <v>0</v>
          </cell>
        </row>
        <row r="6831">
          <cell r="D6831">
            <v>304946</v>
          </cell>
          <cell r="E6831" t="str">
            <v>SHS in Barangay Fort Bonifacio</v>
          </cell>
          <cell r="F6831">
            <v>1</v>
          </cell>
          <cell r="G6831">
            <v>1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>
            <v>0</v>
          </cell>
          <cell r="M6831">
            <v>0</v>
          </cell>
          <cell r="N6831">
            <v>0</v>
          </cell>
          <cell r="O6831">
            <v>0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>
            <v>0</v>
          </cell>
          <cell r="V6831">
            <v>0</v>
          </cell>
          <cell r="W6831">
            <v>0</v>
          </cell>
          <cell r="X6831">
            <v>0</v>
          </cell>
          <cell r="Y6831">
            <v>0</v>
          </cell>
        </row>
        <row r="6832">
          <cell r="D6832">
            <v>320604</v>
          </cell>
          <cell r="E6832" t="str">
            <v>Sen. Renato "Compañero" Cayetano Memorial Science &amp; Technology High School</v>
          </cell>
          <cell r="F6832">
            <v>0</v>
          </cell>
          <cell r="G6832">
            <v>0</v>
          </cell>
          <cell r="H6832">
            <v>0</v>
          </cell>
          <cell r="I6832">
            <v>0</v>
          </cell>
          <cell r="J6832">
            <v>0</v>
          </cell>
          <cell r="K6832">
            <v>0</v>
          </cell>
          <cell r="L6832">
            <v>0</v>
          </cell>
          <cell r="M6832">
            <v>0</v>
          </cell>
          <cell r="N6832">
            <v>0</v>
          </cell>
          <cell r="O6832">
            <v>0</v>
          </cell>
          <cell r="P6832">
            <v>0</v>
          </cell>
          <cell r="Q6832">
            <v>0</v>
          </cell>
          <cell r="R6832">
            <v>0</v>
          </cell>
          <cell r="S6832">
            <v>0</v>
          </cell>
          <cell r="T6832">
            <v>0</v>
          </cell>
          <cell r="U6832">
            <v>0</v>
          </cell>
          <cell r="V6832">
            <v>0</v>
          </cell>
          <cell r="W6832">
            <v>0</v>
          </cell>
          <cell r="X6832">
            <v>0</v>
          </cell>
          <cell r="Y6832">
            <v>0</v>
          </cell>
        </row>
        <row r="6833">
          <cell r="D6833">
            <v>320607</v>
          </cell>
          <cell r="E6833" t="str">
            <v>Mayor Simplicio Manalo National HS</v>
          </cell>
          <cell r="F6833">
            <v>1</v>
          </cell>
          <cell r="G6833">
            <v>1</v>
          </cell>
          <cell r="H6833">
            <v>1</v>
          </cell>
          <cell r="I6833">
            <v>1</v>
          </cell>
          <cell r="J6833">
            <v>0</v>
          </cell>
          <cell r="K6833">
            <v>0</v>
          </cell>
          <cell r="L6833">
            <v>0</v>
          </cell>
          <cell r="M6833">
            <v>0</v>
          </cell>
          <cell r="N6833">
            <v>1</v>
          </cell>
          <cell r="O6833">
            <v>0</v>
          </cell>
          <cell r="P6833">
            <v>43617</v>
          </cell>
          <cell r="Q6833">
            <v>1</v>
          </cell>
          <cell r="R6833">
            <v>0</v>
          </cell>
          <cell r="S6833">
            <v>0</v>
          </cell>
          <cell r="T6833">
            <v>0</v>
          </cell>
          <cell r="U6833">
            <v>0</v>
          </cell>
          <cell r="V6833">
            <v>0</v>
          </cell>
          <cell r="W6833">
            <v>4</v>
          </cell>
          <cell r="X6833">
            <v>4</v>
          </cell>
          <cell r="Y6833">
            <v>4</v>
          </cell>
        </row>
        <row r="6834">
          <cell r="D6834">
            <v>305464</v>
          </cell>
          <cell r="E6834" t="str">
            <v>Tipas National High School</v>
          </cell>
          <cell r="F6834">
            <v>1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>
            <v>0</v>
          </cell>
          <cell r="M6834">
            <v>0</v>
          </cell>
          <cell r="N6834">
            <v>0</v>
          </cell>
          <cell r="O6834">
            <v>0</v>
          </cell>
          <cell r="P6834">
            <v>0</v>
          </cell>
          <cell r="Q6834">
            <v>0</v>
          </cell>
          <cell r="R6834">
            <v>0</v>
          </cell>
          <cell r="S6834">
            <v>0</v>
          </cell>
          <cell r="T6834">
            <v>0</v>
          </cell>
          <cell r="U6834">
            <v>0</v>
          </cell>
          <cell r="V6834">
            <v>0</v>
          </cell>
          <cell r="W6834">
            <v>0</v>
          </cell>
          <cell r="X6834">
            <v>0</v>
          </cell>
          <cell r="Y6834">
            <v>0</v>
          </cell>
        </row>
        <row r="6835">
          <cell r="D6835">
            <v>320602</v>
          </cell>
          <cell r="E6835" t="str">
            <v>Maria Asuncion Rodriguez Tiñga High School</v>
          </cell>
          <cell r="F6835">
            <v>1</v>
          </cell>
          <cell r="G6835">
            <v>1</v>
          </cell>
          <cell r="H6835">
            <v>1</v>
          </cell>
          <cell r="I6835">
            <v>0</v>
          </cell>
          <cell r="J6835">
            <v>1</v>
          </cell>
          <cell r="K6835">
            <v>0</v>
          </cell>
          <cell r="L6835">
            <v>0</v>
          </cell>
          <cell r="M6835">
            <v>0</v>
          </cell>
          <cell r="N6835">
            <v>1</v>
          </cell>
          <cell r="O6835" t="str">
            <v>OCTOBER 11, 2019</v>
          </cell>
          <cell r="P6835" t="str">
            <v>10/30/2019</v>
          </cell>
          <cell r="Q6835">
            <v>1</v>
          </cell>
          <cell r="R6835">
            <v>0</v>
          </cell>
          <cell r="S6835">
            <v>0</v>
          </cell>
          <cell r="T6835">
            <v>0</v>
          </cell>
          <cell r="U6835">
            <v>0</v>
          </cell>
          <cell r="V6835">
            <v>1</v>
          </cell>
          <cell r="W6835">
            <v>3</v>
          </cell>
          <cell r="X6835">
            <v>1</v>
          </cell>
          <cell r="Y6835">
            <v>1</v>
          </cell>
        </row>
        <row r="6836">
          <cell r="D6836">
            <v>340558</v>
          </cell>
          <cell r="E6836" t="str">
            <v>SHS within Maximo Estrella ES</v>
          </cell>
          <cell r="F6836">
            <v>1</v>
          </cell>
          <cell r="G6836">
            <v>1</v>
          </cell>
          <cell r="H6836">
            <v>0</v>
          </cell>
          <cell r="I6836">
            <v>0</v>
          </cell>
          <cell r="J6836">
            <v>0</v>
          </cell>
          <cell r="K6836">
            <v>0</v>
          </cell>
          <cell r="L6836">
            <v>0</v>
          </cell>
          <cell r="M6836">
            <v>0</v>
          </cell>
          <cell r="N6836">
            <v>0</v>
          </cell>
          <cell r="O6836">
            <v>0</v>
          </cell>
          <cell r="P6836">
            <v>0</v>
          </cell>
          <cell r="Q6836">
            <v>0</v>
          </cell>
          <cell r="R6836">
            <v>0</v>
          </cell>
          <cell r="S6836">
            <v>0</v>
          </cell>
          <cell r="T6836">
            <v>0</v>
          </cell>
          <cell r="U6836">
            <v>0</v>
          </cell>
          <cell r="V6836">
            <v>0</v>
          </cell>
          <cell r="W6836">
            <v>2</v>
          </cell>
          <cell r="X6836">
            <v>1</v>
          </cell>
          <cell r="Y6836">
            <v>1</v>
          </cell>
        </row>
        <row r="6837">
          <cell r="D6837">
            <v>320605</v>
          </cell>
          <cell r="E6837" t="str">
            <v>Upper Bicutan National High School</v>
          </cell>
          <cell r="F6837">
            <v>1</v>
          </cell>
          <cell r="G6837">
            <v>1</v>
          </cell>
          <cell r="H6837">
            <v>1</v>
          </cell>
          <cell r="I6837">
            <v>0</v>
          </cell>
          <cell r="J6837">
            <v>1</v>
          </cell>
          <cell r="K6837">
            <v>0</v>
          </cell>
          <cell r="L6837">
            <v>0</v>
          </cell>
          <cell r="M6837">
            <v>0</v>
          </cell>
          <cell r="N6837">
            <v>1</v>
          </cell>
          <cell r="O6837">
            <v>43690</v>
          </cell>
          <cell r="P6837">
            <v>0</v>
          </cell>
          <cell r="Q6837">
            <v>0</v>
          </cell>
          <cell r="R6837">
            <v>1</v>
          </cell>
          <cell r="S6837">
            <v>0</v>
          </cell>
          <cell r="T6837">
            <v>0</v>
          </cell>
          <cell r="U6837">
            <v>0</v>
          </cell>
          <cell r="V6837">
            <v>0</v>
          </cell>
          <cell r="W6837">
            <v>0</v>
          </cell>
          <cell r="X6837">
            <v>0</v>
          </cell>
          <cell r="Y6837">
            <v>0</v>
          </cell>
        </row>
        <row r="6838">
          <cell r="D6838">
            <v>305465</v>
          </cell>
          <cell r="E6838" t="str">
            <v>Western Bicutan NHS</v>
          </cell>
          <cell r="F6838">
            <v>0</v>
          </cell>
          <cell r="G6838">
            <v>0</v>
          </cell>
          <cell r="H6838">
            <v>0</v>
          </cell>
          <cell r="I6838">
            <v>0</v>
          </cell>
          <cell r="J6838">
            <v>0</v>
          </cell>
          <cell r="K6838">
            <v>0</v>
          </cell>
          <cell r="L6838">
            <v>0</v>
          </cell>
          <cell r="M6838">
            <v>0</v>
          </cell>
          <cell r="N6838">
            <v>0</v>
          </cell>
          <cell r="O6838">
            <v>0</v>
          </cell>
          <cell r="P6838">
            <v>0</v>
          </cell>
          <cell r="Q6838">
            <v>0</v>
          </cell>
          <cell r="R6838">
            <v>0</v>
          </cell>
          <cell r="S6838">
            <v>0</v>
          </cell>
          <cell r="T6838">
            <v>0</v>
          </cell>
          <cell r="U6838">
            <v>0</v>
          </cell>
          <cell r="V6838">
            <v>0</v>
          </cell>
          <cell r="W6838">
            <v>0</v>
          </cell>
          <cell r="X6838">
            <v>0</v>
          </cell>
          <cell r="Y6838">
            <v>0</v>
          </cell>
        </row>
        <row r="6839">
          <cell r="D6839">
            <v>500340</v>
          </cell>
          <cell r="E6839" t="str">
            <v>Kapitan Eddie T. Reyes Integrated School</v>
          </cell>
          <cell r="F6839">
            <v>1</v>
          </cell>
          <cell r="G6839">
            <v>0</v>
          </cell>
          <cell r="H6839">
            <v>1</v>
          </cell>
          <cell r="I6839">
            <v>0</v>
          </cell>
          <cell r="J6839">
            <v>0</v>
          </cell>
          <cell r="K6839">
            <v>1</v>
          </cell>
          <cell r="L6839">
            <v>0</v>
          </cell>
          <cell r="M6839">
            <v>0</v>
          </cell>
          <cell r="N6839">
            <v>1</v>
          </cell>
          <cell r="O6839">
            <v>0</v>
          </cell>
          <cell r="P6839">
            <v>0</v>
          </cell>
          <cell r="Q6839">
            <v>1</v>
          </cell>
          <cell r="R6839">
            <v>0</v>
          </cell>
          <cell r="S6839">
            <v>0</v>
          </cell>
          <cell r="T6839">
            <v>0</v>
          </cell>
          <cell r="U6839">
            <v>0</v>
          </cell>
          <cell r="V6839">
            <v>0</v>
          </cell>
          <cell r="W6839">
            <v>0</v>
          </cell>
          <cell r="X6839">
            <v>0</v>
          </cell>
          <cell r="Y6839">
            <v>0</v>
          </cell>
        </row>
        <row r="6840">
          <cell r="D6840">
            <v>305460</v>
          </cell>
          <cell r="E6840" t="str">
            <v>Taguig National High School</v>
          </cell>
          <cell r="F6840">
            <v>1</v>
          </cell>
          <cell r="G6840">
            <v>1</v>
          </cell>
          <cell r="H6840">
            <v>1</v>
          </cell>
          <cell r="I6840">
            <v>0</v>
          </cell>
          <cell r="J6840">
            <v>1</v>
          </cell>
          <cell r="K6840">
            <v>0</v>
          </cell>
          <cell r="L6840">
            <v>0</v>
          </cell>
          <cell r="M6840">
            <v>0</v>
          </cell>
          <cell r="N6840">
            <v>1</v>
          </cell>
          <cell r="O6840" t="str">
            <v>August 15, 2019</v>
          </cell>
          <cell r="P6840">
            <v>0</v>
          </cell>
          <cell r="Q6840">
            <v>0</v>
          </cell>
          <cell r="R6840">
            <v>0</v>
          </cell>
          <cell r="S6840">
            <v>0</v>
          </cell>
          <cell r="T6840">
            <v>1</v>
          </cell>
          <cell r="U6840" t="str">
            <v>Only when there are reports on students buying cigarettes</v>
          </cell>
          <cell r="V6840">
            <v>0</v>
          </cell>
          <cell r="W6840">
            <v>1</v>
          </cell>
          <cell r="X6840">
            <v>1</v>
          </cell>
          <cell r="Y6840">
            <v>1</v>
          </cell>
        </row>
        <row r="6841">
          <cell r="D6841">
            <v>320606</v>
          </cell>
          <cell r="E6841" t="str">
            <v>President Diosdado Macapagal HS - Signal VNHS Annex</v>
          </cell>
          <cell r="F6841">
            <v>1</v>
          </cell>
          <cell r="G6841">
            <v>1</v>
          </cell>
          <cell r="H6841">
            <v>1</v>
          </cell>
          <cell r="I6841">
            <v>1</v>
          </cell>
          <cell r="J6841">
            <v>0</v>
          </cell>
          <cell r="K6841">
            <v>0</v>
          </cell>
          <cell r="L6841">
            <v>0</v>
          </cell>
          <cell r="M6841">
            <v>0</v>
          </cell>
          <cell r="N6841">
            <v>0</v>
          </cell>
          <cell r="O6841">
            <v>0</v>
          </cell>
          <cell r="P6841">
            <v>0</v>
          </cell>
          <cell r="Q6841">
            <v>0</v>
          </cell>
          <cell r="R6841">
            <v>0</v>
          </cell>
          <cell r="S6841">
            <v>0</v>
          </cell>
          <cell r="T6841">
            <v>0</v>
          </cell>
          <cell r="U6841">
            <v>0</v>
          </cell>
          <cell r="V6841">
            <v>0</v>
          </cell>
          <cell r="W6841">
            <v>0</v>
          </cell>
          <cell r="X6841">
            <v>0</v>
          </cell>
          <cell r="Y6841">
            <v>0</v>
          </cell>
        </row>
        <row r="6842">
          <cell r="D6842">
            <v>340656</v>
          </cell>
          <cell r="E6842" t="str">
            <v>San Lorenzo Ruiz Senior High School</v>
          </cell>
          <cell r="F6842">
            <v>1</v>
          </cell>
          <cell r="G6842">
            <v>1</v>
          </cell>
          <cell r="H6842">
            <v>1</v>
          </cell>
          <cell r="I6842">
            <v>0</v>
          </cell>
          <cell r="J6842">
            <v>0</v>
          </cell>
          <cell r="K6842">
            <v>1</v>
          </cell>
          <cell r="L6842">
            <v>0</v>
          </cell>
          <cell r="M6842">
            <v>0</v>
          </cell>
          <cell r="N6842">
            <v>1</v>
          </cell>
          <cell r="O6842" t="str">
            <v>JUNE</v>
          </cell>
          <cell r="P6842">
            <v>0</v>
          </cell>
          <cell r="Q6842">
            <v>0</v>
          </cell>
          <cell r="R6842">
            <v>0</v>
          </cell>
          <cell r="S6842">
            <v>1</v>
          </cell>
          <cell r="T6842">
            <v>0</v>
          </cell>
          <cell r="U6842">
            <v>0</v>
          </cell>
          <cell r="V6842">
            <v>0</v>
          </cell>
          <cell r="W6842">
            <v>2</v>
          </cell>
          <cell r="X6842">
            <v>0</v>
          </cell>
          <cell r="Y6842">
            <v>0</v>
          </cell>
        </row>
        <row r="6843">
          <cell r="D6843">
            <v>500334</v>
          </cell>
          <cell r="E6843" t="str">
            <v>Jose Fabella Memorial School</v>
          </cell>
          <cell r="F6843">
            <v>1</v>
          </cell>
          <cell r="G6843">
            <v>1</v>
          </cell>
          <cell r="H6843">
            <v>1</v>
          </cell>
          <cell r="I6843">
            <v>0</v>
          </cell>
          <cell r="J6843">
            <v>0</v>
          </cell>
          <cell r="K6843">
            <v>0</v>
          </cell>
          <cell r="L6843">
            <v>1</v>
          </cell>
          <cell r="M6843" t="str">
            <v>2 x a year</v>
          </cell>
          <cell r="N6843">
            <v>0</v>
          </cell>
          <cell r="O6843">
            <v>0</v>
          </cell>
          <cell r="P6843" t="str">
            <v>n/a</v>
          </cell>
          <cell r="Q6843">
            <v>0</v>
          </cell>
          <cell r="R6843">
            <v>0</v>
          </cell>
          <cell r="S6843">
            <v>0</v>
          </cell>
          <cell r="T6843">
            <v>1</v>
          </cell>
          <cell r="U6843" t="str">
            <v>n/a</v>
          </cell>
          <cell r="V6843">
            <v>0</v>
          </cell>
          <cell r="W6843">
            <v>10</v>
          </cell>
          <cell r="X6843">
            <v>10</v>
          </cell>
          <cell r="Y6843">
            <v>10</v>
          </cell>
        </row>
        <row r="6844">
          <cell r="D6844">
            <v>305406</v>
          </cell>
          <cell r="E6844" t="str">
            <v>Makati High School</v>
          </cell>
          <cell r="F6844">
            <v>1</v>
          </cell>
          <cell r="G6844">
            <v>1</v>
          </cell>
          <cell r="H6844">
            <v>1</v>
          </cell>
          <cell r="I6844">
            <v>0</v>
          </cell>
          <cell r="J6844">
            <v>1</v>
          </cell>
          <cell r="K6844">
            <v>0</v>
          </cell>
          <cell r="L6844">
            <v>0</v>
          </cell>
          <cell r="M6844">
            <v>0</v>
          </cell>
          <cell r="N6844">
            <v>0</v>
          </cell>
          <cell r="O6844">
            <v>0</v>
          </cell>
          <cell r="P6844">
            <v>0</v>
          </cell>
          <cell r="Q6844">
            <v>0</v>
          </cell>
          <cell r="R6844">
            <v>0</v>
          </cell>
          <cell r="S6844">
            <v>1</v>
          </cell>
          <cell r="T6844">
            <v>0</v>
          </cell>
          <cell r="U6844">
            <v>0</v>
          </cell>
          <cell r="V6844">
            <v>0</v>
          </cell>
          <cell r="W6844">
            <v>5</v>
          </cell>
          <cell r="X6844">
            <v>3</v>
          </cell>
          <cell r="Y6844">
            <v>3</v>
          </cell>
        </row>
        <row r="6845">
          <cell r="D6845">
            <v>305364</v>
          </cell>
          <cell r="E6845" t="str">
            <v>Pasay City North HS - Tramo Campus</v>
          </cell>
          <cell r="F6845">
            <v>1</v>
          </cell>
          <cell r="G6845">
            <v>1</v>
          </cell>
          <cell r="H6845">
            <v>1</v>
          </cell>
          <cell r="I6845">
            <v>0</v>
          </cell>
          <cell r="J6845">
            <v>1</v>
          </cell>
          <cell r="K6845">
            <v>0</v>
          </cell>
          <cell r="L6845">
            <v>0</v>
          </cell>
          <cell r="M6845">
            <v>0</v>
          </cell>
          <cell r="N6845">
            <v>1</v>
          </cell>
          <cell r="O6845">
            <v>0</v>
          </cell>
          <cell r="P6845">
            <v>0</v>
          </cell>
          <cell r="Q6845">
            <v>0</v>
          </cell>
          <cell r="R6845">
            <v>0</v>
          </cell>
          <cell r="S6845">
            <v>0</v>
          </cell>
          <cell r="T6845">
            <v>0</v>
          </cell>
          <cell r="U6845">
            <v>0</v>
          </cell>
          <cell r="V6845">
            <v>0</v>
          </cell>
          <cell r="W6845">
            <v>0</v>
          </cell>
          <cell r="X6845">
            <v>0</v>
          </cell>
          <cell r="Y6845">
            <v>0</v>
          </cell>
        </row>
        <row r="6846">
          <cell r="D6846">
            <v>305422</v>
          </cell>
          <cell r="E6846" t="str">
            <v>Rizal Experimental Station And Pilot School for Cottage Industries (RESPSCI)</v>
          </cell>
          <cell r="F6846">
            <v>1</v>
          </cell>
          <cell r="G6846">
            <v>1</v>
          </cell>
          <cell r="H6846">
            <v>0</v>
          </cell>
          <cell r="I6846">
            <v>0</v>
          </cell>
          <cell r="J6846">
            <v>0</v>
          </cell>
          <cell r="K6846">
            <v>1</v>
          </cell>
          <cell r="L6846">
            <v>0</v>
          </cell>
          <cell r="M6846">
            <v>0</v>
          </cell>
          <cell r="N6846">
            <v>1</v>
          </cell>
          <cell r="O6846">
            <v>0</v>
          </cell>
          <cell r="P6846">
            <v>43374</v>
          </cell>
          <cell r="Q6846">
            <v>0</v>
          </cell>
          <cell r="R6846">
            <v>0</v>
          </cell>
          <cell r="S6846">
            <v>1</v>
          </cell>
          <cell r="T6846">
            <v>0</v>
          </cell>
          <cell r="U6846">
            <v>0</v>
          </cell>
          <cell r="V6846">
            <v>1</v>
          </cell>
          <cell r="W6846">
            <v>0</v>
          </cell>
          <cell r="X6846">
            <v>0</v>
          </cell>
          <cell r="Y6846">
            <v>0</v>
          </cell>
        </row>
        <row r="6847">
          <cell r="D6847">
            <v>305463</v>
          </cell>
          <cell r="E6847" t="str">
            <v>Signal Village National High School</v>
          </cell>
          <cell r="F6847">
            <v>0</v>
          </cell>
          <cell r="G6847">
            <v>0</v>
          </cell>
          <cell r="H6847">
            <v>0</v>
          </cell>
          <cell r="I6847">
            <v>0</v>
          </cell>
          <cell r="J6847">
            <v>0</v>
          </cell>
          <cell r="K6847">
            <v>0</v>
          </cell>
          <cell r="L6847">
            <v>0</v>
          </cell>
          <cell r="M6847">
            <v>0</v>
          </cell>
          <cell r="N6847">
            <v>0</v>
          </cell>
          <cell r="O6847">
            <v>0</v>
          </cell>
          <cell r="P6847">
            <v>0</v>
          </cell>
          <cell r="Q6847">
            <v>0</v>
          </cell>
          <cell r="R6847">
            <v>0</v>
          </cell>
          <cell r="S6847">
            <v>0</v>
          </cell>
          <cell r="T6847">
            <v>0</v>
          </cell>
          <cell r="U6847">
            <v>0</v>
          </cell>
          <cell r="V6847">
            <v>0</v>
          </cell>
          <cell r="W6847">
            <v>0</v>
          </cell>
          <cell r="X6847">
            <v>0</v>
          </cell>
          <cell r="Y6847">
            <v>0</v>
          </cell>
        </row>
        <row r="6848">
          <cell r="D6848">
            <v>305296</v>
          </cell>
          <cell r="E6848" t="str">
            <v>Pres. Sergio Osmena, Sr. High School</v>
          </cell>
          <cell r="F6848">
            <v>1</v>
          </cell>
          <cell r="G6848">
            <v>0</v>
          </cell>
          <cell r="H6848">
            <v>1</v>
          </cell>
          <cell r="I6848">
            <v>1</v>
          </cell>
          <cell r="J6848">
            <v>0</v>
          </cell>
          <cell r="K6848">
            <v>0</v>
          </cell>
          <cell r="L6848">
            <v>0</v>
          </cell>
          <cell r="M6848">
            <v>0</v>
          </cell>
          <cell r="N6848">
            <v>1</v>
          </cell>
          <cell r="O6848">
            <v>43693</v>
          </cell>
          <cell r="P6848">
            <v>0</v>
          </cell>
          <cell r="Q6848">
            <v>0</v>
          </cell>
          <cell r="R6848">
            <v>0</v>
          </cell>
          <cell r="S6848">
            <v>0</v>
          </cell>
          <cell r="T6848">
            <v>0</v>
          </cell>
          <cell r="U6848">
            <v>0</v>
          </cell>
          <cell r="V6848">
            <v>0</v>
          </cell>
          <cell r="W6848">
            <v>0</v>
          </cell>
          <cell r="X6848">
            <v>0</v>
          </cell>
          <cell r="Y6848">
            <v>0</v>
          </cell>
        </row>
        <row r="6849">
          <cell r="D6849">
            <v>305368</v>
          </cell>
          <cell r="E6849" t="str">
            <v>Pasay City West HS</v>
          </cell>
          <cell r="F6849">
            <v>1</v>
          </cell>
          <cell r="G6849">
            <v>1</v>
          </cell>
          <cell r="H6849">
            <v>1</v>
          </cell>
          <cell r="I6849">
            <v>0</v>
          </cell>
          <cell r="J6849">
            <v>1</v>
          </cell>
          <cell r="K6849">
            <v>0</v>
          </cell>
          <cell r="L6849">
            <v>0</v>
          </cell>
          <cell r="M6849">
            <v>0</v>
          </cell>
          <cell r="N6849">
            <v>1</v>
          </cell>
          <cell r="O6849">
            <v>0</v>
          </cell>
          <cell r="P6849">
            <v>0</v>
          </cell>
          <cell r="Q6849">
            <v>0</v>
          </cell>
          <cell r="R6849">
            <v>0</v>
          </cell>
          <cell r="S6849">
            <v>0</v>
          </cell>
          <cell r="T6849">
            <v>0</v>
          </cell>
          <cell r="U6849">
            <v>0</v>
          </cell>
          <cell r="V6849">
            <v>0</v>
          </cell>
          <cell r="W6849">
            <v>0</v>
          </cell>
          <cell r="X6849">
            <v>0</v>
          </cell>
          <cell r="Y6849">
            <v>0</v>
          </cell>
        </row>
        <row r="6850">
          <cell r="D6850">
            <v>319903</v>
          </cell>
          <cell r="E6850" t="str">
            <v>Barangka NHS</v>
          </cell>
          <cell r="F6850">
            <v>1</v>
          </cell>
          <cell r="G6850">
            <v>1</v>
          </cell>
          <cell r="H6850">
            <v>1</v>
          </cell>
          <cell r="I6850">
            <v>1</v>
          </cell>
          <cell r="J6850">
            <v>0</v>
          </cell>
          <cell r="K6850">
            <v>0</v>
          </cell>
          <cell r="L6850">
            <v>0</v>
          </cell>
          <cell r="M6850">
            <v>0</v>
          </cell>
          <cell r="N6850">
            <v>1</v>
          </cell>
          <cell r="O6850">
            <v>0</v>
          </cell>
          <cell r="P6850">
            <v>0</v>
          </cell>
          <cell r="Q6850">
            <v>1</v>
          </cell>
          <cell r="R6850">
            <v>0</v>
          </cell>
          <cell r="S6850">
            <v>0</v>
          </cell>
          <cell r="T6850">
            <v>0</v>
          </cell>
          <cell r="U6850">
            <v>0</v>
          </cell>
          <cell r="V6850">
            <v>1</v>
          </cell>
          <cell r="W6850">
            <v>0</v>
          </cell>
          <cell r="X6850">
            <v>0</v>
          </cell>
          <cell r="Y6850">
            <v>0</v>
          </cell>
        </row>
        <row r="6851">
          <cell r="D6851">
            <v>305297</v>
          </cell>
          <cell r="E6851" t="str">
            <v>Manuel L. Quezon High School</v>
          </cell>
          <cell r="F6851">
            <v>1</v>
          </cell>
          <cell r="G6851">
            <v>0</v>
          </cell>
          <cell r="H6851">
            <v>1</v>
          </cell>
          <cell r="I6851">
            <v>0</v>
          </cell>
          <cell r="J6851">
            <v>0</v>
          </cell>
          <cell r="K6851">
            <v>0</v>
          </cell>
          <cell r="L6851">
            <v>1</v>
          </cell>
          <cell r="M6851" t="str">
            <v>SEMI ANNUAL</v>
          </cell>
          <cell r="N6851">
            <v>1</v>
          </cell>
          <cell r="O6851">
            <v>43637</v>
          </cell>
          <cell r="P6851">
            <v>0</v>
          </cell>
          <cell r="Q6851">
            <v>0</v>
          </cell>
          <cell r="R6851">
            <v>0</v>
          </cell>
          <cell r="S6851">
            <v>0</v>
          </cell>
          <cell r="T6851">
            <v>0</v>
          </cell>
          <cell r="U6851">
            <v>0</v>
          </cell>
          <cell r="V6851">
            <v>0</v>
          </cell>
          <cell r="W6851">
            <v>0</v>
          </cell>
          <cell r="X6851">
            <v>0</v>
          </cell>
          <cell r="Y6851">
            <v>0</v>
          </cell>
        </row>
        <row r="6852">
          <cell r="D6852">
            <v>340655</v>
          </cell>
          <cell r="E6852" t="str">
            <v>Ugong Pasig National High School</v>
          </cell>
          <cell r="F6852">
            <v>0</v>
          </cell>
          <cell r="G6852">
            <v>0</v>
          </cell>
          <cell r="H6852">
            <v>0</v>
          </cell>
          <cell r="I6852">
            <v>0</v>
          </cell>
          <cell r="J6852">
            <v>0</v>
          </cell>
          <cell r="K6852">
            <v>0</v>
          </cell>
          <cell r="L6852">
            <v>0</v>
          </cell>
          <cell r="M6852">
            <v>0</v>
          </cell>
          <cell r="N6852">
            <v>0</v>
          </cell>
          <cell r="O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>
            <v>0</v>
          </cell>
          <cell r="V6852">
            <v>0</v>
          </cell>
          <cell r="W6852">
            <v>0</v>
          </cell>
          <cell r="X6852">
            <v>0</v>
          </cell>
          <cell r="Y6852">
            <v>0</v>
          </cell>
        </row>
        <row r="6853">
          <cell r="D6853">
            <v>305420</v>
          </cell>
          <cell r="E6853" t="str">
            <v>Sta. Lucia HS</v>
          </cell>
          <cell r="F6853">
            <v>1</v>
          </cell>
          <cell r="G6853">
            <v>1</v>
          </cell>
          <cell r="H6853">
            <v>1</v>
          </cell>
          <cell r="I6853">
            <v>0</v>
          </cell>
          <cell r="J6853">
            <v>0</v>
          </cell>
          <cell r="K6853">
            <v>0</v>
          </cell>
          <cell r="L6853">
            <v>1</v>
          </cell>
          <cell r="M6853" t="str">
            <v>as needed arises</v>
          </cell>
          <cell r="N6853">
            <v>0</v>
          </cell>
          <cell r="O6853" t="str">
            <v>N/A</v>
          </cell>
          <cell r="P6853" t="str">
            <v>N/A</v>
          </cell>
          <cell r="Q6853">
            <v>0</v>
          </cell>
          <cell r="R6853">
            <v>0</v>
          </cell>
          <cell r="S6853">
            <v>0</v>
          </cell>
          <cell r="T6853">
            <v>1</v>
          </cell>
          <cell r="U6853" t="str">
            <v>N/A</v>
          </cell>
          <cell r="V6853">
            <v>0</v>
          </cell>
          <cell r="W6853">
            <v>0</v>
          </cell>
          <cell r="X6853">
            <v>0</v>
          </cell>
          <cell r="Y6853">
            <v>0</v>
          </cell>
        </row>
        <row r="6854">
          <cell r="D6854">
            <v>320102</v>
          </cell>
          <cell r="E6854" t="str">
            <v>Nagpayong High School</v>
          </cell>
          <cell r="F6854">
            <v>1</v>
          </cell>
          <cell r="G6854">
            <v>1</v>
          </cell>
          <cell r="H6854">
            <v>1</v>
          </cell>
          <cell r="I6854">
            <v>0</v>
          </cell>
          <cell r="J6854">
            <v>1</v>
          </cell>
          <cell r="K6854">
            <v>0</v>
          </cell>
          <cell r="L6854">
            <v>0</v>
          </cell>
          <cell r="M6854">
            <v>0</v>
          </cell>
          <cell r="N6854">
            <v>1</v>
          </cell>
          <cell r="O6854" t="str">
            <v>October 3, 2018</v>
          </cell>
          <cell r="P6854" t="str">
            <v>June 4, 2019</v>
          </cell>
          <cell r="Q6854">
            <v>0</v>
          </cell>
          <cell r="R6854">
            <v>0</v>
          </cell>
          <cell r="S6854">
            <v>1</v>
          </cell>
          <cell r="T6854">
            <v>0</v>
          </cell>
          <cell r="U6854">
            <v>0</v>
          </cell>
          <cell r="V6854">
            <v>1</v>
          </cell>
          <cell r="W6854">
            <v>1</v>
          </cell>
          <cell r="X6854">
            <v>0</v>
          </cell>
          <cell r="Y6854">
            <v>0</v>
          </cell>
        </row>
        <row r="6855">
          <cell r="D6855">
            <v>305416</v>
          </cell>
          <cell r="E6855" t="str">
            <v>Eusebio HS</v>
          </cell>
          <cell r="F6855">
            <v>1</v>
          </cell>
          <cell r="G6855">
            <v>1</v>
          </cell>
          <cell r="H6855">
            <v>1</v>
          </cell>
          <cell r="I6855">
            <v>1</v>
          </cell>
          <cell r="J6855">
            <v>0</v>
          </cell>
          <cell r="K6855">
            <v>0</v>
          </cell>
          <cell r="L6855">
            <v>0</v>
          </cell>
          <cell r="M6855">
            <v>0</v>
          </cell>
          <cell r="N6855">
            <v>1</v>
          </cell>
          <cell r="O6855">
            <v>0</v>
          </cell>
          <cell r="P6855">
            <v>0</v>
          </cell>
          <cell r="Q6855">
            <v>0</v>
          </cell>
          <cell r="R6855">
            <v>0</v>
          </cell>
          <cell r="S6855">
            <v>0</v>
          </cell>
          <cell r="T6855">
            <v>0</v>
          </cell>
          <cell r="U6855">
            <v>0</v>
          </cell>
          <cell r="V6855">
            <v>0</v>
          </cell>
          <cell r="W6855">
            <v>0</v>
          </cell>
          <cell r="X6855">
            <v>0</v>
          </cell>
          <cell r="Y6855">
            <v>0</v>
          </cell>
        </row>
        <row r="6856">
          <cell r="D6856">
            <v>360867</v>
          </cell>
          <cell r="E6856" t="str">
            <v>SHS in Kaligayahan (Rivera Property - bask of Kaligayahan ES)</v>
          </cell>
          <cell r="F6856">
            <v>1</v>
          </cell>
          <cell r="G6856">
            <v>1</v>
          </cell>
          <cell r="H6856">
            <v>1</v>
          </cell>
          <cell r="I6856">
            <v>0</v>
          </cell>
          <cell r="J6856">
            <v>1</v>
          </cell>
          <cell r="K6856">
            <v>0</v>
          </cell>
          <cell r="L6856">
            <v>0</v>
          </cell>
          <cell r="M6856">
            <v>0</v>
          </cell>
          <cell r="N6856">
            <v>1</v>
          </cell>
          <cell r="O6856">
            <v>43708</v>
          </cell>
          <cell r="P6856">
            <v>43769</v>
          </cell>
          <cell r="Q6856">
            <v>0</v>
          </cell>
          <cell r="R6856">
            <v>1</v>
          </cell>
          <cell r="S6856">
            <v>0</v>
          </cell>
          <cell r="T6856">
            <v>0</v>
          </cell>
          <cell r="U6856">
            <v>0</v>
          </cell>
          <cell r="V6856">
            <v>1</v>
          </cell>
          <cell r="W6856">
            <v>0</v>
          </cell>
          <cell r="X6856">
            <v>0</v>
          </cell>
          <cell r="Y6856">
            <v>0</v>
          </cell>
        </row>
        <row r="6857">
          <cell r="D6857">
            <v>305369</v>
          </cell>
          <cell r="E6857" t="str">
            <v>Pasay City Science High School</v>
          </cell>
          <cell r="F6857">
            <v>1</v>
          </cell>
          <cell r="G6857">
            <v>1</v>
          </cell>
          <cell r="H6857">
            <v>1</v>
          </cell>
          <cell r="I6857">
            <v>0</v>
          </cell>
          <cell r="J6857">
            <v>0</v>
          </cell>
          <cell r="K6857">
            <v>0</v>
          </cell>
          <cell r="L6857">
            <v>1</v>
          </cell>
          <cell r="M6857" t="str">
            <v>If there is a case that needs to resolve</v>
          </cell>
          <cell r="N6857">
            <v>0</v>
          </cell>
          <cell r="O6857">
            <v>0</v>
          </cell>
          <cell r="P6857">
            <v>0</v>
          </cell>
          <cell r="Q6857">
            <v>0</v>
          </cell>
          <cell r="R6857">
            <v>0</v>
          </cell>
          <cell r="S6857">
            <v>0</v>
          </cell>
          <cell r="T6857">
            <v>0</v>
          </cell>
          <cell r="U6857">
            <v>0</v>
          </cell>
          <cell r="V6857">
            <v>0</v>
          </cell>
          <cell r="W6857">
            <v>0</v>
          </cell>
          <cell r="X6857">
            <v>0</v>
          </cell>
          <cell r="Y6857">
            <v>0</v>
          </cell>
        </row>
        <row r="6858">
          <cell r="D6858">
            <v>305301</v>
          </cell>
          <cell r="E6858" t="str">
            <v>Ramon Q. Avancena High School</v>
          </cell>
          <cell r="F6858">
            <v>0</v>
          </cell>
          <cell r="G6858">
            <v>0</v>
          </cell>
          <cell r="H6858">
            <v>0</v>
          </cell>
          <cell r="I6858">
            <v>0</v>
          </cell>
          <cell r="J6858">
            <v>0</v>
          </cell>
          <cell r="K6858">
            <v>0</v>
          </cell>
          <cell r="L6858">
            <v>0</v>
          </cell>
          <cell r="M6858">
            <v>0</v>
          </cell>
          <cell r="N6858">
            <v>0</v>
          </cell>
          <cell r="O6858">
            <v>0</v>
          </cell>
          <cell r="P6858">
            <v>0</v>
          </cell>
          <cell r="Q6858">
            <v>0</v>
          </cell>
          <cell r="R6858">
            <v>0</v>
          </cell>
          <cell r="S6858">
            <v>0</v>
          </cell>
          <cell r="T6858">
            <v>0</v>
          </cell>
          <cell r="U6858">
            <v>0</v>
          </cell>
          <cell r="V6858">
            <v>0</v>
          </cell>
          <cell r="W6858">
            <v>0</v>
          </cell>
          <cell r="X6858">
            <v>0</v>
          </cell>
          <cell r="Y6858">
            <v>0</v>
          </cell>
        </row>
        <row r="6859">
          <cell r="D6859">
            <v>319604</v>
          </cell>
          <cell r="E6859" t="str">
            <v>President Corazon C. Aquino National High School</v>
          </cell>
          <cell r="F6859">
            <v>1</v>
          </cell>
          <cell r="G6859">
            <v>0</v>
          </cell>
          <cell r="H6859">
            <v>1</v>
          </cell>
          <cell r="I6859">
            <v>0</v>
          </cell>
          <cell r="J6859">
            <v>0</v>
          </cell>
          <cell r="K6859">
            <v>0</v>
          </cell>
          <cell r="L6859">
            <v>0</v>
          </cell>
          <cell r="M6859">
            <v>0</v>
          </cell>
          <cell r="N6859">
            <v>0</v>
          </cell>
          <cell r="O6859">
            <v>0</v>
          </cell>
          <cell r="P6859" t="str">
            <v>n/a</v>
          </cell>
          <cell r="Q6859">
            <v>0</v>
          </cell>
          <cell r="R6859">
            <v>0</v>
          </cell>
          <cell r="S6859">
            <v>0</v>
          </cell>
          <cell r="T6859">
            <v>0</v>
          </cell>
          <cell r="U6859">
            <v>0</v>
          </cell>
          <cell r="V6859">
            <v>0</v>
          </cell>
          <cell r="W6859">
            <v>0</v>
          </cell>
          <cell r="X6859">
            <v>0</v>
          </cell>
          <cell r="Y6859">
            <v>0</v>
          </cell>
        </row>
        <row r="6860">
          <cell r="D6860">
            <v>305415</v>
          </cell>
          <cell r="E6860" t="str">
            <v>Kapitolyo HS</v>
          </cell>
          <cell r="F6860">
            <v>1</v>
          </cell>
          <cell r="G6860">
            <v>1</v>
          </cell>
          <cell r="H6860">
            <v>1</v>
          </cell>
          <cell r="I6860">
            <v>0</v>
          </cell>
          <cell r="J6860">
            <v>0</v>
          </cell>
          <cell r="K6860">
            <v>1</v>
          </cell>
          <cell r="L6860">
            <v>0</v>
          </cell>
          <cell r="M6860">
            <v>0</v>
          </cell>
          <cell r="N6860">
            <v>1</v>
          </cell>
          <cell r="O6860">
            <v>0</v>
          </cell>
          <cell r="P6860">
            <v>0</v>
          </cell>
          <cell r="Q6860">
            <v>0</v>
          </cell>
          <cell r="R6860">
            <v>0</v>
          </cell>
          <cell r="S6860">
            <v>1</v>
          </cell>
          <cell r="T6860">
            <v>0</v>
          </cell>
          <cell r="U6860">
            <v>0</v>
          </cell>
          <cell r="V6860">
            <v>1</v>
          </cell>
          <cell r="W6860">
            <v>0</v>
          </cell>
          <cell r="X6860">
            <v>0</v>
          </cell>
          <cell r="Y6860">
            <v>0</v>
          </cell>
        </row>
        <row r="6861">
          <cell r="D6861">
            <v>305426</v>
          </cell>
          <cell r="E6861" t="str">
            <v>Paranaque National High School - Baclaran</v>
          </cell>
          <cell r="F6861">
            <v>1</v>
          </cell>
          <cell r="G6861">
            <v>1</v>
          </cell>
          <cell r="H6861">
            <v>1</v>
          </cell>
          <cell r="I6861">
            <v>0</v>
          </cell>
          <cell r="J6861">
            <v>0</v>
          </cell>
          <cell r="K6861">
            <v>1</v>
          </cell>
          <cell r="L6861">
            <v>0</v>
          </cell>
          <cell r="M6861">
            <v>0</v>
          </cell>
          <cell r="N6861">
            <v>0</v>
          </cell>
          <cell r="O6861">
            <v>0</v>
          </cell>
          <cell r="P6861" t="str">
            <v>n/a</v>
          </cell>
          <cell r="Q6861">
            <v>0</v>
          </cell>
          <cell r="R6861">
            <v>0</v>
          </cell>
          <cell r="S6861">
            <v>1</v>
          </cell>
          <cell r="T6861">
            <v>0</v>
          </cell>
          <cell r="U6861">
            <v>0</v>
          </cell>
          <cell r="V6861">
            <v>0</v>
          </cell>
          <cell r="W6861">
            <v>0</v>
          </cell>
          <cell r="X6861">
            <v>0</v>
          </cell>
          <cell r="Y6861">
            <v>0</v>
          </cell>
        </row>
        <row r="6862">
          <cell r="D6862">
            <v>360871</v>
          </cell>
          <cell r="E6862" t="str">
            <v>SHS within P. Tuazon ES</v>
          </cell>
          <cell r="F6862">
            <v>1</v>
          </cell>
          <cell r="G6862">
            <v>0</v>
          </cell>
          <cell r="H6862">
            <v>0</v>
          </cell>
          <cell r="I6862">
            <v>0</v>
          </cell>
          <cell r="J6862">
            <v>0</v>
          </cell>
          <cell r="K6862">
            <v>0</v>
          </cell>
          <cell r="L6862">
            <v>0</v>
          </cell>
          <cell r="M6862">
            <v>0</v>
          </cell>
          <cell r="N6862">
            <v>0</v>
          </cell>
          <cell r="O6862">
            <v>0</v>
          </cell>
          <cell r="P6862" t="str">
            <v>none</v>
          </cell>
          <cell r="Q6862">
            <v>0</v>
          </cell>
          <cell r="R6862">
            <v>0</v>
          </cell>
          <cell r="S6862">
            <v>0</v>
          </cell>
          <cell r="T6862">
            <v>0</v>
          </cell>
          <cell r="U6862">
            <v>0</v>
          </cell>
          <cell r="V6862">
            <v>0</v>
          </cell>
          <cell r="W6862">
            <v>0</v>
          </cell>
          <cell r="X6862">
            <v>0</v>
          </cell>
          <cell r="Y6862">
            <v>0</v>
          </cell>
        </row>
        <row r="6863">
          <cell r="D6863">
            <v>340635</v>
          </cell>
          <cell r="E6863" t="str">
            <v>Sto. Niño Senior High School</v>
          </cell>
          <cell r="F6863">
            <v>1</v>
          </cell>
          <cell r="G6863">
            <v>0</v>
          </cell>
          <cell r="H6863">
            <v>1</v>
          </cell>
          <cell r="I6863">
            <v>0</v>
          </cell>
          <cell r="J6863">
            <v>0</v>
          </cell>
          <cell r="K6863">
            <v>1</v>
          </cell>
          <cell r="L6863">
            <v>0</v>
          </cell>
          <cell r="M6863">
            <v>0</v>
          </cell>
          <cell r="N6863">
            <v>1</v>
          </cell>
          <cell r="O6863" t="str">
            <v>06/28/2019</v>
          </cell>
          <cell r="P6863">
            <v>0</v>
          </cell>
          <cell r="Q6863">
            <v>0</v>
          </cell>
          <cell r="R6863">
            <v>0</v>
          </cell>
          <cell r="S6863">
            <v>1</v>
          </cell>
          <cell r="T6863">
            <v>0</v>
          </cell>
          <cell r="U6863">
            <v>0</v>
          </cell>
          <cell r="V6863">
            <v>0</v>
          </cell>
          <cell r="W6863">
            <v>0</v>
          </cell>
          <cell r="X6863">
            <v>0</v>
          </cell>
          <cell r="Y6863">
            <v>0</v>
          </cell>
        </row>
        <row r="6864">
          <cell r="D6864">
            <v>500051</v>
          </cell>
          <cell r="E6864" t="str">
            <v>Andres Bonifacio Integrated School</v>
          </cell>
          <cell r="F6864">
            <v>1</v>
          </cell>
          <cell r="G6864">
            <v>1</v>
          </cell>
          <cell r="H6864">
            <v>1</v>
          </cell>
          <cell r="I6864">
            <v>0</v>
          </cell>
          <cell r="J6864">
            <v>1</v>
          </cell>
          <cell r="K6864">
            <v>0</v>
          </cell>
          <cell r="L6864">
            <v>1</v>
          </cell>
          <cell r="M6864" t="str">
            <v>As need arises</v>
          </cell>
          <cell r="N6864">
            <v>1</v>
          </cell>
          <cell r="O6864">
            <v>43676</v>
          </cell>
          <cell r="P6864">
            <v>43738</v>
          </cell>
          <cell r="Q6864">
            <v>0</v>
          </cell>
          <cell r="R6864">
            <v>1</v>
          </cell>
          <cell r="S6864">
            <v>0</v>
          </cell>
          <cell r="T6864">
            <v>1</v>
          </cell>
          <cell r="U6864" t="str">
            <v>As need arises</v>
          </cell>
          <cell r="V6864">
            <v>1</v>
          </cell>
          <cell r="W6864">
            <v>3</v>
          </cell>
          <cell r="X6864">
            <v>0</v>
          </cell>
          <cell r="Y6864">
            <v>0</v>
          </cell>
        </row>
        <row r="6865">
          <cell r="D6865">
            <v>305307</v>
          </cell>
          <cell r="E6865" t="str">
            <v>Claro M. Recto High School</v>
          </cell>
          <cell r="F6865">
            <v>0</v>
          </cell>
          <cell r="G6865">
            <v>0</v>
          </cell>
          <cell r="H6865">
            <v>0</v>
          </cell>
          <cell r="I6865">
            <v>0</v>
          </cell>
          <cell r="J6865">
            <v>0</v>
          </cell>
          <cell r="K6865">
            <v>0</v>
          </cell>
          <cell r="L6865">
            <v>0</v>
          </cell>
          <cell r="M6865">
            <v>0</v>
          </cell>
          <cell r="N6865">
            <v>0</v>
          </cell>
          <cell r="O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>
            <v>0</v>
          </cell>
          <cell r="V6865">
            <v>0</v>
          </cell>
          <cell r="W6865">
            <v>0</v>
          </cell>
          <cell r="X6865">
            <v>0</v>
          </cell>
          <cell r="Y6865">
            <v>0</v>
          </cell>
        </row>
        <row r="6866">
          <cell r="D6866">
            <v>319401</v>
          </cell>
          <cell r="E6866" t="str">
            <v>Pres. Corazon C. Aquino High School/Manila HS Annex</v>
          </cell>
          <cell r="F6866">
            <v>1</v>
          </cell>
          <cell r="G6866">
            <v>0</v>
          </cell>
          <cell r="H6866">
            <v>0</v>
          </cell>
          <cell r="I6866">
            <v>0</v>
          </cell>
          <cell r="J6866">
            <v>0</v>
          </cell>
          <cell r="K6866">
            <v>0</v>
          </cell>
          <cell r="L6866">
            <v>1</v>
          </cell>
          <cell r="M6866" t="str">
            <v>N/A</v>
          </cell>
          <cell r="N6866">
            <v>0</v>
          </cell>
          <cell r="O6866">
            <v>0</v>
          </cell>
          <cell r="P6866" t="str">
            <v>N/A</v>
          </cell>
          <cell r="Q6866">
            <v>0</v>
          </cell>
          <cell r="R6866">
            <v>0</v>
          </cell>
          <cell r="S6866">
            <v>0</v>
          </cell>
          <cell r="T6866">
            <v>1</v>
          </cell>
          <cell r="U6866" t="str">
            <v>N/A</v>
          </cell>
          <cell r="V6866">
            <v>0</v>
          </cell>
          <cell r="W6866">
            <v>0</v>
          </cell>
          <cell r="X6866">
            <v>0</v>
          </cell>
          <cell r="Y6866">
            <v>0</v>
          </cell>
        </row>
        <row r="6867">
          <cell r="D6867">
            <v>340599</v>
          </cell>
          <cell r="E6867" t="str">
            <v>SHS within A.Maceda Intg. Sch.-Elem.</v>
          </cell>
          <cell r="F6867">
            <v>0</v>
          </cell>
          <cell r="G6867">
            <v>0</v>
          </cell>
          <cell r="H6867">
            <v>0</v>
          </cell>
          <cell r="I6867">
            <v>0</v>
          </cell>
          <cell r="J6867">
            <v>0</v>
          </cell>
          <cell r="K6867">
            <v>0</v>
          </cell>
          <cell r="L6867">
            <v>1</v>
          </cell>
          <cell r="M6867" t="str">
            <v>N/A</v>
          </cell>
          <cell r="N6867">
            <v>0</v>
          </cell>
          <cell r="O6867">
            <v>0</v>
          </cell>
          <cell r="P6867" t="str">
            <v>N/A</v>
          </cell>
          <cell r="Q6867">
            <v>0</v>
          </cell>
          <cell r="R6867">
            <v>0</v>
          </cell>
          <cell r="S6867">
            <v>0</v>
          </cell>
          <cell r="T6867">
            <v>1</v>
          </cell>
          <cell r="U6867" t="str">
            <v>N/A</v>
          </cell>
          <cell r="V6867">
            <v>0</v>
          </cell>
          <cell r="W6867">
            <v>0</v>
          </cell>
          <cell r="X6867">
            <v>0</v>
          </cell>
          <cell r="Y6867">
            <v>0</v>
          </cell>
        </row>
        <row r="6868">
          <cell r="D6868">
            <v>305298</v>
          </cell>
          <cell r="E6868" t="str">
            <v>Florentino Torres High School</v>
          </cell>
          <cell r="F6868">
            <v>1</v>
          </cell>
          <cell r="G6868">
            <v>1</v>
          </cell>
          <cell r="H6868">
            <v>0</v>
          </cell>
          <cell r="I6868">
            <v>0</v>
          </cell>
          <cell r="J6868">
            <v>0</v>
          </cell>
          <cell r="K6868">
            <v>0</v>
          </cell>
          <cell r="L6868">
            <v>0</v>
          </cell>
          <cell r="M6868">
            <v>0</v>
          </cell>
          <cell r="N6868">
            <v>0</v>
          </cell>
          <cell r="O6868">
            <v>0</v>
          </cell>
          <cell r="P6868">
            <v>0</v>
          </cell>
          <cell r="Q6868">
            <v>0</v>
          </cell>
          <cell r="R6868">
            <v>0</v>
          </cell>
          <cell r="S6868">
            <v>0</v>
          </cell>
          <cell r="T6868">
            <v>0</v>
          </cell>
          <cell r="U6868">
            <v>0</v>
          </cell>
          <cell r="V6868">
            <v>0</v>
          </cell>
          <cell r="W6868">
            <v>0</v>
          </cell>
          <cell r="X6868">
            <v>0</v>
          </cell>
          <cell r="Y6868">
            <v>0</v>
          </cell>
        </row>
        <row r="6869">
          <cell r="D6869">
            <v>320402</v>
          </cell>
          <cell r="E6869" t="str">
            <v>Vicente Trinidad National High School (Punturin NHS)</v>
          </cell>
          <cell r="F6869">
            <v>1</v>
          </cell>
          <cell r="G6869">
            <v>1</v>
          </cell>
          <cell r="H6869">
            <v>1</v>
          </cell>
          <cell r="I6869">
            <v>1</v>
          </cell>
          <cell r="J6869">
            <v>0</v>
          </cell>
          <cell r="K6869">
            <v>0</v>
          </cell>
          <cell r="L6869">
            <v>0</v>
          </cell>
          <cell r="M6869">
            <v>0</v>
          </cell>
          <cell r="N6869">
            <v>1</v>
          </cell>
          <cell r="O6869">
            <v>43617</v>
          </cell>
          <cell r="P6869">
            <v>43739</v>
          </cell>
          <cell r="Q6869">
            <v>1</v>
          </cell>
          <cell r="R6869">
            <v>0</v>
          </cell>
          <cell r="S6869">
            <v>0</v>
          </cell>
          <cell r="T6869">
            <v>0</v>
          </cell>
          <cell r="U6869">
            <v>0</v>
          </cell>
          <cell r="V6869">
            <v>1</v>
          </cell>
          <cell r="W6869">
            <v>0</v>
          </cell>
          <cell r="X6869">
            <v>0</v>
          </cell>
          <cell r="Y6869">
            <v>0</v>
          </cell>
        </row>
        <row r="6870">
          <cell r="D6870">
            <v>305428</v>
          </cell>
          <cell r="E6870" t="str">
            <v>Dr. Arcadio Santos NHS - Main</v>
          </cell>
          <cell r="F6870">
            <v>0</v>
          </cell>
          <cell r="G6870">
            <v>0</v>
          </cell>
          <cell r="H6870">
            <v>1</v>
          </cell>
          <cell r="I6870">
            <v>0</v>
          </cell>
          <cell r="J6870">
            <v>0</v>
          </cell>
          <cell r="K6870">
            <v>1</v>
          </cell>
          <cell r="L6870">
            <v>0</v>
          </cell>
          <cell r="M6870">
            <v>0</v>
          </cell>
          <cell r="N6870">
            <v>0</v>
          </cell>
          <cell r="O6870">
            <v>43709</v>
          </cell>
          <cell r="P6870">
            <v>0</v>
          </cell>
          <cell r="Q6870">
            <v>0</v>
          </cell>
          <cell r="R6870">
            <v>0</v>
          </cell>
          <cell r="S6870">
            <v>0</v>
          </cell>
          <cell r="T6870">
            <v>0</v>
          </cell>
          <cell r="U6870">
            <v>0</v>
          </cell>
          <cell r="V6870">
            <v>0</v>
          </cell>
          <cell r="W6870">
            <v>1</v>
          </cell>
          <cell r="X6870">
            <v>0</v>
          </cell>
          <cell r="Y6870">
            <v>0</v>
          </cell>
        </row>
        <row r="6871">
          <cell r="D6871">
            <v>340690</v>
          </cell>
          <cell r="E6871" t="str">
            <v>Sta. Lucia Senior High School</v>
          </cell>
          <cell r="F6871">
            <v>1</v>
          </cell>
          <cell r="G6871">
            <v>1</v>
          </cell>
          <cell r="H6871">
            <v>1</v>
          </cell>
          <cell r="I6871">
            <v>0</v>
          </cell>
          <cell r="J6871">
            <v>0</v>
          </cell>
          <cell r="K6871">
            <v>1</v>
          </cell>
          <cell r="L6871">
            <v>0</v>
          </cell>
          <cell r="M6871">
            <v>0</v>
          </cell>
          <cell r="N6871">
            <v>1</v>
          </cell>
          <cell r="O6871" t="str">
            <v>6/22/2019</v>
          </cell>
          <cell r="P6871" t="str">
            <v>10/28/2019</v>
          </cell>
          <cell r="Q6871">
            <v>0</v>
          </cell>
          <cell r="R6871">
            <v>0</v>
          </cell>
          <cell r="S6871">
            <v>1</v>
          </cell>
          <cell r="T6871">
            <v>0</v>
          </cell>
          <cell r="U6871">
            <v>0</v>
          </cell>
          <cell r="V6871">
            <v>1</v>
          </cell>
          <cell r="W6871">
            <v>10</v>
          </cell>
          <cell r="X6871">
            <v>6</v>
          </cell>
          <cell r="Y6871">
            <v>0</v>
          </cell>
        </row>
        <row r="6872">
          <cell r="D6872">
            <v>305302</v>
          </cell>
          <cell r="E6872" t="str">
            <v>Jose Abad Santos High School</v>
          </cell>
          <cell r="F6872">
            <v>0</v>
          </cell>
          <cell r="G6872">
            <v>0</v>
          </cell>
          <cell r="H6872">
            <v>0</v>
          </cell>
          <cell r="I6872">
            <v>0</v>
          </cell>
          <cell r="J6872">
            <v>0</v>
          </cell>
          <cell r="K6872">
            <v>0</v>
          </cell>
          <cell r="L6872">
            <v>0</v>
          </cell>
          <cell r="M6872">
            <v>0</v>
          </cell>
          <cell r="N6872">
            <v>0</v>
          </cell>
          <cell r="O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>
            <v>0</v>
          </cell>
          <cell r="V6872">
            <v>0</v>
          </cell>
          <cell r="W6872">
            <v>0</v>
          </cell>
          <cell r="X6872">
            <v>0</v>
          </cell>
          <cell r="Y6872">
            <v>0</v>
          </cell>
        </row>
        <row r="6873">
          <cell r="D6873">
            <v>305309</v>
          </cell>
          <cell r="E6873" t="str">
            <v>M.Araullo High School</v>
          </cell>
          <cell r="F6873">
            <v>0</v>
          </cell>
          <cell r="G6873">
            <v>0</v>
          </cell>
          <cell r="H6873">
            <v>0</v>
          </cell>
          <cell r="I6873">
            <v>0</v>
          </cell>
          <cell r="J6873">
            <v>0</v>
          </cell>
          <cell r="K6873">
            <v>0</v>
          </cell>
          <cell r="L6873">
            <v>0</v>
          </cell>
          <cell r="M6873">
            <v>0</v>
          </cell>
          <cell r="N6873">
            <v>0</v>
          </cell>
          <cell r="O6873">
            <v>0</v>
          </cell>
          <cell r="P6873">
            <v>0</v>
          </cell>
          <cell r="Q6873">
            <v>0</v>
          </cell>
          <cell r="R6873">
            <v>0</v>
          </cell>
          <cell r="S6873">
            <v>0</v>
          </cell>
          <cell r="T6873">
            <v>0</v>
          </cell>
          <cell r="U6873">
            <v>0</v>
          </cell>
          <cell r="V6873">
            <v>0</v>
          </cell>
          <cell r="W6873">
            <v>0</v>
          </cell>
          <cell r="X6873">
            <v>0</v>
          </cell>
          <cell r="Y6873">
            <v>0</v>
          </cell>
        </row>
        <row r="6874">
          <cell r="D6874">
            <v>340697</v>
          </cell>
          <cell r="E6874" t="str">
            <v>Jose Maria Panganiban Senior High School</v>
          </cell>
          <cell r="F6874">
            <v>1</v>
          </cell>
          <cell r="G6874">
            <v>1</v>
          </cell>
          <cell r="H6874">
            <v>0</v>
          </cell>
          <cell r="I6874">
            <v>0</v>
          </cell>
          <cell r="J6874">
            <v>0</v>
          </cell>
          <cell r="K6874">
            <v>0</v>
          </cell>
          <cell r="L6874">
            <v>0</v>
          </cell>
          <cell r="M6874">
            <v>0</v>
          </cell>
          <cell r="N6874">
            <v>0</v>
          </cell>
          <cell r="O6874">
            <v>0</v>
          </cell>
          <cell r="P6874">
            <v>0</v>
          </cell>
          <cell r="Q6874">
            <v>0</v>
          </cell>
          <cell r="R6874">
            <v>0</v>
          </cell>
          <cell r="S6874">
            <v>0</v>
          </cell>
          <cell r="T6874">
            <v>0</v>
          </cell>
          <cell r="U6874">
            <v>0</v>
          </cell>
          <cell r="V6874">
            <v>0</v>
          </cell>
          <cell r="W6874">
            <v>0</v>
          </cell>
          <cell r="X6874">
            <v>0</v>
          </cell>
          <cell r="Y6874">
            <v>0</v>
          </cell>
        </row>
        <row r="6875">
          <cell r="D6875">
            <v>305394</v>
          </cell>
          <cell r="E6875" t="str">
            <v>Mataas na Paaralang Neptali A. Gonzales</v>
          </cell>
          <cell r="F6875">
            <v>1</v>
          </cell>
          <cell r="G6875">
            <v>1</v>
          </cell>
          <cell r="H6875">
            <v>1</v>
          </cell>
          <cell r="I6875">
            <v>0</v>
          </cell>
          <cell r="J6875">
            <v>0</v>
          </cell>
          <cell r="K6875">
            <v>1</v>
          </cell>
          <cell r="L6875">
            <v>0</v>
          </cell>
          <cell r="M6875">
            <v>0</v>
          </cell>
          <cell r="N6875">
            <v>1</v>
          </cell>
          <cell r="O6875">
            <v>0</v>
          </cell>
          <cell r="P6875">
            <v>0</v>
          </cell>
          <cell r="Q6875">
            <v>1</v>
          </cell>
          <cell r="R6875">
            <v>0</v>
          </cell>
          <cell r="S6875">
            <v>0</v>
          </cell>
          <cell r="T6875">
            <v>0</v>
          </cell>
          <cell r="U6875">
            <v>0</v>
          </cell>
          <cell r="V6875">
            <v>1</v>
          </cell>
          <cell r="W6875">
            <v>0</v>
          </cell>
          <cell r="X6875">
            <v>0</v>
          </cell>
          <cell r="Y6875">
            <v>0</v>
          </cell>
        </row>
        <row r="6876">
          <cell r="D6876">
            <v>319601</v>
          </cell>
          <cell r="E6876" t="str">
            <v>Kalayaan NHS</v>
          </cell>
          <cell r="F6876">
            <v>1</v>
          </cell>
          <cell r="G6876">
            <v>1</v>
          </cell>
          <cell r="H6876">
            <v>1</v>
          </cell>
          <cell r="I6876">
            <v>0</v>
          </cell>
          <cell r="J6876">
            <v>1</v>
          </cell>
          <cell r="K6876">
            <v>0</v>
          </cell>
          <cell r="L6876">
            <v>0</v>
          </cell>
          <cell r="M6876">
            <v>0</v>
          </cell>
          <cell r="N6876">
            <v>1</v>
          </cell>
          <cell r="O6876">
            <v>43503</v>
          </cell>
          <cell r="P6876" t="str">
            <v>as needed</v>
          </cell>
          <cell r="Q6876">
            <v>1</v>
          </cell>
          <cell r="R6876">
            <v>0</v>
          </cell>
          <cell r="S6876">
            <v>0</v>
          </cell>
          <cell r="T6876">
            <v>0</v>
          </cell>
          <cell r="U6876">
            <v>0</v>
          </cell>
          <cell r="V6876">
            <v>0</v>
          </cell>
          <cell r="W6876">
            <v>0</v>
          </cell>
          <cell r="X6876">
            <v>0</v>
          </cell>
          <cell r="Y6876">
            <v>0</v>
          </cell>
        </row>
        <row r="6877">
          <cell r="D6877">
            <v>305363</v>
          </cell>
          <cell r="E6877" t="str">
            <v>Pasay City North High School - Main, M. Dela Cruz Campus</v>
          </cell>
          <cell r="F6877">
            <v>1</v>
          </cell>
          <cell r="G6877">
            <v>0</v>
          </cell>
          <cell r="H6877">
            <v>1</v>
          </cell>
          <cell r="I6877">
            <v>0</v>
          </cell>
          <cell r="J6877">
            <v>0</v>
          </cell>
          <cell r="K6877">
            <v>0</v>
          </cell>
          <cell r="L6877">
            <v>0</v>
          </cell>
          <cell r="M6877">
            <v>0</v>
          </cell>
          <cell r="N6877">
            <v>0</v>
          </cell>
          <cell r="O6877">
            <v>0</v>
          </cell>
          <cell r="P6877">
            <v>0</v>
          </cell>
          <cell r="Q6877">
            <v>0</v>
          </cell>
          <cell r="R6877">
            <v>0</v>
          </cell>
          <cell r="S6877">
            <v>0</v>
          </cell>
          <cell r="T6877">
            <v>0</v>
          </cell>
          <cell r="U6877">
            <v>0</v>
          </cell>
          <cell r="V6877">
            <v>0</v>
          </cell>
          <cell r="W6877">
            <v>0</v>
          </cell>
          <cell r="X6877">
            <v>0</v>
          </cell>
          <cell r="Y6877">
            <v>0</v>
          </cell>
        </row>
        <row r="6878">
          <cell r="D6878">
            <v>305449</v>
          </cell>
          <cell r="E6878" t="str">
            <v>Potrero NHS</v>
          </cell>
          <cell r="F6878">
            <v>1</v>
          </cell>
          <cell r="G6878">
            <v>1</v>
          </cell>
          <cell r="H6878">
            <v>1</v>
          </cell>
          <cell r="I6878">
            <v>0</v>
          </cell>
          <cell r="J6878">
            <v>1</v>
          </cell>
          <cell r="K6878">
            <v>0</v>
          </cell>
          <cell r="L6878">
            <v>0</v>
          </cell>
          <cell r="M6878">
            <v>0</v>
          </cell>
          <cell r="N6878">
            <v>1</v>
          </cell>
          <cell r="O6878">
            <v>43731</v>
          </cell>
          <cell r="P6878">
            <v>43731</v>
          </cell>
          <cell r="Q6878">
            <v>0</v>
          </cell>
          <cell r="R6878">
            <v>0</v>
          </cell>
          <cell r="S6878">
            <v>1</v>
          </cell>
          <cell r="T6878">
            <v>0</v>
          </cell>
          <cell r="U6878">
            <v>0</v>
          </cell>
          <cell r="V6878">
            <v>1</v>
          </cell>
          <cell r="W6878">
            <v>2</v>
          </cell>
          <cell r="X6878">
            <v>2</v>
          </cell>
          <cell r="Y6878">
            <v>2</v>
          </cell>
        </row>
        <row r="6879">
          <cell r="D6879">
            <v>500329</v>
          </cell>
          <cell r="E6879" t="str">
            <v>Philippine School for the Deaf</v>
          </cell>
          <cell r="F6879">
            <v>1</v>
          </cell>
          <cell r="G6879">
            <v>0</v>
          </cell>
          <cell r="H6879">
            <v>0</v>
          </cell>
          <cell r="I6879">
            <v>0</v>
          </cell>
          <cell r="J6879">
            <v>0</v>
          </cell>
          <cell r="K6879">
            <v>1</v>
          </cell>
          <cell r="L6879">
            <v>1</v>
          </cell>
          <cell r="M6879" t="str">
            <v>NONE</v>
          </cell>
          <cell r="N6879">
            <v>0</v>
          </cell>
          <cell r="O6879" t="str">
            <v>N/A</v>
          </cell>
          <cell r="P6879" t="str">
            <v>N/A</v>
          </cell>
          <cell r="Q6879">
            <v>0</v>
          </cell>
          <cell r="R6879">
            <v>0</v>
          </cell>
          <cell r="S6879">
            <v>1</v>
          </cell>
          <cell r="T6879">
            <v>1</v>
          </cell>
          <cell r="U6879" t="str">
            <v>N/A</v>
          </cell>
          <cell r="V6879">
            <v>0</v>
          </cell>
          <cell r="W6879">
            <v>0</v>
          </cell>
          <cell r="X6879">
            <v>0</v>
          </cell>
          <cell r="Y6879">
            <v>0</v>
          </cell>
        </row>
        <row r="6880">
          <cell r="D6880">
            <v>305316</v>
          </cell>
          <cell r="E6880" t="str">
            <v>Mariano Marcos Memorial High School</v>
          </cell>
          <cell r="F6880">
            <v>1</v>
          </cell>
          <cell r="G6880">
            <v>0</v>
          </cell>
          <cell r="H6880">
            <v>1</v>
          </cell>
          <cell r="I6880">
            <v>1</v>
          </cell>
          <cell r="J6880">
            <v>0</v>
          </cell>
          <cell r="K6880">
            <v>0</v>
          </cell>
          <cell r="L6880">
            <v>0</v>
          </cell>
          <cell r="M6880">
            <v>0</v>
          </cell>
          <cell r="N6880">
            <v>1</v>
          </cell>
          <cell r="O6880">
            <v>0</v>
          </cell>
          <cell r="P6880">
            <v>0</v>
          </cell>
          <cell r="Q6880">
            <v>0</v>
          </cell>
          <cell r="R6880">
            <v>1</v>
          </cell>
          <cell r="S6880">
            <v>0</v>
          </cell>
          <cell r="T6880">
            <v>0</v>
          </cell>
          <cell r="U6880">
            <v>0</v>
          </cell>
          <cell r="V6880">
            <v>1</v>
          </cell>
          <cell r="W6880">
            <v>0</v>
          </cell>
          <cell r="X6880">
            <v>0</v>
          </cell>
          <cell r="Y6880">
            <v>0</v>
          </cell>
        </row>
        <row r="6881">
          <cell r="D6881">
            <v>302149</v>
          </cell>
          <cell r="E6881" t="str">
            <v>Santiago Syjuco Memorial Integrated Secondary School</v>
          </cell>
          <cell r="F6881">
            <v>1</v>
          </cell>
          <cell r="G6881">
            <v>1</v>
          </cell>
          <cell r="H6881">
            <v>1</v>
          </cell>
          <cell r="I6881">
            <v>0</v>
          </cell>
          <cell r="J6881">
            <v>1</v>
          </cell>
          <cell r="K6881">
            <v>0</v>
          </cell>
          <cell r="L6881">
            <v>0</v>
          </cell>
          <cell r="M6881">
            <v>0</v>
          </cell>
          <cell r="N6881">
            <v>1</v>
          </cell>
          <cell r="O6881">
            <v>0</v>
          </cell>
          <cell r="P6881">
            <v>0</v>
          </cell>
          <cell r="Q6881">
            <v>0</v>
          </cell>
          <cell r="R6881">
            <v>0</v>
          </cell>
          <cell r="S6881">
            <v>1</v>
          </cell>
          <cell r="T6881">
            <v>0</v>
          </cell>
          <cell r="U6881">
            <v>0</v>
          </cell>
          <cell r="V6881">
            <v>0</v>
          </cell>
          <cell r="W6881">
            <v>0</v>
          </cell>
          <cell r="X6881">
            <v>0</v>
          </cell>
          <cell r="Y6881">
            <v>0</v>
          </cell>
        </row>
        <row r="6882">
          <cell r="D6882">
            <v>305299</v>
          </cell>
          <cell r="E6882" t="str">
            <v>Dona Teodora Alonzo HS</v>
          </cell>
          <cell r="F6882">
            <v>0</v>
          </cell>
          <cell r="G6882">
            <v>0</v>
          </cell>
          <cell r="H6882">
            <v>0</v>
          </cell>
          <cell r="I6882">
            <v>0</v>
          </cell>
          <cell r="J6882">
            <v>0</v>
          </cell>
          <cell r="K6882">
            <v>0</v>
          </cell>
          <cell r="L6882">
            <v>0</v>
          </cell>
          <cell r="M6882">
            <v>0</v>
          </cell>
          <cell r="N6882">
            <v>0</v>
          </cell>
          <cell r="O6882">
            <v>0</v>
          </cell>
          <cell r="P6882">
            <v>0</v>
          </cell>
          <cell r="Q6882">
            <v>0</v>
          </cell>
          <cell r="R6882">
            <v>0</v>
          </cell>
          <cell r="S6882">
            <v>0</v>
          </cell>
          <cell r="T6882">
            <v>0</v>
          </cell>
          <cell r="U6882">
            <v>0</v>
          </cell>
          <cell r="V6882">
            <v>0</v>
          </cell>
          <cell r="W6882">
            <v>0</v>
          </cell>
          <cell r="X6882">
            <v>0</v>
          </cell>
          <cell r="Y6882">
            <v>0</v>
          </cell>
        </row>
        <row r="6883">
          <cell r="D6883">
            <v>320307</v>
          </cell>
          <cell r="E6883" t="str">
            <v>Las Piñas City Technical-Vocational High School</v>
          </cell>
          <cell r="F6883">
            <v>1</v>
          </cell>
          <cell r="G6883">
            <v>0</v>
          </cell>
          <cell r="H6883">
            <v>1</v>
          </cell>
          <cell r="I6883">
            <v>0</v>
          </cell>
          <cell r="J6883">
            <v>0</v>
          </cell>
          <cell r="K6883">
            <v>1</v>
          </cell>
          <cell r="L6883">
            <v>0</v>
          </cell>
          <cell r="M6883">
            <v>0</v>
          </cell>
          <cell r="N6883">
            <v>0</v>
          </cell>
          <cell r="O6883">
            <v>0</v>
          </cell>
          <cell r="P6883">
            <v>0</v>
          </cell>
          <cell r="Q6883">
            <v>0</v>
          </cell>
          <cell r="R6883">
            <v>0</v>
          </cell>
          <cell r="S6883">
            <v>1</v>
          </cell>
          <cell r="T6883">
            <v>0</v>
          </cell>
          <cell r="U6883">
            <v>0</v>
          </cell>
          <cell r="V6883">
            <v>1</v>
          </cell>
          <cell r="W6883">
            <v>1</v>
          </cell>
          <cell r="X6883">
            <v>1</v>
          </cell>
          <cell r="Y6883">
            <v>0</v>
          </cell>
        </row>
        <row r="6884">
          <cell r="D6884">
            <v>500328</v>
          </cell>
          <cell r="E6884" t="str">
            <v>Philippine National School for the Blind</v>
          </cell>
          <cell r="F6884">
            <v>1</v>
          </cell>
          <cell r="G6884">
            <v>0</v>
          </cell>
          <cell r="H6884">
            <v>1</v>
          </cell>
          <cell r="I6884">
            <v>0</v>
          </cell>
          <cell r="J6884">
            <v>0</v>
          </cell>
          <cell r="K6884">
            <v>0</v>
          </cell>
          <cell r="L6884">
            <v>1</v>
          </cell>
          <cell r="M6884" t="str">
            <v>AS THE NEEDS ARISES</v>
          </cell>
          <cell r="N6884">
            <v>0</v>
          </cell>
          <cell r="O6884">
            <v>0</v>
          </cell>
          <cell r="P6884">
            <v>0</v>
          </cell>
          <cell r="Q6884">
            <v>0</v>
          </cell>
          <cell r="R6884">
            <v>0</v>
          </cell>
          <cell r="S6884">
            <v>0</v>
          </cell>
          <cell r="T6884">
            <v>1</v>
          </cell>
          <cell r="U6884" t="str">
            <v xml:space="preserve"> NO STORE WITHIN 100 METER PERIMETER</v>
          </cell>
          <cell r="V6884">
            <v>0</v>
          </cell>
          <cell r="W6884">
            <v>0</v>
          </cell>
          <cell r="X6884">
            <v>0</v>
          </cell>
          <cell r="Y6884">
            <v>0</v>
          </cell>
        </row>
        <row r="6885">
          <cell r="D6885">
            <v>305430</v>
          </cell>
          <cell r="E6885" t="str">
            <v>Las Piñas National High School</v>
          </cell>
          <cell r="F6885">
            <v>1</v>
          </cell>
          <cell r="G6885">
            <v>0</v>
          </cell>
          <cell r="H6885">
            <v>1</v>
          </cell>
          <cell r="I6885">
            <v>1</v>
          </cell>
          <cell r="J6885">
            <v>0</v>
          </cell>
          <cell r="K6885">
            <v>0</v>
          </cell>
          <cell r="L6885">
            <v>0</v>
          </cell>
          <cell r="M6885">
            <v>0</v>
          </cell>
          <cell r="N6885">
            <v>1</v>
          </cell>
          <cell r="O6885">
            <v>0</v>
          </cell>
          <cell r="P6885">
            <v>0</v>
          </cell>
          <cell r="Q6885">
            <v>0</v>
          </cell>
          <cell r="R6885">
            <v>1</v>
          </cell>
          <cell r="S6885">
            <v>0</v>
          </cell>
          <cell r="T6885">
            <v>0</v>
          </cell>
          <cell r="U6885">
            <v>0</v>
          </cell>
          <cell r="V6885">
            <v>1</v>
          </cell>
          <cell r="W6885">
            <v>0</v>
          </cell>
          <cell r="X6885">
            <v>0</v>
          </cell>
          <cell r="Y6885">
            <v>0</v>
          </cell>
        </row>
        <row r="6886">
          <cell r="D6886">
            <v>305345</v>
          </cell>
          <cell r="E6886" t="str">
            <v>Balara HS</v>
          </cell>
          <cell r="F6886">
            <v>0</v>
          </cell>
          <cell r="G6886">
            <v>0</v>
          </cell>
          <cell r="H6886">
            <v>0</v>
          </cell>
          <cell r="I6886">
            <v>0</v>
          </cell>
          <cell r="J6886">
            <v>0</v>
          </cell>
          <cell r="K6886">
            <v>0</v>
          </cell>
          <cell r="L6886">
            <v>0</v>
          </cell>
          <cell r="M6886">
            <v>0</v>
          </cell>
          <cell r="N6886">
            <v>0</v>
          </cell>
          <cell r="O6886">
            <v>0</v>
          </cell>
          <cell r="P6886" t="str">
            <v>June 4, 2019</v>
          </cell>
          <cell r="Q6886">
            <v>0</v>
          </cell>
          <cell r="R6886">
            <v>0</v>
          </cell>
          <cell r="S6886">
            <v>0</v>
          </cell>
          <cell r="T6886">
            <v>0</v>
          </cell>
          <cell r="U6886">
            <v>0</v>
          </cell>
          <cell r="V6886">
            <v>0</v>
          </cell>
          <cell r="W6886">
            <v>1</v>
          </cell>
          <cell r="X6886">
            <v>0</v>
          </cell>
          <cell r="Y6886">
            <v>0</v>
          </cell>
        </row>
        <row r="6887">
          <cell r="D6887">
            <v>305419</v>
          </cell>
          <cell r="E6887" t="str">
            <v>Santolan HS</v>
          </cell>
          <cell r="F6887">
            <v>1</v>
          </cell>
          <cell r="G6887">
            <v>1</v>
          </cell>
          <cell r="H6887">
            <v>1</v>
          </cell>
          <cell r="I6887">
            <v>0</v>
          </cell>
          <cell r="J6887">
            <v>1</v>
          </cell>
          <cell r="K6887">
            <v>0</v>
          </cell>
          <cell r="L6887">
            <v>0</v>
          </cell>
          <cell r="M6887">
            <v>0</v>
          </cell>
          <cell r="N6887">
            <v>1</v>
          </cell>
          <cell r="O6887" t="str">
            <v>Nov. 28, 2019</v>
          </cell>
          <cell r="P6887">
            <v>43617</v>
          </cell>
          <cell r="Q6887">
            <v>0</v>
          </cell>
          <cell r="R6887">
            <v>1</v>
          </cell>
          <cell r="S6887">
            <v>0</v>
          </cell>
          <cell r="T6887">
            <v>0</v>
          </cell>
          <cell r="U6887">
            <v>0</v>
          </cell>
          <cell r="V6887">
            <v>1</v>
          </cell>
          <cell r="W6887">
            <v>0</v>
          </cell>
          <cell r="X6887">
            <v>0</v>
          </cell>
          <cell r="Y6887">
            <v>0</v>
          </cell>
        </row>
        <row r="6888">
          <cell r="D6888">
            <v>305440</v>
          </cell>
          <cell r="E6888" t="str">
            <v>Lawang Bato National High School</v>
          </cell>
          <cell r="F6888">
            <v>0</v>
          </cell>
          <cell r="G6888">
            <v>0</v>
          </cell>
          <cell r="H6888">
            <v>1</v>
          </cell>
          <cell r="I6888">
            <v>0</v>
          </cell>
          <cell r="J6888">
            <v>0</v>
          </cell>
          <cell r="K6888">
            <v>1</v>
          </cell>
          <cell r="L6888">
            <v>1</v>
          </cell>
          <cell r="M6888" t="str">
            <v>Joine with JHS</v>
          </cell>
          <cell r="N6888">
            <v>1</v>
          </cell>
          <cell r="O6888" t="str">
            <v>07/04-05/2019</v>
          </cell>
          <cell r="P6888">
            <v>43643</v>
          </cell>
          <cell r="Q6888">
            <v>1</v>
          </cell>
          <cell r="R6888">
            <v>0</v>
          </cell>
          <cell r="S6888">
            <v>0</v>
          </cell>
          <cell r="T6888">
            <v>0</v>
          </cell>
          <cell r="U6888">
            <v>0</v>
          </cell>
          <cell r="V6888">
            <v>1</v>
          </cell>
          <cell r="W6888">
            <v>2</v>
          </cell>
          <cell r="X6888">
            <v>0</v>
          </cell>
          <cell r="Y6888">
            <v>0</v>
          </cell>
        </row>
        <row r="6889">
          <cell r="D6889">
            <v>340729</v>
          </cell>
          <cell r="E6889" t="str">
            <v>Paso de Blas Senior High School</v>
          </cell>
          <cell r="F6889">
            <v>1</v>
          </cell>
          <cell r="G6889">
            <v>0</v>
          </cell>
          <cell r="H6889">
            <v>1</v>
          </cell>
          <cell r="I6889">
            <v>0</v>
          </cell>
          <cell r="J6889">
            <v>1</v>
          </cell>
          <cell r="K6889">
            <v>0</v>
          </cell>
          <cell r="L6889">
            <v>0</v>
          </cell>
          <cell r="M6889">
            <v>0</v>
          </cell>
          <cell r="N6889">
            <v>1</v>
          </cell>
          <cell r="O6889">
            <v>43759</v>
          </cell>
          <cell r="P6889">
            <v>43756</v>
          </cell>
          <cell r="Q6889">
            <v>0</v>
          </cell>
          <cell r="R6889">
            <v>0</v>
          </cell>
          <cell r="S6889">
            <v>1</v>
          </cell>
          <cell r="T6889">
            <v>0</v>
          </cell>
          <cell r="U6889">
            <v>0</v>
          </cell>
          <cell r="V6889">
            <v>1</v>
          </cell>
          <cell r="W6889">
            <v>0</v>
          </cell>
          <cell r="X6889">
            <v>0</v>
          </cell>
          <cell r="Y6889">
            <v>0</v>
          </cell>
        </row>
        <row r="6890">
          <cell r="D6890">
            <v>305370</v>
          </cell>
          <cell r="E6890" t="str">
            <v>Pasay City South High School</v>
          </cell>
          <cell r="F6890">
            <v>0</v>
          </cell>
          <cell r="G6890">
            <v>0</v>
          </cell>
          <cell r="H6890">
            <v>0</v>
          </cell>
          <cell r="I6890">
            <v>1</v>
          </cell>
          <cell r="J6890">
            <v>0</v>
          </cell>
          <cell r="K6890">
            <v>0</v>
          </cell>
          <cell r="L6890">
            <v>0</v>
          </cell>
          <cell r="M6890">
            <v>0</v>
          </cell>
          <cell r="N6890">
            <v>0</v>
          </cell>
          <cell r="O6890">
            <v>0</v>
          </cell>
          <cell r="P6890">
            <v>0</v>
          </cell>
          <cell r="Q6890">
            <v>0</v>
          </cell>
          <cell r="R6890">
            <v>0</v>
          </cell>
          <cell r="S6890">
            <v>0</v>
          </cell>
          <cell r="T6890">
            <v>0</v>
          </cell>
          <cell r="U6890">
            <v>0</v>
          </cell>
          <cell r="V6890">
            <v>0</v>
          </cell>
          <cell r="W6890">
            <v>0</v>
          </cell>
          <cell r="X6890">
            <v>0</v>
          </cell>
          <cell r="Y6890">
            <v>0</v>
          </cell>
        </row>
        <row r="6891">
          <cell r="D6891">
            <v>305446</v>
          </cell>
          <cell r="E6891" t="str">
            <v>Sitero Francisco Mem. NHS</v>
          </cell>
          <cell r="F6891">
            <v>1</v>
          </cell>
          <cell r="G6891">
            <v>1</v>
          </cell>
          <cell r="H6891">
            <v>1</v>
          </cell>
          <cell r="I6891">
            <v>0</v>
          </cell>
          <cell r="J6891">
            <v>0</v>
          </cell>
          <cell r="K6891">
            <v>1</v>
          </cell>
          <cell r="L6891">
            <v>0</v>
          </cell>
          <cell r="M6891">
            <v>0</v>
          </cell>
          <cell r="N6891">
            <v>1</v>
          </cell>
          <cell r="O6891">
            <v>43678</v>
          </cell>
          <cell r="P6891">
            <v>0</v>
          </cell>
          <cell r="Q6891">
            <v>0</v>
          </cell>
          <cell r="R6891">
            <v>1</v>
          </cell>
          <cell r="S6891">
            <v>0</v>
          </cell>
          <cell r="T6891">
            <v>0</v>
          </cell>
          <cell r="U6891">
            <v>0</v>
          </cell>
          <cell r="V6891">
            <v>1</v>
          </cell>
          <cell r="W6891">
            <v>0</v>
          </cell>
          <cell r="X6891">
            <v>0</v>
          </cell>
          <cell r="Y6891">
            <v>0</v>
          </cell>
        </row>
        <row r="6892">
          <cell r="D6892">
            <v>305442</v>
          </cell>
          <cell r="E6892" t="str">
            <v>Parada NHS</v>
          </cell>
          <cell r="F6892">
            <v>1</v>
          </cell>
          <cell r="G6892">
            <v>1</v>
          </cell>
          <cell r="H6892">
            <v>1</v>
          </cell>
          <cell r="I6892">
            <v>0</v>
          </cell>
          <cell r="J6892">
            <v>1</v>
          </cell>
          <cell r="K6892">
            <v>0</v>
          </cell>
          <cell r="L6892">
            <v>0</v>
          </cell>
          <cell r="M6892">
            <v>0</v>
          </cell>
          <cell r="N6892">
            <v>0</v>
          </cell>
          <cell r="O6892">
            <v>0</v>
          </cell>
          <cell r="P6892">
            <v>0</v>
          </cell>
          <cell r="Q6892">
            <v>0</v>
          </cell>
          <cell r="R6892">
            <v>1</v>
          </cell>
          <cell r="S6892">
            <v>0</v>
          </cell>
          <cell r="T6892">
            <v>0</v>
          </cell>
          <cell r="U6892">
            <v>0</v>
          </cell>
          <cell r="V6892">
            <v>1</v>
          </cell>
          <cell r="W6892">
            <v>10</v>
          </cell>
          <cell r="X6892">
            <v>2</v>
          </cell>
          <cell r="Y6892">
            <v>2</v>
          </cell>
        </row>
        <row r="6893">
          <cell r="D6893">
            <v>305591</v>
          </cell>
          <cell r="E6893" t="str">
            <v>Vito L. Belarmino Senior High School</v>
          </cell>
          <cell r="F6893">
            <v>1</v>
          </cell>
          <cell r="G6893">
            <v>1</v>
          </cell>
          <cell r="H6893">
            <v>0</v>
          </cell>
          <cell r="I6893">
            <v>0</v>
          </cell>
          <cell r="J6893">
            <v>0</v>
          </cell>
          <cell r="K6893">
            <v>0</v>
          </cell>
          <cell r="L6893">
            <v>1</v>
          </cell>
          <cell r="M6893" t="str">
            <v>As needed</v>
          </cell>
          <cell r="N6893">
            <v>1</v>
          </cell>
          <cell r="O6893" t="str">
            <v>Áugust 2019</v>
          </cell>
          <cell r="P6893" t="str">
            <v>Óctober 2019</v>
          </cell>
          <cell r="Q6893">
            <v>1</v>
          </cell>
          <cell r="R6893">
            <v>0</v>
          </cell>
          <cell r="S6893">
            <v>0</v>
          </cell>
          <cell r="T6893">
            <v>0</v>
          </cell>
          <cell r="U6893">
            <v>0</v>
          </cell>
          <cell r="V6893">
            <v>1</v>
          </cell>
          <cell r="W6893">
            <v>5</v>
          </cell>
          <cell r="X6893">
            <v>5</v>
          </cell>
          <cell r="Y6893">
            <v>5</v>
          </cell>
        </row>
        <row r="6894">
          <cell r="D6894">
            <v>305300</v>
          </cell>
          <cell r="E6894" t="str">
            <v>Cayetano Arellano High School</v>
          </cell>
          <cell r="F6894">
            <v>0</v>
          </cell>
          <cell r="G6894">
            <v>0</v>
          </cell>
          <cell r="H6894">
            <v>0</v>
          </cell>
          <cell r="I6894">
            <v>0</v>
          </cell>
          <cell r="J6894">
            <v>0</v>
          </cell>
          <cell r="K6894">
            <v>0</v>
          </cell>
          <cell r="L6894">
            <v>0</v>
          </cell>
          <cell r="M6894">
            <v>0</v>
          </cell>
          <cell r="N6894">
            <v>0</v>
          </cell>
          <cell r="O6894">
            <v>0</v>
          </cell>
          <cell r="P6894">
            <v>0</v>
          </cell>
          <cell r="Q6894">
            <v>0</v>
          </cell>
          <cell r="R6894">
            <v>0</v>
          </cell>
          <cell r="S6894">
            <v>0</v>
          </cell>
          <cell r="T6894">
            <v>0</v>
          </cell>
          <cell r="U6894">
            <v>0</v>
          </cell>
          <cell r="V6894">
            <v>0</v>
          </cell>
          <cell r="W6894">
            <v>0</v>
          </cell>
          <cell r="X6894">
            <v>0</v>
          </cell>
          <cell r="Y6894">
            <v>0</v>
          </cell>
        </row>
        <row r="6895">
          <cell r="D6895">
            <v>305458</v>
          </cell>
          <cell r="E6895" t="str">
            <v>San Roque National High School</v>
          </cell>
          <cell r="F6895">
            <v>1</v>
          </cell>
          <cell r="G6895">
            <v>0</v>
          </cell>
          <cell r="H6895">
            <v>1</v>
          </cell>
          <cell r="I6895">
            <v>0</v>
          </cell>
          <cell r="J6895">
            <v>1</v>
          </cell>
          <cell r="K6895">
            <v>0</v>
          </cell>
          <cell r="L6895">
            <v>0</v>
          </cell>
          <cell r="M6895">
            <v>0</v>
          </cell>
          <cell r="N6895">
            <v>0</v>
          </cell>
          <cell r="O6895">
            <v>0</v>
          </cell>
          <cell r="P6895" t="str">
            <v>June 3, 2019</v>
          </cell>
          <cell r="Q6895">
            <v>0</v>
          </cell>
          <cell r="R6895">
            <v>0</v>
          </cell>
          <cell r="S6895">
            <v>1</v>
          </cell>
          <cell r="T6895">
            <v>0</v>
          </cell>
          <cell r="U6895">
            <v>0</v>
          </cell>
          <cell r="V6895">
            <v>0</v>
          </cell>
          <cell r="W6895">
            <v>0</v>
          </cell>
          <cell r="X6895">
            <v>0</v>
          </cell>
          <cell r="Y6895">
            <v>0</v>
          </cell>
        </row>
        <row r="6896">
          <cell r="D6896">
            <v>305319</v>
          </cell>
          <cell r="E6896" t="str">
            <v>Eulogio Rodriguez Vocational High School</v>
          </cell>
          <cell r="F6896">
            <v>1</v>
          </cell>
          <cell r="G6896">
            <v>1</v>
          </cell>
          <cell r="H6896">
            <v>1</v>
          </cell>
          <cell r="I6896">
            <v>0</v>
          </cell>
          <cell r="J6896">
            <v>1</v>
          </cell>
          <cell r="K6896">
            <v>0</v>
          </cell>
          <cell r="L6896">
            <v>0</v>
          </cell>
          <cell r="M6896">
            <v>0</v>
          </cell>
          <cell r="N6896">
            <v>1</v>
          </cell>
          <cell r="O6896">
            <v>43678</v>
          </cell>
          <cell r="P6896" t="str">
            <v>NONE</v>
          </cell>
          <cell r="Q6896">
            <v>1</v>
          </cell>
          <cell r="R6896">
            <v>0</v>
          </cell>
          <cell r="S6896">
            <v>0</v>
          </cell>
          <cell r="T6896">
            <v>0</v>
          </cell>
          <cell r="U6896">
            <v>0</v>
          </cell>
          <cell r="V6896">
            <v>1</v>
          </cell>
          <cell r="W6896">
            <v>2</v>
          </cell>
          <cell r="X6896">
            <v>2</v>
          </cell>
          <cell r="Y6896">
            <v>2</v>
          </cell>
        </row>
        <row r="6897">
          <cell r="D6897">
            <v>320502</v>
          </cell>
          <cell r="E6897" t="str">
            <v>Concepcion Technical - Vocational School</v>
          </cell>
          <cell r="F6897">
            <v>1</v>
          </cell>
          <cell r="G6897">
            <v>1</v>
          </cell>
          <cell r="H6897">
            <v>1</v>
          </cell>
          <cell r="I6897">
            <v>0</v>
          </cell>
          <cell r="J6897">
            <v>1</v>
          </cell>
          <cell r="K6897">
            <v>0</v>
          </cell>
          <cell r="L6897">
            <v>0</v>
          </cell>
          <cell r="M6897">
            <v>0</v>
          </cell>
          <cell r="N6897">
            <v>1</v>
          </cell>
          <cell r="O6897">
            <v>43647</v>
          </cell>
          <cell r="P6897">
            <v>43678</v>
          </cell>
          <cell r="Q6897">
            <v>0</v>
          </cell>
          <cell r="R6897">
            <v>1</v>
          </cell>
          <cell r="S6897">
            <v>0</v>
          </cell>
          <cell r="T6897">
            <v>0</v>
          </cell>
          <cell r="U6897">
            <v>0</v>
          </cell>
          <cell r="V6897">
            <v>1</v>
          </cell>
          <cell r="W6897">
            <v>3</v>
          </cell>
          <cell r="X6897">
            <v>2</v>
          </cell>
          <cell r="Y6897">
            <v>2</v>
          </cell>
        </row>
        <row r="6898">
          <cell r="D6898">
            <v>305399</v>
          </cell>
          <cell r="E6898" t="str">
            <v>Tañong HS</v>
          </cell>
          <cell r="F6898">
            <v>0</v>
          </cell>
          <cell r="G6898">
            <v>1</v>
          </cell>
          <cell r="H6898">
            <v>1</v>
          </cell>
          <cell r="I6898">
            <v>0</v>
          </cell>
          <cell r="J6898">
            <v>1</v>
          </cell>
          <cell r="K6898">
            <v>0</v>
          </cell>
          <cell r="L6898">
            <v>0</v>
          </cell>
          <cell r="M6898">
            <v>0</v>
          </cell>
          <cell r="N6898">
            <v>1</v>
          </cell>
          <cell r="O6898">
            <v>43678</v>
          </cell>
          <cell r="P6898">
            <v>43678</v>
          </cell>
          <cell r="Q6898">
            <v>1</v>
          </cell>
          <cell r="R6898">
            <v>0</v>
          </cell>
          <cell r="S6898">
            <v>0</v>
          </cell>
          <cell r="T6898">
            <v>0</v>
          </cell>
          <cell r="U6898">
            <v>0</v>
          </cell>
          <cell r="V6898">
            <v>1</v>
          </cell>
          <cell r="W6898">
            <v>2</v>
          </cell>
          <cell r="X6898">
            <v>2</v>
          </cell>
          <cell r="Y6898">
            <v>2</v>
          </cell>
        </row>
        <row r="6899">
          <cell r="D6899">
            <v>305447</v>
          </cell>
          <cell r="E6899" t="str">
            <v>Malabon National High School</v>
          </cell>
          <cell r="F6899">
            <v>1</v>
          </cell>
          <cell r="G6899">
            <v>1</v>
          </cell>
          <cell r="H6899">
            <v>1</v>
          </cell>
          <cell r="I6899">
            <v>0</v>
          </cell>
          <cell r="J6899">
            <v>1</v>
          </cell>
          <cell r="K6899">
            <v>0</v>
          </cell>
          <cell r="L6899">
            <v>0</v>
          </cell>
          <cell r="M6899">
            <v>0</v>
          </cell>
          <cell r="N6899">
            <v>1</v>
          </cell>
          <cell r="O6899">
            <v>43725</v>
          </cell>
          <cell r="P6899">
            <v>43746</v>
          </cell>
          <cell r="Q6899">
            <v>0</v>
          </cell>
          <cell r="R6899">
            <v>1</v>
          </cell>
          <cell r="S6899">
            <v>0</v>
          </cell>
          <cell r="T6899">
            <v>0</v>
          </cell>
          <cell r="U6899">
            <v>0</v>
          </cell>
          <cell r="V6899">
            <v>1</v>
          </cell>
          <cell r="W6899">
            <v>0</v>
          </cell>
          <cell r="X6899">
            <v>0</v>
          </cell>
          <cell r="Y6899">
            <v>0</v>
          </cell>
        </row>
        <row r="6900">
          <cell r="D6900">
            <v>320504</v>
          </cell>
          <cell r="E6900" t="str">
            <v>Acacia National High School</v>
          </cell>
          <cell r="F6900">
            <v>1</v>
          </cell>
          <cell r="G6900">
            <v>1</v>
          </cell>
          <cell r="H6900">
            <v>0</v>
          </cell>
          <cell r="I6900">
            <v>0</v>
          </cell>
          <cell r="J6900">
            <v>0</v>
          </cell>
          <cell r="K6900">
            <v>0</v>
          </cell>
          <cell r="L6900">
            <v>0</v>
          </cell>
          <cell r="M6900">
            <v>0</v>
          </cell>
          <cell r="N6900">
            <v>0</v>
          </cell>
          <cell r="O6900">
            <v>0</v>
          </cell>
          <cell r="P6900">
            <v>0</v>
          </cell>
          <cell r="Q6900">
            <v>0</v>
          </cell>
          <cell r="R6900">
            <v>0</v>
          </cell>
          <cell r="S6900">
            <v>0</v>
          </cell>
          <cell r="T6900">
            <v>0</v>
          </cell>
          <cell r="U6900">
            <v>0</v>
          </cell>
          <cell r="V6900">
            <v>0</v>
          </cell>
          <cell r="W6900">
            <v>0</v>
          </cell>
          <cell r="X6900">
            <v>0</v>
          </cell>
          <cell r="Y6900">
            <v>0</v>
          </cell>
        </row>
        <row r="6901">
          <cell r="D6901">
            <v>305303</v>
          </cell>
          <cell r="E6901" t="str">
            <v>Raja Soliman Science and Technology High School</v>
          </cell>
          <cell r="F6901">
            <v>1</v>
          </cell>
          <cell r="G6901">
            <v>1</v>
          </cell>
          <cell r="H6901">
            <v>0</v>
          </cell>
          <cell r="I6901">
            <v>0</v>
          </cell>
          <cell r="J6901">
            <v>0</v>
          </cell>
          <cell r="K6901">
            <v>1</v>
          </cell>
          <cell r="L6901">
            <v>0</v>
          </cell>
          <cell r="M6901">
            <v>0</v>
          </cell>
          <cell r="N6901">
            <v>0</v>
          </cell>
          <cell r="O6901">
            <v>43609</v>
          </cell>
          <cell r="P6901">
            <v>43609</v>
          </cell>
          <cell r="Q6901">
            <v>0</v>
          </cell>
          <cell r="R6901">
            <v>0</v>
          </cell>
          <cell r="S6901">
            <v>1</v>
          </cell>
          <cell r="T6901">
            <v>0</v>
          </cell>
          <cell r="U6901">
            <v>0</v>
          </cell>
          <cell r="V6901">
            <v>1</v>
          </cell>
          <cell r="W6901">
            <v>0</v>
          </cell>
          <cell r="X6901">
            <v>0</v>
          </cell>
          <cell r="Y6901">
            <v>0</v>
          </cell>
        </row>
        <row r="6902">
          <cell r="D6902">
            <v>305291</v>
          </cell>
          <cell r="E6902" t="str">
            <v>Tondo High School</v>
          </cell>
          <cell r="F6902">
            <v>1</v>
          </cell>
          <cell r="G6902">
            <v>1</v>
          </cell>
          <cell r="H6902">
            <v>1</v>
          </cell>
          <cell r="I6902">
            <v>1</v>
          </cell>
          <cell r="J6902">
            <v>0</v>
          </cell>
          <cell r="K6902">
            <v>0</v>
          </cell>
          <cell r="L6902">
            <v>0</v>
          </cell>
          <cell r="M6902">
            <v>0</v>
          </cell>
          <cell r="N6902">
            <v>1</v>
          </cell>
          <cell r="O6902">
            <v>43747</v>
          </cell>
          <cell r="P6902" t="str">
            <v>11/18/2019</v>
          </cell>
          <cell r="Q6902">
            <v>0</v>
          </cell>
          <cell r="R6902">
            <v>1</v>
          </cell>
          <cell r="S6902">
            <v>0</v>
          </cell>
          <cell r="T6902">
            <v>0</v>
          </cell>
          <cell r="U6902">
            <v>0</v>
          </cell>
          <cell r="V6902">
            <v>1</v>
          </cell>
          <cell r="W6902">
            <v>2</v>
          </cell>
          <cell r="X6902">
            <v>2</v>
          </cell>
          <cell r="Y6902">
            <v>2</v>
          </cell>
        </row>
        <row r="6903">
          <cell r="D6903">
            <v>340552</v>
          </cell>
          <cell r="E6903" t="str">
            <v>Las Piñas City National Senior High School- Talon Dos Campus</v>
          </cell>
          <cell r="F6903">
            <v>1</v>
          </cell>
          <cell r="G6903">
            <v>1</v>
          </cell>
          <cell r="H6903">
            <v>1</v>
          </cell>
          <cell r="I6903">
            <v>0</v>
          </cell>
          <cell r="J6903">
            <v>0</v>
          </cell>
          <cell r="K6903">
            <v>1</v>
          </cell>
          <cell r="L6903">
            <v>0</v>
          </cell>
          <cell r="M6903">
            <v>0</v>
          </cell>
          <cell r="N6903">
            <v>1</v>
          </cell>
          <cell r="O6903" t="str">
            <v>5/20/2019</v>
          </cell>
          <cell r="P6903">
            <v>0</v>
          </cell>
          <cell r="Q6903">
            <v>0</v>
          </cell>
          <cell r="R6903">
            <v>0</v>
          </cell>
          <cell r="S6903">
            <v>1</v>
          </cell>
          <cell r="T6903">
            <v>1</v>
          </cell>
          <cell r="U6903" t="str">
            <v>5/20/2019</v>
          </cell>
          <cell r="V6903">
            <v>1</v>
          </cell>
          <cell r="W6903">
            <v>0</v>
          </cell>
          <cell r="X6903">
            <v>0</v>
          </cell>
          <cell r="Y6903">
            <v>0</v>
          </cell>
        </row>
        <row r="6904">
          <cell r="D6904">
            <v>305432</v>
          </cell>
          <cell r="E6904" t="str">
            <v>Golden Acres NHS</v>
          </cell>
          <cell r="F6904">
            <v>1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  <cell r="N6904">
            <v>0</v>
          </cell>
          <cell r="O6904">
            <v>0</v>
          </cell>
          <cell r="P6904">
            <v>0</v>
          </cell>
          <cell r="Q6904">
            <v>0</v>
          </cell>
          <cell r="R6904">
            <v>0</v>
          </cell>
          <cell r="S6904">
            <v>0</v>
          </cell>
          <cell r="T6904">
            <v>0</v>
          </cell>
          <cell r="U6904">
            <v>0</v>
          </cell>
          <cell r="V6904">
            <v>0</v>
          </cell>
          <cell r="W6904">
            <v>0</v>
          </cell>
          <cell r="X6904">
            <v>0</v>
          </cell>
          <cell r="Y6904">
            <v>0</v>
          </cell>
        </row>
        <row r="6905">
          <cell r="D6905">
            <v>340698</v>
          </cell>
          <cell r="E6905" t="str">
            <v>SHS within Toro Hills ES</v>
          </cell>
          <cell r="F6905">
            <v>1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  <cell r="M6905">
            <v>0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>
            <v>0</v>
          </cell>
          <cell r="V6905">
            <v>0</v>
          </cell>
          <cell r="W6905">
            <v>0</v>
          </cell>
          <cell r="X6905">
            <v>0</v>
          </cell>
          <cell r="Y6905">
            <v>0</v>
          </cell>
        </row>
        <row r="6906">
          <cell r="D6906">
            <v>340550</v>
          </cell>
          <cell r="E6906" t="str">
            <v>Las Piñas City National Senior High School - CAA Campus</v>
          </cell>
          <cell r="F6906">
            <v>1</v>
          </cell>
          <cell r="G6906">
            <v>1</v>
          </cell>
          <cell r="H6906">
            <v>1</v>
          </cell>
          <cell r="I6906">
            <v>1</v>
          </cell>
          <cell r="J6906">
            <v>0</v>
          </cell>
          <cell r="K6906">
            <v>0</v>
          </cell>
          <cell r="L6906">
            <v>0</v>
          </cell>
          <cell r="M6906">
            <v>0</v>
          </cell>
          <cell r="N6906">
            <v>1</v>
          </cell>
          <cell r="O6906" t="str">
            <v>September 2019</v>
          </cell>
          <cell r="P6906" t="str">
            <v>October 2019</v>
          </cell>
          <cell r="Q6906">
            <v>1</v>
          </cell>
          <cell r="R6906">
            <v>0</v>
          </cell>
          <cell r="S6906">
            <v>0</v>
          </cell>
          <cell r="T6906">
            <v>0</v>
          </cell>
          <cell r="U6906">
            <v>0</v>
          </cell>
          <cell r="V6906">
            <v>1</v>
          </cell>
          <cell r="W6906">
            <v>2</v>
          </cell>
          <cell r="X6906">
            <v>1</v>
          </cell>
          <cell r="Y6906">
            <v>0</v>
          </cell>
        </row>
        <row r="6907">
          <cell r="D6907">
            <v>340602</v>
          </cell>
          <cell r="E6907" t="str">
            <v>E. QUIRINO Senior High School within Bacood</v>
          </cell>
          <cell r="F6907">
            <v>1</v>
          </cell>
          <cell r="G6907">
            <v>1</v>
          </cell>
          <cell r="H6907">
            <v>1</v>
          </cell>
          <cell r="I6907">
            <v>0</v>
          </cell>
          <cell r="J6907">
            <v>0</v>
          </cell>
          <cell r="K6907">
            <v>0</v>
          </cell>
          <cell r="L6907">
            <v>0</v>
          </cell>
          <cell r="M6907">
            <v>0</v>
          </cell>
          <cell r="N6907">
            <v>1</v>
          </cell>
          <cell r="O6907">
            <v>0</v>
          </cell>
          <cell r="P6907">
            <v>0</v>
          </cell>
          <cell r="Q6907">
            <v>0</v>
          </cell>
          <cell r="R6907">
            <v>0</v>
          </cell>
          <cell r="S6907">
            <v>0</v>
          </cell>
          <cell r="T6907">
            <v>0</v>
          </cell>
          <cell r="U6907">
            <v>0</v>
          </cell>
          <cell r="V6907">
            <v>1</v>
          </cell>
          <cell r="W6907">
            <v>0</v>
          </cell>
          <cell r="X6907">
            <v>0</v>
          </cell>
          <cell r="Y6907">
            <v>0</v>
          </cell>
        </row>
        <row r="6908">
          <cell r="D6908">
            <v>340695</v>
          </cell>
          <cell r="E6908" t="str">
            <v>SHS within Kamuning ES - A&amp;D</v>
          </cell>
          <cell r="F6908">
            <v>1</v>
          </cell>
          <cell r="G6908">
            <v>1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  <cell r="N6908">
            <v>1</v>
          </cell>
          <cell r="O6908" t="str">
            <v>July, 2019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>
            <v>0</v>
          </cell>
          <cell r="V6908">
            <v>0</v>
          </cell>
          <cell r="W6908">
            <v>1</v>
          </cell>
          <cell r="X6908">
            <v>0</v>
          </cell>
          <cell r="Y6908">
            <v>0</v>
          </cell>
        </row>
        <row r="6909">
          <cell r="D6909">
            <v>305437</v>
          </cell>
          <cell r="E6909" t="str">
            <v>Dalandanan National High School</v>
          </cell>
          <cell r="F6909">
            <v>1</v>
          </cell>
          <cell r="G6909">
            <v>1</v>
          </cell>
          <cell r="H6909">
            <v>1</v>
          </cell>
          <cell r="I6909">
            <v>1</v>
          </cell>
          <cell r="J6909">
            <v>0</v>
          </cell>
          <cell r="K6909">
            <v>0</v>
          </cell>
          <cell r="L6909">
            <v>0</v>
          </cell>
          <cell r="M6909">
            <v>0</v>
          </cell>
          <cell r="N6909">
            <v>1</v>
          </cell>
          <cell r="O6909">
            <v>0</v>
          </cell>
          <cell r="P6909">
            <v>43622</v>
          </cell>
          <cell r="Q6909">
            <v>0</v>
          </cell>
          <cell r="R6909">
            <v>0</v>
          </cell>
          <cell r="S6909">
            <v>1</v>
          </cell>
          <cell r="T6909">
            <v>0</v>
          </cell>
          <cell r="U6909">
            <v>0</v>
          </cell>
          <cell r="V6909">
            <v>1</v>
          </cell>
          <cell r="W6909">
            <v>0</v>
          </cell>
          <cell r="X6909">
            <v>0</v>
          </cell>
          <cell r="Y6909">
            <v>0</v>
          </cell>
        </row>
        <row r="6910">
          <cell r="D6910">
            <v>305354</v>
          </cell>
          <cell r="E6910" t="str">
            <v>Flora A. Ylagan HS</v>
          </cell>
          <cell r="F6910">
            <v>1</v>
          </cell>
          <cell r="G6910">
            <v>1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  <cell r="O6910">
            <v>0</v>
          </cell>
          <cell r="P6910">
            <v>0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>
            <v>0</v>
          </cell>
          <cell r="V6910">
            <v>0</v>
          </cell>
          <cell r="W6910">
            <v>0</v>
          </cell>
          <cell r="X6910">
            <v>0</v>
          </cell>
          <cell r="Y6910">
            <v>0</v>
          </cell>
        </row>
        <row r="6911">
          <cell r="D6911">
            <v>305331</v>
          </cell>
          <cell r="E6911" t="str">
            <v>Commonwealth HS</v>
          </cell>
          <cell r="F6911">
            <v>1</v>
          </cell>
          <cell r="G6911">
            <v>1</v>
          </cell>
          <cell r="H6911">
            <v>1</v>
          </cell>
          <cell r="I6911">
            <v>0</v>
          </cell>
          <cell r="J6911">
            <v>1</v>
          </cell>
          <cell r="K6911">
            <v>0</v>
          </cell>
          <cell r="L6911">
            <v>0</v>
          </cell>
          <cell r="M6911">
            <v>0</v>
          </cell>
          <cell r="N6911">
            <v>1</v>
          </cell>
          <cell r="O6911" t="str">
            <v>August 16, 2019</v>
          </cell>
          <cell r="P6911" t="str">
            <v>August 18, 2019</v>
          </cell>
          <cell r="Q6911">
            <v>0</v>
          </cell>
          <cell r="R6911">
            <v>1</v>
          </cell>
          <cell r="S6911">
            <v>0</v>
          </cell>
          <cell r="T6911">
            <v>0</v>
          </cell>
          <cell r="U6911">
            <v>0</v>
          </cell>
          <cell r="V6911">
            <v>1</v>
          </cell>
          <cell r="W6911">
            <v>0</v>
          </cell>
          <cell r="X6911">
            <v>0</v>
          </cell>
          <cell r="Y6911">
            <v>0</v>
          </cell>
        </row>
        <row r="6912">
          <cell r="D6912">
            <v>305413</v>
          </cell>
          <cell r="E6912" t="str">
            <v>Rizal High School</v>
          </cell>
          <cell r="F6912">
            <v>1</v>
          </cell>
          <cell r="G6912">
            <v>0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>
            <v>0</v>
          </cell>
          <cell r="M6912">
            <v>0</v>
          </cell>
          <cell r="N6912">
            <v>0</v>
          </cell>
          <cell r="O6912">
            <v>0</v>
          </cell>
          <cell r="P6912">
            <v>0</v>
          </cell>
          <cell r="Q6912">
            <v>0</v>
          </cell>
          <cell r="R6912">
            <v>0</v>
          </cell>
          <cell r="S6912">
            <v>0</v>
          </cell>
          <cell r="T6912">
            <v>0</v>
          </cell>
          <cell r="U6912">
            <v>0</v>
          </cell>
          <cell r="V6912">
            <v>0</v>
          </cell>
          <cell r="W6912">
            <v>0</v>
          </cell>
          <cell r="X6912">
            <v>0</v>
          </cell>
          <cell r="Y6912">
            <v>0</v>
          </cell>
        </row>
        <row r="6913">
          <cell r="D6913">
            <v>320304</v>
          </cell>
          <cell r="E6913" t="str">
            <v>Las Pinas City National Science High School</v>
          </cell>
          <cell r="F6913">
            <v>1</v>
          </cell>
          <cell r="G6913">
            <v>1</v>
          </cell>
          <cell r="H6913">
            <v>1</v>
          </cell>
          <cell r="I6913">
            <v>0</v>
          </cell>
          <cell r="J6913">
            <v>0</v>
          </cell>
          <cell r="K6913">
            <v>1</v>
          </cell>
          <cell r="L6913">
            <v>0</v>
          </cell>
          <cell r="M6913">
            <v>0</v>
          </cell>
          <cell r="N6913">
            <v>0</v>
          </cell>
          <cell r="O6913">
            <v>0</v>
          </cell>
          <cell r="P6913">
            <v>0</v>
          </cell>
          <cell r="Q6913">
            <v>0</v>
          </cell>
          <cell r="R6913">
            <v>1</v>
          </cell>
          <cell r="S6913">
            <v>0</v>
          </cell>
          <cell r="T6913">
            <v>0</v>
          </cell>
          <cell r="U6913">
            <v>0</v>
          </cell>
          <cell r="V6913">
            <v>0</v>
          </cell>
          <cell r="W6913">
            <v>0</v>
          </cell>
          <cell r="X6913">
            <v>0</v>
          </cell>
          <cell r="Y6913">
            <v>0</v>
          </cell>
        </row>
        <row r="6914">
          <cell r="D6914">
            <v>305312</v>
          </cell>
          <cell r="E6914" t="str">
            <v>Manila Science High School</v>
          </cell>
          <cell r="F6914">
            <v>0</v>
          </cell>
          <cell r="G6914">
            <v>0</v>
          </cell>
          <cell r="H6914">
            <v>0</v>
          </cell>
          <cell r="I6914">
            <v>0</v>
          </cell>
          <cell r="J6914">
            <v>0</v>
          </cell>
          <cell r="K6914">
            <v>0</v>
          </cell>
          <cell r="L6914">
            <v>0</v>
          </cell>
          <cell r="M6914">
            <v>0</v>
          </cell>
          <cell r="N6914">
            <v>0</v>
          </cell>
          <cell r="O6914">
            <v>0</v>
          </cell>
          <cell r="P6914">
            <v>0</v>
          </cell>
          <cell r="Q6914">
            <v>0</v>
          </cell>
          <cell r="R6914">
            <v>0</v>
          </cell>
          <cell r="S6914">
            <v>0</v>
          </cell>
          <cell r="T6914">
            <v>0</v>
          </cell>
          <cell r="U6914">
            <v>0</v>
          </cell>
          <cell r="V6914">
            <v>0</v>
          </cell>
          <cell r="W6914">
            <v>0</v>
          </cell>
          <cell r="X6914">
            <v>0</v>
          </cell>
          <cell r="Y6914">
            <v>0</v>
          </cell>
        </row>
        <row r="6915">
          <cell r="D6915">
            <v>302387</v>
          </cell>
          <cell r="E6915" t="str">
            <v>Malabon City Techvoc and Entrepreneurship Senior High School (CMPI Campus)</v>
          </cell>
          <cell r="F6915">
            <v>1</v>
          </cell>
          <cell r="G6915">
            <v>1</v>
          </cell>
          <cell r="H6915">
            <v>1</v>
          </cell>
          <cell r="I6915">
            <v>0</v>
          </cell>
          <cell r="J6915">
            <v>1</v>
          </cell>
          <cell r="K6915">
            <v>0</v>
          </cell>
          <cell r="L6915">
            <v>0</v>
          </cell>
          <cell r="M6915">
            <v>0</v>
          </cell>
          <cell r="N6915">
            <v>1</v>
          </cell>
          <cell r="O6915">
            <v>0</v>
          </cell>
          <cell r="P6915">
            <v>0</v>
          </cell>
          <cell r="Q6915">
            <v>0</v>
          </cell>
          <cell r="R6915">
            <v>0</v>
          </cell>
          <cell r="S6915">
            <v>1</v>
          </cell>
          <cell r="T6915">
            <v>0</v>
          </cell>
          <cell r="U6915">
            <v>0</v>
          </cell>
          <cell r="V6915">
            <v>1</v>
          </cell>
          <cell r="W6915">
            <v>0</v>
          </cell>
          <cell r="X6915">
            <v>0</v>
          </cell>
          <cell r="Y6915">
            <v>0</v>
          </cell>
        </row>
        <row r="6916">
          <cell r="D6916">
            <v>305450</v>
          </cell>
          <cell r="E6916" t="str">
            <v>Panghulo NHS</v>
          </cell>
          <cell r="F6916">
            <v>1</v>
          </cell>
          <cell r="G6916">
            <v>1</v>
          </cell>
          <cell r="H6916">
            <v>1</v>
          </cell>
          <cell r="I6916">
            <v>0</v>
          </cell>
          <cell r="J6916">
            <v>0</v>
          </cell>
          <cell r="K6916">
            <v>0</v>
          </cell>
          <cell r="L6916">
            <v>0</v>
          </cell>
          <cell r="M6916">
            <v>0</v>
          </cell>
          <cell r="N6916">
            <v>1</v>
          </cell>
          <cell r="O6916">
            <v>0</v>
          </cell>
          <cell r="P6916" t="str">
            <v>SEPT-2018</v>
          </cell>
          <cell r="Q6916">
            <v>0</v>
          </cell>
          <cell r="R6916">
            <v>0</v>
          </cell>
          <cell r="S6916">
            <v>1</v>
          </cell>
          <cell r="T6916">
            <v>0</v>
          </cell>
          <cell r="U6916">
            <v>0</v>
          </cell>
          <cell r="V6916">
            <v>0</v>
          </cell>
          <cell r="W6916">
            <v>1</v>
          </cell>
          <cell r="X6916">
            <v>1</v>
          </cell>
          <cell r="Y6916">
            <v>1</v>
          </cell>
        </row>
        <row r="6917">
          <cell r="D6917">
            <v>340629</v>
          </cell>
          <cell r="E6917" t="str">
            <v>SHS in Bangkulasi, Navotas City</v>
          </cell>
          <cell r="F6917">
            <v>1</v>
          </cell>
          <cell r="G6917">
            <v>1</v>
          </cell>
          <cell r="H6917">
            <v>1</v>
          </cell>
          <cell r="I6917">
            <v>0</v>
          </cell>
          <cell r="J6917">
            <v>0</v>
          </cell>
          <cell r="K6917">
            <v>1</v>
          </cell>
          <cell r="L6917">
            <v>0</v>
          </cell>
          <cell r="M6917">
            <v>0</v>
          </cell>
          <cell r="N6917">
            <v>1</v>
          </cell>
          <cell r="O6917" t="str">
            <v>6/28/2019</v>
          </cell>
          <cell r="P6917">
            <v>0</v>
          </cell>
          <cell r="Q6917">
            <v>0</v>
          </cell>
          <cell r="R6917">
            <v>0</v>
          </cell>
          <cell r="S6917">
            <v>1</v>
          </cell>
          <cell r="T6917">
            <v>0</v>
          </cell>
          <cell r="U6917">
            <v>0</v>
          </cell>
          <cell r="V6917">
            <v>1</v>
          </cell>
          <cell r="W6917">
            <v>0</v>
          </cell>
          <cell r="X6917">
            <v>0</v>
          </cell>
          <cell r="Y6917">
            <v>0</v>
          </cell>
        </row>
        <row r="6918">
          <cell r="D6918">
            <v>340551</v>
          </cell>
          <cell r="E6918" t="str">
            <v>Las Piñas City National Senior High School - Dona Josefa Campus</v>
          </cell>
          <cell r="F6918">
            <v>1</v>
          </cell>
          <cell r="G6918">
            <v>1</v>
          </cell>
          <cell r="H6918">
            <v>1</v>
          </cell>
          <cell r="I6918">
            <v>0</v>
          </cell>
          <cell r="J6918">
            <v>0</v>
          </cell>
          <cell r="K6918">
            <v>1</v>
          </cell>
          <cell r="L6918">
            <v>0</v>
          </cell>
          <cell r="M6918">
            <v>0</v>
          </cell>
          <cell r="N6918">
            <v>1</v>
          </cell>
          <cell r="O6918" t="str">
            <v>03/15/2019</v>
          </cell>
          <cell r="P6918" t="str">
            <v>n/a</v>
          </cell>
          <cell r="Q6918">
            <v>1</v>
          </cell>
          <cell r="R6918">
            <v>0</v>
          </cell>
          <cell r="S6918">
            <v>0</v>
          </cell>
          <cell r="T6918">
            <v>0</v>
          </cell>
          <cell r="U6918">
            <v>0</v>
          </cell>
          <cell r="V6918">
            <v>1</v>
          </cell>
          <cell r="W6918">
            <v>0</v>
          </cell>
          <cell r="X6918">
            <v>0</v>
          </cell>
          <cell r="Y6918">
            <v>0</v>
          </cell>
        </row>
        <row r="6919">
          <cell r="D6919">
            <v>320205</v>
          </cell>
          <cell r="E6919" t="str">
            <v>Don Bosco High School Parañaque</v>
          </cell>
          <cell r="F6919">
            <v>1</v>
          </cell>
          <cell r="G6919">
            <v>1</v>
          </cell>
          <cell r="H6919">
            <v>0</v>
          </cell>
          <cell r="I6919">
            <v>0</v>
          </cell>
          <cell r="J6919">
            <v>1</v>
          </cell>
          <cell r="K6919">
            <v>0</v>
          </cell>
          <cell r="L6919">
            <v>0</v>
          </cell>
          <cell r="M6919">
            <v>0</v>
          </cell>
          <cell r="N6919">
            <v>0</v>
          </cell>
          <cell r="O6919">
            <v>0</v>
          </cell>
          <cell r="P6919">
            <v>0</v>
          </cell>
          <cell r="Q6919">
            <v>0</v>
          </cell>
          <cell r="R6919">
            <v>0</v>
          </cell>
          <cell r="S6919">
            <v>0</v>
          </cell>
          <cell r="T6919">
            <v>0</v>
          </cell>
          <cell r="U6919">
            <v>0</v>
          </cell>
          <cell r="V6919">
            <v>0</v>
          </cell>
          <cell r="W6919">
            <v>0</v>
          </cell>
          <cell r="X6919">
            <v>0</v>
          </cell>
          <cell r="Y6919">
            <v>0</v>
          </cell>
        </row>
        <row r="6920">
          <cell r="D6920">
            <v>305452</v>
          </cell>
          <cell r="E6920" t="str">
            <v>Tinajeros NHS</v>
          </cell>
          <cell r="F6920">
            <v>1</v>
          </cell>
          <cell r="G6920">
            <v>1</v>
          </cell>
          <cell r="H6920">
            <v>1</v>
          </cell>
          <cell r="I6920">
            <v>0</v>
          </cell>
          <cell r="J6920">
            <v>1</v>
          </cell>
          <cell r="K6920">
            <v>0</v>
          </cell>
          <cell r="L6920">
            <v>0</v>
          </cell>
          <cell r="M6920">
            <v>0</v>
          </cell>
          <cell r="N6920">
            <v>1</v>
          </cell>
          <cell r="O6920">
            <v>43248</v>
          </cell>
          <cell r="P6920">
            <v>43248</v>
          </cell>
          <cell r="Q6920">
            <v>0</v>
          </cell>
          <cell r="R6920">
            <v>0</v>
          </cell>
          <cell r="S6920">
            <v>1</v>
          </cell>
          <cell r="T6920">
            <v>0</v>
          </cell>
          <cell r="U6920">
            <v>0</v>
          </cell>
          <cell r="V6920">
            <v>1</v>
          </cell>
          <cell r="W6920">
            <v>1</v>
          </cell>
          <cell r="X6920">
            <v>1</v>
          </cell>
          <cell r="Y6920">
            <v>1</v>
          </cell>
        </row>
        <row r="6921">
          <cell r="D6921">
            <v>340548</v>
          </cell>
          <cell r="E6921" t="str">
            <v>Las Piñas City National Senior High School-Manuyo Campus</v>
          </cell>
          <cell r="F6921">
            <v>0</v>
          </cell>
          <cell r="G6921">
            <v>0</v>
          </cell>
          <cell r="H6921">
            <v>1</v>
          </cell>
          <cell r="I6921">
            <v>0</v>
          </cell>
          <cell r="J6921">
            <v>0</v>
          </cell>
          <cell r="K6921">
            <v>0</v>
          </cell>
          <cell r="L6921">
            <v>0</v>
          </cell>
          <cell r="M6921">
            <v>0</v>
          </cell>
          <cell r="N6921">
            <v>0</v>
          </cell>
          <cell r="O6921">
            <v>0</v>
          </cell>
          <cell r="P6921">
            <v>0</v>
          </cell>
          <cell r="Q6921">
            <v>0</v>
          </cell>
          <cell r="R6921">
            <v>0</v>
          </cell>
          <cell r="S6921">
            <v>0</v>
          </cell>
          <cell r="T6921">
            <v>0</v>
          </cell>
          <cell r="U6921">
            <v>0</v>
          </cell>
          <cell r="V6921">
            <v>0</v>
          </cell>
          <cell r="W6921">
            <v>8</v>
          </cell>
          <cell r="X6921">
            <v>8</v>
          </cell>
          <cell r="Y6921">
            <v>0</v>
          </cell>
        </row>
        <row r="6922">
          <cell r="D6922">
            <v>320404</v>
          </cell>
          <cell r="E6922" t="str">
            <v>Bignay National High School</v>
          </cell>
          <cell r="F6922">
            <v>1</v>
          </cell>
          <cell r="G6922">
            <v>1</v>
          </cell>
          <cell r="H6922">
            <v>1</v>
          </cell>
          <cell r="I6922">
            <v>0</v>
          </cell>
          <cell r="J6922">
            <v>0</v>
          </cell>
          <cell r="K6922">
            <v>1</v>
          </cell>
          <cell r="L6922">
            <v>0</v>
          </cell>
          <cell r="M6922">
            <v>0</v>
          </cell>
          <cell r="N6922">
            <v>0</v>
          </cell>
          <cell r="O6922">
            <v>43319</v>
          </cell>
          <cell r="P6922">
            <v>43319</v>
          </cell>
          <cell r="Q6922">
            <v>0</v>
          </cell>
          <cell r="R6922">
            <v>0</v>
          </cell>
          <cell r="S6922">
            <v>1</v>
          </cell>
          <cell r="T6922">
            <v>0</v>
          </cell>
          <cell r="U6922">
            <v>0</v>
          </cell>
          <cell r="V6922">
            <v>1</v>
          </cell>
          <cell r="W6922">
            <v>1</v>
          </cell>
          <cell r="X6922">
            <v>0</v>
          </cell>
          <cell r="Y6922">
            <v>0</v>
          </cell>
        </row>
        <row r="6923">
          <cell r="D6923">
            <v>305576</v>
          </cell>
          <cell r="E6923" t="str">
            <v>Ugong Senior High School</v>
          </cell>
          <cell r="F6923">
            <v>1</v>
          </cell>
          <cell r="G6923">
            <v>1</v>
          </cell>
          <cell r="H6923">
            <v>1</v>
          </cell>
          <cell r="I6923">
            <v>0</v>
          </cell>
          <cell r="J6923">
            <v>0</v>
          </cell>
          <cell r="K6923">
            <v>1</v>
          </cell>
          <cell r="L6923">
            <v>0</v>
          </cell>
          <cell r="M6923">
            <v>0</v>
          </cell>
          <cell r="N6923">
            <v>1</v>
          </cell>
          <cell r="O6923">
            <v>0</v>
          </cell>
          <cell r="P6923">
            <v>0</v>
          </cell>
          <cell r="Q6923">
            <v>0</v>
          </cell>
          <cell r="R6923">
            <v>1</v>
          </cell>
          <cell r="S6923">
            <v>0</v>
          </cell>
          <cell r="T6923">
            <v>0</v>
          </cell>
          <cell r="U6923">
            <v>0</v>
          </cell>
          <cell r="V6923">
            <v>0</v>
          </cell>
          <cell r="W6923">
            <v>0</v>
          </cell>
          <cell r="X6923">
            <v>0</v>
          </cell>
          <cell r="Y6923">
            <v>0</v>
          </cell>
        </row>
        <row r="6924">
          <cell r="D6924">
            <v>340567</v>
          </cell>
          <cell r="E6924" t="str">
            <v>Imelda Integrated Secondary School</v>
          </cell>
          <cell r="F6924">
            <v>1</v>
          </cell>
          <cell r="G6924">
            <v>1</v>
          </cell>
          <cell r="H6924">
            <v>1</v>
          </cell>
          <cell r="I6924">
            <v>0</v>
          </cell>
          <cell r="J6924">
            <v>1</v>
          </cell>
          <cell r="K6924">
            <v>0</v>
          </cell>
          <cell r="L6924">
            <v>0</v>
          </cell>
          <cell r="M6924">
            <v>0</v>
          </cell>
          <cell r="N6924">
            <v>1</v>
          </cell>
          <cell r="O6924">
            <v>43726</v>
          </cell>
          <cell r="P6924">
            <v>0</v>
          </cell>
          <cell r="Q6924">
            <v>0</v>
          </cell>
          <cell r="R6924">
            <v>0</v>
          </cell>
          <cell r="S6924">
            <v>0</v>
          </cell>
          <cell r="T6924">
            <v>0</v>
          </cell>
          <cell r="U6924">
            <v>0</v>
          </cell>
          <cell r="V6924">
            <v>0</v>
          </cell>
          <cell r="W6924">
            <v>0</v>
          </cell>
          <cell r="X6924">
            <v>0</v>
          </cell>
          <cell r="Y6924">
            <v>0</v>
          </cell>
        </row>
        <row r="6925">
          <cell r="D6925">
            <v>305441</v>
          </cell>
          <cell r="E6925" t="str">
            <v>Valenzuela NHS</v>
          </cell>
          <cell r="F6925">
            <v>1</v>
          </cell>
          <cell r="G6925">
            <v>1</v>
          </cell>
          <cell r="H6925">
            <v>1</v>
          </cell>
          <cell r="I6925">
            <v>1</v>
          </cell>
          <cell r="J6925">
            <v>0</v>
          </cell>
          <cell r="K6925">
            <v>0</v>
          </cell>
          <cell r="L6925">
            <v>0</v>
          </cell>
          <cell r="M6925">
            <v>0</v>
          </cell>
          <cell r="N6925">
            <v>1</v>
          </cell>
          <cell r="O6925">
            <v>43620</v>
          </cell>
          <cell r="P6925">
            <v>43773</v>
          </cell>
          <cell r="Q6925">
            <v>1</v>
          </cell>
          <cell r="R6925">
            <v>0</v>
          </cell>
          <cell r="S6925">
            <v>0</v>
          </cell>
          <cell r="T6925">
            <v>0</v>
          </cell>
          <cell r="U6925">
            <v>0</v>
          </cell>
          <cell r="V6925">
            <v>1</v>
          </cell>
          <cell r="W6925">
            <v>3</v>
          </cell>
          <cell r="X6925">
            <v>3</v>
          </cell>
          <cell r="Y6925">
            <v>3</v>
          </cell>
        </row>
        <row r="6926">
          <cell r="D6926">
            <v>320204</v>
          </cell>
          <cell r="E6926" t="str">
            <v>Sun Valley National High School</v>
          </cell>
          <cell r="F6926">
            <v>1</v>
          </cell>
          <cell r="G6926">
            <v>1</v>
          </cell>
          <cell r="H6926">
            <v>1</v>
          </cell>
          <cell r="I6926">
            <v>0</v>
          </cell>
          <cell r="J6926">
            <v>1</v>
          </cell>
          <cell r="K6926">
            <v>0</v>
          </cell>
          <cell r="L6926">
            <v>0</v>
          </cell>
          <cell r="M6926">
            <v>0</v>
          </cell>
          <cell r="N6926">
            <v>1</v>
          </cell>
          <cell r="O6926">
            <v>43779</v>
          </cell>
          <cell r="P6926" t="str">
            <v>10-31-2019</v>
          </cell>
          <cell r="Q6926">
            <v>1</v>
          </cell>
          <cell r="R6926">
            <v>0</v>
          </cell>
          <cell r="S6926">
            <v>0</v>
          </cell>
          <cell r="T6926">
            <v>0</v>
          </cell>
          <cell r="U6926">
            <v>0</v>
          </cell>
          <cell r="V6926">
            <v>1</v>
          </cell>
          <cell r="W6926">
            <v>0</v>
          </cell>
          <cell r="X6926">
            <v>0</v>
          </cell>
          <cell r="Y6926">
            <v>0</v>
          </cell>
        </row>
        <row r="6927">
          <cell r="D6927">
            <v>340654</v>
          </cell>
          <cell r="E6927" t="str">
            <v>SHS in Buting, Pasig City</v>
          </cell>
          <cell r="F6927">
            <v>1</v>
          </cell>
          <cell r="G6927">
            <v>1</v>
          </cell>
          <cell r="H6927">
            <v>0</v>
          </cell>
          <cell r="I6927">
            <v>0</v>
          </cell>
          <cell r="J6927">
            <v>1</v>
          </cell>
          <cell r="K6927">
            <v>0</v>
          </cell>
          <cell r="L6927">
            <v>0</v>
          </cell>
          <cell r="M6927">
            <v>0</v>
          </cell>
          <cell r="N6927">
            <v>1</v>
          </cell>
          <cell r="O6927">
            <v>43682</v>
          </cell>
          <cell r="P6927">
            <v>43683</v>
          </cell>
          <cell r="Q6927">
            <v>0</v>
          </cell>
          <cell r="R6927">
            <v>1</v>
          </cell>
          <cell r="S6927">
            <v>0</v>
          </cell>
          <cell r="T6927">
            <v>0</v>
          </cell>
          <cell r="U6927">
            <v>0</v>
          </cell>
          <cell r="V6927">
            <v>1</v>
          </cell>
          <cell r="W6927">
            <v>2</v>
          </cell>
          <cell r="X6927">
            <v>2</v>
          </cell>
          <cell r="Y6927">
            <v>2</v>
          </cell>
        </row>
        <row r="6928">
          <cell r="D6928">
            <v>305445</v>
          </cell>
          <cell r="E6928" t="str">
            <v>Caruhatan National High School</v>
          </cell>
          <cell r="F6928">
            <v>1</v>
          </cell>
          <cell r="G6928">
            <v>1</v>
          </cell>
          <cell r="H6928">
            <v>1</v>
          </cell>
          <cell r="I6928">
            <v>0</v>
          </cell>
          <cell r="J6928">
            <v>0</v>
          </cell>
          <cell r="K6928">
            <v>1</v>
          </cell>
          <cell r="L6928">
            <v>0</v>
          </cell>
          <cell r="M6928">
            <v>0</v>
          </cell>
          <cell r="N6928">
            <v>1</v>
          </cell>
          <cell r="O6928">
            <v>43609</v>
          </cell>
          <cell r="P6928">
            <v>43756</v>
          </cell>
          <cell r="Q6928">
            <v>1</v>
          </cell>
          <cell r="R6928">
            <v>0</v>
          </cell>
          <cell r="S6928">
            <v>0</v>
          </cell>
          <cell r="T6928">
            <v>0</v>
          </cell>
          <cell r="U6928">
            <v>0</v>
          </cell>
          <cell r="V6928">
            <v>1</v>
          </cell>
          <cell r="W6928">
            <v>0</v>
          </cell>
          <cell r="X6928">
            <v>0</v>
          </cell>
          <cell r="Y6928">
            <v>0</v>
          </cell>
        </row>
        <row r="6929">
          <cell r="D6929">
            <v>320401</v>
          </cell>
          <cell r="E6929" t="str">
            <v>Valenzuela City School of Mathematics and Science</v>
          </cell>
          <cell r="F6929">
            <v>1</v>
          </cell>
          <cell r="G6929">
            <v>1</v>
          </cell>
          <cell r="H6929">
            <v>1</v>
          </cell>
          <cell r="I6929">
            <v>0</v>
          </cell>
          <cell r="J6929">
            <v>0</v>
          </cell>
          <cell r="K6929">
            <v>1</v>
          </cell>
          <cell r="L6929">
            <v>0</v>
          </cell>
          <cell r="M6929">
            <v>0</v>
          </cell>
          <cell r="N6929">
            <v>1</v>
          </cell>
          <cell r="O6929">
            <v>43776</v>
          </cell>
          <cell r="P6929">
            <v>43622</v>
          </cell>
          <cell r="Q6929">
            <v>0</v>
          </cell>
          <cell r="R6929">
            <v>0</v>
          </cell>
          <cell r="S6929">
            <v>1</v>
          </cell>
          <cell r="T6929">
            <v>0</v>
          </cell>
          <cell r="U6929">
            <v>0</v>
          </cell>
          <cell r="V6929">
            <v>1</v>
          </cell>
          <cell r="W6929">
            <v>0</v>
          </cell>
          <cell r="X6929">
            <v>0</v>
          </cell>
          <cell r="Y6929">
            <v>0</v>
          </cell>
        </row>
        <row r="6930">
          <cell r="D6930">
            <v>305438</v>
          </cell>
          <cell r="E6930" t="str">
            <v>Malinta National High School</v>
          </cell>
          <cell r="F6930">
            <v>0</v>
          </cell>
          <cell r="G6930">
            <v>0</v>
          </cell>
          <cell r="H6930">
            <v>0</v>
          </cell>
          <cell r="I6930">
            <v>0</v>
          </cell>
          <cell r="J6930">
            <v>0</v>
          </cell>
          <cell r="K6930">
            <v>0</v>
          </cell>
          <cell r="L6930">
            <v>0</v>
          </cell>
          <cell r="M6930">
            <v>0</v>
          </cell>
          <cell r="N6930">
            <v>0</v>
          </cell>
          <cell r="O6930">
            <v>0</v>
          </cell>
          <cell r="P6930">
            <v>43483</v>
          </cell>
          <cell r="Q6930">
            <v>0</v>
          </cell>
          <cell r="R6930">
            <v>0</v>
          </cell>
          <cell r="S6930">
            <v>0</v>
          </cell>
          <cell r="T6930">
            <v>0</v>
          </cell>
          <cell r="U6930">
            <v>0</v>
          </cell>
          <cell r="V6930">
            <v>0</v>
          </cell>
          <cell r="W6930">
            <v>0</v>
          </cell>
          <cell r="X6930">
            <v>0</v>
          </cell>
          <cell r="Y6930">
            <v>0</v>
          </cell>
        </row>
        <row r="6931">
          <cell r="D6931">
            <v>340636</v>
          </cell>
          <cell r="E6931" t="str">
            <v>PARAÑAQUE SENIOR HIGH SCHOOL</v>
          </cell>
          <cell r="F6931">
            <v>0</v>
          </cell>
          <cell r="G6931">
            <v>0</v>
          </cell>
          <cell r="H6931">
            <v>0</v>
          </cell>
          <cell r="I6931">
            <v>0</v>
          </cell>
          <cell r="J6931">
            <v>0</v>
          </cell>
          <cell r="K6931">
            <v>0</v>
          </cell>
          <cell r="L6931">
            <v>0</v>
          </cell>
          <cell r="M6931">
            <v>0</v>
          </cell>
          <cell r="N6931">
            <v>0</v>
          </cell>
          <cell r="O6931">
            <v>0</v>
          </cell>
          <cell r="P6931">
            <v>0</v>
          </cell>
          <cell r="Q6931">
            <v>0</v>
          </cell>
          <cell r="R6931">
            <v>0</v>
          </cell>
          <cell r="S6931">
            <v>0</v>
          </cell>
          <cell r="T6931">
            <v>0</v>
          </cell>
          <cell r="U6931">
            <v>0</v>
          </cell>
          <cell r="V6931">
            <v>0</v>
          </cell>
          <cell r="W6931">
            <v>0</v>
          </cell>
          <cell r="X6931">
            <v>0</v>
          </cell>
          <cell r="Y6931">
            <v>0</v>
          </cell>
        </row>
        <row r="6932">
          <cell r="D6932">
            <v>305565</v>
          </cell>
          <cell r="E6932" t="str">
            <v>Punturin Senior High School</v>
          </cell>
          <cell r="F6932">
            <v>1</v>
          </cell>
          <cell r="G6932">
            <v>1</v>
          </cell>
          <cell r="H6932">
            <v>1</v>
          </cell>
          <cell r="I6932">
            <v>0</v>
          </cell>
          <cell r="J6932">
            <v>0</v>
          </cell>
          <cell r="K6932">
            <v>0</v>
          </cell>
          <cell r="L6932">
            <v>0</v>
          </cell>
          <cell r="M6932">
            <v>0</v>
          </cell>
          <cell r="N6932">
            <v>1</v>
          </cell>
          <cell r="O6932">
            <v>0</v>
          </cell>
          <cell r="P6932">
            <v>0</v>
          </cell>
          <cell r="Q6932">
            <v>0</v>
          </cell>
          <cell r="R6932">
            <v>1</v>
          </cell>
          <cell r="S6932">
            <v>0</v>
          </cell>
          <cell r="T6932">
            <v>0</v>
          </cell>
          <cell r="U6932">
            <v>0</v>
          </cell>
          <cell r="V6932">
            <v>1</v>
          </cell>
          <cell r="W6932">
            <v>0</v>
          </cell>
          <cell r="X6932">
            <v>0</v>
          </cell>
          <cell r="Y6932">
            <v>0</v>
          </cell>
        </row>
        <row r="6933">
          <cell r="D6933">
            <v>320407</v>
          </cell>
          <cell r="E6933" t="str">
            <v>Wawang Pulo National High School</v>
          </cell>
          <cell r="F6933">
            <v>0</v>
          </cell>
          <cell r="G6933">
            <v>0</v>
          </cell>
          <cell r="H6933">
            <v>1</v>
          </cell>
          <cell r="I6933">
            <v>0</v>
          </cell>
          <cell r="J6933">
            <v>1</v>
          </cell>
          <cell r="K6933">
            <v>0</v>
          </cell>
          <cell r="L6933">
            <v>0</v>
          </cell>
          <cell r="M6933">
            <v>0</v>
          </cell>
          <cell r="N6933">
            <v>1</v>
          </cell>
          <cell r="O6933" t="str">
            <v>Sept. 2, 2019</v>
          </cell>
          <cell r="P6933" t="str">
            <v>Oct. 21, 2019</v>
          </cell>
          <cell r="Q6933">
            <v>0</v>
          </cell>
          <cell r="R6933">
            <v>1</v>
          </cell>
          <cell r="S6933">
            <v>0</v>
          </cell>
          <cell r="T6933">
            <v>0</v>
          </cell>
          <cell r="U6933">
            <v>0</v>
          </cell>
          <cell r="V6933">
            <v>1</v>
          </cell>
          <cell r="W6933">
            <v>0</v>
          </cell>
          <cell r="X6933">
            <v>0</v>
          </cell>
          <cell r="Y6933">
            <v>0</v>
          </cell>
        </row>
        <row r="6934">
          <cell r="D6934">
            <v>305456</v>
          </cell>
          <cell r="E6934" t="str">
            <v>Kaunlaran High School</v>
          </cell>
          <cell r="F6934">
            <v>1</v>
          </cell>
          <cell r="G6934">
            <v>1</v>
          </cell>
          <cell r="H6934">
            <v>1</v>
          </cell>
          <cell r="I6934">
            <v>0</v>
          </cell>
          <cell r="J6934">
            <v>1</v>
          </cell>
          <cell r="K6934">
            <v>0</v>
          </cell>
          <cell r="L6934">
            <v>1</v>
          </cell>
          <cell r="M6934" t="str">
            <v>as needed</v>
          </cell>
          <cell r="N6934">
            <v>0</v>
          </cell>
          <cell r="O6934">
            <v>0</v>
          </cell>
          <cell r="P6934">
            <v>43609</v>
          </cell>
          <cell r="Q6934">
            <v>0</v>
          </cell>
          <cell r="R6934">
            <v>0</v>
          </cell>
          <cell r="S6934">
            <v>1</v>
          </cell>
          <cell r="T6934">
            <v>0</v>
          </cell>
          <cell r="U6934">
            <v>0</v>
          </cell>
          <cell r="V6934">
            <v>1</v>
          </cell>
          <cell r="W6934">
            <v>0</v>
          </cell>
          <cell r="X6934">
            <v>0</v>
          </cell>
          <cell r="Y6934">
            <v>0</v>
          </cell>
        </row>
        <row r="6935">
          <cell r="D6935">
            <v>303450</v>
          </cell>
          <cell r="E6935" t="str">
            <v>Cupang Senior High School</v>
          </cell>
          <cell r="F6935">
            <v>1</v>
          </cell>
          <cell r="G6935">
            <v>1</v>
          </cell>
          <cell r="H6935">
            <v>1</v>
          </cell>
          <cell r="I6935">
            <v>0</v>
          </cell>
          <cell r="J6935">
            <v>1</v>
          </cell>
          <cell r="K6935">
            <v>0</v>
          </cell>
          <cell r="L6935">
            <v>0</v>
          </cell>
          <cell r="M6935">
            <v>0</v>
          </cell>
          <cell r="N6935">
            <v>1</v>
          </cell>
          <cell r="O6935" t="str">
            <v>September, 2019</v>
          </cell>
          <cell r="P6935" t="str">
            <v>September 18,2019</v>
          </cell>
          <cell r="Q6935">
            <v>1</v>
          </cell>
          <cell r="R6935">
            <v>0</v>
          </cell>
          <cell r="S6935">
            <v>0</v>
          </cell>
          <cell r="T6935">
            <v>0</v>
          </cell>
          <cell r="U6935">
            <v>0</v>
          </cell>
          <cell r="V6935">
            <v>1</v>
          </cell>
          <cell r="W6935">
            <v>5</v>
          </cell>
          <cell r="X6935">
            <v>5</v>
          </cell>
          <cell r="Y6935">
            <v>5</v>
          </cell>
        </row>
        <row r="6936">
          <cell r="D6936">
            <v>320203</v>
          </cell>
          <cell r="E6936" t="str">
            <v>Moonwalk National High School</v>
          </cell>
          <cell r="F6936">
            <v>0</v>
          </cell>
          <cell r="G6936">
            <v>0</v>
          </cell>
          <cell r="H6936">
            <v>1</v>
          </cell>
          <cell r="I6936">
            <v>0</v>
          </cell>
          <cell r="J6936">
            <v>0</v>
          </cell>
          <cell r="K6936">
            <v>1</v>
          </cell>
          <cell r="L6936">
            <v>0</v>
          </cell>
          <cell r="M6936">
            <v>0</v>
          </cell>
          <cell r="N6936">
            <v>0</v>
          </cell>
          <cell r="O6936">
            <v>0</v>
          </cell>
          <cell r="P6936">
            <v>0</v>
          </cell>
          <cell r="Q6936">
            <v>0</v>
          </cell>
          <cell r="R6936">
            <v>0</v>
          </cell>
          <cell r="S6936">
            <v>0</v>
          </cell>
          <cell r="T6936">
            <v>0</v>
          </cell>
          <cell r="U6936">
            <v>0</v>
          </cell>
          <cell r="V6936">
            <v>0</v>
          </cell>
          <cell r="W6936">
            <v>0</v>
          </cell>
          <cell r="X6936">
            <v>0</v>
          </cell>
          <cell r="Y6936">
            <v>0</v>
          </cell>
        </row>
        <row r="6937">
          <cell r="D6937">
            <v>305436</v>
          </cell>
          <cell r="E6937" t="str">
            <v>Polo National High School</v>
          </cell>
          <cell r="F6937">
            <v>1</v>
          </cell>
          <cell r="G6937">
            <v>1</v>
          </cell>
          <cell r="H6937">
            <v>1</v>
          </cell>
          <cell r="I6937">
            <v>0</v>
          </cell>
          <cell r="J6937">
            <v>0</v>
          </cell>
          <cell r="K6937">
            <v>1</v>
          </cell>
          <cell r="L6937">
            <v>0</v>
          </cell>
          <cell r="M6937">
            <v>0</v>
          </cell>
          <cell r="N6937">
            <v>1</v>
          </cell>
          <cell r="O6937">
            <v>43637</v>
          </cell>
          <cell r="P6937" t="str">
            <v>none</v>
          </cell>
          <cell r="Q6937">
            <v>0</v>
          </cell>
          <cell r="R6937">
            <v>0</v>
          </cell>
          <cell r="S6937">
            <v>1</v>
          </cell>
          <cell r="T6937">
            <v>0</v>
          </cell>
          <cell r="U6937">
            <v>0</v>
          </cell>
          <cell r="V6937">
            <v>1</v>
          </cell>
          <cell r="W6937">
            <v>1</v>
          </cell>
          <cell r="X6937">
            <v>0</v>
          </cell>
          <cell r="Y6937">
            <v>0</v>
          </cell>
        </row>
        <row r="6938">
          <cell r="D6938">
            <v>320704</v>
          </cell>
          <cell r="E6938" t="str">
            <v>Muntinlupa NHS -Tunasan Annex</v>
          </cell>
          <cell r="F6938">
            <v>1</v>
          </cell>
          <cell r="G6938">
            <v>1</v>
          </cell>
          <cell r="H6938">
            <v>0</v>
          </cell>
          <cell r="I6938">
            <v>0</v>
          </cell>
          <cell r="J6938">
            <v>1</v>
          </cell>
          <cell r="K6938">
            <v>0</v>
          </cell>
          <cell r="L6938">
            <v>0</v>
          </cell>
          <cell r="M6938">
            <v>0</v>
          </cell>
          <cell r="N6938">
            <v>1</v>
          </cell>
          <cell r="O6938">
            <v>43667</v>
          </cell>
          <cell r="P6938" t="str">
            <v>08/24/2019</v>
          </cell>
          <cell r="Q6938">
            <v>0</v>
          </cell>
          <cell r="R6938">
            <v>1</v>
          </cell>
          <cell r="S6938">
            <v>0</v>
          </cell>
          <cell r="T6938">
            <v>0</v>
          </cell>
          <cell r="U6938">
            <v>0</v>
          </cell>
          <cell r="V6938">
            <v>0</v>
          </cell>
          <cell r="W6938">
            <v>3</v>
          </cell>
          <cell r="X6938">
            <v>1</v>
          </cell>
          <cell r="Y6938">
            <v>2</v>
          </cell>
        </row>
        <row r="6939">
          <cell r="D6939">
            <v>305320</v>
          </cell>
          <cell r="E6939" t="str">
            <v>Balingasa HS</v>
          </cell>
          <cell r="F6939">
            <v>1</v>
          </cell>
          <cell r="G6939">
            <v>0</v>
          </cell>
          <cell r="H6939">
            <v>1</v>
          </cell>
          <cell r="I6939">
            <v>0</v>
          </cell>
          <cell r="J6939">
            <v>0</v>
          </cell>
          <cell r="K6939">
            <v>1</v>
          </cell>
          <cell r="L6939">
            <v>0</v>
          </cell>
          <cell r="M6939">
            <v>0</v>
          </cell>
          <cell r="N6939">
            <v>1</v>
          </cell>
          <cell r="O6939">
            <v>0</v>
          </cell>
          <cell r="P6939">
            <v>0</v>
          </cell>
          <cell r="Q6939">
            <v>0</v>
          </cell>
          <cell r="R6939">
            <v>1</v>
          </cell>
          <cell r="S6939">
            <v>0</v>
          </cell>
          <cell r="T6939">
            <v>0</v>
          </cell>
          <cell r="U6939">
            <v>0</v>
          </cell>
          <cell r="V6939">
            <v>1</v>
          </cell>
          <cell r="W6939">
            <v>3</v>
          </cell>
          <cell r="X6939">
            <v>1</v>
          </cell>
          <cell r="Y6939">
            <v>0</v>
          </cell>
        </row>
        <row r="6940">
          <cell r="D6940">
            <v>319906</v>
          </cell>
          <cell r="E6940" t="str">
            <v>Sto. Nino National High School</v>
          </cell>
          <cell r="F6940">
            <v>1</v>
          </cell>
          <cell r="G6940">
            <v>1</v>
          </cell>
          <cell r="H6940">
            <v>1</v>
          </cell>
          <cell r="I6940">
            <v>1</v>
          </cell>
          <cell r="J6940">
            <v>0</v>
          </cell>
          <cell r="K6940">
            <v>0</v>
          </cell>
          <cell r="L6940">
            <v>0</v>
          </cell>
          <cell r="M6940">
            <v>0</v>
          </cell>
          <cell r="N6940">
            <v>0</v>
          </cell>
          <cell r="O6940">
            <v>43647</v>
          </cell>
          <cell r="P6940">
            <v>0</v>
          </cell>
          <cell r="Q6940">
            <v>1</v>
          </cell>
          <cell r="R6940">
            <v>0</v>
          </cell>
          <cell r="S6940">
            <v>0</v>
          </cell>
          <cell r="T6940">
            <v>0</v>
          </cell>
          <cell r="U6940">
            <v>0</v>
          </cell>
          <cell r="V6940">
            <v>0</v>
          </cell>
          <cell r="W6940">
            <v>55</v>
          </cell>
          <cell r="X6940">
            <v>3</v>
          </cell>
          <cell r="Y6940">
            <v>55</v>
          </cell>
        </row>
        <row r="6941">
          <cell r="D6941">
            <v>305715</v>
          </cell>
          <cell r="E6941" t="str">
            <v>Vicente Malapitan (North Caloocan) Senior High School</v>
          </cell>
          <cell r="F6941">
            <v>1</v>
          </cell>
          <cell r="G6941">
            <v>1</v>
          </cell>
          <cell r="H6941">
            <v>0</v>
          </cell>
          <cell r="I6941">
            <v>0</v>
          </cell>
          <cell r="J6941">
            <v>0</v>
          </cell>
          <cell r="K6941">
            <v>1</v>
          </cell>
          <cell r="L6941">
            <v>0</v>
          </cell>
          <cell r="M6941">
            <v>0</v>
          </cell>
          <cell r="N6941">
            <v>1</v>
          </cell>
          <cell r="O6941">
            <v>43739</v>
          </cell>
          <cell r="P6941">
            <v>43739</v>
          </cell>
          <cell r="Q6941">
            <v>1</v>
          </cell>
          <cell r="R6941">
            <v>0</v>
          </cell>
          <cell r="S6941">
            <v>0</v>
          </cell>
          <cell r="T6941">
            <v>0</v>
          </cell>
          <cell r="U6941">
            <v>0</v>
          </cell>
          <cell r="V6941">
            <v>1</v>
          </cell>
          <cell r="W6941">
            <v>3</v>
          </cell>
          <cell r="X6941">
            <v>0</v>
          </cell>
          <cell r="Y6941">
            <v>0</v>
          </cell>
        </row>
        <row r="6942">
          <cell r="D6942">
            <v>305402</v>
          </cell>
          <cell r="E6942" t="str">
            <v>Malanday NHS</v>
          </cell>
          <cell r="F6942">
            <v>0</v>
          </cell>
          <cell r="G6942">
            <v>0</v>
          </cell>
          <cell r="H6942">
            <v>0</v>
          </cell>
          <cell r="I6942">
            <v>0</v>
          </cell>
          <cell r="J6942">
            <v>0</v>
          </cell>
          <cell r="K6942">
            <v>0</v>
          </cell>
          <cell r="L6942">
            <v>0</v>
          </cell>
          <cell r="M6942">
            <v>0</v>
          </cell>
          <cell r="N6942">
            <v>0</v>
          </cell>
          <cell r="O6942">
            <v>0</v>
          </cell>
          <cell r="P6942">
            <v>0</v>
          </cell>
          <cell r="Q6942">
            <v>0</v>
          </cell>
          <cell r="R6942">
            <v>0</v>
          </cell>
          <cell r="S6942">
            <v>0</v>
          </cell>
          <cell r="T6942">
            <v>0</v>
          </cell>
          <cell r="U6942">
            <v>0</v>
          </cell>
          <cell r="V6942">
            <v>0</v>
          </cell>
          <cell r="W6942">
            <v>0</v>
          </cell>
          <cell r="X6942">
            <v>0</v>
          </cell>
          <cell r="Y6942">
            <v>0</v>
          </cell>
        </row>
        <row r="6943">
          <cell r="D6943">
            <v>305457</v>
          </cell>
          <cell r="E6943" t="str">
            <v>Tangos National High School</v>
          </cell>
          <cell r="F6943">
            <v>1</v>
          </cell>
          <cell r="G6943">
            <v>0</v>
          </cell>
          <cell r="H6943">
            <v>1</v>
          </cell>
          <cell r="I6943">
            <v>0</v>
          </cell>
          <cell r="J6943">
            <v>1</v>
          </cell>
          <cell r="K6943">
            <v>0</v>
          </cell>
          <cell r="L6943">
            <v>0</v>
          </cell>
          <cell r="M6943">
            <v>0</v>
          </cell>
          <cell r="N6943">
            <v>1</v>
          </cell>
          <cell r="O6943" t="str">
            <v>JULY, 2019</v>
          </cell>
          <cell r="P6943" t="str">
            <v>1ST WEEK OF JULY, 2019</v>
          </cell>
          <cell r="Q6943">
            <v>0</v>
          </cell>
          <cell r="R6943">
            <v>0</v>
          </cell>
          <cell r="S6943">
            <v>1</v>
          </cell>
          <cell r="T6943">
            <v>0</v>
          </cell>
          <cell r="U6943">
            <v>0</v>
          </cell>
          <cell r="V6943">
            <v>1</v>
          </cell>
          <cell r="W6943">
            <v>0</v>
          </cell>
          <cell r="X6943">
            <v>0</v>
          </cell>
          <cell r="Y6943">
            <v>0</v>
          </cell>
        </row>
        <row r="6944">
          <cell r="D6944">
            <v>319905</v>
          </cell>
          <cell r="E6944" t="str">
            <v>San Roque National High School</v>
          </cell>
          <cell r="F6944">
            <v>1</v>
          </cell>
          <cell r="G6944">
            <v>0</v>
          </cell>
          <cell r="H6944">
            <v>1</v>
          </cell>
          <cell r="I6944">
            <v>0</v>
          </cell>
          <cell r="J6944">
            <v>0</v>
          </cell>
          <cell r="K6944">
            <v>0</v>
          </cell>
          <cell r="L6944">
            <v>1</v>
          </cell>
          <cell r="M6944" t="str">
            <v>as needed</v>
          </cell>
          <cell r="N6944">
            <v>1</v>
          </cell>
          <cell r="O6944">
            <v>43721</v>
          </cell>
          <cell r="P6944">
            <v>0</v>
          </cell>
          <cell r="Q6944">
            <v>0</v>
          </cell>
          <cell r="R6944">
            <v>0</v>
          </cell>
          <cell r="S6944">
            <v>0</v>
          </cell>
          <cell r="T6944">
            <v>1</v>
          </cell>
          <cell r="U6944" t="str">
            <v>as needed</v>
          </cell>
          <cell r="V6944">
            <v>0</v>
          </cell>
          <cell r="W6944">
            <v>4</v>
          </cell>
          <cell r="X6944">
            <v>0</v>
          </cell>
          <cell r="Y6944">
            <v>0</v>
          </cell>
        </row>
        <row r="6945">
          <cell r="D6945">
            <v>319902</v>
          </cell>
          <cell r="E6945" t="str">
            <v>Fortune High School</v>
          </cell>
          <cell r="F6945">
            <v>1</v>
          </cell>
          <cell r="G6945">
            <v>1</v>
          </cell>
          <cell r="H6945">
            <v>1</v>
          </cell>
          <cell r="I6945">
            <v>0</v>
          </cell>
          <cell r="J6945">
            <v>0</v>
          </cell>
          <cell r="K6945">
            <v>0</v>
          </cell>
          <cell r="L6945">
            <v>0</v>
          </cell>
          <cell r="M6945">
            <v>0</v>
          </cell>
          <cell r="N6945">
            <v>0</v>
          </cell>
          <cell r="O6945">
            <v>43647</v>
          </cell>
          <cell r="P6945">
            <v>43647</v>
          </cell>
          <cell r="Q6945">
            <v>1</v>
          </cell>
          <cell r="R6945">
            <v>0</v>
          </cell>
          <cell r="S6945">
            <v>0</v>
          </cell>
          <cell r="T6945">
            <v>0</v>
          </cell>
          <cell r="U6945">
            <v>0</v>
          </cell>
          <cell r="V6945">
            <v>1</v>
          </cell>
          <cell r="W6945">
            <v>2</v>
          </cell>
          <cell r="X6945">
            <v>0</v>
          </cell>
          <cell r="Y6945">
            <v>0</v>
          </cell>
        </row>
        <row r="6946">
          <cell r="D6946">
            <v>305376</v>
          </cell>
          <cell r="E6946" t="str">
            <v>Amparo High School</v>
          </cell>
          <cell r="F6946">
            <v>0</v>
          </cell>
          <cell r="G6946">
            <v>0</v>
          </cell>
          <cell r="H6946">
            <v>0</v>
          </cell>
          <cell r="I6946">
            <v>0</v>
          </cell>
          <cell r="J6946">
            <v>0</v>
          </cell>
          <cell r="K6946">
            <v>0</v>
          </cell>
          <cell r="L6946">
            <v>1</v>
          </cell>
          <cell r="M6946" t="str">
            <v>never</v>
          </cell>
          <cell r="N6946">
            <v>0</v>
          </cell>
          <cell r="O6946" t="str">
            <v>never</v>
          </cell>
          <cell r="P6946" t="str">
            <v>never</v>
          </cell>
          <cell r="Q6946">
            <v>0</v>
          </cell>
          <cell r="R6946">
            <v>0</v>
          </cell>
          <cell r="S6946">
            <v>0</v>
          </cell>
          <cell r="T6946">
            <v>1</v>
          </cell>
          <cell r="U6946" t="str">
            <v>never</v>
          </cell>
          <cell r="V6946">
            <v>0</v>
          </cell>
          <cell r="W6946">
            <v>0</v>
          </cell>
          <cell r="X6946">
            <v>0</v>
          </cell>
          <cell r="Y6946">
            <v>0</v>
          </cell>
        </row>
        <row r="6947">
          <cell r="D6947">
            <v>305469</v>
          </cell>
          <cell r="E6947" t="str">
            <v>Muntinlupa Science High School</v>
          </cell>
          <cell r="F6947">
            <v>1</v>
          </cell>
          <cell r="G6947">
            <v>1</v>
          </cell>
          <cell r="H6947">
            <v>0</v>
          </cell>
          <cell r="I6947">
            <v>0</v>
          </cell>
          <cell r="J6947">
            <v>1</v>
          </cell>
          <cell r="K6947">
            <v>0</v>
          </cell>
          <cell r="L6947">
            <v>0</v>
          </cell>
          <cell r="M6947">
            <v>0</v>
          </cell>
          <cell r="N6947">
            <v>0</v>
          </cell>
          <cell r="O6947">
            <v>43724</v>
          </cell>
          <cell r="P6947">
            <v>0</v>
          </cell>
          <cell r="Q6947">
            <v>1</v>
          </cell>
          <cell r="R6947">
            <v>0</v>
          </cell>
          <cell r="S6947">
            <v>0</v>
          </cell>
          <cell r="T6947">
            <v>0</v>
          </cell>
          <cell r="U6947">
            <v>0</v>
          </cell>
          <cell r="V6947">
            <v>1</v>
          </cell>
          <cell r="W6947">
            <v>24</v>
          </cell>
          <cell r="X6947">
            <v>24</v>
          </cell>
          <cell r="Y6947">
            <v>24</v>
          </cell>
        </row>
        <row r="6948">
          <cell r="D6948">
            <v>305468</v>
          </cell>
          <cell r="E6948" t="str">
            <v>Muntinlupa NHS</v>
          </cell>
          <cell r="F6948">
            <v>1</v>
          </cell>
          <cell r="G6948">
            <v>1</v>
          </cell>
          <cell r="H6948">
            <v>1</v>
          </cell>
          <cell r="I6948">
            <v>1</v>
          </cell>
          <cell r="J6948">
            <v>0</v>
          </cell>
          <cell r="K6948">
            <v>0</v>
          </cell>
          <cell r="L6948">
            <v>0</v>
          </cell>
          <cell r="M6948">
            <v>0</v>
          </cell>
          <cell r="N6948">
            <v>1</v>
          </cell>
          <cell r="O6948">
            <v>43542</v>
          </cell>
          <cell r="P6948">
            <v>43542</v>
          </cell>
          <cell r="Q6948">
            <v>0</v>
          </cell>
          <cell r="R6948">
            <v>0</v>
          </cell>
          <cell r="S6948">
            <v>0</v>
          </cell>
          <cell r="T6948">
            <v>0</v>
          </cell>
          <cell r="U6948">
            <v>0</v>
          </cell>
          <cell r="V6948">
            <v>1</v>
          </cell>
          <cell r="W6948">
            <v>5</v>
          </cell>
          <cell r="X6948">
            <v>4</v>
          </cell>
          <cell r="Y6948">
            <v>5</v>
          </cell>
        </row>
        <row r="6949">
          <cell r="D6949">
            <v>320201</v>
          </cell>
          <cell r="E6949" t="str">
            <v>Paranaque Science HS</v>
          </cell>
          <cell r="F6949">
            <v>1</v>
          </cell>
          <cell r="G6949">
            <v>1</v>
          </cell>
          <cell r="H6949">
            <v>1</v>
          </cell>
          <cell r="I6949">
            <v>0</v>
          </cell>
          <cell r="J6949">
            <v>0</v>
          </cell>
          <cell r="K6949">
            <v>0</v>
          </cell>
          <cell r="L6949">
            <v>1</v>
          </cell>
          <cell r="M6949" t="str">
            <v>as the need arises</v>
          </cell>
          <cell r="N6949">
            <v>1</v>
          </cell>
          <cell r="O6949">
            <v>43707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>
            <v>0</v>
          </cell>
          <cell r="V6949">
            <v>0</v>
          </cell>
          <cell r="W6949">
            <v>0</v>
          </cell>
          <cell r="X6949">
            <v>0</v>
          </cell>
          <cell r="Y6949">
            <v>0</v>
          </cell>
        </row>
        <row r="6950">
          <cell r="D6950">
            <v>305424</v>
          </cell>
          <cell r="E6950" t="str">
            <v>Paranaque National High School Main</v>
          </cell>
          <cell r="F6950">
            <v>1</v>
          </cell>
          <cell r="G6950">
            <v>1</v>
          </cell>
          <cell r="H6950">
            <v>1</v>
          </cell>
          <cell r="I6950">
            <v>0</v>
          </cell>
          <cell r="J6950">
            <v>0</v>
          </cell>
          <cell r="K6950">
            <v>0</v>
          </cell>
          <cell r="L6950">
            <v>1</v>
          </cell>
          <cell r="M6950">
            <v>0</v>
          </cell>
          <cell r="N6950">
            <v>1</v>
          </cell>
          <cell r="O6950">
            <v>43417</v>
          </cell>
          <cell r="P6950">
            <v>0</v>
          </cell>
          <cell r="Q6950">
            <v>1</v>
          </cell>
          <cell r="R6950">
            <v>0</v>
          </cell>
          <cell r="S6950">
            <v>0</v>
          </cell>
          <cell r="T6950">
            <v>0</v>
          </cell>
          <cell r="U6950">
            <v>0</v>
          </cell>
          <cell r="V6950">
            <v>1</v>
          </cell>
          <cell r="W6950">
            <v>5</v>
          </cell>
          <cell r="X6950">
            <v>1</v>
          </cell>
          <cell r="Y6950">
            <v>1</v>
          </cell>
        </row>
        <row r="6951">
          <cell r="D6951">
            <v>305708</v>
          </cell>
          <cell r="E6951" t="str">
            <v>Lingunan Senior High School</v>
          </cell>
          <cell r="F6951">
            <v>1</v>
          </cell>
          <cell r="G6951">
            <v>1</v>
          </cell>
          <cell r="H6951">
            <v>1</v>
          </cell>
          <cell r="I6951">
            <v>0</v>
          </cell>
          <cell r="J6951">
            <v>0</v>
          </cell>
          <cell r="K6951">
            <v>1</v>
          </cell>
          <cell r="L6951">
            <v>0</v>
          </cell>
          <cell r="M6951">
            <v>0</v>
          </cell>
          <cell r="N6951">
            <v>1</v>
          </cell>
          <cell r="O6951">
            <v>43637</v>
          </cell>
          <cell r="P6951" t="str">
            <v>none</v>
          </cell>
          <cell r="Q6951">
            <v>0</v>
          </cell>
          <cell r="R6951">
            <v>0</v>
          </cell>
          <cell r="S6951">
            <v>1</v>
          </cell>
          <cell r="T6951">
            <v>0</v>
          </cell>
          <cell r="U6951">
            <v>0</v>
          </cell>
          <cell r="V6951">
            <v>1</v>
          </cell>
          <cell r="W6951">
            <v>1</v>
          </cell>
          <cell r="X6951">
            <v>0</v>
          </cell>
          <cell r="Y6951">
            <v>0</v>
          </cell>
        </row>
        <row r="6952">
          <cell r="D6952">
            <v>319711</v>
          </cell>
          <cell r="E6952" t="str">
            <v>Caloocan National Science and Technology High School</v>
          </cell>
          <cell r="F6952">
            <v>1</v>
          </cell>
          <cell r="G6952">
            <v>1</v>
          </cell>
          <cell r="H6952">
            <v>0</v>
          </cell>
          <cell r="I6952">
            <v>0</v>
          </cell>
          <cell r="J6952">
            <v>1</v>
          </cell>
          <cell r="K6952">
            <v>0</v>
          </cell>
          <cell r="L6952">
            <v>0</v>
          </cell>
          <cell r="M6952">
            <v>0</v>
          </cell>
          <cell r="N6952">
            <v>0</v>
          </cell>
          <cell r="O6952">
            <v>0</v>
          </cell>
          <cell r="P6952">
            <v>0</v>
          </cell>
          <cell r="Q6952">
            <v>0</v>
          </cell>
          <cell r="R6952">
            <v>1</v>
          </cell>
          <cell r="S6952">
            <v>0</v>
          </cell>
          <cell r="T6952">
            <v>0</v>
          </cell>
          <cell r="U6952">
            <v>0</v>
          </cell>
          <cell r="V6952">
            <v>1</v>
          </cell>
          <cell r="W6952">
            <v>0</v>
          </cell>
          <cell r="X6952">
            <v>0</v>
          </cell>
          <cell r="Y6952">
            <v>0</v>
          </cell>
        </row>
        <row r="6953">
          <cell r="D6953">
            <v>305333</v>
          </cell>
          <cell r="E6953" t="str">
            <v>Culiat High School</v>
          </cell>
          <cell r="F6953">
            <v>0</v>
          </cell>
          <cell r="G6953">
            <v>0</v>
          </cell>
          <cell r="H6953">
            <v>1</v>
          </cell>
          <cell r="I6953">
            <v>0</v>
          </cell>
          <cell r="J6953">
            <v>0</v>
          </cell>
          <cell r="K6953">
            <v>0</v>
          </cell>
          <cell r="L6953">
            <v>0</v>
          </cell>
          <cell r="M6953" t="str">
            <v>as needed</v>
          </cell>
          <cell r="N6953">
            <v>0</v>
          </cell>
          <cell r="O6953">
            <v>0</v>
          </cell>
          <cell r="P6953">
            <v>0</v>
          </cell>
          <cell r="Q6953">
            <v>0</v>
          </cell>
          <cell r="R6953">
            <v>0</v>
          </cell>
          <cell r="S6953">
            <v>0</v>
          </cell>
          <cell r="T6953">
            <v>0</v>
          </cell>
          <cell r="U6953">
            <v>0</v>
          </cell>
          <cell r="V6953">
            <v>0</v>
          </cell>
          <cell r="W6953">
            <v>0</v>
          </cell>
          <cell r="X6953">
            <v>0</v>
          </cell>
          <cell r="Y6953">
            <v>0</v>
          </cell>
        </row>
        <row r="6954">
          <cell r="D6954">
            <v>305392</v>
          </cell>
          <cell r="E6954" t="str">
            <v>M. B. Asistio Sr. HS Unit 1</v>
          </cell>
          <cell r="F6954">
            <v>1</v>
          </cell>
          <cell r="G6954">
            <v>1</v>
          </cell>
          <cell r="H6954">
            <v>1</v>
          </cell>
          <cell r="I6954">
            <v>1</v>
          </cell>
          <cell r="J6954">
            <v>0</v>
          </cell>
          <cell r="K6954">
            <v>0</v>
          </cell>
          <cell r="L6954">
            <v>0</v>
          </cell>
          <cell r="M6954">
            <v>0</v>
          </cell>
          <cell r="N6954">
            <v>1</v>
          </cell>
          <cell r="O6954">
            <v>0</v>
          </cell>
          <cell r="P6954">
            <v>0</v>
          </cell>
          <cell r="Q6954">
            <v>0</v>
          </cell>
          <cell r="R6954">
            <v>0</v>
          </cell>
          <cell r="S6954">
            <v>0</v>
          </cell>
          <cell r="T6954">
            <v>1</v>
          </cell>
          <cell r="U6954">
            <v>0</v>
          </cell>
          <cell r="V6954">
            <v>0</v>
          </cell>
          <cell r="W6954">
            <v>0</v>
          </cell>
          <cell r="X6954">
            <v>0</v>
          </cell>
          <cell r="Y6954">
            <v>0</v>
          </cell>
        </row>
        <row r="6955">
          <cell r="D6955">
            <v>319904</v>
          </cell>
          <cell r="E6955" t="str">
            <v>Kalumpang National High School</v>
          </cell>
          <cell r="F6955">
            <v>1</v>
          </cell>
          <cell r="G6955">
            <v>1</v>
          </cell>
          <cell r="H6955">
            <v>1</v>
          </cell>
          <cell r="I6955">
            <v>0</v>
          </cell>
          <cell r="J6955">
            <v>1</v>
          </cell>
          <cell r="K6955">
            <v>0</v>
          </cell>
          <cell r="L6955">
            <v>0</v>
          </cell>
          <cell r="M6955">
            <v>0</v>
          </cell>
          <cell r="N6955">
            <v>0</v>
          </cell>
          <cell r="O6955">
            <v>0</v>
          </cell>
          <cell r="P6955" t="str">
            <v>July 2019</v>
          </cell>
          <cell r="Q6955">
            <v>0</v>
          </cell>
          <cell r="R6955">
            <v>1</v>
          </cell>
          <cell r="S6955">
            <v>0</v>
          </cell>
          <cell r="T6955">
            <v>0</v>
          </cell>
          <cell r="U6955">
            <v>0</v>
          </cell>
          <cell r="V6955">
            <v>1</v>
          </cell>
          <cell r="W6955">
            <v>0</v>
          </cell>
          <cell r="X6955">
            <v>0</v>
          </cell>
          <cell r="Y6955">
            <v>0</v>
          </cell>
        </row>
        <row r="6956">
          <cell r="D6956">
            <v>305381</v>
          </cell>
          <cell r="E6956" t="str">
            <v>Bagong Silang HS</v>
          </cell>
          <cell r="F6956">
            <v>0</v>
          </cell>
          <cell r="G6956">
            <v>1</v>
          </cell>
          <cell r="H6956">
            <v>0</v>
          </cell>
          <cell r="I6956">
            <v>0</v>
          </cell>
          <cell r="J6956">
            <v>0</v>
          </cell>
          <cell r="K6956">
            <v>0</v>
          </cell>
          <cell r="L6956">
            <v>0</v>
          </cell>
          <cell r="M6956">
            <v>0</v>
          </cell>
          <cell r="N6956">
            <v>0</v>
          </cell>
          <cell r="O6956" t="str">
            <v>n/a</v>
          </cell>
          <cell r="P6956" t="str">
            <v>n/a</v>
          </cell>
          <cell r="Q6956">
            <v>0</v>
          </cell>
          <cell r="R6956">
            <v>0</v>
          </cell>
          <cell r="S6956">
            <v>0</v>
          </cell>
          <cell r="T6956">
            <v>0</v>
          </cell>
          <cell r="U6956">
            <v>0</v>
          </cell>
          <cell r="V6956">
            <v>0</v>
          </cell>
          <cell r="W6956">
            <v>0</v>
          </cell>
          <cell r="X6956">
            <v>0</v>
          </cell>
          <cell r="Y6956">
            <v>0</v>
          </cell>
        </row>
        <row r="6957">
          <cell r="D6957">
            <v>500335</v>
          </cell>
          <cell r="E6957" t="str">
            <v>Ilaya Barangka Integrated School</v>
          </cell>
          <cell r="F6957">
            <v>1</v>
          </cell>
          <cell r="G6957">
            <v>1</v>
          </cell>
          <cell r="H6957">
            <v>0</v>
          </cell>
          <cell r="I6957">
            <v>1</v>
          </cell>
          <cell r="J6957">
            <v>0</v>
          </cell>
          <cell r="K6957">
            <v>0</v>
          </cell>
          <cell r="L6957">
            <v>0</v>
          </cell>
          <cell r="M6957">
            <v>0</v>
          </cell>
          <cell r="N6957">
            <v>1</v>
          </cell>
          <cell r="O6957">
            <v>43738</v>
          </cell>
          <cell r="P6957">
            <v>43738</v>
          </cell>
          <cell r="Q6957">
            <v>1</v>
          </cell>
          <cell r="R6957">
            <v>0</v>
          </cell>
          <cell r="S6957">
            <v>0</v>
          </cell>
          <cell r="T6957">
            <v>0</v>
          </cell>
          <cell r="U6957">
            <v>0</v>
          </cell>
          <cell r="V6957">
            <v>1</v>
          </cell>
          <cell r="W6957">
            <v>0</v>
          </cell>
          <cell r="X6957">
            <v>0</v>
          </cell>
          <cell r="Y6957">
            <v>0</v>
          </cell>
        </row>
        <row r="6958">
          <cell r="D6958">
            <v>305378</v>
          </cell>
          <cell r="E6958" t="str">
            <v>NHC HS</v>
          </cell>
          <cell r="F6958">
            <v>1</v>
          </cell>
          <cell r="G6958">
            <v>1</v>
          </cell>
          <cell r="H6958">
            <v>1</v>
          </cell>
          <cell r="I6958">
            <v>0</v>
          </cell>
          <cell r="J6958">
            <v>0</v>
          </cell>
          <cell r="K6958">
            <v>1</v>
          </cell>
          <cell r="L6958">
            <v>0</v>
          </cell>
          <cell r="M6958">
            <v>0</v>
          </cell>
          <cell r="N6958">
            <v>0</v>
          </cell>
          <cell r="O6958">
            <v>0</v>
          </cell>
          <cell r="P6958">
            <v>0</v>
          </cell>
          <cell r="Q6958">
            <v>0</v>
          </cell>
          <cell r="R6958">
            <v>0</v>
          </cell>
          <cell r="S6958">
            <v>1</v>
          </cell>
          <cell r="T6958">
            <v>0</v>
          </cell>
          <cell r="U6958">
            <v>0</v>
          </cell>
          <cell r="V6958">
            <v>1</v>
          </cell>
          <cell r="W6958">
            <v>0</v>
          </cell>
          <cell r="X6958">
            <v>0</v>
          </cell>
          <cell r="Y6958">
            <v>0</v>
          </cell>
        </row>
        <row r="6959">
          <cell r="D6959">
            <v>500330</v>
          </cell>
          <cell r="E6959" t="str">
            <v>Tandang Sora IS</v>
          </cell>
          <cell r="F6959">
            <v>1</v>
          </cell>
          <cell r="G6959">
            <v>0</v>
          </cell>
          <cell r="H6959">
            <v>1</v>
          </cell>
          <cell r="I6959">
            <v>0</v>
          </cell>
          <cell r="J6959">
            <v>0</v>
          </cell>
          <cell r="K6959">
            <v>1</v>
          </cell>
          <cell r="L6959">
            <v>0</v>
          </cell>
          <cell r="M6959">
            <v>0</v>
          </cell>
          <cell r="N6959">
            <v>0</v>
          </cell>
          <cell r="O6959">
            <v>0</v>
          </cell>
          <cell r="P6959">
            <v>0</v>
          </cell>
          <cell r="Q6959">
            <v>0</v>
          </cell>
          <cell r="R6959">
            <v>0</v>
          </cell>
          <cell r="S6959">
            <v>0</v>
          </cell>
          <cell r="T6959">
            <v>0</v>
          </cell>
          <cell r="U6959">
            <v>0</v>
          </cell>
          <cell r="V6959">
            <v>0</v>
          </cell>
          <cell r="W6959">
            <v>0</v>
          </cell>
          <cell r="X6959">
            <v>0</v>
          </cell>
          <cell r="Y6959">
            <v>0</v>
          </cell>
        </row>
        <row r="6960">
          <cell r="D6960">
            <v>305389</v>
          </cell>
          <cell r="E6960" t="str">
            <v>Caloocan City Science HS</v>
          </cell>
          <cell r="F6960">
            <v>0</v>
          </cell>
          <cell r="G6960">
            <v>0</v>
          </cell>
          <cell r="H6960">
            <v>1</v>
          </cell>
          <cell r="I6960">
            <v>0</v>
          </cell>
          <cell r="J6960">
            <v>0</v>
          </cell>
          <cell r="K6960">
            <v>0</v>
          </cell>
          <cell r="L6960">
            <v>1</v>
          </cell>
          <cell r="M6960" t="str">
            <v>as the need arises</v>
          </cell>
          <cell r="N6960">
            <v>0</v>
          </cell>
          <cell r="O6960">
            <v>0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1</v>
          </cell>
          <cell r="U6960" t="str">
            <v>as the need arises</v>
          </cell>
          <cell r="V6960">
            <v>0</v>
          </cell>
          <cell r="W6960">
            <v>0</v>
          </cell>
          <cell r="X6960">
            <v>0</v>
          </cell>
          <cell r="Y6960">
            <v>0</v>
          </cell>
        </row>
        <row r="6961">
          <cell r="D6961">
            <v>305380</v>
          </cell>
          <cell r="E6961" t="str">
            <v>Tala High School</v>
          </cell>
          <cell r="F6961">
            <v>1</v>
          </cell>
          <cell r="G6961">
            <v>1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1</v>
          </cell>
          <cell r="M6961" t="str">
            <v>n/a</v>
          </cell>
          <cell r="N6961">
            <v>0</v>
          </cell>
          <cell r="O6961">
            <v>0</v>
          </cell>
          <cell r="P6961" t="str">
            <v>n/a</v>
          </cell>
          <cell r="Q6961">
            <v>0</v>
          </cell>
          <cell r="R6961">
            <v>0</v>
          </cell>
          <cell r="S6961">
            <v>0</v>
          </cell>
          <cell r="T6961">
            <v>1</v>
          </cell>
          <cell r="U6961" t="str">
            <v>n/a</v>
          </cell>
          <cell r="V6961">
            <v>0</v>
          </cell>
          <cell r="W6961">
            <v>0</v>
          </cell>
          <cell r="X6961">
            <v>0</v>
          </cell>
          <cell r="Y6961">
            <v>0</v>
          </cell>
        </row>
        <row r="6962">
          <cell r="D6962">
            <v>305388</v>
          </cell>
          <cell r="E6962" t="str">
            <v>Caloocan HS</v>
          </cell>
          <cell r="F6962">
            <v>0</v>
          </cell>
          <cell r="G6962">
            <v>0</v>
          </cell>
          <cell r="H6962">
            <v>0</v>
          </cell>
          <cell r="I6962">
            <v>0</v>
          </cell>
          <cell r="J6962">
            <v>0</v>
          </cell>
          <cell r="K6962">
            <v>0</v>
          </cell>
          <cell r="L6962">
            <v>0</v>
          </cell>
          <cell r="M6962">
            <v>0</v>
          </cell>
          <cell r="N6962">
            <v>0</v>
          </cell>
          <cell r="O6962">
            <v>0</v>
          </cell>
          <cell r="P6962">
            <v>0</v>
          </cell>
          <cell r="Q6962">
            <v>0</v>
          </cell>
          <cell r="R6962">
            <v>0</v>
          </cell>
          <cell r="S6962">
            <v>0</v>
          </cell>
          <cell r="T6962">
            <v>0</v>
          </cell>
          <cell r="U6962">
            <v>0</v>
          </cell>
          <cell r="V6962">
            <v>0</v>
          </cell>
          <cell r="W6962">
            <v>0</v>
          </cell>
          <cell r="X6962">
            <v>0</v>
          </cell>
          <cell r="Y6962">
            <v>0</v>
          </cell>
        </row>
        <row r="6963">
          <cell r="D6963">
            <v>305327</v>
          </cell>
          <cell r="E6963" t="str">
            <v>San Francisco High School</v>
          </cell>
          <cell r="F6963">
            <v>1</v>
          </cell>
          <cell r="G6963">
            <v>0</v>
          </cell>
          <cell r="H6963">
            <v>1</v>
          </cell>
          <cell r="I6963">
            <v>0</v>
          </cell>
          <cell r="J6963">
            <v>0</v>
          </cell>
          <cell r="K6963">
            <v>0</v>
          </cell>
          <cell r="L6963">
            <v>1</v>
          </cell>
          <cell r="M6963" t="str">
            <v>as the need arises</v>
          </cell>
          <cell r="N6963">
            <v>0</v>
          </cell>
          <cell r="O6963">
            <v>0</v>
          </cell>
          <cell r="P6963">
            <v>0</v>
          </cell>
          <cell r="Q6963">
            <v>0</v>
          </cell>
          <cell r="R6963">
            <v>0</v>
          </cell>
          <cell r="S6963">
            <v>0</v>
          </cell>
          <cell r="T6963">
            <v>0</v>
          </cell>
          <cell r="U6963">
            <v>0</v>
          </cell>
          <cell r="V6963">
            <v>0</v>
          </cell>
          <cell r="W6963">
            <v>0</v>
          </cell>
          <cell r="X6963">
            <v>0</v>
          </cell>
          <cell r="Y6963">
            <v>0</v>
          </cell>
        </row>
        <row r="6964">
          <cell r="D6964">
            <v>500331</v>
          </cell>
          <cell r="E6964" t="str">
            <v>Isaac Lopez Integrated School (Isaac Lopez ES)</v>
          </cell>
          <cell r="F6964">
            <v>1</v>
          </cell>
          <cell r="G6964">
            <v>1</v>
          </cell>
          <cell r="H6964">
            <v>1</v>
          </cell>
          <cell r="I6964">
            <v>0</v>
          </cell>
          <cell r="J6964">
            <v>0</v>
          </cell>
          <cell r="K6964">
            <v>0</v>
          </cell>
          <cell r="L6964">
            <v>0</v>
          </cell>
          <cell r="M6964">
            <v>0</v>
          </cell>
          <cell r="N6964">
            <v>1</v>
          </cell>
          <cell r="O6964">
            <v>0</v>
          </cell>
          <cell r="P6964">
            <v>0</v>
          </cell>
          <cell r="Q6964">
            <v>0</v>
          </cell>
          <cell r="R6964">
            <v>1</v>
          </cell>
          <cell r="S6964">
            <v>0</v>
          </cell>
          <cell r="T6964">
            <v>1</v>
          </cell>
          <cell r="U6964" t="str">
            <v>AS NEEDED</v>
          </cell>
          <cell r="V6964">
            <v>1</v>
          </cell>
          <cell r="W6964">
            <v>0</v>
          </cell>
          <cell r="X6964">
            <v>0</v>
          </cell>
          <cell r="Y6964">
            <v>0</v>
          </cell>
        </row>
        <row r="6965">
          <cell r="D6965">
            <v>500336</v>
          </cell>
          <cell r="E6965" t="str">
            <v>Addition Hills Integrated School</v>
          </cell>
          <cell r="F6965">
            <v>1</v>
          </cell>
          <cell r="G6965">
            <v>1</v>
          </cell>
          <cell r="H6965">
            <v>1</v>
          </cell>
          <cell r="I6965">
            <v>0</v>
          </cell>
          <cell r="J6965">
            <v>1</v>
          </cell>
          <cell r="K6965">
            <v>0</v>
          </cell>
          <cell r="L6965">
            <v>0</v>
          </cell>
          <cell r="M6965">
            <v>0</v>
          </cell>
          <cell r="N6965">
            <v>1</v>
          </cell>
          <cell r="O6965">
            <v>0</v>
          </cell>
          <cell r="P6965">
            <v>43750</v>
          </cell>
          <cell r="Q6965">
            <v>1</v>
          </cell>
          <cell r="R6965">
            <v>0</v>
          </cell>
          <cell r="S6965">
            <v>0</v>
          </cell>
          <cell r="T6965">
            <v>0</v>
          </cell>
          <cell r="U6965">
            <v>0</v>
          </cell>
          <cell r="V6965">
            <v>1</v>
          </cell>
          <cell r="W6965">
            <v>14</v>
          </cell>
          <cell r="X6965">
            <v>5</v>
          </cell>
          <cell r="Y6965">
            <v>0</v>
          </cell>
        </row>
        <row r="6966">
          <cell r="D6966">
            <v>305454</v>
          </cell>
          <cell r="E6966" t="str">
            <v>San Rafael Technological and Vocational High School</v>
          </cell>
          <cell r="F6966">
            <v>1</v>
          </cell>
          <cell r="G6966">
            <v>1</v>
          </cell>
          <cell r="H6966">
            <v>1</v>
          </cell>
          <cell r="I6966">
            <v>0</v>
          </cell>
          <cell r="J6966">
            <v>1</v>
          </cell>
          <cell r="K6966">
            <v>0</v>
          </cell>
          <cell r="L6966">
            <v>0</v>
          </cell>
          <cell r="M6966">
            <v>0</v>
          </cell>
          <cell r="N6966">
            <v>1</v>
          </cell>
          <cell r="O6966" t="str">
            <v>10/24/2019</v>
          </cell>
          <cell r="P6966">
            <v>0</v>
          </cell>
          <cell r="Q6966">
            <v>0</v>
          </cell>
          <cell r="R6966">
            <v>1</v>
          </cell>
          <cell r="S6966">
            <v>0</v>
          </cell>
          <cell r="T6966">
            <v>0</v>
          </cell>
          <cell r="U6966">
            <v>0</v>
          </cell>
          <cell r="V6966">
            <v>1</v>
          </cell>
          <cell r="W6966">
            <v>0</v>
          </cell>
          <cell r="X6966">
            <v>0</v>
          </cell>
          <cell r="Y6966">
            <v>0</v>
          </cell>
        </row>
        <row r="6967">
          <cell r="D6967">
            <v>305395</v>
          </cell>
          <cell r="E6967" t="str">
            <v>City of Mandaluyong Science HS</v>
          </cell>
          <cell r="F6967">
            <v>1</v>
          </cell>
          <cell r="G6967">
            <v>0</v>
          </cell>
          <cell r="H6967">
            <v>0</v>
          </cell>
          <cell r="I6967">
            <v>0</v>
          </cell>
          <cell r="J6967">
            <v>0</v>
          </cell>
          <cell r="K6967">
            <v>0</v>
          </cell>
          <cell r="L6967">
            <v>0</v>
          </cell>
          <cell r="M6967">
            <v>0</v>
          </cell>
          <cell r="N6967">
            <v>0</v>
          </cell>
          <cell r="O6967">
            <v>0</v>
          </cell>
          <cell r="P6967">
            <v>0</v>
          </cell>
          <cell r="Q6967">
            <v>0</v>
          </cell>
          <cell r="R6967">
            <v>0</v>
          </cell>
          <cell r="S6967">
            <v>0</v>
          </cell>
          <cell r="T6967">
            <v>0</v>
          </cell>
          <cell r="U6967">
            <v>0</v>
          </cell>
          <cell r="V6967">
            <v>0</v>
          </cell>
          <cell r="W6967">
            <v>0</v>
          </cell>
          <cell r="X6967">
            <v>0</v>
          </cell>
          <cell r="Y6967">
            <v>0</v>
          </cell>
        </row>
        <row r="6968">
          <cell r="D6968">
            <v>340628</v>
          </cell>
          <cell r="E6968" t="str">
            <v>SHS in Lisan, Navotas City</v>
          </cell>
          <cell r="F6968">
            <v>1</v>
          </cell>
          <cell r="G6968">
            <v>1</v>
          </cell>
          <cell r="H6968">
            <v>1</v>
          </cell>
          <cell r="I6968">
            <v>0</v>
          </cell>
          <cell r="J6968">
            <v>1</v>
          </cell>
          <cell r="K6968">
            <v>0</v>
          </cell>
          <cell r="L6968">
            <v>0</v>
          </cell>
          <cell r="M6968">
            <v>0</v>
          </cell>
          <cell r="N6968">
            <v>1</v>
          </cell>
          <cell r="O6968" t="str">
            <v>11/13/2019</v>
          </cell>
          <cell r="P6968">
            <v>0</v>
          </cell>
          <cell r="Q6968">
            <v>1</v>
          </cell>
          <cell r="R6968">
            <v>0</v>
          </cell>
          <cell r="S6968">
            <v>0</v>
          </cell>
          <cell r="T6968">
            <v>0</v>
          </cell>
          <cell r="U6968">
            <v>0</v>
          </cell>
          <cell r="V6968">
            <v>1</v>
          </cell>
          <cell r="W6968">
            <v>1</v>
          </cell>
          <cell r="X6968">
            <v>0</v>
          </cell>
          <cell r="Y6968">
            <v>0</v>
          </cell>
        </row>
        <row r="6969">
          <cell r="D6969">
            <v>305724</v>
          </cell>
          <cell r="E6969" t="str">
            <v>Bagong Barrio Senior High School</v>
          </cell>
          <cell r="F6969">
            <v>1</v>
          </cell>
          <cell r="G6969">
            <v>1</v>
          </cell>
          <cell r="H6969">
            <v>1</v>
          </cell>
          <cell r="I6969">
            <v>0</v>
          </cell>
          <cell r="J6969">
            <v>1</v>
          </cell>
          <cell r="K6969">
            <v>0</v>
          </cell>
          <cell r="L6969">
            <v>0</v>
          </cell>
          <cell r="M6969">
            <v>0</v>
          </cell>
          <cell r="N6969">
            <v>1</v>
          </cell>
          <cell r="O6969">
            <v>43720</v>
          </cell>
          <cell r="P6969">
            <v>43731</v>
          </cell>
          <cell r="Q6969">
            <v>0</v>
          </cell>
          <cell r="R6969">
            <v>0</v>
          </cell>
          <cell r="S6969">
            <v>0</v>
          </cell>
          <cell r="T6969">
            <v>1</v>
          </cell>
          <cell r="U6969">
            <v>0</v>
          </cell>
          <cell r="V6969">
            <v>1</v>
          </cell>
          <cell r="W6969">
            <v>0</v>
          </cell>
          <cell r="X6969">
            <v>0</v>
          </cell>
          <cell r="Y6969">
            <v>0</v>
          </cell>
        </row>
        <row r="6970">
          <cell r="D6970">
            <v>319707</v>
          </cell>
          <cell r="E6970" t="str">
            <v>Caloocan City Business High School</v>
          </cell>
          <cell r="F6970">
            <v>1</v>
          </cell>
          <cell r="G6970">
            <v>0</v>
          </cell>
          <cell r="H6970">
            <v>1</v>
          </cell>
          <cell r="I6970">
            <v>0</v>
          </cell>
          <cell r="J6970">
            <v>0</v>
          </cell>
          <cell r="K6970">
            <v>0</v>
          </cell>
          <cell r="L6970">
            <v>0</v>
          </cell>
          <cell r="M6970">
            <v>0</v>
          </cell>
          <cell r="N6970">
            <v>0</v>
          </cell>
          <cell r="O6970">
            <v>0</v>
          </cell>
          <cell r="P6970">
            <v>0</v>
          </cell>
          <cell r="Q6970">
            <v>0</v>
          </cell>
          <cell r="R6970">
            <v>0</v>
          </cell>
          <cell r="S6970">
            <v>0</v>
          </cell>
          <cell r="T6970">
            <v>0</v>
          </cell>
          <cell r="U6970">
            <v>0</v>
          </cell>
          <cell r="V6970">
            <v>0</v>
          </cell>
          <cell r="W6970">
            <v>0</v>
          </cell>
          <cell r="X6970">
            <v>0</v>
          </cell>
          <cell r="Y6970">
            <v>0</v>
          </cell>
        </row>
        <row r="6971">
          <cell r="D6971">
            <v>305375</v>
          </cell>
          <cell r="E6971" t="str">
            <v>Cielito Zamora Senior High School</v>
          </cell>
          <cell r="F6971">
            <v>1</v>
          </cell>
          <cell r="G6971">
            <v>0</v>
          </cell>
          <cell r="H6971">
            <v>1</v>
          </cell>
          <cell r="I6971">
            <v>0</v>
          </cell>
          <cell r="J6971">
            <v>1</v>
          </cell>
          <cell r="K6971">
            <v>0</v>
          </cell>
          <cell r="L6971">
            <v>0</v>
          </cell>
          <cell r="M6971">
            <v>0</v>
          </cell>
          <cell r="N6971">
            <v>1</v>
          </cell>
          <cell r="O6971" t="str">
            <v>November 15, 2019</v>
          </cell>
          <cell r="P6971">
            <v>0</v>
          </cell>
          <cell r="Q6971">
            <v>0</v>
          </cell>
          <cell r="R6971">
            <v>1</v>
          </cell>
          <cell r="S6971">
            <v>0</v>
          </cell>
          <cell r="T6971">
            <v>0</v>
          </cell>
          <cell r="U6971">
            <v>0</v>
          </cell>
          <cell r="V6971">
            <v>0</v>
          </cell>
          <cell r="W6971">
            <v>0</v>
          </cell>
          <cell r="X6971">
            <v>0</v>
          </cell>
          <cell r="Y6971">
            <v>0</v>
          </cell>
        </row>
        <row r="6972">
          <cell r="D6972">
            <v>305396</v>
          </cell>
          <cell r="E6972" t="str">
            <v>Bonifacio Javier National High School</v>
          </cell>
          <cell r="F6972">
            <v>1</v>
          </cell>
          <cell r="G6972">
            <v>1</v>
          </cell>
          <cell r="H6972">
            <v>1</v>
          </cell>
          <cell r="I6972">
            <v>0</v>
          </cell>
          <cell r="J6972">
            <v>1</v>
          </cell>
          <cell r="K6972">
            <v>0</v>
          </cell>
          <cell r="L6972">
            <v>0</v>
          </cell>
          <cell r="M6972">
            <v>0</v>
          </cell>
          <cell r="N6972">
            <v>1</v>
          </cell>
          <cell r="O6972">
            <v>43800</v>
          </cell>
          <cell r="P6972">
            <v>43770</v>
          </cell>
          <cell r="Q6972">
            <v>0</v>
          </cell>
          <cell r="R6972">
            <v>1</v>
          </cell>
          <cell r="S6972">
            <v>0</v>
          </cell>
          <cell r="T6972">
            <v>0</v>
          </cell>
          <cell r="U6972">
            <v>0</v>
          </cell>
          <cell r="V6972">
            <v>1</v>
          </cell>
          <cell r="W6972">
            <v>0</v>
          </cell>
          <cell r="X6972">
            <v>0</v>
          </cell>
          <cell r="Y6972">
            <v>0</v>
          </cell>
        </row>
        <row r="6973">
          <cell r="D6973">
            <v>305729</v>
          </cell>
          <cell r="E6973" t="str">
            <v>Samaria Senior High School</v>
          </cell>
          <cell r="F6973">
            <v>1</v>
          </cell>
          <cell r="G6973">
            <v>1</v>
          </cell>
          <cell r="H6973">
            <v>0</v>
          </cell>
          <cell r="I6973">
            <v>0</v>
          </cell>
          <cell r="J6973">
            <v>0</v>
          </cell>
          <cell r="K6973">
            <v>0</v>
          </cell>
          <cell r="L6973">
            <v>1</v>
          </cell>
          <cell r="M6973" t="str">
            <v>n/a</v>
          </cell>
          <cell r="N6973">
            <v>0</v>
          </cell>
          <cell r="O6973">
            <v>0</v>
          </cell>
          <cell r="P6973" t="str">
            <v>n/a</v>
          </cell>
          <cell r="Q6973">
            <v>0</v>
          </cell>
          <cell r="R6973">
            <v>0</v>
          </cell>
          <cell r="S6973">
            <v>0</v>
          </cell>
          <cell r="T6973">
            <v>1</v>
          </cell>
          <cell r="U6973" t="str">
            <v>n/a</v>
          </cell>
          <cell r="V6973">
            <v>0</v>
          </cell>
          <cell r="W6973">
            <v>0</v>
          </cell>
          <cell r="X6973">
            <v>0</v>
          </cell>
          <cell r="Y6973">
            <v>0</v>
          </cell>
        </row>
        <row r="6974">
          <cell r="D6974">
            <v>319708</v>
          </cell>
          <cell r="E6974" t="str">
            <v>Horacio Dela Costa High School</v>
          </cell>
          <cell r="F6974">
            <v>1</v>
          </cell>
          <cell r="G6974">
            <v>0</v>
          </cell>
          <cell r="H6974">
            <v>1</v>
          </cell>
          <cell r="I6974">
            <v>0</v>
          </cell>
          <cell r="J6974">
            <v>0</v>
          </cell>
          <cell r="K6974">
            <v>0</v>
          </cell>
          <cell r="L6974">
            <v>0</v>
          </cell>
          <cell r="M6974">
            <v>0</v>
          </cell>
          <cell r="N6974">
            <v>0</v>
          </cell>
          <cell r="O6974">
            <v>0</v>
          </cell>
          <cell r="P6974">
            <v>0</v>
          </cell>
          <cell r="Q6974">
            <v>0</v>
          </cell>
          <cell r="R6974">
            <v>0</v>
          </cell>
          <cell r="S6974">
            <v>0</v>
          </cell>
          <cell r="T6974">
            <v>0</v>
          </cell>
          <cell r="U6974">
            <v>0</v>
          </cell>
          <cell r="V6974">
            <v>0</v>
          </cell>
          <cell r="W6974">
            <v>0</v>
          </cell>
          <cell r="X6974">
            <v>0</v>
          </cell>
          <cell r="Y6974">
            <v>0</v>
          </cell>
        </row>
        <row r="6975">
          <cell r="D6975">
            <v>305717</v>
          </cell>
          <cell r="E6975" t="str">
            <v>Brixton Senior High School</v>
          </cell>
          <cell r="F6975">
            <v>0</v>
          </cell>
          <cell r="G6975">
            <v>0</v>
          </cell>
          <cell r="H6975">
            <v>0</v>
          </cell>
          <cell r="I6975">
            <v>0</v>
          </cell>
          <cell r="J6975">
            <v>0</v>
          </cell>
          <cell r="K6975">
            <v>0</v>
          </cell>
          <cell r="L6975">
            <v>0</v>
          </cell>
          <cell r="M6975">
            <v>0</v>
          </cell>
          <cell r="N6975">
            <v>0</v>
          </cell>
          <cell r="O6975">
            <v>0</v>
          </cell>
          <cell r="P6975">
            <v>0</v>
          </cell>
          <cell r="Q6975">
            <v>0</v>
          </cell>
          <cell r="R6975">
            <v>0</v>
          </cell>
          <cell r="S6975">
            <v>0</v>
          </cell>
          <cell r="T6975">
            <v>0</v>
          </cell>
          <cell r="U6975">
            <v>0</v>
          </cell>
          <cell r="V6975">
            <v>0</v>
          </cell>
          <cell r="W6975">
            <v>0</v>
          </cell>
          <cell r="X6975">
            <v>0</v>
          </cell>
          <cell r="Y6975">
            <v>0</v>
          </cell>
        </row>
        <row r="6976">
          <cell r="D6976">
            <v>305318</v>
          </cell>
          <cell r="E6976" t="str">
            <v>Manuel A. Roxas High School</v>
          </cell>
          <cell r="F6976">
            <v>1</v>
          </cell>
          <cell r="G6976">
            <v>1</v>
          </cell>
          <cell r="H6976">
            <v>1</v>
          </cell>
          <cell r="I6976">
            <v>0</v>
          </cell>
          <cell r="J6976">
            <v>0</v>
          </cell>
          <cell r="K6976">
            <v>1</v>
          </cell>
          <cell r="L6976">
            <v>0</v>
          </cell>
          <cell r="M6976">
            <v>0</v>
          </cell>
          <cell r="N6976">
            <v>1</v>
          </cell>
          <cell r="O6976">
            <v>43754</v>
          </cell>
          <cell r="P6976" t="str">
            <v>-</v>
          </cell>
          <cell r="Q6976">
            <v>0</v>
          </cell>
          <cell r="R6976">
            <v>1</v>
          </cell>
          <cell r="S6976">
            <v>0</v>
          </cell>
          <cell r="T6976">
            <v>0</v>
          </cell>
          <cell r="U6976">
            <v>0</v>
          </cell>
          <cell r="V6976">
            <v>1</v>
          </cell>
          <cell r="W6976">
            <v>0</v>
          </cell>
          <cell r="X6976">
            <v>0</v>
          </cell>
          <cell r="Y6976">
            <v>0</v>
          </cell>
        </row>
        <row r="6977">
          <cell r="D6977">
            <v>305336</v>
          </cell>
          <cell r="E6977" t="str">
            <v>Lagro HS</v>
          </cell>
          <cell r="F6977">
            <v>1</v>
          </cell>
          <cell r="G6977">
            <v>1</v>
          </cell>
          <cell r="H6977">
            <v>1</v>
          </cell>
          <cell r="I6977">
            <v>0</v>
          </cell>
          <cell r="J6977">
            <v>1</v>
          </cell>
          <cell r="K6977">
            <v>0</v>
          </cell>
          <cell r="L6977">
            <v>0</v>
          </cell>
          <cell r="M6977">
            <v>0</v>
          </cell>
          <cell r="N6977">
            <v>0</v>
          </cell>
          <cell r="O6977">
            <v>43363</v>
          </cell>
          <cell r="P6977">
            <v>43271</v>
          </cell>
          <cell r="Q6977">
            <v>0</v>
          </cell>
          <cell r="R6977">
            <v>0</v>
          </cell>
          <cell r="S6977">
            <v>1</v>
          </cell>
          <cell r="T6977">
            <v>0</v>
          </cell>
          <cell r="U6977">
            <v>0</v>
          </cell>
          <cell r="V6977">
            <v>0</v>
          </cell>
          <cell r="W6977">
            <v>3</v>
          </cell>
          <cell r="X6977">
            <v>0</v>
          </cell>
          <cell r="Y6977">
            <v>0</v>
          </cell>
        </row>
        <row r="6978">
          <cell r="D6978">
            <v>319705</v>
          </cell>
          <cell r="E6978" t="str">
            <v>Maypajo High School</v>
          </cell>
          <cell r="F6978">
            <v>0</v>
          </cell>
          <cell r="G6978">
            <v>0</v>
          </cell>
          <cell r="H6978">
            <v>0</v>
          </cell>
          <cell r="I6978">
            <v>0</v>
          </cell>
          <cell r="J6978">
            <v>0</v>
          </cell>
          <cell r="K6978">
            <v>0</v>
          </cell>
          <cell r="L6978">
            <v>0</v>
          </cell>
          <cell r="M6978">
            <v>0</v>
          </cell>
          <cell r="N6978">
            <v>0</v>
          </cell>
          <cell r="O6978">
            <v>0</v>
          </cell>
          <cell r="P6978">
            <v>0</v>
          </cell>
          <cell r="Q6978">
            <v>0</v>
          </cell>
          <cell r="R6978">
            <v>0</v>
          </cell>
          <cell r="S6978">
            <v>0</v>
          </cell>
          <cell r="T6978">
            <v>0</v>
          </cell>
          <cell r="U6978">
            <v>0</v>
          </cell>
          <cell r="V6978">
            <v>0</v>
          </cell>
          <cell r="W6978">
            <v>0</v>
          </cell>
          <cell r="X6978">
            <v>0</v>
          </cell>
          <cell r="Y6978">
            <v>0</v>
          </cell>
        </row>
        <row r="6979">
          <cell r="D6979">
            <v>305393</v>
          </cell>
          <cell r="E6979" t="str">
            <v>Mandaluyong High School</v>
          </cell>
          <cell r="F6979">
            <v>1</v>
          </cell>
          <cell r="G6979">
            <v>1</v>
          </cell>
          <cell r="H6979">
            <v>1</v>
          </cell>
          <cell r="I6979">
            <v>0</v>
          </cell>
          <cell r="J6979">
            <v>1</v>
          </cell>
          <cell r="K6979">
            <v>0</v>
          </cell>
          <cell r="L6979">
            <v>0</v>
          </cell>
          <cell r="M6979">
            <v>0</v>
          </cell>
          <cell r="N6979">
            <v>1</v>
          </cell>
          <cell r="O6979">
            <v>0</v>
          </cell>
          <cell r="P6979">
            <v>0</v>
          </cell>
          <cell r="Q6979">
            <v>0</v>
          </cell>
          <cell r="R6979">
            <v>1</v>
          </cell>
          <cell r="S6979">
            <v>0</v>
          </cell>
          <cell r="T6979">
            <v>0</v>
          </cell>
          <cell r="U6979">
            <v>0</v>
          </cell>
          <cell r="V6979">
            <v>1</v>
          </cell>
          <cell r="W6979">
            <v>0</v>
          </cell>
          <cell r="X6979">
            <v>0</v>
          </cell>
          <cell r="Y6979">
            <v>0</v>
          </cell>
        </row>
        <row r="6980">
          <cell r="D6980">
            <v>500333</v>
          </cell>
          <cell r="E6980" t="str">
            <v>Eulogio Rodriguez Integrated School</v>
          </cell>
          <cell r="F6980">
            <v>1</v>
          </cell>
          <cell r="G6980">
            <v>0</v>
          </cell>
          <cell r="H6980">
            <v>1</v>
          </cell>
          <cell r="I6980">
            <v>0</v>
          </cell>
          <cell r="J6980">
            <v>1</v>
          </cell>
          <cell r="K6980">
            <v>0</v>
          </cell>
          <cell r="L6980">
            <v>0</v>
          </cell>
          <cell r="M6980">
            <v>0</v>
          </cell>
          <cell r="N6980">
            <v>1</v>
          </cell>
          <cell r="O6980">
            <v>0</v>
          </cell>
          <cell r="P6980">
            <v>43282</v>
          </cell>
          <cell r="Q6980">
            <v>0</v>
          </cell>
          <cell r="R6980">
            <v>1</v>
          </cell>
          <cell r="S6980">
            <v>0</v>
          </cell>
          <cell r="T6980">
            <v>0</v>
          </cell>
          <cell r="U6980">
            <v>0</v>
          </cell>
          <cell r="V6980">
            <v>1</v>
          </cell>
          <cell r="W6980">
            <v>0</v>
          </cell>
          <cell r="X6980">
            <v>0</v>
          </cell>
          <cell r="Y6980">
            <v>0</v>
          </cell>
        </row>
        <row r="6981">
          <cell r="D6981">
            <v>500332</v>
          </cell>
          <cell r="E6981" t="str">
            <v>Highway Hills Integrated School</v>
          </cell>
          <cell r="F6981">
            <v>1</v>
          </cell>
          <cell r="G6981">
            <v>1</v>
          </cell>
          <cell r="H6981">
            <v>1</v>
          </cell>
          <cell r="I6981">
            <v>0</v>
          </cell>
          <cell r="J6981">
            <v>1</v>
          </cell>
          <cell r="K6981">
            <v>0</v>
          </cell>
          <cell r="L6981">
            <v>0</v>
          </cell>
          <cell r="M6981">
            <v>0</v>
          </cell>
          <cell r="N6981">
            <v>1</v>
          </cell>
          <cell r="O6981">
            <v>0</v>
          </cell>
          <cell r="P6981">
            <v>0</v>
          </cell>
          <cell r="Q6981">
            <v>0</v>
          </cell>
          <cell r="R6981">
            <v>0</v>
          </cell>
          <cell r="S6981">
            <v>0</v>
          </cell>
          <cell r="T6981">
            <v>0</v>
          </cell>
          <cell r="U6981">
            <v>0</v>
          </cell>
          <cell r="V6981">
            <v>0</v>
          </cell>
          <cell r="W6981">
            <v>6</v>
          </cell>
          <cell r="X6981">
            <v>6</v>
          </cell>
          <cell r="Y6981">
            <v>6</v>
          </cell>
        </row>
        <row r="6982">
          <cell r="D6982">
            <v>305310</v>
          </cell>
          <cell r="E6982" t="str">
            <v>Carlos P. Garcia High School</v>
          </cell>
          <cell r="F6982">
            <v>1</v>
          </cell>
          <cell r="G6982">
            <v>1</v>
          </cell>
          <cell r="H6982">
            <v>1</v>
          </cell>
          <cell r="I6982">
            <v>0</v>
          </cell>
          <cell r="J6982">
            <v>1</v>
          </cell>
          <cell r="K6982">
            <v>0</v>
          </cell>
          <cell r="L6982">
            <v>0</v>
          </cell>
          <cell r="M6982">
            <v>0</v>
          </cell>
          <cell r="N6982">
            <v>1</v>
          </cell>
          <cell r="O6982">
            <v>43367</v>
          </cell>
          <cell r="P6982">
            <v>0</v>
          </cell>
          <cell r="Q6982">
            <v>0</v>
          </cell>
          <cell r="R6982">
            <v>1</v>
          </cell>
          <cell r="S6982">
            <v>0</v>
          </cell>
          <cell r="T6982">
            <v>0</v>
          </cell>
          <cell r="U6982">
            <v>0</v>
          </cell>
          <cell r="V6982">
            <v>1</v>
          </cell>
          <cell r="W6982">
            <v>3</v>
          </cell>
          <cell r="X6982">
            <v>1</v>
          </cell>
          <cell r="Y6982">
            <v>1</v>
          </cell>
        </row>
        <row r="6983">
          <cell r="D6983">
            <v>305358</v>
          </cell>
          <cell r="E6983" t="str">
            <v>Ramon Magsaysay (Cubao) HS</v>
          </cell>
          <cell r="F6983">
            <v>1</v>
          </cell>
          <cell r="G6983">
            <v>0</v>
          </cell>
          <cell r="H6983">
            <v>1</v>
          </cell>
          <cell r="I6983">
            <v>0</v>
          </cell>
          <cell r="J6983">
            <v>1</v>
          </cell>
          <cell r="K6983">
            <v>0</v>
          </cell>
          <cell r="L6983">
            <v>0</v>
          </cell>
          <cell r="M6983">
            <v>0</v>
          </cell>
          <cell r="N6983">
            <v>1</v>
          </cell>
          <cell r="O6983">
            <v>0</v>
          </cell>
          <cell r="P6983" t="str">
            <v>N/A</v>
          </cell>
          <cell r="Q6983">
            <v>0</v>
          </cell>
          <cell r="R6983">
            <v>0</v>
          </cell>
          <cell r="S6983">
            <v>0</v>
          </cell>
          <cell r="T6983">
            <v>0</v>
          </cell>
          <cell r="U6983">
            <v>0</v>
          </cell>
          <cell r="V6983">
            <v>0</v>
          </cell>
          <cell r="W6983">
            <v>3</v>
          </cell>
          <cell r="X6983">
            <v>3</v>
          </cell>
          <cell r="Y6983">
            <v>0</v>
          </cell>
        </row>
        <row r="6984">
          <cell r="D6984">
            <v>340601</v>
          </cell>
          <cell r="E6984" t="str">
            <v>SHS within Gen E. Aguinaldo Intg. (Elem)</v>
          </cell>
          <cell r="F6984">
            <v>1</v>
          </cell>
          <cell r="G6984">
            <v>0</v>
          </cell>
          <cell r="H6984">
            <v>0</v>
          </cell>
          <cell r="I6984">
            <v>0</v>
          </cell>
          <cell r="J6984">
            <v>0</v>
          </cell>
          <cell r="K6984">
            <v>0</v>
          </cell>
          <cell r="L6984">
            <v>0</v>
          </cell>
          <cell r="M6984">
            <v>0</v>
          </cell>
          <cell r="N6984">
            <v>0</v>
          </cell>
          <cell r="O6984">
            <v>0</v>
          </cell>
          <cell r="P6984">
            <v>0</v>
          </cell>
          <cell r="Q6984">
            <v>0</v>
          </cell>
          <cell r="R6984">
            <v>0</v>
          </cell>
          <cell r="S6984">
            <v>0</v>
          </cell>
          <cell r="T6984">
            <v>0</v>
          </cell>
          <cell r="U6984">
            <v>0</v>
          </cell>
          <cell r="V6984">
            <v>0</v>
          </cell>
          <cell r="W6984">
            <v>0</v>
          </cell>
          <cell r="X6984">
            <v>0</v>
          </cell>
          <cell r="Y6984">
            <v>0</v>
          </cell>
        </row>
        <row r="6985">
          <cell r="D6985">
            <v>500566</v>
          </cell>
          <cell r="E6985" t="str">
            <v>T. Paez Integrated School</v>
          </cell>
          <cell r="F6985">
            <v>0</v>
          </cell>
          <cell r="G6985">
            <v>0</v>
          </cell>
          <cell r="H6985">
            <v>0</v>
          </cell>
          <cell r="I6985">
            <v>0</v>
          </cell>
          <cell r="J6985">
            <v>0</v>
          </cell>
          <cell r="K6985">
            <v>0</v>
          </cell>
          <cell r="L6985">
            <v>0</v>
          </cell>
          <cell r="M6985">
            <v>0</v>
          </cell>
          <cell r="N6985">
            <v>0</v>
          </cell>
          <cell r="O6985">
            <v>0</v>
          </cell>
          <cell r="P6985">
            <v>0</v>
          </cell>
          <cell r="Q6985">
            <v>0</v>
          </cell>
          <cell r="R6985">
            <v>0</v>
          </cell>
          <cell r="S6985">
            <v>0</v>
          </cell>
          <cell r="T6985">
            <v>0</v>
          </cell>
          <cell r="U6985">
            <v>0</v>
          </cell>
          <cell r="V6985">
            <v>0</v>
          </cell>
          <cell r="W6985">
            <v>0</v>
          </cell>
          <cell r="X6985">
            <v>0</v>
          </cell>
          <cell r="Y6985">
            <v>0</v>
          </cell>
        </row>
        <row r="6986">
          <cell r="D6986">
            <v>305609</v>
          </cell>
          <cell r="E6986" t="str">
            <v>San Juan City Technical-Vocational and Livelihood -Senior High School</v>
          </cell>
          <cell r="F6986">
            <v>1</v>
          </cell>
          <cell r="G6986">
            <v>1</v>
          </cell>
          <cell r="H6986">
            <v>0</v>
          </cell>
          <cell r="I6986">
            <v>0</v>
          </cell>
          <cell r="J6986">
            <v>0</v>
          </cell>
          <cell r="K6986">
            <v>0</v>
          </cell>
          <cell r="L6986">
            <v>0</v>
          </cell>
          <cell r="M6986">
            <v>0</v>
          </cell>
          <cell r="N6986">
            <v>0</v>
          </cell>
          <cell r="O6986">
            <v>0</v>
          </cell>
          <cell r="P6986">
            <v>0</v>
          </cell>
          <cell r="Q6986">
            <v>0</v>
          </cell>
          <cell r="R6986">
            <v>0</v>
          </cell>
          <cell r="S6986">
            <v>0</v>
          </cell>
          <cell r="T6986">
            <v>0</v>
          </cell>
          <cell r="U6986">
            <v>0</v>
          </cell>
          <cell r="V6986">
            <v>0</v>
          </cell>
          <cell r="W6986">
            <v>15</v>
          </cell>
          <cell r="X6986">
            <v>15</v>
          </cell>
          <cell r="Y6986">
            <v>15</v>
          </cell>
        </row>
        <row r="6987">
          <cell r="D6987">
            <v>305608</v>
          </cell>
          <cell r="E6987" t="str">
            <v>San Juan City Academic Senior High School</v>
          </cell>
          <cell r="F6987">
            <v>1</v>
          </cell>
          <cell r="G6987">
            <v>1</v>
          </cell>
          <cell r="H6987">
            <v>0</v>
          </cell>
          <cell r="I6987">
            <v>0</v>
          </cell>
          <cell r="J6987">
            <v>0</v>
          </cell>
          <cell r="K6987">
            <v>0</v>
          </cell>
          <cell r="L6987">
            <v>0</v>
          </cell>
          <cell r="M6987">
            <v>0</v>
          </cell>
          <cell r="N6987">
            <v>0</v>
          </cell>
          <cell r="O6987">
            <v>0</v>
          </cell>
          <cell r="P6987">
            <v>0</v>
          </cell>
          <cell r="Q6987">
            <v>0</v>
          </cell>
          <cell r="R6987">
            <v>0</v>
          </cell>
          <cell r="S6987">
            <v>0</v>
          </cell>
          <cell r="T6987">
            <v>0</v>
          </cell>
          <cell r="U6987">
            <v>0</v>
          </cell>
          <cell r="V6987">
            <v>0</v>
          </cell>
          <cell r="W6987">
            <v>0</v>
          </cell>
          <cell r="X6987">
            <v>0</v>
          </cell>
          <cell r="Y6987">
            <v>0</v>
          </cell>
        </row>
        <row r="6988">
          <cell r="D6988">
            <v>360870</v>
          </cell>
          <cell r="E6988" t="str">
            <v>SHS in Apolonio Samson</v>
          </cell>
          <cell r="F6988">
            <v>1</v>
          </cell>
          <cell r="G6988">
            <v>1</v>
          </cell>
          <cell r="H6988">
            <v>1</v>
          </cell>
          <cell r="I6988">
            <v>1</v>
          </cell>
          <cell r="J6988">
            <v>0</v>
          </cell>
          <cell r="K6988">
            <v>0</v>
          </cell>
          <cell r="L6988">
            <v>0</v>
          </cell>
          <cell r="M6988">
            <v>0</v>
          </cell>
          <cell r="N6988">
            <v>0</v>
          </cell>
          <cell r="O6988">
            <v>0</v>
          </cell>
          <cell r="P6988" t="str">
            <v>none</v>
          </cell>
          <cell r="Q6988">
            <v>0</v>
          </cell>
          <cell r="R6988">
            <v>0</v>
          </cell>
          <cell r="S6988">
            <v>0</v>
          </cell>
          <cell r="T6988">
            <v>0</v>
          </cell>
          <cell r="U6988">
            <v>0</v>
          </cell>
          <cell r="V6988">
            <v>0</v>
          </cell>
          <cell r="W6988">
            <v>0</v>
          </cell>
          <cell r="X6988">
            <v>0</v>
          </cell>
          <cell r="Y6988">
            <v>0</v>
          </cell>
        </row>
        <row r="6989">
          <cell r="D6989">
            <v>305313</v>
          </cell>
          <cell r="E6989" t="str">
            <v>I. Villamor High School</v>
          </cell>
          <cell r="F6989">
            <v>1</v>
          </cell>
          <cell r="G6989">
            <v>0</v>
          </cell>
          <cell r="H6989">
            <v>1</v>
          </cell>
          <cell r="I6989">
            <v>0</v>
          </cell>
          <cell r="J6989">
            <v>1</v>
          </cell>
          <cell r="K6989">
            <v>0</v>
          </cell>
          <cell r="L6989">
            <v>0</v>
          </cell>
          <cell r="M6989">
            <v>0</v>
          </cell>
          <cell r="N6989">
            <v>1</v>
          </cell>
          <cell r="O6989">
            <v>43678</v>
          </cell>
          <cell r="P6989" t="str">
            <v>none</v>
          </cell>
          <cell r="Q6989">
            <v>0</v>
          </cell>
          <cell r="R6989">
            <v>0</v>
          </cell>
          <cell r="S6989">
            <v>0</v>
          </cell>
          <cell r="T6989">
            <v>1</v>
          </cell>
          <cell r="U6989" t="str">
            <v>none</v>
          </cell>
          <cell r="V6989">
            <v>0</v>
          </cell>
          <cell r="W6989">
            <v>0</v>
          </cell>
          <cell r="X6989">
            <v>0</v>
          </cell>
          <cell r="Y6989">
            <v>0</v>
          </cell>
        </row>
        <row r="6990">
          <cell r="D6990">
            <v>305362</v>
          </cell>
          <cell r="E6990" t="str">
            <v>Dr. Josefa Jara Martinez HS</v>
          </cell>
          <cell r="F6990">
            <v>1</v>
          </cell>
          <cell r="G6990">
            <v>1</v>
          </cell>
          <cell r="H6990">
            <v>1</v>
          </cell>
          <cell r="I6990">
            <v>0</v>
          </cell>
          <cell r="J6990">
            <v>1</v>
          </cell>
          <cell r="K6990">
            <v>0</v>
          </cell>
          <cell r="L6990">
            <v>0</v>
          </cell>
          <cell r="M6990">
            <v>0</v>
          </cell>
          <cell r="N6990">
            <v>1</v>
          </cell>
          <cell r="O6990">
            <v>43647</v>
          </cell>
          <cell r="P6990" t="str">
            <v>N/A</v>
          </cell>
          <cell r="Q6990">
            <v>0</v>
          </cell>
          <cell r="R6990">
            <v>0</v>
          </cell>
          <cell r="S6990">
            <v>0</v>
          </cell>
          <cell r="T6990">
            <v>0</v>
          </cell>
          <cell r="U6990" t="str">
            <v>NOT AT ALL</v>
          </cell>
          <cell r="V6990">
            <v>0</v>
          </cell>
          <cell r="W6990">
            <v>0</v>
          </cell>
          <cell r="X6990">
            <v>0</v>
          </cell>
          <cell r="Y6990">
            <v>0</v>
          </cell>
        </row>
        <row r="6991">
          <cell r="D6991">
            <v>305355</v>
          </cell>
          <cell r="E6991" t="str">
            <v>Carlos L. Albert HS</v>
          </cell>
          <cell r="F6991">
            <v>1</v>
          </cell>
          <cell r="G6991">
            <v>0</v>
          </cell>
          <cell r="H6991">
            <v>1</v>
          </cell>
          <cell r="I6991">
            <v>1</v>
          </cell>
          <cell r="J6991">
            <v>0</v>
          </cell>
          <cell r="K6991">
            <v>0</v>
          </cell>
          <cell r="L6991">
            <v>0</v>
          </cell>
          <cell r="M6991">
            <v>0</v>
          </cell>
          <cell r="N6991">
            <v>1</v>
          </cell>
          <cell r="O6991">
            <v>0</v>
          </cell>
          <cell r="P6991">
            <v>0</v>
          </cell>
          <cell r="Q6991">
            <v>1</v>
          </cell>
          <cell r="R6991">
            <v>0</v>
          </cell>
          <cell r="S6991">
            <v>0</v>
          </cell>
          <cell r="T6991">
            <v>0</v>
          </cell>
          <cell r="U6991">
            <v>0</v>
          </cell>
          <cell r="V6991">
            <v>0</v>
          </cell>
          <cell r="W6991">
            <v>0</v>
          </cell>
          <cell r="X6991">
            <v>0</v>
          </cell>
          <cell r="Y6991">
            <v>0</v>
          </cell>
        </row>
        <row r="6992">
          <cell r="D6992">
            <v>305329</v>
          </cell>
          <cell r="E6992" t="str">
            <v>Quezon City Science HS</v>
          </cell>
          <cell r="F6992">
            <v>0</v>
          </cell>
          <cell r="G6992">
            <v>0</v>
          </cell>
          <cell r="H6992">
            <v>0</v>
          </cell>
          <cell r="I6992">
            <v>0</v>
          </cell>
          <cell r="J6992">
            <v>0</v>
          </cell>
          <cell r="K6992">
            <v>1</v>
          </cell>
          <cell r="L6992">
            <v>0</v>
          </cell>
          <cell r="M6992">
            <v>0</v>
          </cell>
          <cell r="N6992">
            <v>0</v>
          </cell>
          <cell r="O6992">
            <v>0</v>
          </cell>
          <cell r="P6992">
            <v>0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>
            <v>0</v>
          </cell>
          <cell r="V6992">
            <v>0</v>
          </cell>
          <cell r="W6992">
            <v>0</v>
          </cell>
          <cell r="X6992">
            <v>0</v>
          </cell>
          <cell r="Y6992">
            <v>0</v>
          </cell>
        </row>
        <row r="6993">
          <cell r="D6993">
            <v>305353</v>
          </cell>
          <cell r="E6993" t="str">
            <v>Krus na Ligas HS</v>
          </cell>
          <cell r="F6993">
            <v>1</v>
          </cell>
          <cell r="G6993">
            <v>0</v>
          </cell>
          <cell r="H6993">
            <v>0</v>
          </cell>
          <cell r="I6993">
            <v>0</v>
          </cell>
          <cell r="J6993">
            <v>0</v>
          </cell>
          <cell r="K6993">
            <v>0</v>
          </cell>
          <cell r="L6993">
            <v>0</v>
          </cell>
          <cell r="M6993">
            <v>0</v>
          </cell>
          <cell r="N6993">
            <v>0</v>
          </cell>
          <cell r="O6993">
            <v>0</v>
          </cell>
          <cell r="P6993">
            <v>0</v>
          </cell>
          <cell r="Q6993">
            <v>0</v>
          </cell>
          <cell r="R6993">
            <v>0</v>
          </cell>
          <cell r="S6993">
            <v>0</v>
          </cell>
          <cell r="T6993">
            <v>0</v>
          </cell>
          <cell r="U6993">
            <v>0</v>
          </cell>
          <cell r="V6993">
            <v>0</v>
          </cell>
          <cell r="W6993">
            <v>0</v>
          </cell>
          <cell r="X6993">
            <v>0</v>
          </cell>
          <cell r="Y6993">
            <v>0</v>
          </cell>
        </row>
        <row r="6994">
          <cell r="D6994">
            <v>305359</v>
          </cell>
          <cell r="E6994" t="str">
            <v>Quezon City High School</v>
          </cell>
          <cell r="F6994">
            <v>0</v>
          </cell>
          <cell r="G6994">
            <v>0</v>
          </cell>
          <cell r="H6994">
            <v>0</v>
          </cell>
          <cell r="I6994">
            <v>0</v>
          </cell>
          <cell r="J6994">
            <v>0</v>
          </cell>
          <cell r="K6994">
            <v>0</v>
          </cell>
          <cell r="L6994">
            <v>0</v>
          </cell>
          <cell r="M6994">
            <v>0</v>
          </cell>
          <cell r="N6994">
            <v>0</v>
          </cell>
          <cell r="O6994">
            <v>0</v>
          </cell>
          <cell r="P6994">
            <v>0</v>
          </cell>
          <cell r="Q6994">
            <v>0</v>
          </cell>
          <cell r="R6994">
            <v>0</v>
          </cell>
          <cell r="S6994">
            <v>0</v>
          </cell>
          <cell r="T6994">
            <v>0</v>
          </cell>
          <cell r="U6994">
            <v>0</v>
          </cell>
          <cell r="V6994">
            <v>0</v>
          </cell>
          <cell r="W6994">
            <v>0</v>
          </cell>
          <cell r="X6994">
            <v>0</v>
          </cell>
          <cell r="Y6994">
            <v>0</v>
          </cell>
        </row>
        <row r="6995">
          <cell r="D6995">
            <v>305322</v>
          </cell>
          <cell r="E6995" t="str">
            <v>Eulogio Rodriguez, Jr. HS</v>
          </cell>
          <cell r="F6995">
            <v>0</v>
          </cell>
          <cell r="G6995">
            <v>0</v>
          </cell>
          <cell r="H6995">
            <v>0</v>
          </cell>
          <cell r="I6995">
            <v>0</v>
          </cell>
          <cell r="J6995">
            <v>0</v>
          </cell>
          <cell r="K6995">
            <v>0</v>
          </cell>
          <cell r="L6995">
            <v>0</v>
          </cell>
          <cell r="M6995">
            <v>0</v>
          </cell>
          <cell r="N6995">
            <v>0</v>
          </cell>
          <cell r="O6995">
            <v>0</v>
          </cell>
          <cell r="P6995">
            <v>0</v>
          </cell>
          <cell r="Q6995">
            <v>0</v>
          </cell>
          <cell r="R6995">
            <v>0</v>
          </cell>
          <cell r="S6995">
            <v>0</v>
          </cell>
          <cell r="T6995">
            <v>0</v>
          </cell>
          <cell r="U6995">
            <v>0</v>
          </cell>
          <cell r="V6995">
            <v>0</v>
          </cell>
          <cell r="W6995">
            <v>0</v>
          </cell>
          <cell r="X6995">
            <v>0</v>
          </cell>
          <cell r="Y6995">
            <v>0</v>
          </cell>
        </row>
        <row r="6996">
          <cell r="D6996">
            <v>305330</v>
          </cell>
          <cell r="E6996" t="str">
            <v>Batasan Hills National HS</v>
          </cell>
          <cell r="F6996">
            <v>1</v>
          </cell>
          <cell r="G6996">
            <v>0</v>
          </cell>
          <cell r="H6996">
            <v>1</v>
          </cell>
          <cell r="I6996">
            <v>1</v>
          </cell>
          <cell r="J6996">
            <v>0</v>
          </cell>
          <cell r="K6996">
            <v>0</v>
          </cell>
          <cell r="L6996">
            <v>0</v>
          </cell>
          <cell r="M6996">
            <v>0</v>
          </cell>
          <cell r="N6996">
            <v>1</v>
          </cell>
          <cell r="O6996">
            <v>43737</v>
          </cell>
          <cell r="P6996">
            <v>43752</v>
          </cell>
          <cell r="Q6996">
            <v>1</v>
          </cell>
          <cell r="R6996">
            <v>0</v>
          </cell>
          <cell r="S6996">
            <v>0</v>
          </cell>
          <cell r="T6996">
            <v>0</v>
          </cell>
          <cell r="U6996">
            <v>0</v>
          </cell>
          <cell r="V6996">
            <v>1</v>
          </cell>
          <cell r="W6996">
            <v>3</v>
          </cell>
          <cell r="X6996">
            <v>3</v>
          </cell>
          <cell r="Y6996">
            <v>3</v>
          </cell>
        </row>
        <row r="6997">
          <cell r="D6997">
            <v>305335</v>
          </cell>
          <cell r="E6997" t="str">
            <v>Ismael Mathay Sr. High School</v>
          </cell>
          <cell r="F6997">
            <v>1</v>
          </cell>
          <cell r="G6997">
            <v>0</v>
          </cell>
          <cell r="H6997">
            <v>0</v>
          </cell>
          <cell r="I6997">
            <v>0</v>
          </cell>
          <cell r="J6997">
            <v>0</v>
          </cell>
          <cell r="K6997">
            <v>0</v>
          </cell>
          <cell r="L6997">
            <v>0</v>
          </cell>
          <cell r="M6997">
            <v>0</v>
          </cell>
          <cell r="N6997">
            <v>0</v>
          </cell>
          <cell r="O6997">
            <v>0</v>
          </cell>
          <cell r="P6997">
            <v>0</v>
          </cell>
          <cell r="Q6997">
            <v>0</v>
          </cell>
          <cell r="R6997">
            <v>0</v>
          </cell>
          <cell r="S6997">
            <v>0</v>
          </cell>
          <cell r="T6997">
            <v>0</v>
          </cell>
          <cell r="U6997">
            <v>0</v>
          </cell>
          <cell r="V6997">
            <v>0</v>
          </cell>
          <cell r="W6997">
            <v>0</v>
          </cell>
          <cell r="X6997">
            <v>0</v>
          </cell>
          <cell r="Y6997">
            <v>0</v>
          </cell>
        </row>
        <row r="6998">
          <cell r="D6998">
            <v>340696</v>
          </cell>
          <cell r="E6998" t="str">
            <v>SHS within Pinyahan ES</v>
          </cell>
          <cell r="F6998">
            <v>0</v>
          </cell>
          <cell r="G6998">
            <v>0</v>
          </cell>
          <cell r="H6998">
            <v>1</v>
          </cell>
          <cell r="I6998">
            <v>0</v>
          </cell>
          <cell r="J6998">
            <v>1</v>
          </cell>
          <cell r="K6998">
            <v>0</v>
          </cell>
          <cell r="L6998">
            <v>0</v>
          </cell>
          <cell r="M6998">
            <v>0</v>
          </cell>
          <cell r="N6998">
            <v>0</v>
          </cell>
          <cell r="O6998">
            <v>0</v>
          </cell>
          <cell r="P6998">
            <v>0</v>
          </cell>
          <cell r="Q6998">
            <v>0</v>
          </cell>
          <cell r="R6998">
            <v>0</v>
          </cell>
          <cell r="S6998">
            <v>0</v>
          </cell>
          <cell r="T6998">
            <v>0</v>
          </cell>
          <cell r="U6998">
            <v>0</v>
          </cell>
          <cell r="V6998">
            <v>0</v>
          </cell>
          <cell r="W6998">
            <v>0</v>
          </cell>
          <cell r="X6998">
            <v>0</v>
          </cell>
          <cell r="Y6998">
            <v>0</v>
          </cell>
        </row>
        <row r="6999">
          <cell r="D6999">
            <v>305343</v>
          </cell>
          <cell r="E6999" t="str">
            <v>New Era High School</v>
          </cell>
          <cell r="F6999">
            <v>0</v>
          </cell>
          <cell r="G6999">
            <v>0</v>
          </cell>
          <cell r="H6999">
            <v>1</v>
          </cell>
          <cell r="I6999">
            <v>0</v>
          </cell>
          <cell r="J6999">
            <v>0</v>
          </cell>
          <cell r="K6999">
            <v>1</v>
          </cell>
          <cell r="L6999">
            <v>1</v>
          </cell>
          <cell r="M6999" t="str">
            <v>as need arises</v>
          </cell>
          <cell r="N6999">
            <v>0</v>
          </cell>
          <cell r="O6999" t="str">
            <v>as needs arises</v>
          </cell>
          <cell r="P6999">
            <v>0</v>
          </cell>
          <cell r="Q6999">
            <v>0</v>
          </cell>
          <cell r="R6999">
            <v>0</v>
          </cell>
          <cell r="S6999">
            <v>0</v>
          </cell>
          <cell r="T6999">
            <v>1</v>
          </cell>
          <cell r="U6999" t="str">
            <v>as needs arises</v>
          </cell>
          <cell r="V6999">
            <v>0</v>
          </cell>
          <cell r="W6999">
            <v>0</v>
          </cell>
          <cell r="X6999">
            <v>0</v>
          </cell>
          <cell r="Y6999">
            <v>0</v>
          </cell>
        </row>
        <row r="7000">
          <cell r="D7000">
            <v>360868</v>
          </cell>
          <cell r="E7000" t="str">
            <v>SHS within MH del Pilar ES</v>
          </cell>
          <cell r="F7000">
            <v>1</v>
          </cell>
          <cell r="G7000">
            <v>1</v>
          </cell>
          <cell r="H7000">
            <v>0</v>
          </cell>
          <cell r="I7000">
            <v>0</v>
          </cell>
          <cell r="J7000">
            <v>0</v>
          </cell>
          <cell r="K7000">
            <v>0</v>
          </cell>
          <cell r="L7000">
            <v>0</v>
          </cell>
          <cell r="M7000">
            <v>0</v>
          </cell>
          <cell r="N7000">
            <v>0</v>
          </cell>
          <cell r="O7000">
            <v>0</v>
          </cell>
          <cell r="P7000">
            <v>0</v>
          </cell>
          <cell r="Q7000">
            <v>0</v>
          </cell>
          <cell r="R7000">
            <v>0</v>
          </cell>
          <cell r="S7000">
            <v>0</v>
          </cell>
          <cell r="T7000">
            <v>0</v>
          </cell>
          <cell r="U7000">
            <v>0</v>
          </cell>
          <cell r="V7000">
            <v>0</v>
          </cell>
          <cell r="W7000">
            <v>0</v>
          </cell>
          <cell r="X7000">
            <v>0</v>
          </cell>
          <cell r="Y7000">
            <v>0</v>
          </cell>
        </row>
        <row r="7001">
          <cell r="D7001">
            <v>305361</v>
          </cell>
          <cell r="E7001" t="str">
            <v>Manuel A. Roxas HS</v>
          </cell>
          <cell r="F7001">
            <v>1</v>
          </cell>
          <cell r="G7001">
            <v>1</v>
          </cell>
          <cell r="H7001">
            <v>1</v>
          </cell>
          <cell r="I7001">
            <v>0</v>
          </cell>
          <cell r="J7001">
            <v>1</v>
          </cell>
          <cell r="K7001">
            <v>0</v>
          </cell>
          <cell r="L7001">
            <v>0</v>
          </cell>
          <cell r="M7001">
            <v>0</v>
          </cell>
          <cell r="N7001">
            <v>0</v>
          </cell>
          <cell r="O7001">
            <v>0</v>
          </cell>
          <cell r="P7001">
            <v>0</v>
          </cell>
          <cell r="Q7001">
            <v>0</v>
          </cell>
          <cell r="R7001">
            <v>0</v>
          </cell>
          <cell r="S7001">
            <v>0</v>
          </cell>
          <cell r="T7001">
            <v>0</v>
          </cell>
          <cell r="U7001">
            <v>0</v>
          </cell>
          <cell r="V7001">
            <v>0</v>
          </cell>
          <cell r="W7001">
            <v>0</v>
          </cell>
          <cell r="X7001">
            <v>0</v>
          </cell>
          <cell r="Y7001">
            <v>0</v>
          </cell>
        </row>
        <row r="7002">
          <cell r="D7002">
            <v>500569</v>
          </cell>
          <cell r="E7002" t="str">
            <v>Gen. Emilio Aguinaldo Integrated School</v>
          </cell>
          <cell r="F7002">
            <v>1</v>
          </cell>
          <cell r="G7002">
            <v>0</v>
          </cell>
          <cell r="H7002">
            <v>0</v>
          </cell>
          <cell r="I7002">
            <v>0</v>
          </cell>
          <cell r="J7002">
            <v>0</v>
          </cell>
          <cell r="K7002">
            <v>0</v>
          </cell>
          <cell r="L7002">
            <v>0</v>
          </cell>
          <cell r="M7002">
            <v>0</v>
          </cell>
          <cell r="N7002">
            <v>0</v>
          </cell>
          <cell r="O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0</v>
          </cell>
          <cell r="T7002">
            <v>0</v>
          </cell>
          <cell r="U7002">
            <v>0</v>
          </cell>
          <cell r="V7002">
            <v>0</v>
          </cell>
          <cell r="W7002">
            <v>0</v>
          </cell>
          <cell r="X7002">
            <v>0</v>
          </cell>
          <cell r="Y7002">
            <v>0</v>
          </cell>
        </row>
        <row r="7003">
          <cell r="D7003">
            <v>305339</v>
          </cell>
          <cell r="E7003" t="str">
            <v>North Fairview HS</v>
          </cell>
          <cell r="F7003">
            <v>1</v>
          </cell>
          <cell r="G7003">
            <v>0</v>
          </cell>
          <cell r="H7003">
            <v>0</v>
          </cell>
          <cell r="I7003">
            <v>0</v>
          </cell>
          <cell r="J7003">
            <v>0</v>
          </cell>
          <cell r="K7003">
            <v>0</v>
          </cell>
          <cell r="L7003">
            <v>0</v>
          </cell>
          <cell r="M7003">
            <v>0</v>
          </cell>
          <cell r="N7003">
            <v>0</v>
          </cell>
          <cell r="O7003">
            <v>0</v>
          </cell>
          <cell r="P7003">
            <v>0</v>
          </cell>
          <cell r="Q7003">
            <v>0</v>
          </cell>
          <cell r="R7003">
            <v>0</v>
          </cell>
          <cell r="S7003">
            <v>0</v>
          </cell>
          <cell r="T7003">
            <v>0</v>
          </cell>
          <cell r="U7003">
            <v>0</v>
          </cell>
          <cell r="V7003">
            <v>0</v>
          </cell>
          <cell r="W7003">
            <v>0</v>
          </cell>
          <cell r="X7003">
            <v>0</v>
          </cell>
          <cell r="Y7003">
            <v>0</v>
          </cell>
        </row>
        <row r="7004">
          <cell r="D7004">
            <v>305352</v>
          </cell>
          <cell r="E7004" t="str">
            <v>Juan Sumulong High School</v>
          </cell>
          <cell r="F7004">
            <v>1</v>
          </cell>
          <cell r="G7004">
            <v>1</v>
          </cell>
          <cell r="H7004">
            <v>1</v>
          </cell>
          <cell r="I7004">
            <v>0</v>
          </cell>
          <cell r="J7004">
            <v>1</v>
          </cell>
          <cell r="K7004">
            <v>0</v>
          </cell>
          <cell r="L7004">
            <v>0</v>
          </cell>
          <cell r="M7004">
            <v>0</v>
          </cell>
          <cell r="N7004">
            <v>1</v>
          </cell>
          <cell r="O7004" t="str">
            <v>9/14/2018</v>
          </cell>
          <cell r="P7004" t="str">
            <v>October 8, 2018</v>
          </cell>
          <cell r="Q7004">
            <v>0</v>
          </cell>
          <cell r="R7004">
            <v>0</v>
          </cell>
          <cell r="S7004">
            <v>0</v>
          </cell>
          <cell r="T7004">
            <v>1</v>
          </cell>
          <cell r="U7004" t="str">
            <v>As the need arises</v>
          </cell>
          <cell r="V7004">
            <v>1</v>
          </cell>
          <cell r="W7004">
            <v>0</v>
          </cell>
          <cell r="X7004">
            <v>0</v>
          </cell>
          <cell r="Y7004">
            <v>0</v>
          </cell>
        </row>
        <row r="7005">
          <cell r="D7005">
            <v>305326</v>
          </cell>
          <cell r="E7005" t="str">
            <v>Ernesto Rondon HS</v>
          </cell>
          <cell r="F7005">
            <v>0</v>
          </cell>
          <cell r="G7005">
            <v>0</v>
          </cell>
          <cell r="H7005">
            <v>1</v>
          </cell>
          <cell r="I7005">
            <v>0</v>
          </cell>
          <cell r="J7005">
            <v>0</v>
          </cell>
          <cell r="K7005">
            <v>0</v>
          </cell>
          <cell r="L7005">
            <v>0</v>
          </cell>
          <cell r="M7005">
            <v>0</v>
          </cell>
          <cell r="N7005">
            <v>0</v>
          </cell>
          <cell r="O7005">
            <v>0</v>
          </cell>
          <cell r="P7005">
            <v>0</v>
          </cell>
          <cell r="Q7005">
            <v>0</v>
          </cell>
          <cell r="R7005">
            <v>0</v>
          </cell>
          <cell r="S7005">
            <v>1</v>
          </cell>
          <cell r="T7005">
            <v>0</v>
          </cell>
          <cell r="U7005">
            <v>0</v>
          </cell>
          <cell r="V7005">
            <v>1</v>
          </cell>
          <cell r="W7005">
            <v>0</v>
          </cell>
          <cell r="X7005">
            <v>0</v>
          </cell>
          <cell r="Y7005">
            <v>0</v>
          </cell>
        </row>
        <row r="7006">
          <cell r="D7006">
            <v>330510</v>
          </cell>
          <cell r="E7006" t="str">
            <v>Philippine Science High School Main Campus - Metro Manila</v>
          </cell>
          <cell r="F7006">
            <v>0</v>
          </cell>
          <cell r="G7006">
            <v>0</v>
          </cell>
          <cell r="H7006">
            <v>0</v>
          </cell>
          <cell r="I7006">
            <v>0</v>
          </cell>
          <cell r="J7006">
            <v>0</v>
          </cell>
          <cell r="K7006">
            <v>0</v>
          </cell>
          <cell r="L7006">
            <v>0</v>
          </cell>
          <cell r="M7006">
            <v>0</v>
          </cell>
          <cell r="N7006">
            <v>0</v>
          </cell>
          <cell r="O7006">
            <v>0</v>
          </cell>
          <cell r="P7006">
            <v>0</v>
          </cell>
          <cell r="Q7006">
            <v>0</v>
          </cell>
          <cell r="R7006">
            <v>0</v>
          </cell>
          <cell r="S7006">
            <v>0</v>
          </cell>
          <cell r="T7006">
            <v>0</v>
          </cell>
          <cell r="U7006">
            <v>0</v>
          </cell>
          <cell r="V7006">
            <v>0</v>
          </cell>
          <cell r="W7006">
            <v>0</v>
          </cell>
          <cell r="X7006">
            <v>0</v>
          </cell>
          <cell r="Y7006">
            <v>0</v>
          </cell>
        </row>
        <row r="7007">
          <cell r="D7007">
            <v>305340</v>
          </cell>
          <cell r="E7007" t="str">
            <v>Novaliches HS</v>
          </cell>
          <cell r="F7007">
            <v>1</v>
          </cell>
          <cell r="G7007">
            <v>1</v>
          </cell>
          <cell r="H7007">
            <v>1</v>
          </cell>
          <cell r="I7007">
            <v>0</v>
          </cell>
          <cell r="J7007">
            <v>0</v>
          </cell>
          <cell r="K7007">
            <v>0</v>
          </cell>
          <cell r="L7007">
            <v>0</v>
          </cell>
          <cell r="M7007">
            <v>0</v>
          </cell>
          <cell r="N7007">
            <v>1</v>
          </cell>
          <cell r="O7007">
            <v>0</v>
          </cell>
          <cell r="P7007" t="str">
            <v>10/11/2019</v>
          </cell>
          <cell r="Q7007">
            <v>0</v>
          </cell>
          <cell r="R7007">
            <v>0</v>
          </cell>
          <cell r="S7007">
            <v>0</v>
          </cell>
          <cell r="T7007">
            <v>0</v>
          </cell>
          <cell r="U7007">
            <v>0</v>
          </cell>
          <cell r="V7007">
            <v>1</v>
          </cell>
          <cell r="W7007">
            <v>2</v>
          </cell>
          <cell r="X7007">
            <v>0</v>
          </cell>
          <cell r="Y7007">
            <v>0</v>
          </cell>
        </row>
        <row r="7008">
          <cell r="D7008">
            <v>360869</v>
          </cell>
          <cell r="E7008" t="str">
            <v>SHS within Bagong Pag-asa ES</v>
          </cell>
          <cell r="F7008">
            <v>1</v>
          </cell>
          <cell r="G7008">
            <v>0</v>
          </cell>
          <cell r="H7008">
            <v>1</v>
          </cell>
          <cell r="I7008">
            <v>0</v>
          </cell>
          <cell r="J7008">
            <v>0</v>
          </cell>
          <cell r="K7008">
            <v>1</v>
          </cell>
          <cell r="L7008">
            <v>0</v>
          </cell>
          <cell r="M7008">
            <v>0</v>
          </cell>
          <cell r="N7008">
            <v>0</v>
          </cell>
          <cell r="O7008">
            <v>0</v>
          </cell>
          <cell r="P7008">
            <v>0</v>
          </cell>
          <cell r="Q7008">
            <v>0</v>
          </cell>
          <cell r="R7008">
            <v>0</v>
          </cell>
          <cell r="S7008">
            <v>1</v>
          </cell>
          <cell r="T7008">
            <v>0</v>
          </cell>
          <cell r="U7008">
            <v>0</v>
          </cell>
          <cell r="V7008">
            <v>1</v>
          </cell>
          <cell r="W7008">
            <v>0</v>
          </cell>
          <cell r="X7008">
            <v>0</v>
          </cell>
          <cell r="Y7008">
            <v>0</v>
          </cell>
        </row>
        <row r="7009">
          <cell r="D7009">
            <v>319506</v>
          </cell>
          <cell r="E7009" t="str">
            <v>National Orthopedic Hospital School for Crippled Children</v>
          </cell>
          <cell r="F7009">
            <v>0</v>
          </cell>
          <cell r="G7009">
            <v>0</v>
          </cell>
          <cell r="H7009">
            <v>1</v>
          </cell>
          <cell r="I7009">
            <v>0</v>
          </cell>
          <cell r="J7009">
            <v>0</v>
          </cell>
          <cell r="K7009">
            <v>0</v>
          </cell>
          <cell r="L7009">
            <v>1</v>
          </cell>
          <cell r="M7009" t="str">
            <v>as needed</v>
          </cell>
          <cell r="N7009">
            <v>0</v>
          </cell>
          <cell r="O7009">
            <v>0</v>
          </cell>
          <cell r="P7009">
            <v>0</v>
          </cell>
          <cell r="Q7009">
            <v>0</v>
          </cell>
          <cell r="R7009">
            <v>0</v>
          </cell>
          <cell r="S7009">
            <v>0</v>
          </cell>
          <cell r="T7009">
            <v>0</v>
          </cell>
          <cell r="U7009">
            <v>0</v>
          </cell>
          <cell r="V7009">
            <v>0</v>
          </cell>
          <cell r="W7009">
            <v>0</v>
          </cell>
          <cell r="X7009">
            <v>0</v>
          </cell>
          <cell r="Y7009">
            <v>0</v>
          </cell>
        </row>
        <row r="7010">
          <cell r="D7010">
            <v>305615</v>
          </cell>
          <cell r="E7010" t="str">
            <v>Justice Cecilia Muñoz Palma Senior High School</v>
          </cell>
          <cell r="F7010">
            <v>0</v>
          </cell>
          <cell r="G7010">
            <v>0</v>
          </cell>
          <cell r="H7010">
            <v>0</v>
          </cell>
          <cell r="I7010">
            <v>0</v>
          </cell>
          <cell r="J7010">
            <v>0</v>
          </cell>
          <cell r="K7010">
            <v>0</v>
          </cell>
          <cell r="L7010">
            <v>0</v>
          </cell>
          <cell r="M7010">
            <v>0</v>
          </cell>
          <cell r="N7010">
            <v>0</v>
          </cell>
          <cell r="O7010">
            <v>0</v>
          </cell>
          <cell r="P7010">
            <v>0</v>
          </cell>
          <cell r="Q7010">
            <v>0</v>
          </cell>
          <cell r="R7010">
            <v>0</v>
          </cell>
          <cell r="S7010">
            <v>0</v>
          </cell>
          <cell r="T7010">
            <v>0</v>
          </cell>
          <cell r="U7010">
            <v>0</v>
          </cell>
          <cell r="V7010">
            <v>0</v>
          </cell>
          <cell r="W7010">
            <v>0</v>
          </cell>
          <cell r="X7010">
            <v>0</v>
          </cell>
          <cell r="Y7010">
            <v>0</v>
          </cell>
        </row>
        <row r="7011">
          <cell r="D7011">
            <v>305346</v>
          </cell>
          <cell r="E7011" t="str">
            <v>Camp Gen. E. Aguinaldo HS</v>
          </cell>
          <cell r="F7011">
            <v>1</v>
          </cell>
          <cell r="G7011">
            <v>1</v>
          </cell>
          <cell r="H7011">
            <v>1</v>
          </cell>
          <cell r="I7011">
            <v>0</v>
          </cell>
          <cell r="J7011">
            <v>1</v>
          </cell>
          <cell r="K7011">
            <v>0</v>
          </cell>
          <cell r="L7011">
            <v>0</v>
          </cell>
          <cell r="M7011">
            <v>0</v>
          </cell>
          <cell r="N7011">
            <v>1</v>
          </cell>
          <cell r="O7011">
            <v>43647</v>
          </cell>
          <cell r="P7011">
            <v>43800</v>
          </cell>
          <cell r="Q7011">
            <v>1</v>
          </cell>
          <cell r="R7011">
            <v>0</v>
          </cell>
          <cell r="S7011">
            <v>0</v>
          </cell>
          <cell r="T7011">
            <v>0</v>
          </cell>
          <cell r="U7011">
            <v>0</v>
          </cell>
          <cell r="V7011">
            <v>1</v>
          </cell>
          <cell r="W7011">
            <v>4</v>
          </cell>
          <cell r="X7011">
            <v>0</v>
          </cell>
          <cell r="Y7011">
            <v>0</v>
          </cell>
        </row>
        <row r="7012">
          <cell r="D7012">
            <v>305748</v>
          </cell>
          <cell r="E7012" t="str">
            <v>Antonio Uy Tan Senior High School</v>
          </cell>
          <cell r="F7012">
            <v>0</v>
          </cell>
          <cell r="G7012">
            <v>0</v>
          </cell>
          <cell r="H7012">
            <v>0</v>
          </cell>
          <cell r="I7012">
            <v>0</v>
          </cell>
          <cell r="J7012">
            <v>0</v>
          </cell>
          <cell r="K7012">
            <v>0</v>
          </cell>
          <cell r="L7012">
            <v>0</v>
          </cell>
          <cell r="M7012">
            <v>0</v>
          </cell>
          <cell r="N7012">
            <v>0</v>
          </cell>
          <cell r="O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>
            <v>0</v>
          </cell>
          <cell r="V7012">
            <v>0</v>
          </cell>
          <cell r="W7012">
            <v>0</v>
          </cell>
          <cell r="X7012">
            <v>0</v>
          </cell>
          <cell r="Y7012">
            <v>0</v>
          </cell>
        </row>
        <row r="7013">
          <cell r="D7013">
            <v>305360</v>
          </cell>
          <cell r="E7013" t="str">
            <v>Don Alejandro Roces, Sr. Sci. &amp; Tech. HS</v>
          </cell>
          <cell r="F7013">
            <v>1</v>
          </cell>
          <cell r="G7013">
            <v>1</v>
          </cell>
          <cell r="H7013">
            <v>0</v>
          </cell>
          <cell r="I7013">
            <v>0</v>
          </cell>
          <cell r="J7013">
            <v>1</v>
          </cell>
          <cell r="K7013">
            <v>0</v>
          </cell>
          <cell r="L7013">
            <v>0</v>
          </cell>
          <cell r="M7013">
            <v>0</v>
          </cell>
          <cell r="N7013">
            <v>0</v>
          </cell>
          <cell r="O7013">
            <v>0</v>
          </cell>
          <cell r="P7013">
            <v>0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>
            <v>0</v>
          </cell>
          <cell r="V7013">
            <v>0</v>
          </cell>
          <cell r="W7013">
            <v>0</v>
          </cell>
          <cell r="X7013">
            <v>0</v>
          </cell>
          <cell r="Y7013">
            <v>0</v>
          </cell>
        </row>
        <row r="7014">
          <cell r="D7014">
            <v>305350</v>
          </cell>
          <cell r="E7014" t="str">
            <v>Quirino HS</v>
          </cell>
          <cell r="F7014">
            <v>0</v>
          </cell>
          <cell r="G7014">
            <v>0</v>
          </cell>
          <cell r="H7014">
            <v>0</v>
          </cell>
          <cell r="I7014">
            <v>0</v>
          </cell>
          <cell r="J7014">
            <v>0</v>
          </cell>
          <cell r="K7014">
            <v>0</v>
          </cell>
          <cell r="L7014">
            <v>0</v>
          </cell>
          <cell r="M7014">
            <v>0</v>
          </cell>
          <cell r="N7014">
            <v>0</v>
          </cell>
          <cell r="O7014">
            <v>0</v>
          </cell>
          <cell r="P7014">
            <v>0</v>
          </cell>
          <cell r="Q7014">
            <v>0</v>
          </cell>
          <cell r="R7014">
            <v>0</v>
          </cell>
          <cell r="S7014">
            <v>0</v>
          </cell>
          <cell r="T7014">
            <v>0</v>
          </cell>
          <cell r="U7014">
            <v>0</v>
          </cell>
          <cell r="V7014">
            <v>0</v>
          </cell>
          <cell r="W7014">
            <v>0</v>
          </cell>
          <cell r="X7014">
            <v>0</v>
          </cell>
          <cell r="Y70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ECB4-E5F5-4AD2-A407-9E3B1FE484A6}">
  <dimension ref="A1:AG61"/>
  <sheetViews>
    <sheetView zoomScale="85" zoomScaleNormal="85" workbookViewId="0">
      <pane xSplit="4" ySplit="7" topLeftCell="E44" activePane="bottomRight" state="frozen"/>
      <selection activeCell="B31" sqref="B31"/>
      <selection pane="topRight" activeCell="B31" sqref="B31"/>
      <selection pane="bottomLeft" activeCell="B31" sqref="B31"/>
      <selection pane="bottomRight" activeCell="B62" sqref="A62:XFD231"/>
    </sheetView>
  </sheetViews>
  <sheetFormatPr defaultRowHeight="15" x14ac:dyDescent="0.25"/>
  <cols>
    <col min="2" max="2" width="27.140625" bestFit="1" customWidth="1"/>
    <col min="13" max="14" width="26.28515625" customWidth="1"/>
    <col min="15" max="15" width="18.28515625" customWidth="1"/>
    <col min="16" max="22" width="15" customWidth="1"/>
    <col min="23" max="23" width="26.28515625" customWidth="1"/>
    <col min="24" max="28" width="15" customWidth="1"/>
    <col min="29" max="29" width="24.28515625" customWidth="1"/>
    <col min="30" max="30" width="26.28515625" customWidth="1"/>
    <col min="31" max="32" width="40" customWidth="1"/>
  </cols>
  <sheetData>
    <row r="1" spans="1:33" x14ac:dyDescent="0.25">
      <c r="A1" s="1" t="s">
        <v>0</v>
      </c>
    </row>
    <row r="2" spans="1:33" x14ac:dyDescent="0.25">
      <c r="A2" s="1" t="s">
        <v>1</v>
      </c>
      <c r="L2" s="2"/>
    </row>
    <row r="3" spans="1:33" x14ac:dyDescent="0.25">
      <c r="A3" s="1" t="s">
        <v>2</v>
      </c>
      <c r="L3" s="2"/>
    </row>
    <row r="4" spans="1:33" ht="14.45" customHeight="1" x14ac:dyDescent="0.25">
      <c r="A4" s="1"/>
      <c r="L4" s="2"/>
    </row>
    <row r="5" spans="1:33" x14ac:dyDescent="0.25">
      <c r="A5" s="1"/>
      <c r="L5" s="2"/>
      <c r="M5" s="3" t="s">
        <v>3</v>
      </c>
      <c r="N5" s="3"/>
      <c r="O5" s="4" t="s">
        <v>4</v>
      </c>
      <c r="P5" s="3" t="s">
        <v>5</v>
      </c>
      <c r="Q5" s="3"/>
      <c r="R5" s="3"/>
      <c r="S5" s="3"/>
      <c r="T5" s="3"/>
      <c r="U5" s="4" t="s">
        <v>6</v>
      </c>
      <c r="V5" s="4" t="s">
        <v>7</v>
      </c>
      <c r="W5" s="4" t="s">
        <v>8</v>
      </c>
      <c r="X5" s="3" t="s">
        <v>9</v>
      </c>
      <c r="Y5" s="3"/>
      <c r="Z5" s="3"/>
      <c r="AA5" s="3"/>
      <c r="AB5" s="3"/>
      <c r="AC5" s="4" t="s">
        <v>10</v>
      </c>
      <c r="AD5" s="3" t="s">
        <v>11</v>
      </c>
      <c r="AE5" s="3"/>
      <c r="AF5" s="3"/>
    </row>
    <row r="6" spans="1:33" ht="105" x14ac:dyDescent="0.25">
      <c r="M6" s="5" t="s">
        <v>12</v>
      </c>
      <c r="N6" s="5" t="s">
        <v>13</v>
      </c>
      <c r="O6" s="4"/>
      <c r="P6" s="6" t="s">
        <v>14</v>
      </c>
      <c r="Q6" s="6" t="s">
        <v>15</v>
      </c>
      <c r="R6" s="6" t="s">
        <v>16</v>
      </c>
      <c r="S6" s="6" t="s">
        <v>17</v>
      </c>
      <c r="T6" s="6" t="s">
        <v>18</v>
      </c>
      <c r="U6" s="4"/>
      <c r="V6" s="4"/>
      <c r="W6" s="4"/>
      <c r="X6" s="6" t="s">
        <v>14</v>
      </c>
      <c r="Y6" s="6" t="s">
        <v>15</v>
      </c>
      <c r="Z6" s="6" t="s">
        <v>16</v>
      </c>
      <c r="AA6" s="6" t="s">
        <v>17</v>
      </c>
      <c r="AB6" s="6" t="s">
        <v>18</v>
      </c>
      <c r="AC6" s="4"/>
      <c r="AD6" s="5" t="s">
        <v>19</v>
      </c>
      <c r="AE6" s="5" t="s">
        <v>20</v>
      </c>
      <c r="AF6" s="5" t="s">
        <v>21</v>
      </c>
    </row>
    <row r="7" spans="1:33" x14ac:dyDescent="0.25">
      <c r="A7" s="7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30</v>
      </c>
      <c r="J7" s="7" t="s">
        <v>31</v>
      </c>
      <c r="K7" s="7" t="s">
        <v>32</v>
      </c>
      <c r="L7" s="8" t="s">
        <v>33</v>
      </c>
      <c r="M7" s="9" t="s">
        <v>34</v>
      </c>
      <c r="N7" s="9" t="s">
        <v>35</v>
      </c>
      <c r="O7" s="9" t="s">
        <v>36</v>
      </c>
      <c r="P7" s="9" t="s">
        <v>37</v>
      </c>
      <c r="Q7" s="9" t="s">
        <v>38</v>
      </c>
      <c r="R7" s="9" t="s">
        <v>39</v>
      </c>
      <c r="S7" s="9" t="s">
        <v>40</v>
      </c>
      <c r="T7" s="9" t="s">
        <v>41</v>
      </c>
      <c r="U7" s="9" t="s">
        <v>42</v>
      </c>
      <c r="V7" s="9" t="s">
        <v>43</v>
      </c>
      <c r="W7" s="9" t="s">
        <v>44</v>
      </c>
      <c r="X7" s="9" t="s">
        <v>45</v>
      </c>
      <c r="Y7" s="9" t="s">
        <v>46</v>
      </c>
      <c r="Z7" s="9" t="s">
        <v>47</v>
      </c>
      <c r="AA7" s="9" t="s">
        <v>48</v>
      </c>
      <c r="AB7" s="9" t="s">
        <v>49</v>
      </c>
      <c r="AC7" s="9" t="s">
        <v>50</v>
      </c>
      <c r="AD7" s="9" t="s">
        <v>51</v>
      </c>
      <c r="AE7" s="9" t="s">
        <v>52</v>
      </c>
      <c r="AF7" s="9" t="s">
        <v>53</v>
      </c>
      <c r="AG7" s="9" t="s">
        <v>54</v>
      </c>
    </row>
    <row r="8" spans="1:33" x14ac:dyDescent="0.25">
      <c r="A8" t="s">
        <v>55</v>
      </c>
      <c r="B8" t="s">
        <v>67</v>
      </c>
      <c r="C8" t="s">
        <v>68</v>
      </c>
      <c r="D8">
        <v>129374</v>
      </c>
      <c r="E8" t="s">
        <v>69</v>
      </c>
      <c r="F8" t="s">
        <v>70</v>
      </c>
      <c r="G8" t="s">
        <v>71</v>
      </c>
      <c r="H8" t="s">
        <v>72</v>
      </c>
      <c r="I8" t="s">
        <v>56</v>
      </c>
      <c r="J8" t="s">
        <v>73</v>
      </c>
      <c r="K8" t="s">
        <v>57</v>
      </c>
      <c r="L8" s="10" t="s">
        <v>58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 t="s">
        <v>64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3" x14ac:dyDescent="0.25">
      <c r="A9" t="s">
        <v>55</v>
      </c>
      <c r="B9" t="s">
        <v>67</v>
      </c>
      <c r="C9" t="s">
        <v>68</v>
      </c>
      <c r="D9">
        <v>129375</v>
      </c>
      <c r="E9" t="s">
        <v>74</v>
      </c>
      <c r="F9" t="s">
        <v>75</v>
      </c>
      <c r="G9" t="s">
        <v>71</v>
      </c>
      <c r="H9" t="s">
        <v>72</v>
      </c>
      <c r="I9" t="s">
        <v>56</v>
      </c>
      <c r="J9" t="s">
        <v>73</v>
      </c>
      <c r="K9" t="s">
        <v>57</v>
      </c>
      <c r="L9" s="10" t="s">
        <v>58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 t="s">
        <v>66</v>
      </c>
      <c r="W9">
        <v>0</v>
      </c>
      <c r="X9">
        <v>0</v>
      </c>
      <c r="Y9">
        <v>0</v>
      </c>
      <c r="Z9">
        <v>0</v>
      </c>
      <c r="AA9">
        <v>0</v>
      </c>
      <c r="AB9" t="s">
        <v>66</v>
      </c>
      <c r="AC9" t="s">
        <v>66</v>
      </c>
      <c r="AD9">
        <v>0</v>
      </c>
      <c r="AE9">
        <v>0</v>
      </c>
      <c r="AF9">
        <v>0</v>
      </c>
    </row>
    <row r="10" spans="1:33" x14ac:dyDescent="0.25">
      <c r="A10" t="s">
        <v>55</v>
      </c>
      <c r="B10" t="s">
        <v>67</v>
      </c>
      <c r="C10" t="s">
        <v>68</v>
      </c>
      <c r="D10">
        <v>129376</v>
      </c>
      <c r="E10" t="s">
        <v>76</v>
      </c>
      <c r="F10" t="s">
        <v>77</v>
      </c>
      <c r="G10" t="s">
        <v>71</v>
      </c>
      <c r="H10" t="s">
        <v>72</v>
      </c>
      <c r="I10" t="s">
        <v>56</v>
      </c>
      <c r="J10" t="s">
        <v>78</v>
      </c>
      <c r="K10" t="s">
        <v>57</v>
      </c>
      <c r="L10" s="10" t="s">
        <v>58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3" x14ac:dyDescent="0.25">
      <c r="A11" t="s">
        <v>55</v>
      </c>
      <c r="B11" t="s">
        <v>67</v>
      </c>
      <c r="C11" t="s">
        <v>68</v>
      </c>
      <c r="D11">
        <v>129377</v>
      </c>
      <c r="E11" t="s">
        <v>79</v>
      </c>
      <c r="F11" t="s">
        <v>80</v>
      </c>
      <c r="G11" t="s">
        <v>71</v>
      </c>
      <c r="H11" t="s">
        <v>72</v>
      </c>
      <c r="I11" t="s">
        <v>56</v>
      </c>
      <c r="J11" t="s">
        <v>81</v>
      </c>
      <c r="K11" t="s">
        <v>57</v>
      </c>
      <c r="L11" s="10" t="s">
        <v>58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3" x14ac:dyDescent="0.25">
      <c r="A12" t="s">
        <v>55</v>
      </c>
      <c r="B12" t="s">
        <v>67</v>
      </c>
      <c r="C12" t="s">
        <v>68</v>
      </c>
      <c r="D12">
        <v>129380</v>
      </c>
      <c r="E12" t="s">
        <v>82</v>
      </c>
      <c r="F12" t="s">
        <v>83</v>
      </c>
      <c r="G12" t="s">
        <v>71</v>
      </c>
      <c r="H12" t="s">
        <v>72</v>
      </c>
      <c r="I12" t="s">
        <v>56</v>
      </c>
      <c r="J12" t="s">
        <v>78</v>
      </c>
      <c r="K12" t="s">
        <v>57</v>
      </c>
      <c r="L12" s="10" t="s">
        <v>58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3" x14ac:dyDescent="0.25">
      <c r="A13" t="s">
        <v>55</v>
      </c>
      <c r="B13" t="s">
        <v>67</v>
      </c>
      <c r="C13" t="s">
        <v>68</v>
      </c>
      <c r="D13">
        <v>129381</v>
      </c>
      <c r="E13" t="s">
        <v>84</v>
      </c>
      <c r="F13" t="s">
        <v>85</v>
      </c>
      <c r="G13" t="s">
        <v>71</v>
      </c>
      <c r="H13" t="s">
        <v>72</v>
      </c>
      <c r="I13" t="s">
        <v>56</v>
      </c>
      <c r="J13" t="s">
        <v>78</v>
      </c>
      <c r="K13" t="s">
        <v>57</v>
      </c>
      <c r="L13" s="10" t="s">
        <v>58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3" x14ac:dyDescent="0.25">
      <c r="A14" t="s">
        <v>55</v>
      </c>
      <c r="B14" t="s">
        <v>67</v>
      </c>
      <c r="C14" t="s">
        <v>68</v>
      </c>
      <c r="D14">
        <v>129382</v>
      </c>
      <c r="E14" t="s">
        <v>86</v>
      </c>
      <c r="F14" t="s">
        <v>87</v>
      </c>
      <c r="G14" t="s">
        <v>71</v>
      </c>
      <c r="H14" t="s">
        <v>72</v>
      </c>
      <c r="I14" t="s">
        <v>56</v>
      </c>
      <c r="J14" t="s">
        <v>78</v>
      </c>
      <c r="K14" t="s">
        <v>57</v>
      </c>
      <c r="L14" s="10" t="s">
        <v>58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3" x14ac:dyDescent="0.25">
      <c r="A15" t="s">
        <v>55</v>
      </c>
      <c r="B15" t="s">
        <v>67</v>
      </c>
      <c r="C15" t="s">
        <v>68</v>
      </c>
      <c r="D15">
        <v>129383</v>
      </c>
      <c r="E15" t="s">
        <v>88</v>
      </c>
      <c r="F15" t="s">
        <v>89</v>
      </c>
      <c r="G15" t="s">
        <v>71</v>
      </c>
      <c r="H15" t="s">
        <v>72</v>
      </c>
      <c r="I15" t="s">
        <v>56</v>
      </c>
      <c r="J15" t="s">
        <v>78</v>
      </c>
      <c r="K15" t="s">
        <v>57</v>
      </c>
      <c r="L15" s="10" t="s">
        <v>58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3" x14ac:dyDescent="0.25">
      <c r="A16" t="s">
        <v>55</v>
      </c>
      <c r="B16" t="s">
        <v>67</v>
      </c>
      <c r="C16" t="s">
        <v>68</v>
      </c>
      <c r="D16">
        <v>129384</v>
      </c>
      <c r="E16" t="s">
        <v>90</v>
      </c>
      <c r="F16" t="s">
        <v>91</v>
      </c>
      <c r="G16" t="s">
        <v>71</v>
      </c>
      <c r="H16" t="s">
        <v>72</v>
      </c>
      <c r="I16" t="s">
        <v>56</v>
      </c>
      <c r="J16" t="s">
        <v>78</v>
      </c>
      <c r="K16" t="s">
        <v>57</v>
      </c>
      <c r="L16" s="10" t="s">
        <v>58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55</v>
      </c>
      <c r="B17" t="s">
        <v>67</v>
      </c>
      <c r="C17" t="s">
        <v>68</v>
      </c>
      <c r="D17">
        <v>129385</v>
      </c>
      <c r="E17" t="s">
        <v>92</v>
      </c>
      <c r="F17" t="s">
        <v>93</v>
      </c>
      <c r="G17" t="s">
        <v>71</v>
      </c>
      <c r="H17" t="s">
        <v>72</v>
      </c>
      <c r="I17" t="s">
        <v>56</v>
      </c>
      <c r="J17" t="s">
        <v>73</v>
      </c>
      <c r="K17" t="s">
        <v>57</v>
      </c>
      <c r="L17" s="10" t="s">
        <v>58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55</v>
      </c>
      <c r="B18" t="s">
        <v>67</v>
      </c>
      <c r="C18" t="s">
        <v>68</v>
      </c>
      <c r="D18">
        <v>129386</v>
      </c>
      <c r="E18" t="s">
        <v>94</v>
      </c>
      <c r="F18" t="s">
        <v>95</v>
      </c>
      <c r="G18" t="s">
        <v>71</v>
      </c>
      <c r="H18" t="s">
        <v>72</v>
      </c>
      <c r="I18" t="s">
        <v>56</v>
      </c>
      <c r="J18" t="s">
        <v>81</v>
      </c>
      <c r="K18" t="s">
        <v>57</v>
      </c>
      <c r="L18" s="10" t="s">
        <v>58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55</v>
      </c>
      <c r="B19" t="s">
        <v>67</v>
      </c>
      <c r="C19" t="s">
        <v>68</v>
      </c>
      <c r="D19">
        <v>205504</v>
      </c>
      <c r="E19" t="s">
        <v>96</v>
      </c>
      <c r="F19" t="s">
        <v>85</v>
      </c>
      <c r="G19" t="s">
        <v>71</v>
      </c>
      <c r="H19" t="s">
        <v>72</v>
      </c>
      <c r="I19" t="s">
        <v>56</v>
      </c>
      <c r="J19" t="s">
        <v>78</v>
      </c>
      <c r="K19" t="s">
        <v>57</v>
      </c>
      <c r="L19" s="10" t="s">
        <v>58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55</v>
      </c>
      <c r="B20" t="s">
        <v>67</v>
      </c>
      <c r="C20" t="s">
        <v>68</v>
      </c>
      <c r="D20">
        <v>500454</v>
      </c>
      <c r="E20" t="s">
        <v>97</v>
      </c>
      <c r="F20" t="s">
        <v>98</v>
      </c>
      <c r="G20" t="s">
        <v>71</v>
      </c>
      <c r="H20" t="s">
        <v>72</v>
      </c>
      <c r="I20" t="s">
        <v>56</v>
      </c>
      <c r="J20" t="s">
        <v>81</v>
      </c>
      <c r="K20" t="s">
        <v>99</v>
      </c>
      <c r="L20" s="10" t="s">
        <v>100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 t="s">
        <v>101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 t="s">
        <v>101</v>
      </c>
      <c r="AD20">
        <v>0</v>
      </c>
      <c r="AE20">
        <v>0</v>
      </c>
      <c r="AF20">
        <v>0</v>
      </c>
    </row>
    <row r="21" spans="1:32" x14ac:dyDescent="0.25">
      <c r="A21" t="s">
        <v>55</v>
      </c>
      <c r="B21" t="s">
        <v>67</v>
      </c>
      <c r="C21" t="s">
        <v>68</v>
      </c>
      <c r="D21">
        <v>501424</v>
      </c>
      <c r="E21" t="s">
        <v>102</v>
      </c>
      <c r="F21" t="s">
        <v>103</v>
      </c>
      <c r="G21" t="s">
        <v>71</v>
      </c>
      <c r="H21" t="s">
        <v>72</v>
      </c>
      <c r="I21" t="s">
        <v>56</v>
      </c>
      <c r="J21" t="s">
        <v>104</v>
      </c>
      <c r="K21" t="s">
        <v>61</v>
      </c>
      <c r="L21" s="10" t="s">
        <v>62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 t="s">
        <v>66</v>
      </c>
      <c r="W21">
        <v>0</v>
      </c>
      <c r="X21">
        <v>0</v>
      </c>
      <c r="Y21">
        <v>0</v>
      </c>
      <c r="Z21">
        <v>0</v>
      </c>
      <c r="AA21">
        <v>1</v>
      </c>
      <c r="AB21" t="s">
        <v>66</v>
      </c>
      <c r="AC21" t="s">
        <v>66</v>
      </c>
      <c r="AD21">
        <v>0</v>
      </c>
      <c r="AE21">
        <v>0</v>
      </c>
      <c r="AF21">
        <v>0</v>
      </c>
    </row>
    <row r="22" spans="1:32" x14ac:dyDescent="0.25">
      <c r="A22" t="s">
        <v>55</v>
      </c>
      <c r="B22" t="s">
        <v>67</v>
      </c>
      <c r="C22" t="s">
        <v>105</v>
      </c>
      <c r="D22">
        <v>101813</v>
      </c>
      <c r="E22" t="s">
        <v>106</v>
      </c>
      <c r="F22" t="s">
        <v>107</v>
      </c>
      <c r="G22" t="s">
        <v>71</v>
      </c>
      <c r="H22" t="s">
        <v>72</v>
      </c>
      <c r="I22" t="s">
        <v>56</v>
      </c>
      <c r="J22" t="s">
        <v>108</v>
      </c>
      <c r="K22" t="s">
        <v>57</v>
      </c>
      <c r="L22" s="10" t="s">
        <v>58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 t="s">
        <v>109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 t="s">
        <v>109</v>
      </c>
      <c r="AD22">
        <v>2</v>
      </c>
      <c r="AE22">
        <v>0</v>
      </c>
      <c r="AF22">
        <v>0</v>
      </c>
    </row>
    <row r="23" spans="1:32" x14ac:dyDescent="0.25">
      <c r="A23" t="s">
        <v>55</v>
      </c>
      <c r="B23" t="s">
        <v>67</v>
      </c>
      <c r="C23" t="s">
        <v>105</v>
      </c>
      <c r="D23">
        <v>129387</v>
      </c>
      <c r="E23" t="s">
        <v>110</v>
      </c>
      <c r="F23" t="s">
        <v>111</v>
      </c>
      <c r="G23" t="s">
        <v>71</v>
      </c>
      <c r="H23" t="s">
        <v>72</v>
      </c>
      <c r="I23" t="s">
        <v>56</v>
      </c>
      <c r="J23" t="s">
        <v>112</v>
      </c>
      <c r="K23" t="s">
        <v>57</v>
      </c>
      <c r="L23" s="10" t="s">
        <v>58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55</v>
      </c>
      <c r="B24" t="s">
        <v>67</v>
      </c>
      <c r="C24" t="s">
        <v>105</v>
      </c>
      <c r="D24">
        <v>129388</v>
      </c>
      <c r="E24" t="s">
        <v>113</v>
      </c>
      <c r="F24" t="s">
        <v>114</v>
      </c>
      <c r="G24" t="s">
        <v>71</v>
      </c>
      <c r="H24" t="s">
        <v>72</v>
      </c>
      <c r="I24" t="s">
        <v>56</v>
      </c>
      <c r="J24" t="s">
        <v>115</v>
      </c>
      <c r="K24" t="s">
        <v>57</v>
      </c>
      <c r="L24" s="10" t="s">
        <v>58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55</v>
      </c>
      <c r="B25" t="s">
        <v>67</v>
      </c>
      <c r="C25" t="s">
        <v>105</v>
      </c>
      <c r="D25">
        <v>129389</v>
      </c>
      <c r="E25" t="s">
        <v>116</v>
      </c>
      <c r="F25" t="s">
        <v>117</v>
      </c>
      <c r="G25" t="s">
        <v>71</v>
      </c>
      <c r="H25" t="s">
        <v>72</v>
      </c>
      <c r="I25" t="s">
        <v>56</v>
      </c>
      <c r="J25" t="s">
        <v>118</v>
      </c>
      <c r="K25" t="s">
        <v>57</v>
      </c>
      <c r="L25" s="10" t="s">
        <v>58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55</v>
      </c>
      <c r="B26" t="s">
        <v>67</v>
      </c>
      <c r="C26" t="s">
        <v>105</v>
      </c>
      <c r="D26">
        <v>129390</v>
      </c>
      <c r="E26" t="s">
        <v>119</v>
      </c>
      <c r="F26" t="s">
        <v>120</v>
      </c>
      <c r="G26" t="s">
        <v>71</v>
      </c>
      <c r="H26" t="s">
        <v>72</v>
      </c>
      <c r="I26" t="s">
        <v>56</v>
      </c>
      <c r="J26" t="s">
        <v>112</v>
      </c>
      <c r="K26" t="s">
        <v>57</v>
      </c>
      <c r="L26" s="10" t="s">
        <v>58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55</v>
      </c>
      <c r="B27" t="s">
        <v>67</v>
      </c>
      <c r="C27" t="s">
        <v>105</v>
      </c>
      <c r="D27">
        <v>129391</v>
      </c>
      <c r="E27" t="s">
        <v>121</v>
      </c>
      <c r="F27" t="s">
        <v>122</v>
      </c>
      <c r="G27" t="s">
        <v>71</v>
      </c>
      <c r="H27" t="s">
        <v>72</v>
      </c>
      <c r="I27" t="s">
        <v>56</v>
      </c>
      <c r="J27" t="s">
        <v>123</v>
      </c>
      <c r="K27" t="s">
        <v>57</v>
      </c>
      <c r="L27" s="10" t="s">
        <v>58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55</v>
      </c>
      <c r="B28" t="s">
        <v>67</v>
      </c>
      <c r="C28" t="s">
        <v>105</v>
      </c>
      <c r="D28">
        <v>129392</v>
      </c>
      <c r="E28" t="s">
        <v>124</v>
      </c>
      <c r="F28" t="s">
        <v>125</v>
      </c>
      <c r="G28" t="s">
        <v>71</v>
      </c>
      <c r="H28" t="s">
        <v>72</v>
      </c>
      <c r="I28" t="s">
        <v>56</v>
      </c>
      <c r="J28" t="s">
        <v>126</v>
      </c>
      <c r="K28" t="s">
        <v>57</v>
      </c>
      <c r="L28" s="10" t="s">
        <v>58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55</v>
      </c>
      <c r="B29" t="s">
        <v>67</v>
      </c>
      <c r="C29" t="s">
        <v>105</v>
      </c>
      <c r="D29">
        <v>129393</v>
      </c>
      <c r="E29" t="s">
        <v>127</v>
      </c>
      <c r="F29" t="s">
        <v>128</v>
      </c>
      <c r="G29" t="s">
        <v>71</v>
      </c>
      <c r="H29" t="s">
        <v>72</v>
      </c>
      <c r="I29" t="s">
        <v>56</v>
      </c>
      <c r="J29" t="s">
        <v>129</v>
      </c>
      <c r="K29" t="s">
        <v>57</v>
      </c>
      <c r="L29" s="10" t="s">
        <v>58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1</v>
      </c>
      <c r="V29" t="s">
        <v>130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59</v>
      </c>
      <c r="AD29">
        <v>0</v>
      </c>
      <c r="AE29">
        <v>0</v>
      </c>
      <c r="AF29">
        <v>0</v>
      </c>
    </row>
    <row r="30" spans="1:32" x14ac:dyDescent="0.25">
      <c r="A30" t="s">
        <v>55</v>
      </c>
      <c r="B30" t="s">
        <v>67</v>
      </c>
      <c r="C30" t="s">
        <v>105</v>
      </c>
      <c r="D30">
        <v>129394</v>
      </c>
      <c r="E30" t="s">
        <v>131</v>
      </c>
      <c r="F30" t="s">
        <v>132</v>
      </c>
      <c r="G30" t="s">
        <v>71</v>
      </c>
      <c r="H30" t="s">
        <v>72</v>
      </c>
      <c r="I30" t="s">
        <v>56</v>
      </c>
      <c r="J30" t="s">
        <v>123</v>
      </c>
      <c r="K30" t="s">
        <v>57</v>
      </c>
      <c r="L30" s="10" t="s">
        <v>58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55</v>
      </c>
      <c r="B31" t="s">
        <v>67</v>
      </c>
      <c r="C31" t="s">
        <v>105</v>
      </c>
      <c r="D31">
        <v>129395</v>
      </c>
      <c r="E31" t="s">
        <v>133</v>
      </c>
      <c r="F31" t="s">
        <v>134</v>
      </c>
      <c r="G31" t="s">
        <v>71</v>
      </c>
      <c r="H31" t="s">
        <v>72</v>
      </c>
      <c r="I31" t="s">
        <v>56</v>
      </c>
      <c r="J31" t="s">
        <v>118</v>
      </c>
      <c r="K31" t="s">
        <v>57</v>
      </c>
      <c r="L31" s="10" t="s">
        <v>58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55</v>
      </c>
      <c r="B32" t="s">
        <v>67</v>
      </c>
      <c r="C32" t="s">
        <v>105</v>
      </c>
      <c r="D32">
        <v>129396</v>
      </c>
      <c r="E32" t="s">
        <v>135</v>
      </c>
      <c r="F32" t="s">
        <v>136</v>
      </c>
      <c r="G32" t="s">
        <v>71</v>
      </c>
      <c r="H32" t="s">
        <v>72</v>
      </c>
      <c r="I32" t="s">
        <v>56</v>
      </c>
      <c r="J32" t="s">
        <v>129</v>
      </c>
      <c r="K32" t="s">
        <v>57</v>
      </c>
      <c r="L32" s="10" t="s">
        <v>58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55</v>
      </c>
      <c r="B33" t="s">
        <v>67</v>
      </c>
      <c r="C33" t="s">
        <v>105</v>
      </c>
      <c r="D33">
        <v>129397</v>
      </c>
      <c r="E33" t="s">
        <v>137</v>
      </c>
      <c r="F33" t="s">
        <v>138</v>
      </c>
      <c r="G33" t="s">
        <v>71</v>
      </c>
      <c r="H33" t="s">
        <v>72</v>
      </c>
      <c r="I33" t="s">
        <v>56</v>
      </c>
      <c r="J33" t="s">
        <v>139</v>
      </c>
      <c r="K33" t="s">
        <v>57</v>
      </c>
      <c r="L33" s="10" t="s">
        <v>58</v>
      </c>
      <c r="M33">
        <v>1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55</v>
      </c>
      <c r="B34" t="s">
        <v>67</v>
      </c>
      <c r="C34" t="s">
        <v>105</v>
      </c>
      <c r="D34">
        <v>129398</v>
      </c>
      <c r="E34" t="s">
        <v>140</v>
      </c>
      <c r="F34" t="s">
        <v>141</v>
      </c>
      <c r="G34" t="s">
        <v>71</v>
      </c>
      <c r="H34" t="s">
        <v>72</v>
      </c>
      <c r="I34" t="s">
        <v>56</v>
      </c>
      <c r="J34" t="s">
        <v>142</v>
      </c>
      <c r="K34" t="s">
        <v>57</v>
      </c>
      <c r="L34" s="10" t="s">
        <v>58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63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63</v>
      </c>
      <c r="AD34">
        <v>0</v>
      </c>
      <c r="AE34">
        <v>0</v>
      </c>
      <c r="AF34">
        <v>0</v>
      </c>
    </row>
    <row r="35" spans="1:32" x14ac:dyDescent="0.25">
      <c r="A35" t="s">
        <v>55</v>
      </c>
      <c r="B35" t="s">
        <v>67</v>
      </c>
      <c r="C35" t="s">
        <v>105</v>
      </c>
      <c r="D35">
        <v>129399</v>
      </c>
      <c r="E35" t="s">
        <v>143</v>
      </c>
      <c r="F35" t="s">
        <v>144</v>
      </c>
      <c r="G35" t="s">
        <v>71</v>
      </c>
      <c r="H35" t="s">
        <v>72</v>
      </c>
      <c r="I35" t="s">
        <v>56</v>
      </c>
      <c r="J35" t="s">
        <v>145</v>
      </c>
      <c r="K35" t="s">
        <v>57</v>
      </c>
      <c r="L35" s="10" t="s">
        <v>58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55</v>
      </c>
      <c r="B36" t="s">
        <v>67</v>
      </c>
      <c r="C36" t="s">
        <v>105</v>
      </c>
      <c r="D36">
        <v>129400</v>
      </c>
      <c r="E36" t="s">
        <v>146</v>
      </c>
      <c r="F36" t="s">
        <v>147</v>
      </c>
      <c r="G36" t="s">
        <v>71</v>
      </c>
      <c r="H36" t="s">
        <v>72</v>
      </c>
      <c r="I36" t="s">
        <v>56</v>
      </c>
      <c r="J36" t="s">
        <v>142</v>
      </c>
      <c r="K36" t="s">
        <v>57</v>
      </c>
      <c r="L36" s="10" t="s">
        <v>58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 t="s">
        <v>148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 t="s">
        <v>148</v>
      </c>
      <c r="AD36">
        <v>0</v>
      </c>
      <c r="AE36">
        <v>0</v>
      </c>
      <c r="AF36">
        <v>0</v>
      </c>
    </row>
    <row r="37" spans="1:32" x14ac:dyDescent="0.25">
      <c r="A37" t="s">
        <v>55</v>
      </c>
      <c r="B37" t="s">
        <v>67</v>
      </c>
      <c r="C37" t="s">
        <v>105</v>
      </c>
      <c r="D37">
        <v>129401</v>
      </c>
      <c r="E37" t="s">
        <v>149</v>
      </c>
      <c r="F37" t="s">
        <v>150</v>
      </c>
      <c r="G37" t="s">
        <v>71</v>
      </c>
      <c r="H37" t="s">
        <v>72</v>
      </c>
      <c r="I37" t="s">
        <v>56</v>
      </c>
      <c r="J37" t="s">
        <v>115</v>
      </c>
      <c r="K37" t="s">
        <v>57</v>
      </c>
      <c r="L37" s="10" t="s">
        <v>58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55</v>
      </c>
      <c r="B38" t="s">
        <v>67</v>
      </c>
      <c r="C38" t="s">
        <v>105</v>
      </c>
      <c r="D38">
        <v>129402</v>
      </c>
      <c r="E38" t="s">
        <v>151</v>
      </c>
      <c r="F38" t="s">
        <v>152</v>
      </c>
      <c r="G38" t="s">
        <v>71</v>
      </c>
      <c r="H38" t="s">
        <v>72</v>
      </c>
      <c r="I38" t="s">
        <v>56</v>
      </c>
      <c r="J38" t="s">
        <v>129</v>
      </c>
      <c r="K38" t="s">
        <v>57</v>
      </c>
      <c r="L38" s="10" t="s">
        <v>58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55</v>
      </c>
      <c r="B39" t="s">
        <v>67</v>
      </c>
      <c r="C39" t="s">
        <v>105</v>
      </c>
      <c r="D39">
        <v>129403</v>
      </c>
      <c r="E39" t="s">
        <v>153</v>
      </c>
      <c r="F39" t="s">
        <v>154</v>
      </c>
      <c r="G39" t="s">
        <v>71</v>
      </c>
      <c r="H39" t="s">
        <v>72</v>
      </c>
      <c r="I39" t="s">
        <v>56</v>
      </c>
      <c r="J39" t="s">
        <v>108</v>
      </c>
      <c r="K39" t="s">
        <v>57</v>
      </c>
      <c r="L39" s="10" t="s">
        <v>58</v>
      </c>
      <c r="M39">
        <v>1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55</v>
      </c>
      <c r="B40" t="s">
        <v>67</v>
      </c>
      <c r="C40" t="s">
        <v>105</v>
      </c>
      <c r="D40">
        <v>129404</v>
      </c>
      <c r="E40" t="s">
        <v>155</v>
      </c>
      <c r="F40" t="s">
        <v>156</v>
      </c>
      <c r="G40" t="s">
        <v>71</v>
      </c>
      <c r="H40" t="s">
        <v>72</v>
      </c>
      <c r="I40" t="s">
        <v>56</v>
      </c>
      <c r="J40" t="s">
        <v>157</v>
      </c>
      <c r="K40" t="s">
        <v>57</v>
      </c>
      <c r="L40" s="10" t="s">
        <v>58</v>
      </c>
      <c r="M40">
        <v>1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55</v>
      </c>
      <c r="B41" t="s">
        <v>67</v>
      </c>
      <c r="C41" t="s">
        <v>105</v>
      </c>
      <c r="D41">
        <v>129405</v>
      </c>
      <c r="E41" t="s">
        <v>158</v>
      </c>
      <c r="F41" t="s">
        <v>159</v>
      </c>
      <c r="G41" t="s">
        <v>71</v>
      </c>
      <c r="H41" t="s">
        <v>72</v>
      </c>
      <c r="I41" t="s">
        <v>56</v>
      </c>
      <c r="J41" t="s">
        <v>160</v>
      </c>
      <c r="K41" t="s">
        <v>57</v>
      </c>
      <c r="L41" s="10" t="s">
        <v>58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 t="s">
        <v>161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 t="s">
        <v>161</v>
      </c>
      <c r="AD41">
        <v>0</v>
      </c>
      <c r="AE41">
        <v>0</v>
      </c>
      <c r="AF41">
        <v>0</v>
      </c>
    </row>
    <row r="42" spans="1:32" x14ac:dyDescent="0.25">
      <c r="A42" t="s">
        <v>55</v>
      </c>
      <c r="B42" t="s">
        <v>67</v>
      </c>
      <c r="C42" t="s">
        <v>105</v>
      </c>
      <c r="D42">
        <v>129406</v>
      </c>
      <c r="E42" t="s">
        <v>162</v>
      </c>
      <c r="F42" t="s">
        <v>163</v>
      </c>
      <c r="G42" t="s">
        <v>71</v>
      </c>
      <c r="H42" t="s">
        <v>72</v>
      </c>
      <c r="I42" t="s">
        <v>56</v>
      </c>
      <c r="J42" t="s">
        <v>126</v>
      </c>
      <c r="K42" t="s">
        <v>57</v>
      </c>
      <c r="L42" s="10" t="s">
        <v>58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1</v>
      </c>
      <c r="T42">
        <v>43631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43631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55</v>
      </c>
      <c r="B43" t="s">
        <v>67</v>
      </c>
      <c r="C43" t="s">
        <v>105</v>
      </c>
      <c r="D43">
        <v>129407</v>
      </c>
      <c r="E43" t="s">
        <v>164</v>
      </c>
      <c r="F43" t="s">
        <v>165</v>
      </c>
      <c r="G43" t="s">
        <v>71</v>
      </c>
      <c r="H43" t="s">
        <v>72</v>
      </c>
      <c r="I43" t="s">
        <v>56</v>
      </c>
      <c r="J43" t="s">
        <v>139</v>
      </c>
      <c r="K43" t="s">
        <v>57</v>
      </c>
      <c r="L43" s="10" t="s">
        <v>58</v>
      </c>
      <c r="M43">
        <v>1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 t="s">
        <v>166</v>
      </c>
      <c r="AD43">
        <v>1</v>
      </c>
      <c r="AE43">
        <v>0</v>
      </c>
      <c r="AF43">
        <v>0</v>
      </c>
    </row>
    <row r="44" spans="1:32" x14ac:dyDescent="0.25">
      <c r="A44" t="s">
        <v>55</v>
      </c>
      <c r="B44" t="s">
        <v>67</v>
      </c>
      <c r="C44" t="s">
        <v>105</v>
      </c>
      <c r="D44">
        <v>129408</v>
      </c>
      <c r="E44" t="s">
        <v>167</v>
      </c>
      <c r="F44" t="s">
        <v>168</v>
      </c>
      <c r="G44" t="s">
        <v>71</v>
      </c>
      <c r="H44" t="s">
        <v>72</v>
      </c>
      <c r="I44" t="s">
        <v>56</v>
      </c>
      <c r="J44" t="s">
        <v>142</v>
      </c>
      <c r="K44" t="s">
        <v>57</v>
      </c>
      <c r="L44" s="10" t="s">
        <v>58</v>
      </c>
      <c r="M44">
        <v>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55</v>
      </c>
      <c r="B45" t="s">
        <v>67</v>
      </c>
      <c r="C45" t="s">
        <v>105</v>
      </c>
      <c r="D45">
        <v>129409</v>
      </c>
      <c r="E45" t="s">
        <v>169</v>
      </c>
      <c r="F45" t="s">
        <v>170</v>
      </c>
      <c r="G45" t="s">
        <v>71</v>
      </c>
      <c r="H45" t="s">
        <v>72</v>
      </c>
      <c r="I45" t="s">
        <v>56</v>
      </c>
      <c r="J45" t="s">
        <v>171</v>
      </c>
      <c r="K45" t="s">
        <v>57</v>
      </c>
      <c r="L45" s="10" t="s">
        <v>58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55</v>
      </c>
      <c r="B46" t="s">
        <v>67</v>
      </c>
      <c r="C46" t="s">
        <v>105</v>
      </c>
      <c r="D46">
        <v>257001</v>
      </c>
      <c r="E46" t="s">
        <v>172</v>
      </c>
      <c r="F46" t="s">
        <v>173</v>
      </c>
      <c r="G46" t="s">
        <v>71</v>
      </c>
      <c r="H46" t="s">
        <v>72</v>
      </c>
      <c r="I46" t="s">
        <v>56</v>
      </c>
      <c r="J46" t="s">
        <v>118</v>
      </c>
      <c r="K46" t="s">
        <v>57</v>
      </c>
      <c r="L46" s="10" t="s">
        <v>58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55</v>
      </c>
      <c r="B47" t="s">
        <v>67</v>
      </c>
      <c r="C47" t="s">
        <v>174</v>
      </c>
      <c r="D47">
        <v>102157</v>
      </c>
      <c r="E47" t="s">
        <v>175</v>
      </c>
      <c r="F47" t="s">
        <v>176</v>
      </c>
      <c r="G47" t="s">
        <v>71</v>
      </c>
      <c r="H47" t="s">
        <v>72</v>
      </c>
      <c r="I47" t="s">
        <v>56</v>
      </c>
      <c r="J47" t="s">
        <v>177</v>
      </c>
      <c r="K47" t="s">
        <v>57</v>
      </c>
      <c r="L47" s="10" t="s">
        <v>58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55</v>
      </c>
      <c r="B48" t="s">
        <v>67</v>
      </c>
      <c r="C48" t="s">
        <v>174</v>
      </c>
      <c r="D48">
        <v>102164</v>
      </c>
      <c r="E48" t="s">
        <v>178</v>
      </c>
      <c r="F48" t="s">
        <v>179</v>
      </c>
      <c r="G48" t="s">
        <v>71</v>
      </c>
      <c r="H48" t="s">
        <v>72</v>
      </c>
      <c r="I48" t="s">
        <v>56</v>
      </c>
      <c r="J48" t="s">
        <v>180</v>
      </c>
      <c r="K48" t="s">
        <v>57</v>
      </c>
      <c r="L48" s="10" t="s">
        <v>58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 t="s">
        <v>181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55</v>
      </c>
      <c r="B49" t="s">
        <v>67</v>
      </c>
      <c r="C49" t="s">
        <v>174</v>
      </c>
      <c r="D49">
        <v>129410</v>
      </c>
      <c r="E49" t="s">
        <v>182</v>
      </c>
      <c r="F49" t="s">
        <v>183</v>
      </c>
      <c r="G49" t="s">
        <v>71</v>
      </c>
      <c r="H49" t="s">
        <v>72</v>
      </c>
      <c r="I49" t="s">
        <v>56</v>
      </c>
      <c r="J49" t="s">
        <v>184</v>
      </c>
      <c r="K49" t="s">
        <v>57</v>
      </c>
      <c r="L49" s="10" t="s">
        <v>58</v>
      </c>
      <c r="M49">
        <v>1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 t="s">
        <v>185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 t="s">
        <v>186</v>
      </c>
      <c r="AD49">
        <v>0</v>
      </c>
      <c r="AE49">
        <v>0</v>
      </c>
      <c r="AF49">
        <v>0</v>
      </c>
    </row>
    <row r="50" spans="1:32" x14ac:dyDescent="0.25">
      <c r="A50" t="s">
        <v>55</v>
      </c>
      <c r="B50" t="s">
        <v>67</v>
      </c>
      <c r="C50" t="s">
        <v>174</v>
      </c>
      <c r="D50">
        <v>129412</v>
      </c>
      <c r="E50" t="s">
        <v>187</v>
      </c>
      <c r="F50" t="s">
        <v>188</v>
      </c>
      <c r="G50" t="s">
        <v>71</v>
      </c>
      <c r="H50" t="s">
        <v>72</v>
      </c>
      <c r="I50" t="s">
        <v>56</v>
      </c>
      <c r="J50" t="s">
        <v>189</v>
      </c>
      <c r="K50" t="s">
        <v>57</v>
      </c>
      <c r="L50" s="10" t="s">
        <v>58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55</v>
      </c>
      <c r="B51" t="s">
        <v>67</v>
      </c>
      <c r="C51" t="s">
        <v>174</v>
      </c>
      <c r="D51">
        <v>129413</v>
      </c>
      <c r="E51" t="s">
        <v>190</v>
      </c>
      <c r="F51" t="s">
        <v>191</v>
      </c>
      <c r="G51" t="s">
        <v>71</v>
      </c>
      <c r="H51" t="s">
        <v>72</v>
      </c>
      <c r="I51" t="s">
        <v>56</v>
      </c>
      <c r="J51" t="s">
        <v>184</v>
      </c>
      <c r="K51" t="s">
        <v>57</v>
      </c>
      <c r="L51" s="10" t="s">
        <v>58</v>
      </c>
      <c r="M51">
        <v>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 t="s">
        <v>66</v>
      </c>
      <c r="AD51">
        <v>0</v>
      </c>
      <c r="AE51">
        <v>0</v>
      </c>
      <c r="AF51">
        <v>0</v>
      </c>
    </row>
    <row r="52" spans="1:32" x14ac:dyDescent="0.25">
      <c r="A52" t="s">
        <v>55</v>
      </c>
      <c r="B52" t="s">
        <v>67</v>
      </c>
      <c r="C52" t="s">
        <v>174</v>
      </c>
      <c r="D52">
        <v>129414</v>
      </c>
      <c r="E52" t="s">
        <v>192</v>
      </c>
      <c r="F52" t="s">
        <v>193</v>
      </c>
      <c r="G52" t="s">
        <v>71</v>
      </c>
      <c r="H52" t="s">
        <v>72</v>
      </c>
      <c r="I52" t="s">
        <v>56</v>
      </c>
      <c r="J52" t="s">
        <v>194</v>
      </c>
      <c r="K52" t="s">
        <v>57</v>
      </c>
      <c r="L52" s="10" t="s">
        <v>58</v>
      </c>
      <c r="M52">
        <v>1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195</v>
      </c>
      <c r="W52">
        <v>0</v>
      </c>
      <c r="X52">
        <v>0</v>
      </c>
      <c r="Y52">
        <v>0</v>
      </c>
      <c r="Z52">
        <v>0</v>
      </c>
      <c r="AA52">
        <v>1</v>
      </c>
      <c r="AB52" t="s">
        <v>195</v>
      </c>
      <c r="AC52" t="s">
        <v>195</v>
      </c>
      <c r="AD52">
        <v>0</v>
      </c>
      <c r="AE52">
        <v>0</v>
      </c>
      <c r="AF52">
        <v>0</v>
      </c>
    </row>
    <row r="53" spans="1:32" x14ac:dyDescent="0.25">
      <c r="A53" t="s">
        <v>55</v>
      </c>
      <c r="B53" t="s">
        <v>67</v>
      </c>
      <c r="C53" t="s">
        <v>174</v>
      </c>
      <c r="D53">
        <v>129417</v>
      </c>
      <c r="E53" t="s">
        <v>196</v>
      </c>
      <c r="F53" t="s">
        <v>197</v>
      </c>
      <c r="G53" t="s">
        <v>71</v>
      </c>
      <c r="H53" t="s">
        <v>72</v>
      </c>
      <c r="I53" t="s">
        <v>56</v>
      </c>
      <c r="J53" t="s">
        <v>177</v>
      </c>
      <c r="K53" t="s">
        <v>57</v>
      </c>
      <c r="L53" s="10" t="s">
        <v>58</v>
      </c>
      <c r="M53">
        <v>1</v>
      </c>
      <c r="N53">
        <v>0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 t="s">
        <v>198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 t="s">
        <v>198</v>
      </c>
      <c r="AD53">
        <v>1</v>
      </c>
      <c r="AE53">
        <v>0</v>
      </c>
      <c r="AF53">
        <v>0</v>
      </c>
    </row>
    <row r="54" spans="1:32" x14ac:dyDescent="0.25">
      <c r="A54" t="s">
        <v>55</v>
      </c>
      <c r="B54" t="s">
        <v>67</v>
      </c>
      <c r="C54" t="s">
        <v>174</v>
      </c>
      <c r="D54">
        <v>129418</v>
      </c>
      <c r="E54" t="s">
        <v>199</v>
      </c>
      <c r="F54" t="s">
        <v>200</v>
      </c>
      <c r="G54" t="s">
        <v>71</v>
      </c>
      <c r="H54" t="s">
        <v>72</v>
      </c>
      <c r="I54" t="s">
        <v>56</v>
      </c>
      <c r="J54" t="s">
        <v>177</v>
      </c>
      <c r="K54" t="s">
        <v>57</v>
      </c>
      <c r="L54" s="10" t="s">
        <v>58</v>
      </c>
      <c r="M54">
        <v>1</v>
      </c>
      <c r="N54">
        <v>1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55</v>
      </c>
      <c r="B55" t="s">
        <v>67</v>
      </c>
      <c r="C55" t="s">
        <v>174</v>
      </c>
      <c r="D55">
        <v>129419</v>
      </c>
      <c r="E55" t="s">
        <v>201</v>
      </c>
      <c r="F55" t="s">
        <v>202</v>
      </c>
      <c r="G55" t="s">
        <v>71</v>
      </c>
      <c r="H55" t="s">
        <v>72</v>
      </c>
      <c r="I55" t="s">
        <v>56</v>
      </c>
      <c r="J55" t="s">
        <v>203</v>
      </c>
      <c r="K55" t="s">
        <v>57</v>
      </c>
      <c r="L55" s="10" t="s">
        <v>58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 t="s">
        <v>204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 t="s">
        <v>204</v>
      </c>
      <c r="AD55">
        <v>2</v>
      </c>
      <c r="AE55">
        <v>0</v>
      </c>
      <c r="AF55">
        <v>2</v>
      </c>
    </row>
    <row r="56" spans="1:32" x14ac:dyDescent="0.25">
      <c r="A56" t="s">
        <v>55</v>
      </c>
      <c r="B56" t="s">
        <v>67</v>
      </c>
      <c r="C56" t="s">
        <v>174</v>
      </c>
      <c r="D56">
        <v>129420</v>
      </c>
      <c r="E56" t="s">
        <v>205</v>
      </c>
      <c r="F56" t="s">
        <v>206</v>
      </c>
      <c r="G56" t="s">
        <v>71</v>
      </c>
      <c r="H56" t="s">
        <v>72</v>
      </c>
      <c r="I56" t="s">
        <v>56</v>
      </c>
      <c r="J56" t="s">
        <v>206</v>
      </c>
      <c r="K56" t="s">
        <v>57</v>
      </c>
      <c r="L56" s="10" t="s">
        <v>58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55</v>
      </c>
      <c r="B57" t="s">
        <v>67</v>
      </c>
      <c r="C57" t="s">
        <v>174</v>
      </c>
      <c r="D57">
        <v>129421</v>
      </c>
      <c r="E57" t="s">
        <v>207</v>
      </c>
      <c r="F57" t="s">
        <v>208</v>
      </c>
      <c r="G57" t="s">
        <v>71</v>
      </c>
      <c r="H57" t="s">
        <v>72</v>
      </c>
      <c r="I57" t="s">
        <v>56</v>
      </c>
      <c r="J57" t="s">
        <v>184</v>
      </c>
      <c r="K57" t="s">
        <v>57</v>
      </c>
      <c r="L57" s="10" t="s">
        <v>58</v>
      </c>
      <c r="M57">
        <v>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209</v>
      </c>
      <c r="AD57">
        <v>0</v>
      </c>
      <c r="AE57">
        <v>0</v>
      </c>
      <c r="AF57">
        <v>0</v>
      </c>
    </row>
    <row r="58" spans="1:32" x14ac:dyDescent="0.25">
      <c r="A58" t="s">
        <v>55</v>
      </c>
      <c r="B58" t="s">
        <v>67</v>
      </c>
      <c r="C58" t="s">
        <v>174</v>
      </c>
      <c r="D58">
        <v>129422</v>
      </c>
      <c r="E58" t="s">
        <v>210</v>
      </c>
      <c r="F58" t="s">
        <v>211</v>
      </c>
      <c r="G58" t="s">
        <v>71</v>
      </c>
      <c r="H58" t="s">
        <v>72</v>
      </c>
      <c r="I58" t="s">
        <v>56</v>
      </c>
      <c r="J58" t="s">
        <v>177</v>
      </c>
      <c r="K58" t="s">
        <v>57</v>
      </c>
      <c r="L58" s="10" t="s">
        <v>58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 t="s">
        <v>212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 t="s">
        <v>213</v>
      </c>
      <c r="AD58">
        <v>0</v>
      </c>
      <c r="AE58">
        <v>0</v>
      </c>
      <c r="AF58">
        <v>0</v>
      </c>
    </row>
    <row r="59" spans="1:32" x14ac:dyDescent="0.25">
      <c r="A59" t="s">
        <v>55</v>
      </c>
      <c r="B59" t="s">
        <v>67</v>
      </c>
      <c r="C59" t="s">
        <v>174</v>
      </c>
      <c r="D59">
        <v>501085</v>
      </c>
      <c r="E59" t="s">
        <v>214</v>
      </c>
      <c r="F59" t="s">
        <v>215</v>
      </c>
      <c r="G59" t="s">
        <v>71</v>
      </c>
      <c r="H59" t="s">
        <v>72</v>
      </c>
      <c r="I59" t="s">
        <v>56</v>
      </c>
      <c r="J59" t="s">
        <v>216</v>
      </c>
      <c r="K59" t="s">
        <v>61</v>
      </c>
      <c r="L59" s="10" t="s">
        <v>62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55</v>
      </c>
      <c r="B60" t="s">
        <v>67</v>
      </c>
      <c r="C60" t="s">
        <v>174</v>
      </c>
      <c r="D60">
        <v>501086</v>
      </c>
      <c r="E60" t="s">
        <v>217</v>
      </c>
      <c r="F60" t="s">
        <v>218</v>
      </c>
      <c r="G60" t="s">
        <v>71</v>
      </c>
      <c r="H60" t="s">
        <v>72</v>
      </c>
      <c r="I60" t="s">
        <v>56</v>
      </c>
      <c r="J60" t="s">
        <v>219</v>
      </c>
      <c r="K60" t="s">
        <v>61</v>
      </c>
      <c r="L60" s="10" t="s">
        <v>62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55</v>
      </c>
      <c r="B61" t="s">
        <v>67</v>
      </c>
      <c r="C61" t="s">
        <v>174</v>
      </c>
      <c r="D61">
        <v>501087</v>
      </c>
      <c r="E61" t="s">
        <v>220</v>
      </c>
      <c r="F61" t="s">
        <v>221</v>
      </c>
      <c r="G61" t="s">
        <v>71</v>
      </c>
      <c r="H61" t="s">
        <v>72</v>
      </c>
      <c r="I61" t="s">
        <v>56</v>
      </c>
      <c r="J61" t="s">
        <v>180</v>
      </c>
      <c r="K61" t="s">
        <v>61</v>
      </c>
      <c r="L61" s="10" t="s">
        <v>62</v>
      </c>
      <c r="M61">
        <v>1</v>
      </c>
      <c r="N61">
        <v>1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autoFilter ref="A7:AG61" xr:uid="{00000000-0009-0000-0000-000000000000}"/>
  <mergeCells count="9">
    <mergeCell ref="X5:AB5"/>
    <mergeCell ref="AC5:AC6"/>
    <mergeCell ref="AD5:AF5"/>
    <mergeCell ref="M5:N5"/>
    <mergeCell ref="O5:O6"/>
    <mergeCell ref="P5:T5"/>
    <mergeCell ref="U5:U6"/>
    <mergeCell ref="V5:V6"/>
    <mergeCell ref="W5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088C-B337-44FD-8D50-C02B344A996E}">
  <dimension ref="A1:AG76"/>
  <sheetViews>
    <sheetView zoomScale="85" zoomScaleNormal="85" workbookViewId="0">
      <pane xSplit="4" ySplit="8" topLeftCell="E42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31" sqref="A31:XFD76"/>
    </sheetView>
  </sheetViews>
  <sheetFormatPr defaultRowHeight="15" x14ac:dyDescent="0.25"/>
  <cols>
    <col min="2" max="2" width="27.140625" bestFit="1" customWidth="1"/>
    <col min="13" max="15" width="20.85546875" customWidth="1"/>
    <col min="16" max="20" width="10.42578125" customWidth="1"/>
    <col min="21" max="23" width="19.5703125" customWidth="1"/>
    <col min="24" max="28" width="13.28515625" customWidth="1"/>
    <col min="29" max="30" width="20.85546875" customWidth="1"/>
    <col min="31" max="32" width="35.7109375" customWidth="1"/>
  </cols>
  <sheetData>
    <row r="1" spans="1:33" x14ac:dyDescent="0.25">
      <c r="A1" s="1" t="s">
        <v>307</v>
      </c>
    </row>
    <row r="2" spans="1:33" x14ac:dyDescent="0.25">
      <c r="A2" s="1" t="s">
        <v>1</v>
      </c>
      <c r="L2" s="2"/>
    </row>
    <row r="3" spans="1:33" x14ac:dyDescent="0.25">
      <c r="A3" s="1" t="s">
        <v>308</v>
      </c>
      <c r="L3" s="2"/>
    </row>
    <row r="5" spans="1:33" ht="14.45" customHeight="1" x14ac:dyDescent="0.25"/>
    <row r="6" spans="1:33" x14ac:dyDescent="0.25">
      <c r="M6" s="3" t="s">
        <v>3</v>
      </c>
      <c r="N6" s="3"/>
      <c r="O6" s="4" t="s">
        <v>4</v>
      </c>
      <c r="P6" s="3" t="s">
        <v>5</v>
      </c>
      <c r="Q6" s="3"/>
      <c r="R6" s="3"/>
      <c r="S6" s="3"/>
      <c r="T6" s="3"/>
      <c r="U6" s="4" t="s">
        <v>6</v>
      </c>
      <c r="V6" s="4" t="s">
        <v>7</v>
      </c>
      <c r="W6" s="4" t="s">
        <v>8</v>
      </c>
      <c r="X6" s="3" t="s">
        <v>9</v>
      </c>
      <c r="Y6" s="3"/>
      <c r="Z6" s="3"/>
      <c r="AA6" s="3"/>
      <c r="AB6" s="3"/>
      <c r="AC6" s="4" t="s">
        <v>10</v>
      </c>
      <c r="AD6" s="3" t="s">
        <v>11</v>
      </c>
      <c r="AE6" s="3"/>
      <c r="AF6" s="3"/>
    </row>
    <row r="7" spans="1:33" ht="120" customHeight="1" x14ac:dyDescent="0.25">
      <c r="M7" s="5" t="s">
        <v>12</v>
      </c>
      <c r="N7" s="5" t="s">
        <v>13</v>
      </c>
      <c r="O7" s="4"/>
      <c r="P7" s="6" t="s">
        <v>14</v>
      </c>
      <c r="Q7" s="6" t="s">
        <v>15</v>
      </c>
      <c r="R7" s="6" t="s">
        <v>16</v>
      </c>
      <c r="S7" s="6" t="s">
        <v>17</v>
      </c>
      <c r="T7" s="6" t="s">
        <v>18</v>
      </c>
      <c r="U7" s="4"/>
      <c r="V7" s="4"/>
      <c r="W7" s="4"/>
      <c r="X7" s="6" t="s">
        <v>14</v>
      </c>
      <c r="Y7" s="6" t="s">
        <v>15</v>
      </c>
      <c r="Z7" s="6" t="s">
        <v>16</v>
      </c>
      <c r="AA7" s="6" t="s">
        <v>17</v>
      </c>
      <c r="AB7" s="6" t="s">
        <v>18</v>
      </c>
      <c r="AC7" s="4"/>
      <c r="AD7" s="5" t="s">
        <v>19</v>
      </c>
      <c r="AE7" s="5" t="s">
        <v>20</v>
      </c>
      <c r="AF7" s="5" t="s">
        <v>21</v>
      </c>
    </row>
    <row r="8" spans="1:33" x14ac:dyDescent="0.25">
      <c r="A8" s="7" t="s">
        <v>22</v>
      </c>
      <c r="B8" s="7" t="s">
        <v>23</v>
      </c>
      <c r="C8" s="7" t="s">
        <v>24</v>
      </c>
      <c r="D8" s="7" t="s">
        <v>25</v>
      </c>
      <c r="E8" s="7" t="s">
        <v>26</v>
      </c>
      <c r="F8" s="7" t="s">
        <v>27</v>
      </c>
      <c r="G8" s="7" t="s">
        <v>28</v>
      </c>
      <c r="H8" s="7" t="s">
        <v>29</v>
      </c>
      <c r="I8" s="7" t="s">
        <v>30</v>
      </c>
      <c r="J8" s="7" t="s">
        <v>31</v>
      </c>
      <c r="K8" s="7" t="s">
        <v>32</v>
      </c>
      <c r="L8" s="8" t="s">
        <v>33</v>
      </c>
      <c r="M8" s="9" t="s">
        <v>34</v>
      </c>
      <c r="N8" s="9" t="s">
        <v>35</v>
      </c>
      <c r="O8" s="9" t="s">
        <v>36</v>
      </c>
      <c r="P8" s="9" t="s">
        <v>37</v>
      </c>
      <c r="Q8" s="9" t="s">
        <v>38</v>
      </c>
      <c r="R8" s="9" t="s">
        <v>39</v>
      </c>
      <c r="S8" s="9" t="s">
        <v>40</v>
      </c>
      <c r="T8" s="9" t="s">
        <v>41</v>
      </c>
      <c r="U8" s="9" t="s">
        <v>42</v>
      </c>
      <c r="V8" s="9" t="s">
        <v>43</v>
      </c>
      <c r="W8" s="9" t="s">
        <v>50</v>
      </c>
      <c r="X8" s="9" t="s">
        <v>45</v>
      </c>
      <c r="Y8" s="9" t="s">
        <v>46</v>
      </c>
      <c r="Z8" s="9" t="s">
        <v>47</v>
      </c>
      <c r="AA8" s="9" t="s">
        <v>48</v>
      </c>
      <c r="AB8" s="9" t="s">
        <v>49</v>
      </c>
      <c r="AC8" s="9" t="s">
        <v>44</v>
      </c>
      <c r="AD8" s="9" t="s">
        <v>51</v>
      </c>
      <c r="AE8" s="9" t="s">
        <v>52</v>
      </c>
      <c r="AF8" s="9" t="s">
        <v>53</v>
      </c>
      <c r="AG8" s="9" t="s">
        <v>54</v>
      </c>
    </row>
    <row r="9" spans="1:33" x14ac:dyDescent="0.25">
      <c r="A9" t="s">
        <v>55</v>
      </c>
      <c r="B9" t="s">
        <v>67</v>
      </c>
      <c r="C9" t="s">
        <v>68</v>
      </c>
      <c r="D9">
        <v>304325</v>
      </c>
      <c r="E9" t="s">
        <v>313</v>
      </c>
      <c r="F9" t="s">
        <v>314</v>
      </c>
      <c r="G9" t="s">
        <v>71</v>
      </c>
      <c r="H9" t="s">
        <v>72</v>
      </c>
      <c r="I9" t="s">
        <v>56</v>
      </c>
      <c r="J9" t="s">
        <v>81</v>
      </c>
      <c r="K9" t="s">
        <v>309</v>
      </c>
      <c r="L9" s="10" t="s">
        <v>310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 t="s">
        <v>315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2</v>
      </c>
      <c r="AF9">
        <v>2</v>
      </c>
    </row>
    <row r="10" spans="1:33" x14ac:dyDescent="0.25">
      <c r="A10" t="s">
        <v>55</v>
      </c>
      <c r="B10" t="s">
        <v>67</v>
      </c>
      <c r="C10" t="s">
        <v>68</v>
      </c>
      <c r="D10">
        <v>304326</v>
      </c>
      <c r="E10" t="s">
        <v>316</v>
      </c>
      <c r="F10" t="s">
        <v>317</v>
      </c>
      <c r="G10" t="s">
        <v>71</v>
      </c>
      <c r="H10" t="s">
        <v>72</v>
      </c>
      <c r="I10" t="s">
        <v>56</v>
      </c>
      <c r="J10" t="s">
        <v>81</v>
      </c>
      <c r="K10" t="s">
        <v>309</v>
      </c>
      <c r="L10" s="10" t="s">
        <v>310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3" x14ac:dyDescent="0.25">
      <c r="A11" t="s">
        <v>55</v>
      </c>
      <c r="B11" t="s">
        <v>67</v>
      </c>
      <c r="C11" t="s">
        <v>68</v>
      </c>
      <c r="D11">
        <v>305680</v>
      </c>
      <c r="E11" t="s">
        <v>318</v>
      </c>
      <c r="F11" t="s">
        <v>319</v>
      </c>
      <c r="G11" t="s">
        <v>71</v>
      </c>
      <c r="H11" t="s">
        <v>72</v>
      </c>
      <c r="I11" t="s">
        <v>56</v>
      </c>
      <c r="J11" t="s">
        <v>118</v>
      </c>
      <c r="K11" t="s">
        <v>311</v>
      </c>
      <c r="L11" s="10" t="s">
        <v>312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 t="s">
        <v>320</v>
      </c>
      <c r="W11" t="s">
        <v>321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</row>
    <row r="12" spans="1:33" x14ac:dyDescent="0.25">
      <c r="A12" t="s">
        <v>55</v>
      </c>
      <c r="B12" t="s">
        <v>67</v>
      </c>
      <c r="C12" t="s">
        <v>68</v>
      </c>
      <c r="D12">
        <v>325104</v>
      </c>
      <c r="E12" t="s">
        <v>322</v>
      </c>
      <c r="F12" t="s">
        <v>323</v>
      </c>
      <c r="G12" t="s">
        <v>71</v>
      </c>
      <c r="H12" t="s">
        <v>72</v>
      </c>
      <c r="I12" t="s">
        <v>56</v>
      </c>
      <c r="J12" t="s">
        <v>73</v>
      </c>
      <c r="K12" t="s">
        <v>309</v>
      </c>
      <c r="L12" s="10" t="s">
        <v>310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 t="s">
        <v>324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</row>
    <row r="13" spans="1:33" x14ac:dyDescent="0.25">
      <c r="A13" t="s">
        <v>55</v>
      </c>
      <c r="B13" t="s">
        <v>67</v>
      </c>
      <c r="C13" t="s">
        <v>68</v>
      </c>
      <c r="D13">
        <v>500454</v>
      </c>
      <c r="E13" t="s">
        <v>97</v>
      </c>
      <c r="F13" t="s">
        <v>98</v>
      </c>
      <c r="G13" t="s">
        <v>71</v>
      </c>
      <c r="H13" t="s">
        <v>72</v>
      </c>
      <c r="I13" t="s">
        <v>56</v>
      </c>
      <c r="J13" t="s">
        <v>81</v>
      </c>
      <c r="K13" t="s">
        <v>99</v>
      </c>
      <c r="L13" s="10" t="s">
        <v>100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 t="s">
        <v>101</v>
      </c>
      <c r="W13" t="s">
        <v>101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</row>
    <row r="14" spans="1:33" x14ac:dyDescent="0.25">
      <c r="A14" t="s">
        <v>55</v>
      </c>
      <c r="B14" t="s">
        <v>67</v>
      </c>
      <c r="C14" t="s">
        <v>68</v>
      </c>
      <c r="D14">
        <v>501424</v>
      </c>
      <c r="E14" t="s">
        <v>102</v>
      </c>
      <c r="F14" t="s">
        <v>103</v>
      </c>
      <c r="G14" t="s">
        <v>71</v>
      </c>
      <c r="H14" t="s">
        <v>72</v>
      </c>
      <c r="I14" t="s">
        <v>56</v>
      </c>
      <c r="J14" t="s">
        <v>104</v>
      </c>
      <c r="K14" t="s">
        <v>61</v>
      </c>
      <c r="L14" s="10" t="s">
        <v>62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66</v>
      </c>
      <c r="W14" t="s">
        <v>66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3" x14ac:dyDescent="0.25">
      <c r="A15" t="s">
        <v>55</v>
      </c>
      <c r="B15" t="s">
        <v>67</v>
      </c>
      <c r="C15" t="s">
        <v>105</v>
      </c>
      <c r="D15">
        <v>304303</v>
      </c>
      <c r="E15" t="s">
        <v>325</v>
      </c>
      <c r="F15" t="s">
        <v>326</v>
      </c>
      <c r="G15" t="s">
        <v>71</v>
      </c>
      <c r="H15" t="s">
        <v>72</v>
      </c>
      <c r="I15" t="s">
        <v>56</v>
      </c>
      <c r="J15" t="s">
        <v>112</v>
      </c>
      <c r="K15" t="s">
        <v>309</v>
      </c>
      <c r="L15" s="10" t="s">
        <v>310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43766</v>
      </c>
      <c r="W15" t="s">
        <v>63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3" x14ac:dyDescent="0.25">
      <c r="A16" t="s">
        <v>55</v>
      </c>
      <c r="B16" t="s">
        <v>67</v>
      </c>
      <c r="C16" t="s">
        <v>105</v>
      </c>
      <c r="D16">
        <v>304305</v>
      </c>
      <c r="E16" t="s">
        <v>327</v>
      </c>
      <c r="F16" t="s">
        <v>328</v>
      </c>
      <c r="G16" t="s">
        <v>71</v>
      </c>
      <c r="H16" t="s">
        <v>72</v>
      </c>
      <c r="I16" t="s">
        <v>56</v>
      </c>
      <c r="J16" t="s">
        <v>123</v>
      </c>
      <c r="K16" t="s">
        <v>309</v>
      </c>
      <c r="L16" s="10" t="s">
        <v>310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55</v>
      </c>
      <c r="B17" t="s">
        <v>67</v>
      </c>
      <c r="C17" t="s">
        <v>105</v>
      </c>
      <c r="D17">
        <v>304314</v>
      </c>
      <c r="E17" t="s">
        <v>329</v>
      </c>
      <c r="F17" t="s">
        <v>144</v>
      </c>
      <c r="G17" t="s">
        <v>71</v>
      </c>
      <c r="H17" t="s">
        <v>72</v>
      </c>
      <c r="I17" t="s">
        <v>56</v>
      </c>
      <c r="J17" t="s">
        <v>145</v>
      </c>
      <c r="K17" t="s">
        <v>309</v>
      </c>
      <c r="L17" s="10" t="s">
        <v>310</v>
      </c>
      <c r="M17">
        <v>1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55</v>
      </c>
      <c r="B18" t="s">
        <v>67</v>
      </c>
      <c r="C18" t="s">
        <v>105</v>
      </c>
      <c r="D18">
        <v>304327</v>
      </c>
      <c r="E18" t="s">
        <v>330</v>
      </c>
      <c r="F18" t="s">
        <v>331</v>
      </c>
      <c r="G18" t="s">
        <v>71</v>
      </c>
      <c r="H18" t="s">
        <v>72</v>
      </c>
      <c r="I18" t="s">
        <v>56</v>
      </c>
      <c r="J18" t="s">
        <v>142</v>
      </c>
      <c r="K18" t="s">
        <v>309</v>
      </c>
      <c r="L18" s="10" t="s">
        <v>310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43705</v>
      </c>
      <c r="W18">
        <v>43617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5</v>
      </c>
      <c r="AE18">
        <v>0</v>
      </c>
      <c r="AF18">
        <v>0</v>
      </c>
    </row>
    <row r="19" spans="1:32" x14ac:dyDescent="0.25">
      <c r="A19" t="s">
        <v>55</v>
      </c>
      <c r="B19" t="s">
        <v>67</v>
      </c>
      <c r="C19" t="s">
        <v>105</v>
      </c>
      <c r="D19">
        <v>304328</v>
      </c>
      <c r="E19" t="s">
        <v>332</v>
      </c>
      <c r="F19" t="s">
        <v>333</v>
      </c>
      <c r="G19" t="s">
        <v>71</v>
      </c>
      <c r="H19" t="s">
        <v>72</v>
      </c>
      <c r="I19" t="s">
        <v>56</v>
      </c>
      <c r="J19" t="s">
        <v>118</v>
      </c>
      <c r="K19" t="s">
        <v>309</v>
      </c>
      <c r="L19" s="10" t="s">
        <v>310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43631</v>
      </c>
      <c r="W19">
        <v>43586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</row>
    <row r="20" spans="1:32" x14ac:dyDescent="0.25">
      <c r="A20" t="s">
        <v>55</v>
      </c>
      <c r="B20" t="s">
        <v>67</v>
      </c>
      <c r="C20" t="s">
        <v>105</v>
      </c>
      <c r="D20">
        <v>304338</v>
      </c>
      <c r="E20" t="s">
        <v>334</v>
      </c>
      <c r="F20" t="s">
        <v>335</v>
      </c>
      <c r="G20" t="s">
        <v>71</v>
      </c>
      <c r="H20" t="s">
        <v>72</v>
      </c>
      <c r="I20" t="s">
        <v>56</v>
      </c>
      <c r="J20" t="s">
        <v>160</v>
      </c>
      <c r="K20" t="s">
        <v>309</v>
      </c>
      <c r="L20" s="10" t="s">
        <v>310</v>
      </c>
      <c r="M20">
        <v>1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55</v>
      </c>
      <c r="B21" t="s">
        <v>67</v>
      </c>
      <c r="C21" t="s">
        <v>105</v>
      </c>
      <c r="D21">
        <v>316104</v>
      </c>
      <c r="E21" t="s">
        <v>336</v>
      </c>
      <c r="F21" t="s">
        <v>284</v>
      </c>
      <c r="G21" t="s">
        <v>71</v>
      </c>
      <c r="H21" t="s">
        <v>72</v>
      </c>
      <c r="I21" t="s">
        <v>56</v>
      </c>
      <c r="J21" t="s">
        <v>129</v>
      </c>
      <c r="K21" t="s">
        <v>309</v>
      </c>
      <c r="L21" s="10" t="s">
        <v>310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55</v>
      </c>
      <c r="B22" t="s">
        <v>67</v>
      </c>
      <c r="C22" t="s">
        <v>105</v>
      </c>
      <c r="D22">
        <v>325101</v>
      </c>
      <c r="E22" t="s">
        <v>337</v>
      </c>
      <c r="F22" t="s">
        <v>338</v>
      </c>
      <c r="G22" t="s">
        <v>71</v>
      </c>
      <c r="H22" t="s">
        <v>72</v>
      </c>
      <c r="I22" t="s">
        <v>56</v>
      </c>
      <c r="J22" t="s">
        <v>118</v>
      </c>
      <c r="K22" t="s">
        <v>311</v>
      </c>
      <c r="L22" s="10" t="s">
        <v>312</v>
      </c>
      <c r="M22">
        <v>1</v>
      </c>
      <c r="N22">
        <v>1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2</v>
      </c>
      <c r="AE22">
        <v>0</v>
      </c>
      <c r="AF22">
        <v>0</v>
      </c>
    </row>
    <row r="23" spans="1:32" x14ac:dyDescent="0.25">
      <c r="A23" t="s">
        <v>55</v>
      </c>
      <c r="B23" t="s">
        <v>67</v>
      </c>
      <c r="C23" t="s">
        <v>105</v>
      </c>
      <c r="D23">
        <v>325102</v>
      </c>
      <c r="E23" t="s">
        <v>339</v>
      </c>
      <c r="F23" t="s">
        <v>340</v>
      </c>
      <c r="G23" t="s">
        <v>71</v>
      </c>
      <c r="H23" t="s">
        <v>72</v>
      </c>
      <c r="I23" t="s">
        <v>56</v>
      </c>
      <c r="J23" t="s">
        <v>115</v>
      </c>
      <c r="K23" t="s">
        <v>309</v>
      </c>
      <c r="L23" s="10" t="s">
        <v>310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55</v>
      </c>
      <c r="B24" t="s">
        <v>67</v>
      </c>
      <c r="C24" t="s">
        <v>105</v>
      </c>
      <c r="D24">
        <v>325106</v>
      </c>
      <c r="E24" t="s">
        <v>341</v>
      </c>
      <c r="F24" t="s">
        <v>202</v>
      </c>
      <c r="G24" t="s">
        <v>71</v>
      </c>
      <c r="H24" t="s">
        <v>72</v>
      </c>
      <c r="I24" t="s">
        <v>56</v>
      </c>
      <c r="J24" t="s">
        <v>171</v>
      </c>
      <c r="K24" t="s">
        <v>309</v>
      </c>
      <c r="L24" s="10" t="s">
        <v>310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43535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</row>
    <row r="25" spans="1:32" x14ac:dyDescent="0.25">
      <c r="A25" t="s">
        <v>55</v>
      </c>
      <c r="B25" t="s">
        <v>67</v>
      </c>
      <c r="C25" t="s">
        <v>174</v>
      </c>
      <c r="D25">
        <v>304313</v>
      </c>
      <c r="E25" t="s">
        <v>342</v>
      </c>
      <c r="F25" t="s">
        <v>343</v>
      </c>
      <c r="G25" t="s">
        <v>71</v>
      </c>
      <c r="H25" t="s">
        <v>72</v>
      </c>
      <c r="I25" t="s">
        <v>56</v>
      </c>
      <c r="J25" t="s">
        <v>184</v>
      </c>
      <c r="K25" t="s">
        <v>309</v>
      </c>
      <c r="L25" s="10" t="s">
        <v>310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 t="s">
        <v>344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55</v>
      </c>
      <c r="B26" t="s">
        <v>67</v>
      </c>
      <c r="C26" t="s">
        <v>174</v>
      </c>
      <c r="D26">
        <v>304318</v>
      </c>
      <c r="E26" t="s">
        <v>345</v>
      </c>
      <c r="F26" t="s">
        <v>346</v>
      </c>
      <c r="G26" t="s">
        <v>71</v>
      </c>
      <c r="H26" t="s">
        <v>72</v>
      </c>
      <c r="I26" t="s">
        <v>56</v>
      </c>
      <c r="J26" t="s">
        <v>194</v>
      </c>
      <c r="K26" t="s">
        <v>309</v>
      </c>
      <c r="L26" s="10" t="s">
        <v>310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 t="s">
        <v>347</v>
      </c>
      <c r="U26">
        <v>1</v>
      </c>
      <c r="V26">
        <v>43630</v>
      </c>
      <c r="W26">
        <v>43756</v>
      </c>
      <c r="X26">
        <v>0</v>
      </c>
      <c r="Y26">
        <v>0</v>
      </c>
      <c r="Z26">
        <v>0</v>
      </c>
      <c r="AA26">
        <v>1</v>
      </c>
      <c r="AB26" t="s">
        <v>347</v>
      </c>
      <c r="AC26">
        <v>1</v>
      </c>
      <c r="AD26">
        <v>0</v>
      </c>
      <c r="AE26">
        <v>0</v>
      </c>
      <c r="AF26">
        <v>0</v>
      </c>
    </row>
    <row r="27" spans="1:32" x14ac:dyDescent="0.25">
      <c r="A27" t="s">
        <v>55</v>
      </c>
      <c r="B27" t="s">
        <v>67</v>
      </c>
      <c r="C27" t="s">
        <v>174</v>
      </c>
      <c r="D27">
        <v>325105</v>
      </c>
      <c r="E27" t="s">
        <v>348</v>
      </c>
      <c r="F27" t="s">
        <v>197</v>
      </c>
      <c r="G27" t="s">
        <v>71</v>
      </c>
      <c r="H27" t="s">
        <v>72</v>
      </c>
      <c r="I27" t="s">
        <v>56</v>
      </c>
      <c r="J27" t="s">
        <v>177</v>
      </c>
      <c r="K27" t="s">
        <v>309</v>
      </c>
      <c r="L27" s="10" t="s">
        <v>310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55</v>
      </c>
      <c r="B28" t="s">
        <v>67</v>
      </c>
      <c r="C28" t="s">
        <v>174</v>
      </c>
      <c r="D28">
        <v>501085</v>
      </c>
      <c r="E28" t="s">
        <v>214</v>
      </c>
      <c r="F28" t="s">
        <v>215</v>
      </c>
      <c r="G28" t="s">
        <v>71</v>
      </c>
      <c r="H28" t="s">
        <v>72</v>
      </c>
      <c r="I28" t="s">
        <v>56</v>
      </c>
      <c r="J28" t="s">
        <v>216</v>
      </c>
      <c r="K28" t="s">
        <v>61</v>
      </c>
      <c r="L28" s="10" t="s">
        <v>62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55</v>
      </c>
      <c r="B29" t="s">
        <v>67</v>
      </c>
      <c r="C29" t="s">
        <v>174</v>
      </c>
      <c r="D29">
        <v>501086</v>
      </c>
      <c r="E29" t="s">
        <v>217</v>
      </c>
      <c r="F29" t="s">
        <v>218</v>
      </c>
      <c r="G29" t="s">
        <v>71</v>
      </c>
      <c r="H29" t="s">
        <v>72</v>
      </c>
      <c r="I29" t="s">
        <v>56</v>
      </c>
      <c r="J29" t="s">
        <v>219</v>
      </c>
      <c r="K29" t="s">
        <v>61</v>
      </c>
      <c r="L29" s="10" t="s">
        <v>62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55</v>
      </c>
      <c r="B30" t="s">
        <v>67</v>
      </c>
      <c r="C30" t="s">
        <v>174</v>
      </c>
      <c r="D30">
        <v>501087</v>
      </c>
      <c r="E30" t="s">
        <v>220</v>
      </c>
      <c r="F30" t="s">
        <v>221</v>
      </c>
      <c r="G30" t="s">
        <v>71</v>
      </c>
      <c r="H30" t="s">
        <v>72</v>
      </c>
      <c r="I30" t="s">
        <v>56</v>
      </c>
      <c r="J30" t="s">
        <v>180</v>
      </c>
      <c r="K30" t="s">
        <v>61</v>
      </c>
      <c r="L30" s="10" t="s">
        <v>62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55</v>
      </c>
      <c r="B31" t="s">
        <v>222</v>
      </c>
      <c r="C31" t="s">
        <v>223</v>
      </c>
      <c r="D31">
        <v>304272</v>
      </c>
      <c r="E31" t="s">
        <v>349</v>
      </c>
      <c r="F31" t="s">
        <v>350</v>
      </c>
      <c r="G31" t="s">
        <v>224</v>
      </c>
      <c r="H31" t="s">
        <v>225</v>
      </c>
      <c r="I31" t="s">
        <v>226</v>
      </c>
      <c r="J31" t="s">
        <v>229</v>
      </c>
      <c r="K31" t="s">
        <v>309</v>
      </c>
      <c r="L31" s="10" t="s">
        <v>310</v>
      </c>
      <c r="M31">
        <v>1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43646</v>
      </c>
      <c r="W31">
        <v>43708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3</v>
      </c>
      <c r="AE31">
        <v>0</v>
      </c>
      <c r="AF31">
        <v>0</v>
      </c>
    </row>
    <row r="32" spans="1:32" x14ac:dyDescent="0.25">
      <c r="A32" t="s">
        <v>55</v>
      </c>
      <c r="B32" t="s">
        <v>222</v>
      </c>
      <c r="C32" t="s">
        <v>223</v>
      </c>
      <c r="D32">
        <v>304291</v>
      </c>
      <c r="E32" t="s">
        <v>351</v>
      </c>
      <c r="F32" t="s">
        <v>352</v>
      </c>
      <c r="G32" t="s">
        <v>224</v>
      </c>
      <c r="H32" t="s">
        <v>225</v>
      </c>
      <c r="I32" t="s">
        <v>226</v>
      </c>
      <c r="J32" t="s">
        <v>232</v>
      </c>
      <c r="K32" t="s">
        <v>309</v>
      </c>
      <c r="L32" s="10" t="s">
        <v>310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 t="s">
        <v>353</v>
      </c>
      <c r="W32" t="s">
        <v>235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2</v>
      </c>
      <c r="AE32">
        <v>2</v>
      </c>
      <c r="AF32">
        <v>2</v>
      </c>
    </row>
    <row r="33" spans="1:32" x14ac:dyDescent="0.25">
      <c r="A33" t="s">
        <v>55</v>
      </c>
      <c r="B33" t="s">
        <v>222</v>
      </c>
      <c r="C33" t="s">
        <v>223</v>
      </c>
      <c r="D33">
        <v>304292</v>
      </c>
      <c r="E33" t="s">
        <v>354</v>
      </c>
      <c r="F33" t="s">
        <v>355</v>
      </c>
      <c r="G33" t="s">
        <v>224</v>
      </c>
      <c r="H33" t="s">
        <v>225</v>
      </c>
      <c r="I33" t="s">
        <v>226</v>
      </c>
      <c r="J33" t="s">
        <v>237</v>
      </c>
      <c r="K33" t="s">
        <v>309</v>
      </c>
      <c r="L33" s="10" t="s">
        <v>310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 t="s">
        <v>356</v>
      </c>
      <c r="W33" t="s">
        <v>356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</row>
    <row r="34" spans="1:32" x14ac:dyDescent="0.25">
      <c r="A34" t="s">
        <v>55</v>
      </c>
      <c r="B34" t="s">
        <v>222</v>
      </c>
      <c r="C34" t="s">
        <v>223</v>
      </c>
      <c r="D34">
        <v>305511</v>
      </c>
      <c r="E34" t="s">
        <v>357</v>
      </c>
      <c r="F34" t="s">
        <v>358</v>
      </c>
      <c r="G34" t="s">
        <v>224</v>
      </c>
      <c r="H34" t="s">
        <v>225</v>
      </c>
      <c r="I34" t="s">
        <v>231</v>
      </c>
      <c r="J34" t="s">
        <v>227</v>
      </c>
      <c r="K34" t="s">
        <v>311</v>
      </c>
      <c r="L34" s="10" t="s">
        <v>312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55</v>
      </c>
      <c r="B35" t="s">
        <v>222</v>
      </c>
      <c r="C35" t="s">
        <v>223</v>
      </c>
      <c r="D35">
        <v>305675</v>
      </c>
      <c r="E35" t="s">
        <v>359</v>
      </c>
      <c r="F35" t="s">
        <v>360</v>
      </c>
      <c r="G35" t="s">
        <v>224</v>
      </c>
      <c r="H35" t="s">
        <v>225</v>
      </c>
      <c r="I35" t="s">
        <v>56</v>
      </c>
      <c r="J35" t="s">
        <v>228</v>
      </c>
      <c r="K35" t="s">
        <v>311</v>
      </c>
      <c r="L35" s="10" t="s">
        <v>312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59</v>
      </c>
      <c r="W35" t="s">
        <v>59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55</v>
      </c>
      <c r="B36" t="s">
        <v>222</v>
      </c>
      <c r="C36" t="s">
        <v>223</v>
      </c>
      <c r="D36">
        <v>305678</v>
      </c>
      <c r="E36" t="s">
        <v>361</v>
      </c>
      <c r="F36" t="s">
        <v>362</v>
      </c>
      <c r="G36" t="s">
        <v>224</v>
      </c>
      <c r="H36" t="s">
        <v>225</v>
      </c>
      <c r="I36" t="s">
        <v>231</v>
      </c>
      <c r="J36" t="s">
        <v>233</v>
      </c>
      <c r="K36" t="s">
        <v>311</v>
      </c>
      <c r="L36" s="10" t="s">
        <v>312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 t="s">
        <v>363</v>
      </c>
      <c r="W36" t="s">
        <v>364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</row>
    <row r="37" spans="1:32" x14ac:dyDescent="0.25">
      <c r="A37" t="s">
        <v>55</v>
      </c>
      <c r="B37" t="s">
        <v>222</v>
      </c>
      <c r="C37" t="s">
        <v>223</v>
      </c>
      <c r="D37">
        <v>305679</v>
      </c>
      <c r="E37" t="s">
        <v>365</v>
      </c>
      <c r="F37" t="s">
        <v>366</v>
      </c>
      <c r="G37" t="s">
        <v>224</v>
      </c>
      <c r="H37" t="s">
        <v>225</v>
      </c>
      <c r="I37" t="s">
        <v>231</v>
      </c>
      <c r="J37" t="s">
        <v>234</v>
      </c>
      <c r="K37" t="s">
        <v>311</v>
      </c>
      <c r="L37" s="10" t="s">
        <v>312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55</v>
      </c>
      <c r="B38" t="s">
        <v>222</v>
      </c>
      <c r="C38" t="s">
        <v>223</v>
      </c>
      <c r="D38">
        <v>316012</v>
      </c>
      <c r="E38" t="s">
        <v>367</v>
      </c>
      <c r="F38" t="s">
        <v>368</v>
      </c>
      <c r="G38" t="s">
        <v>224</v>
      </c>
      <c r="H38" t="s">
        <v>225</v>
      </c>
      <c r="I38" t="s">
        <v>231</v>
      </c>
      <c r="J38" t="s">
        <v>230</v>
      </c>
      <c r="K38" t="s">
        <v>309</v>
      </c>
      <c r="L38" s="10" t="s">
        <v>310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1</v>
      </c>
      <c r="V38" t="s">
        <v>369</v>
      </c>
      <c r="W38" t="s">
        <v>66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2</v>
      </c>
      <c r="AF38">
        <v>2</v>
      </c>
    </row>
    <row r="39" spans="1:32" x14ac:dyDescent="0.25">
      <c r="A39" t="s">
        <v>55</v>
      </c>
      <c r="B39" t="s">
        <v>222</v>
      </c>
      <c r="C39" t="s">
        <v>238</v>
      </c>
      <c r="D39">
        <v>304264</v>
      </c>
      <c r="E39" t="s">
        <v>370</v>
      </c>
      <c r="F39" t="s">
        <v>371</v>
      </c>
      <c r="G39" t="s">
        <v>224</v>
      </c>
      <c r="H39" t="s">
        <v>239</v>
      </c>
      <c r="I39" t="s">
        <v>226</v>
      </c>
      <c r="J39" t="s">
        <v>253</v>
      </c>
      <c r="K39" t="s">
        <v>309</v>
      </c>
      <c r="L39" s="10" t="s">
        <v>310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55</v>
      </c>
      <c r="B40" t="s">
        <v>222</v>
      </c>
      <c r="C40" t="s">
        <v>238</v>
      </c>
      <c r="D40">
        <v>304273</v>
      </c>
      <c r="E40" t="s">
        <v>372</v>
      </c>
      <c r="F40" t="s">
        <v>373</v>
      </c>
      <c r="G40" t="s">
        <v>224</v>
      </c>
      <c r="H40" t="s">
        <v>239</v>
      </c>
      <c r="I40" t="s">
        <v>226</v>
      </c>
      <c r="J40" t="s">
        <v>254</v>
      </c>
      <c r="K40" t="s">
        <v>309</v>
      </c>
      <c r="L40" s="10" t="s">
        <v>310</v>
      </c>
      <c r="M40">
        <v>1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 t="s">
        <v>374</v>
      </c>
      <c r="W40" t="s">
        <v>375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</row>
    <row r="41" spans="1:32" x14ac:dyDescent="0.25">
      <c r="A41" t="s">
        <v>55</v>
      </c>
      <c r="B41" t="s">
        <v>222</v>
      </c>
      <c r="C41" t="s">
        <v>238</v>
      </c>
      <c r="D41">
        <v>304281</v>
      </c>
      <c r="E41" t="s">
        <v>376</v>
      </c>
      <c r="F41" t="s">
        <v>377</v>
      </c>
      <c r="G41" t="s">
        <v>224</v>
      </c>
      <c r="H41" t="s">
        <v>239</v>
      </c>
      <c r="I41" t="s">
        <v>226</v>
      </c>
      <c r="J41" t="s">
        <v>241</v>
      </c>
      <c r="K41" t="s">
        <v>309</v>
      </c>
      <c r="L41" s="10" t="s">
        <v>310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 t="s">
        <v>378</v>
      </c>
      <c r="W41" t="s">
        <v>378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3</v>
      </c>
      <c r="AE41">
        <v>3</v>
      </c>
      <c r="AF41">
        <v>3</v>
      </c>
    </row>
    <row r="42" spans="1:32" x14ac:dyDescent="0.25">
      <c r="A42" t="s">
        <v>55</v>
      </c>
      <c r="B42" t="s">
        <v>222</v>
      </c>
      <c r="C42" t="s">
        <v>238</v>
      </c>
      <c r="D42">
        <v>304283</v>
      </c>
      <c r="E42" t="s">
        <v>379</v>
      </c>
      <c r="F42" t="s">
        <v>136</v>
      </c>
      <c r="G42" t="s">
        <v>224</v>
      </c>
      <c r="H42" t="s">
        <v>239</v>
      </c>
      <c r="I42" t="s">
        <v>226</v>
      </c>
      <c r="J42" t="s">
        <v>251</v>
      </c>
      <c r="K42" t="s">
        <v>309</v>
      </c>
      <c r="L42" s="10" t="s">
        <v>310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 t="s">
        <v>380</v>
      </c>
      <c r="W42" t="s">
        <v>63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</row>
    <row r="43" spans="1:32" x14ac:dyDescent="0.25">
      <c r="A43" t="s">
        <v>55</v>
      </c>
      <c r="B43" t="s">
        <v>222</v>
      </c>
      <c r="C43" t="s">
        <v>238</v>
      </c>
      <c r="D43">
        <v>305513</v>
      </c>
      <c r="E43" t="s">
        <v>381</v>
      </c>
      <c r="F43" t="s">
        <v>382</v>
      </c>
      <c r="G43" t="s">
        <v>224</v>
      </c>
      <c r="H43" t="s">
        <v>239</v>
      </c>
      <c r="I43" t="s">
        <v>231</v>
      </c>
      <c r="J43" t="s">
        <v>242</v>
      </c>
      <c r="K43" t="s">
        <v>311</v>
      </c>
      <c r="L43" s="10" t="s">
        <v>312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 t="s">
        <v>383</v>
      </c>
      <c r="W43" t="s">
        <v>383</v>
      </c>
      <c r="X43">
        <v>0</v>
      </c>
      <c r="Y43">
        <v>0</v>
      </c>
      <c r="Z43">
        <v>1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</row>
    <row r="44" spans="1:32" x14ac:dyDescent="0.25">
      <c r="A44" t="s">
        <v>55</v>
      </c>
      <c r="B44" t="s">
        <v>222</v>
      </c>
      <c r="C44" t="s">
        <v>238</v>
      </c>
      <c r="D44">
        <v>305670</v>
      </c>
      <c r="E44" t="s">
        <v>384</v>
      </c>
      <c r="F44" t="s">
        <v>385</v>
      </c>
      <c r="G44" t="s">
        <v>224</v>
      </c>
      <c r="H44" t="s">
        <v>239</v>
      </c>
      <c r="I44" t="s">
        <v>231</v>
      </c>
      <c r="J44" t="s">
        <v>243</v>
      </c>
      <c r="K44" t="s">
        <v>311</v>
      </c>
      <c r="L44" s="10" t="s">
        <v>312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 t="s">
        <v>59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55</v>
      </c>
      <c r="B45" t="s">
        <v>222</v>
      </c>
      <c r="C45" t="s">
        <v>238</v>
      </c>
      <c r="D45">
        <v>316008</v>
      </c>
      <c r="E45" t="s">
        <v>386</v>
      </c>
      <c r="F45" t="s">
        <v>236</v>
      </c>
      <c r="G45" t="s">
        <v>224</v>
      </c>
      <c r="H45" t="s">
        <v>239</v>
      </c>
      <c r="I45" t="s">
        <v>231</v>
      </c>
      <c r="J45" t="s">
        <v>252</v>
      </c>
      <c r="K45" t="s">
        <v>309</v>
      </c>
      <c r="L45" s="10" t="s">
        <v>310</v>
      </c>
      <c r="M45">
        <v>1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 t="s">
        <v>387</v>
      </c>
      <c r="W45" t="s">
        <v>388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20</v>
      </c>
      <c r="AE45">
        <v>20</v>
      </c>
      <c r="AF45">
        <v>20</v>
      </c>
    </row>
    <row r="46" spans="1:32" x14ac:dyDescent="0.25">
      <c r="A46" t="s">
        <v>55</v>
      </c>
      <c r="B46" t="s">
        <v>222</v>
      </c>
      <c r="C46" t="s">
        <v>240</v>
      </c>
      <c r="D46">
        <v>501415</v>
      </c>
      <c r="E46" t="s">
        <v>244</v>
      </c>
      <c r="F46" t="s">
        <v>245</v>
      </c>
      <c r="G46" t="s">
        <v>224</v>
      </c>
      <c r="H46" t="s">
        <v>239</v>
      </c>
      <c r="I46" t="s">
        <v>231</v>
      </c>
      <c r="J46" t="s">
        <v>246</v>
      </c>
      <c r="K46" t="s">
        <v>61</v>
      </c>
      <c r="L46" s="10" t="s">
        <v>62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66</v>
      </c>
      <c r="W46" t="s">
        <v>66</v>
      </c>
      <c r="X46">
        <v>0</v>
      </c>
      <c r="Y46">
        <v>0</v>
      </c>
      <c r="Z46">
        <v>0</v>
      </c>
      <c r="AA46">
        <v>1</v>
      </c>
      <c r="AB46" t="s">
        <v>66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55</v>
      </c>
      <c r="B47" t="s">
        <v>222</v>
      </c>
      <c r="C47" t="s">
        <v>240</v>
      </c>
      <c r="D47">
        <v>501416</v>
      </c>
      <c r="E47" t="s">
        <v>247</v>
      </c>
      <c r="F47" t="s">
        <v>248</v>
      </c>
      <c r="G47" t="s">
        <v>224</v>
      </c>
      <c r="H47" t="s">
        <v>239</v>
      </c>
      <c r="I47" t="s">
        <v>231</v>
      </c>
      <c r="J47" t="s">
        <v>249</v>
      </c>
      <c r="K47" t="s">
        <v>61</v>
      </c>
      <c r="L47" s="10" t="s">
        <v>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55</v>
      </c>
      <c r="B48" t="s">
        <v>222</v>
      </c>
      <c r="C48" t="s">
        <v>250</v>
      </c>
      <c r="D48">
        <v>501413</v>
      </c>
      <c r="E48" t="s">
        <v>256</v>
      </c>
      <c r="F48" t="s">
        <v>257</v>
      </c>
      <c r="G48" t="s">
        <v>224</v>
      </c>
      <c r="H48" t="s">
        <v>239</v>
      </c>
      <c r="I48" t="s">
        <v>231</v>
      </c>
      <c r="J48" t="s">
        <v>251</v>
      </c>
      <c r="K48" t="s">
        <v>61</v>
      </c>
      <c r="L48" s="10" t="s">
        <v>62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55</v>
      </c>
      <c r="B49" t="s">
        <v>222</v>
      </c>
      <c r="C49" t="s">
        <v>250</v>
      </c>
      <c r="D49">
        <v>501414</v>
      </c>
      <c r="E49" t="s">
        <v>258</v>
      </c>
      <c r="F49" t="s">
        <v>259</v>
      </c>
      <c r="G49" t="s">
        <v>224</v>
      </c>
      <c r="H49" t="s">
        <v>239</v>
      </c>
      <c r="I49" t="s">
        <v>231</v>
      </c>
      <c r="J49" t="s">
        <v>260</v>
      </c>
      <c r="K49" t="s">
        <v>61</v>
      </c>
      <c r="L49" s="10" t="s">
        <v>62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 t="s">
        <v>63</v>
      </c>
      <c r="U49">
        <v>0</v>
      </c>
      <c r="V49" t="s">
        <v>63</v>
      </c>
      <c r="W49" t="s">
        <v>63</v>
      </c>
      <c r="X49">
        <v>0</v>
      </c>
      <c r="Y49">
        <v>0</v>
      </c>
      <c r="Z49">
        <v>0</v>
      </c>
      <c r="AA49">
        <v>1</v>
      </c>
      <c r="AB49" t="s">
        <v>63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55</v>
      </c>
      <c r="B50" t="s">
        <v>222</v>
      </c>
      <c r="C50" t="s">
        <v>250</v>
      </c>
      <c r="D50">
        <v>501417</v>
      </c>
      <c r="E50" t="s">
        <v>261</v>
      </c>
      <c r="F50" t="s">
        <v>262</v>
      </c>
      <c r="G50" t="s">
        <v>224</v>
      </c>
      <c r="H50" t="s">
        <v>239</v>
      </c>
      <c r="I50" t="s">
        <v>231</v>
      </c>
      <c r="J50" t="s">
        <v>263</v>
      </c>
      <c r="K50" t="s">
        <v>61</v>
      </c>
      <c r="L50" s="10" t="s">
        <v>62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55</v>
      </c>
      <c r="B51" t="s">
        <v>222</v>
      </c>
      <c r="C51" t="s">
        <v>264</v>
      </c>
      <c r="D51">
        <v>302772</v>
      </c>
      <c r="E51" t="s">
        <v>389</v>
      </c>
      <c r="F51" t="s">
        <v>390</v>
      </c>
      <c r="G51" t="s">
        <v>224</v>
      </c>
      <c r="H51" t="s">
        <v>265</v>
      </c>
      <c r="I51" t="s">
        <v>226</v>
      </c>
      <c r="J51" t="s">
        <v>293</v>
      </c>
      <c r="K51" t="s">
        <v>309</v>
      </c>
      <c r="L51" s="10" t="s">
        <v>310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 t="s">
        <v>65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</row>
    <row r="52" spans="1:32" x14ac:dyDescent="0.25">
      <c r="A52" t="s">
        <v>55</v>
      </c>
      <c r="B52" t="s">
        <v>222</v>
      </c>
      <c r="C52" t="s">
        <v>264</v>
      </c>
      <c r="D52">
        <v>304267</v>
      </c>
      <c r="E52" t="s">
        <v>391</v>
      </c>
      <c r="F52" t="s">
        <v>392</v>
      </c>
      <c r="G52" t="s">
        <v>224</v>
      </c>
      <c r="H52" t="s">
        <v>265</v>
      </c>
      <c r="I52" t="s">
        <v>226</v>
      </c>
      <c r="J52" t="s">
        <v>277</v>
      </c>
      <c r="K52" t="s">
        <v>309</v>
      </c>
      <c r="L52" s="10" t="s">
        <v>310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43640</v>
      </c>
      <c r="W52">
        <v>43640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3</v>
      </c>
      <c r="AE52">
        <v>2</v>
      </c>
      <c r="AF52">
        <v>2</v>
      </c>
    </row>
    <row r="53" spans="1:32" x14ac:dyDescent="0.25">
      <c r="A53" t="s">
        <v>55</v>
      </c>
      <c r="B53" t="s">
        <v>222</v>
      </c>
      <c r="C53" t="s">
        <v>264</v>
      </c>
      <c r="D53">
        <v>304268</v>
      </c>
      <c r="E53" t="s">
        <v>393</v>
      </c>
      <c r="F53" t="s">
        <v>394</v>
      </c>
      <c r="G53" t="s">
        <v>224</v>
      </c>
      <c r="H53" t="s">
        <v>265</v>
      </c>
      <c r="I53" t="s">
        <v>226</v>
      </c>
      <c r="J53" t="s">
        <v>276</v>
      </c>
      <c r="K53" t="s">
        <v>309</v>
      </c>
      <c r="L53" s="10" t="s">
        <v>310</v>
      </c>
      <c r="M53">
        <v>0</v>
      </c>
      <c r="N53">
        <v>1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</row>
    <row r="54" spans="1:32" x14ac:dyDescent="0.25">
      <c r="A54" t="s">
        <v>55</v>
      </c>
      <c r="B54" t="s">
        <v>222</v>
      </c>
      <c r="C54" t="s">
        <v>264</v>
      </c>
      <c r="D54">
        <v>304269</v>
      </c>
      <c r="E54" t="s">
        <v>395</v>
      </c>
      <c r="F54" t="s">
        <v>396</v>
      </c>
      <c r="G54" t="s">
        <v>224</v>
      </c>
      <c r="H54" t="s">
        <v>265</v>
      </c>
      <c r="I54" t="s">
        <v>226</v>
      </c>
      <c r="J54" t="s">
        <v>282</v>
      </c>
      <c r="K54" t="s">
        <v>309</v>
      </c>
      <c r="L54" s="10" t="s">
        <v>310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55</v>
      </c>
      <c r="B55" t="s">
        <v>222</v>
      </c>
      <c r="C55" t="s">
        <v>264</v>
      </c>
      <c r="D55">
        <v>304271</v>
      </c>
      <c r="E55" t="s">
        <v>397</v>
      </c>
      <c r="F55" t="s">
        <v>398</v>
      </c>
      <c r="G55" t="s">
        <v>224</v>
      </c>
      <c r="H55" t="s">
        <v>265</v>
      </c>
      <c r="I55" t="s">
        <v>226</v>
      </c>
      <c r="J55" t="s">
        <v>292</v>
      </c>
      <c r="K55" t="s">
        <v>309</v>
      </c>
      <c r="L55" s="10" t="s">
        <v>310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 t="s">
        <v>222</v>
      </c>
      <c r="C56" t="s">
        <v>264</v>
      </c>
      <c r="D56">
        <v>304287</v>
      </c>
      <c r="E56" t="s">
        <v>399</v>
      </c>
      <c r="F56" t="s">
        <v>400</v>
      </c>
      <c r="G56" t="s">
        <v>224</v>
      </c>
      <c r="H56" t="s">
        <v>265</v>
      </c>
      <c r="I56" t="s">
        <v>226</v>
      </c>
      <c r="J56" t="s">
        <v>278</v>
      </c>
      <c r="K56" t="s">
        <v>309</v>
      </c>
      <c r="L56" s="10" t="s">
        <v>310</v>
      </c>
      <c r="M56">
        <v>1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43707</v>
      </c>
      <c r="W56">
        <v>43707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2</v>
      </c>
      <c r="AE56">
        <v>2</v>
      </c>
      <c r="AF56">
        <v>2</v>
      </c>
    </row>
    <row r="57" spans="1:32" x14ac:dyDescent="0.25">
      <c r="A57" t="s">
        <v>55</v>
      </c>
      <c r="B57" t="s">
        <v>222</v>
      </c>
      <c r="C57" t="s">
        <v>264</v>
      </c>
      <c r="D57">
        <v>304293</v>
      </c>
      <c r="E57" t="s">
        <v>401</v>
      </c>
      <c r="F57" t="s">
        <v>402</v>
      </c>
      <c r="G57" t="s">
        <v>224</v>
      </c>
      <c r="H57" t="s">
        <v>265</v>
      </c>
      <c r="I57" t="s">
        <v>226</v>
      </c>
      <c r="J57" t="s">
        <v>286</v>
      </c>
      <c r="K57" t="s">
        <v>309</v>
      </c>
      <c r="L57" s="10" t="s">
        <v>310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43617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</row>
    <row r="58" spans="1:32" x14ac:dyDescent="0.25">
      <c r="A58" t="s">
        <v>55</v>
      </c>
      <c r="B58" t="s">
        <v>222</v>
      </c>
      <c r="C58" t="s">
        <v>264</v>
      </c>
      <c r="D58">
        <v>305512</v>
      </c>
      <c r="E58" t="s">
        <v>403</v>
      </c>
      <c r="F58" t="s">
        <v>404</v>
      </c>
      <c r="G58" t="s">
        <v>224</v>
      </c>
      <c r="H58" t="s">
        <v>265</v>
      </c>
      <c r="I58" t="s">
        <v>231</v>
      </c>
      <c r="J58" t="s">
        <v>283</v>
      </c>
      <c r="K58" t="s">
        <v>311</v>
      </c>
      <c r="L58" s="10" t="s">
        <v>312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43665</v>
      </c>
      <c r="W58">
        <v>43691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</row>
    <row r="59" spans="1:32" x14ac:dyDescent="0.25">
      <c r="A59" t="s">
        <v>55</v>
      </c>
      <c r="B59" t="s">
        <v>222</v>
      </c>
      <c r="C59" t="s">
        <v>264</v>
      </c>
      <c r="D59">
        <v>305671</v>
      </c>
      <c r="E59" t="s">
        <v>405</v>
      </c>
      <c r="F59" t="s">
        <v>406</v>
      </c>
      <c r="G59" t="s">
        <v>224</v>
      </c>
      <c r="H59" t="s">
        <v>265</v>
      </c>
      <c r="I59" t="s">
        <v>231</v>
      </c>
      <c r="J59" t="s">
        <v>266</v>
      </c>
      <c r="K59" t="s">
        <v>311</v>
      </c>
      <c r="L59" s="10" t="s">
        <v>312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55</v>
      </c>
      <c r="B60" t="s">
        <v>222</v>
      </c>
      <c r="C60" t="s">
        <v>264</v>
      </c>
      <c r="D60">
        <v>305672</v>
      </c>
      <c r="E60" t="s">
        <v>407</v>
      </c>
      <c r="F60" t="s">
        <v>408</v>
      </c>
      <c r="G60" t="s">
        <v>224</v>
      </c>
      <c r="H60" t="s">
        <v>265</v>
      </c>
      <c r="I60" t="s">
        <v>231</v>
      </c>
      <c r="J60" t="s">
        <v>294</v>
      </c>
      <c r="K60" t="s">
        <v>311</v>
      </c>
      <c r="L60" s="10" t="s">
        <v>312</v>
      </c>
      <c r="M60">
        <v>1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43644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55</v>
      </c>
      <c r="B61" t="s">
        <v>222</v>
      </c>
      <c r="C61" t="s">
        <v>264</v>
      </c>
      <c r="D61">
        <v>305676</v>
      </c>
      <c r="E61" t="s">
        <v>409</v>
      </c>
      <c r="F61" t="s">
        <v>410</v>
      </c>
      <c r="G61" t="s">
        <v>224</v>
      </c>
      <c r="H61" t="s">
        <v>265</v>
      </c>
      <c r="I61" t="s">
        <v>231</v>
      </c>
      <c r="J61" t="s">
        <v>279</v>
      </c>
      <c r="K61" t="s">
        <v>311</v>
      </c>
      <c r="L61" s="10" t="s">
        <v>312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 t="s">
        <v>411</v>
      </c>
      <c r="W61" t="s">
        <v>412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2</v>
      </c>
      <c r="AE61">
        <v>2</v>
      </c>
      <c r="AF61">
        <v>2</v>
      </c>
    </row>
    <row r="62" spans="1:32" x14ac:dyDescent="0.25">
      <c r="A62" t="s">
        <v>55</v>
      </c>
      <c r="B62" t="s">
        <v>222</v>
      </c>
      <c r="C62" t="s">
        <v>264</v>
      </c>
      <c r="D62">
        <v>316007</v>
      </c>
      <c r="E62" t="s">
        <v>413</v>
      </c>
      <c r="F62" t="s">
        <v>414</v>
      </c>
      <c r="G62" t="s">
        <v>224</v>
      </c>
      <c r="H62" t="s">
        <v>265</v>
      </c>
      <c r="I62" t="s">
        <v>226</v>
      </c>
      <c r="J62" t="s">
        <v>269</v>
      </c>
      <c r="K62" t="s">
        <v>309</v>
      </c>
      <c r="L62" s="10" t="s">
        <v>310</v>
      </c>
      <c r="M62">
        <v>1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43763</v>
      </c>
      <c r="W62">
        <v>43763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2</v>
      </c>
      <c r="AE62">
        <v>2</v>
      </c>
      <c r="AF62">
        <v>2</v>
      </c>
    </row>
    <row r="63" spans="1:32" x14ac:dyDescent="0.25">
      <c r="A63" t="s">
        <v>55</v>
      </c>
      <c r="B63" t="s">
        <v>222</v>
      </c>
      <c r="C63" t="s">
        <v>267</v>
      </c>
      <c r="D63">
        <v>305677</v>
      </c>
      <c r="E63" t="s">
        <v>415</v>
      </c>
      <c r="F63" t="s">
        <v>416</v>
      </c>
      <c r="G63" t="s">
        <v>224</v>
      </c>
      <c r="H63" t="s">
        <v>265</v>
      </c>
      <c r="I63" t="s">
        <v>231</v>
      </c>
      <c r="J63" t="s">
        <v>268</v>
      </c>
      <c r="K63" t="s">
        <v>309</v>
      </c>
      <c r="L63" s="10" t="s">
        <v>310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43631</v>
      </c>
      <c r="W63">
        <v>43728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</row>
    <row r="64" spans="1:32" x14ac:dyDescent="0.25">
      <c r="A64" t="s">
        <v>55</v>
      </c>
      <c r="B64" t="s">
        <v>222</v>
      </c>
      <c r="C64" t="s">
        <v>267</v>
      </c>
      <c r="D64">
        <v>501080</v>
      </c>
      <c r="E64" t="s">
        <v>270</v>
      </c>
      <c r="F64" t="s">
        <v>271</v>
      </c>
      <c r="G64" t="s">
        <v>224</v>
      </c>
      <c r="H64" t="s">
        <v>265</v>
      </c>
      <c r="I64" t="s">
        <v>231</v>
      </c>
      <c r="J64" t="s">
        <v>272</v>
      </c>
      <c r="K64" t="s">
        <v>61</v>
      </c>
      <c r="L64" s="10" t="s">
        <v>62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 t="s">
        <v>66</v>
      </c>
      <c r="U64">
        <v>0</v>
      </c>
      <c r="V64" t="s">
        <v>66</v>
      </c>
      <c r="W64" t="s">
        <v>66</v>
      </c>
      <c r="X64">
        <v>0</v>
      </c>
      <c r="Y64">
        <v>0</v>
      </c>
      <c r="Z64">
        <v>0</v>
      </c>
      <c r="AA64">
        <v>1</v>
      </c>
      <c r="AB64" t="s">
        <v>66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t="s">
        <v>55</v>
      </c>
      <c r="B65" t="s">
        <v>222</v>
      </c>
      <c r="C65" t="s">
        <v>273</v>
      </c>
      <c r="D65">
        <v>305673</v>
      </c>
      <c r="E65" t="s">
        <v>417</v>
      </c>
      <c r="F65" t="s">
        <v>418</v>
      </c>
      <c r="G65" t="s">
        <v>224</v>
      </c>
      <c r="H65" t="s">
        <v>265</v>
      </c>
      <c r="I65" t="s">
        <v>231</v>
      </c>
      <c r="J65" t="s">
        <v>274</v>
      </c>
      <c r="K65" t="s">
        <v>309</v>
      </c>
      <c r="L65" s="10" t="s">
        <v>310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55</v>
      </c>
      <c r="B66" t="s">
        <v>222</v>
      </c>
      <c r="C66" t="s">
        <v>273</v>
      </c>
      <c r="D66">
        <v>305674</v>
      </c>
      <c r="E66" t="s">
        <v>419</v>
      </c>
      <c r="F66" t="s">
        <v>280</v>
      </c>
      <c r="G66" t="s">
        <v>224</v>
      </c>
      <c r="H66" t="s">
        <v>265</v>
      </c>
      <c r="I66" t="s">
        <v>231</v>
      </c>
      <c r="J66" t="s">
        <v>275</v>
      </c>
      <c r="K66" t="s">
        <v>311</v>
      </c>
      <c r="L66" s="10" t="s">
        <v>312</v>
      </c>
      <c r="M66">
        <v>1</v>
      </c>
      <c r="N66">
        <v>1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420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</row>
    <row r="67" spans="1:32" x14ac:dyDescent="0.25">
      <c r="A67" t="s">
        <v>55</v>
      </c>
      <c r="B67" t="s">
        <v>222</v>
      </c>
      <c r="C67" t="s">
        <v>281</v>
      </c>
      <c r="D67">
        <v>501078</v>
      </c>
      <c r="E67" t="s">
        <v>287</v>
      </c>
      <c r="F67" t="s">
        <v>288</v>
      </c>
      <c r="G67" t="s">
        <v>224</v>
      </c>
      <c r="H67" t="s">
        <v>265</v>
      </c>
      <c r="I67" t="s">
        <v>226</v>
      </c>
      <c r="J67" t="s">
        <v>282</v>
      </c>
      <c r="K67" t="s">
        <v>61</v>
      </c>
      <c r="L67" s="10" t="s">
        <v>62</v>
      </c>
      <c r="M67">
        <v>1</v>
      </c>
      <c r="N67">
        <v>1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 t="s">
        <v>421</v>
      </c>
      <c r="W67" t="s">
        <v>421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 t="s">
        <v>55</v>
      </c>
      <c r="B68" t="s">
        <v>222</v>
      </c>
      <c r="C68" t="s">
        <v>281</v>
      </c>
      <c r="D68">
        <v>501411</v>
      </c>
      <c r="E68" t="s">
        <v>289</v>
      </c>
      <c r="F68" t="s">
        <v>290</v>
      </c>
      <c r="G68" t="s">
        <v>224</v>
      </c>
      <c r="H68" t="s">
        <v>265</v>
      </c>
      <c r="I68" t="s">
        <v>231</v>
      </c>
      <c r="J68" t="s">
        <v>285</v>
      </c>
      <c r="K68" t="s">
        <v>61</v>
      </c>
      <c r="L68" s="10" t="s">
        <v>62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11" t="s">
        <v>55</v>
      </c>
      <c r="B69" s="11" t="s">
        <v>222</v>
      </c>
      <c r="C69" s="11" t="s">
        <v>291</v>
      </c>
      <c r="D69" s="11">
        <v>501412</v>
      </c>
      <c r="E69" s="11" t="s">
        <v>295</v>
      </c>
      <c r="F69" s="11" t="s">
        <v>296</v>
      </c>
      <c r="G69" s="11" t="s">
        <v>224</v>
      </c>
      <c r="H69" s="11" t="s">
        <v>265</v>
      </c>
      <c r="I69" t="s">
        <v>231</v>
      </c>
      <c r="J69" s="11" t="s">
        <v>266</v>
      </c>
      <c r="K69" s="11" t="s">
        <v>61</v>
      </c>
      <c r="L69" s="10" t="s">
        <v>62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55</v>
      </c>
      <c r="B70" t="s">
        <v>222</v>
      </c>
      <c r="C70" t="s">
        <v>297</v>
      </c>
      <c r="D70">
        <v>304262</v>
      </c>
      <c r="E70" t="s">
        <v>422</v>
      </c>
      <c r="F70" t="s">
        <v>423</v>
      </c>
      <c r="G70" t="s">
        <v>224</v>
      </c>
      <c r="H70" t="s">
        <v>298</v>
      </c>
      <c r="I70" t="s">
        <v>226</v>
      </c>
      <c r="J70" t="s">
        <v>299</v>
      </c>
      <c r="K70" t="s">
        <v>309</v>
      </c>
      <c r="L70" s="10" t="s">
        <v>310</v>
      </c>
      <c r="M70">
        <v>1</v>
      </c>
      <c r="N70">
        <v>1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43704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</row>
    <row r="71" spans="1:32" x14ac:dyDescent="0.25">
      <c r="A71" t="s">
        <v>55</v>
      </c>
      <c r="B71" t="s">
        <v>222</v>
      </c>
      <c r="C71" t="s">
        <v>297</v>
      </c>
      <c r="D71">
        <v>304282</v>
      </c>
      <c r="E71" t="s">
        <v>424</v>
      </c>
      <c r="F71" t="s">
        <v>425</v>
      </c>
      <c r="G71" t="s">
        <v>224</v>
      </c>
      <c r="H71" t="s">
        <v>298</v>
      </c>
      <c r="I71" t="s">
        <v>226</v>
      </c>
      <c r="J71" t="s">
        <v>300</v>
      </c>
      <c r="K71" t="s">
        <v>309</v>
      </c>
      <c r="L71" s="10" t="s">
        <v>310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25">
      <c r="A72" t="s">
        <v>55</v>
      </c>
      <c r="B72" t="s">
        <v>222</v>
      </c>
      <c r="C72" t="s">
        <v>297</v>
      </c>
      <c r="D72">
        <v>501079</v>
      </c>
      <c r="E72" t="s">
        <v>302</v>
      </c>
      <c r="F72" t="s">
        <v>303</v>
      </c>
      <c r="G72" t="s">
        <v>224</v>
      </c>
      <c r="H72" t="s">
        <v>298</v>
      </c>
      <c r="I72" t="s">
        <v>231</v>
      </c>
      <c r="J72" t="s">
        <v>301</v>
      </c>
      <c r="K72" t="s">
        <v>61</v>
      </c>
      <c r="L72" s="10" t="s">
        <v>62</v>
      </c>
      <c r="M72">
        <v>1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 t="s">
        <v>426</v>
      </c>
      <c r="W72" t="s">
        <v>427</v>
      </c>
      <c r="X72">
        <v>0</v>
      </c>
      <c r="Y72">
        <v>0</v>
      </c>
      <c r="Z72">
        <v>1</v>
      </c>
      <c r="AA72">
        <v>0</v>
      </c>
      <c r="AB72">
        <v>0</v>
      </c>
      <c r="AC72">
        <v>1</v>
      </c>
      <c r="AD72">
        <v>3</v>
      </c>
      <c r="AE72">
        <v>0</v>
      </c>
      <c r="AF72">
        <v>0</v>
      </c>
    </row>
    <row r="73" spans="1:32" x14ac:dyDescent="0.25">
      <c r="A73" t="s">
        <v>55</v>
      </c>
      <c r="B73" t="s">
        <v>222</v>
      </c>
      <c r="C73" t="s">
        <v>304</v>
      </c>
      <c r="D73">
        <v>304266</v>
      </c>
      <c r="E73" t="s">
        <v>428</v>
      </c>
      <c r="F73" t="s">
        <v>429</v>
      </c>
      <c r="G73" t="s">
        <v>224</v>
      </c>
      <c r="H73" t="s">
        <v>305</v>
      </c>
      <c r="I73" t="s">
        <v>226</v>
      </c>
      <c r="J73" t="s">
        <v>306</v>
      </c>
      <c r="K73" t="s">
        <v>309</v>
      </c>
      <c r="L73" s="10" t="s">
        <v>310</v>
      </c>
      <c r="M73">
        <v>1</v>
      </c>
      <c r="N73">
        <v>1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 t="s">
        <v>66</v>
      </c>
      <c r="W73" t="s">
        <v>66</v>
      </c>
      <c r="X73">
        <v>0</v>
      </c>
      <c r="Y73">
        <v>0</v>
      </c>
      <c r="Z73">
        <v>1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</row>
    <row r="74" spans="1:32" x14ac:dyDescent="0.25">
      <c r="A74" t="s">
        <v>55</v>
      </c>
      <c r="B74" t="s">
        <v>222</v>
      </c>
      <c r="C74" t="s">
        <v>304</v>
      </c>
      <c r="D74">
        <v>304276</v>
      </c>
      <c r="E74" t="s">
        <v>430</v>
      </c>
      <c r="F74" t="s">
        <v>136</v>
      </c>
      <c r="G74" t="s">
        <v>224</v>
      </c>
      <c r="H74" t="s">
        <v>305</v>
      </c>
      <c r="I74" t="s">
        <v>226</v>
      </c>
      <c r="J74" t="s">
        <v>278</v>
      </c>
      <c r="K74" t="s">
        <v>309</v>
      </c>
      <c r="L74" s="10" t="s">
        <v>310</v>
      </c>
      <c r="M74">
        <v>1</v>
      </c>
      <c r="N74">
        <v>0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 t="s">
        <v>431</v>
      </c>
      <c r="W74" t="s">
        <v>63</v>
      </c>
      <c r="X74">
        <v>0</v>
      </c>
      <c r="Y74">
        <v>0</v>
      </c>
      <c r="Z74">
        <v>0</v>
      </c>
      <c r="AA74">
        <v>1</v>
      </c>
      <c r="AB74" t="s">
        <v>66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55</v>
      </c>
      <c r="B75" t="s">
        <v>222</v>
      </c>
      <c r="C75" t="s">
        <v>304</v>
      </c>
      <c r="D75">
        <v>304296</v>
      </c>
      <c r="E75" t="s">
        <v>432</v>
      </c>
      <c r="F75" t="s">
        <v>433</v>
      </c>
      <c r="G75" t="s">
        <v>224</v>
      </c>
      <c r="H75" t="s">
        <v>305</v>
      </c>
      <c r="I75" t="s">
        <v>226</v>
      </c>
      <c r="J75" t="s">
        <v>60</v>
      </c>
      <c r="K75" t="s">
        <v>309</v>
      </c>
      <c r="L75" s="10" t="s">
        <v>310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55</v>
      </c>
      <c r="B76" t="s">
        <v>222</v>
      </c>
      <c r="C76" t="s">
        <v>304</v>
      </c>
      <c r="D76">
        <v>316018</v>
      </c>
      <c r="E76" t="s">
        <v>434</v>
      </c>
      <c r="F76" t="s">
        <v>435</v>
      </c>
      <c r="G76" t="s">
        <v>224</v>
      </c>
      <c r="H76" t="s">
        <v>305</v>
      </c>
      <c r="I76" t="s">
        <v>231</v>
      </c>
      <c r="J76" t="s">
        <v>255</v>
      </c>
      <c r="K76" t="s">
        <v>309</v>
      </c>
      <c r="L76" s="10" t="s">
        <v>310</v>
      </c>
      <c r="M76">
        <v>1</v>
      </c>
      <c r="N76">
        <v>1</v>
      </c>
      <c r="O76">
        <v>1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 t="s">
        <v>436</v>
      </c>
      <c r="W76" t="s">
        <v>437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</row>
  </sheetData>
  <autoFilter ref="A8:AG76" xr:uid="{00000000-0009-0000-0000-000001000000}"/>
  <mergeCells count="9">
    <mergeCell ref="X6:AB6"/>
    <mergeCell ref="AC6:AC7"/>
    <mergeCell ref="AD6:AF6"/>
    <mergeCell ref="M6:N6"/>
    <mergeCell ref="O6:O7"/>
    <mergeCell ref="P6:T6"/>
    <mergeCell ref="U6:U7"/>
    <mergeCell ref="V6:V7"/>
    <mergeCell ref="W6:W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0C0B-83DA-4A9B-9A7E-A35B7E00149E}">
  <dimension ref="A1:AG23"/>
  <sheetViews>
    <sheetView tabSelected="1" zoomScale="85" zoomScaleNormal="85" workbookViewId="0">
      <pane xSplit="4" ySplit="7" topLeftCell="E12" activePane="bottomRight" state="frozen"/>
      <selection activeCell="B31" sqref="B31"/>
      <selection pane="topRight" activeCell="B31" sqref="B31"/>
      <selection pane="bottomLeft" activeCell="B31" sqref="B31"/>
      <selection pane="bottomRight" activeCell="I33" sqref="I33"/>
    </sheetView>
  </sheetViews>
  <sheetFormatPr defaultRowHeight="15" x14ac:dyDescent="0.25"/>
  <cols>
    <col min="2" max="2" width="27.140625" bestFit="1" customWidth="1"/>
    <col min="13" max="13" width="21.7109375" customWidth="1"/>
    <col min="14" max="14" width="27.5703125" customWidth="1"/>
    <col min="15" max="15" width="20.7109375" customWidth="1"/>
    <col min="16" max="20" width="10.5703125" customWidth="1"/>
    <col min="21" max="22" width="16.140625" customWidth="1"/>
    <col min="23" max="23" width="27.5703125" customWidth="1"/>
    <col min="24" max="28" width="10.140625" customWidth="1"/>
    <col min="29" max="30" width="27.5703125" customWidth="1"/>
    <col min="31" max="32" width="40.42578125" customWidth="1"/>
  </cols>
  <sheetData>
    <row r="1" spans="1:33" x14ac:dyDescent="0.25">
      <c r="A1" s="1" t="s">
        <v>438</v>
      </c>
    </row>
    <row r="2" spans="1:33" x14ac:dyDescent="0.25">
      <c r="A2" s="1" t="s">
        <v>1</v>
      </c>
      <c r="L2" s="2"/>
    </row>
    <row r="3" spans="1:33" x14ac:dyDescent="0.25">
      <c r="A3" s="1" t="s">
        <v>308</v>
      </c>
      <c r="L3" s="2"/>
    </row>
    <row r="4" spans="1:33" ht="14.45" customHeight="1" x14ac:dyDescent="0.25"/>
    <row r="5" spans="1:33" x14ac:dyDescent="0.25">
      <c r="M5" s="3" t="s">
        <v>3</v>
      </c>
      <c r="N5" s="3"/>
      <c r="O5" s="4" t="s">
        <v>4</v>
      </c>
      <c r="P5" s="3" t="s">
        <v>5</v>
      </c>
      <c r="Q5" s="3"/>
      <c r="R5" s="3"/>
      <c r="S5" s="3"/>
      <c r="T5" s="3"/>
      <c r="U5" s="4" t="s">
        <v>6</v>
      </c>
      <c r="V5" s="4" t="s">
        <v>7</v>
      </c>
      <c r="W5" s="4" t="s">
        <v>8</v>
      </c>
      <c r="X5" s="3" t="s">
        <v>9</v>
      </c>
      <c r="Y5" s="3"/>
      <c r="Z5" s="3"/>
      <c r="AA5" s="3"/>
      <c r="AB5" s="3"/>
      <c r="AC5" s="4" t="s">
        <v>10</v>
      </c>
      <c r="AD5" s="3" t="s">
        <v>11</v>
      </c>
      <c r="AE5" s="3"/>
      <c r="AF5" s="3"/>
    </row>
    <row r="6" spans="1:33" ht="105" x14ac:dyDescent="0.25">
      <c r="M6" s="5" t="s">
        <v>12</v>
      </c>
      <c r="N6" s="5" t="s">
        <v>13</v>
      </c>
      <c r="O6" s="4"/>
      <c r="P6" s="6" t="s">
        <v>14</v>
      </c>
      <c r="Q6" s="6" t="s">
        <v>15</v>
      </c>
      <c r="R6" s="6" t="s">
        <v>16</v>
      </c>
      <c r="S6" s="6" t="s">
        <v>17</v>
      </c>
      <c r="T6" s="6" t="s">
        <v>18</v>
      </c>
      <c r="U6" s="4"/>
      <c r="V6" s="4"/>
      <c r="W6" s="4"/>
      <c r="X6" s="6" t="s">
        <v>14</v>
      </c>
      <c r="Y6" s="6" t="s">
        <v>15</v>
      </c>
      <c r="Z6" s="6" t="s">
        <v>16</v>
      </c>
      <c r="AA6" s="6" t="s">
        <v>17</v>
      </c>
      <c r="AB6" s="6" t="s">
        <v>18</v>
      </c>
      <c r="AC6" s="4"/>
      <c r="AD6" s="5" t="s">
        <v>19</v>
      </c>
      <c r="AE6" s="5" t="s">
        <v>20</v>
      </c>
      <c r="AF6" s="5" t="s">
        <v>21</v>
      </c>
    </row>
    <row r="7" spans="1:33" x14ac:dyDescent="0.25">
      <c r="A7" s="7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30</v>
      </c>
      <c r="J7" s="7" t="s">
        <v>31</v>
      </c>
      <c r="K7" s="7" t="s">
        <v>32</v>
      </c>
      <c r="L7" s="8" t="s">
        <v>33</v>
      </c>
      <c r="M7" s="9" t="s">
        <v>34</v>
      </c>
      <c r="N7" s="9" t="s">
        <v>35</v>
      </c>
      <c r="O7" s="9" t="s">
        <v>36</v>
      </c>
      <c r="P7" s="9" t="s">
        <v>37</v>
      </c>
      <c r="Q7" s="9" t="s">
        <v>38</v>
      </c>
      <c r="R7" s="9" t="s">
        <v>39</v>
      </c>
      <c r="S7" s="9" t="s">
        <v>40</v>
      </c>
      <c r="T7" s="9" t="s">
        <v>41</v>
      </c>
      <c r="U7" s="9" t="s">
        <v>42</v>
      </c>
      <c r="V7" s="9" t="s">
        <v>43</v>
      </c>
      <c r="W7" s="9" t="s">
        <v>50</v>
      </c>
      <c r="X7" s="9" t="s">
        <v>45</v>
      </c>
      <c r="Y7" s="9" t="s">
        <v>46</v>
      </c>
      <c r="Z7" s="9" t="s">
        <v>47</v>
      </c>
      <c r="AA7" s="9" t="s">
        <v>48</v>
      </c>
      <c r="AB7" s="9" t="s">
        <v>49</v>
      </c>
      <c r="AC7" s="9" t="s">
        <v>44</v>
      </c>
      <c r="AD7" s="9" t="s">
        <v>51</v>
      </c>
      <c r="AE7" s="9" t="s">
        <v>53</v>
      </c>
      <c r="AF7" s="9" t="s">
        <v>52</v>
      </c>
      <c r="AG7" s="9" t="s">
        <v>54</v>
      </c>
    </row>
    <row r="8" spans="1:33" x14ac:dyDescent="0.25">
      <c r="A8" t="s">
        <v>55</v>
      </c>
      <c r="B8" t="s">
        <v>67</v>
      </c>
      <c r="C8" t="s">
        <v>68</v>
      </c>
      <c r="D8">
        <v>304325</v>
      </c>
      <c r="E8" t="s">
        <v>313</v>
      </c>
      <c r="F8" t="s">
        <v>314</v>
      </c>
      <c r="G8" t="s">
        <v>71</v>
      </c>
      <c r="H8" t="s">
        <v>72</v>
      </c>
      <c r="I8" t="s">
        <v>56</v>
      </c>
      <c r="J8" t="s">
        <v>81</v>
      </c>
      <c r="K8" t="s">
        <v>309</v>
      </c>
      <c r="L8" s="10" t="s">
        <v>310</v>
      </c>
      <c r="M8">
        <f>VLOOKUP($D8,[1]shs_tobacco_control!$D$13:$Y$7014,3,)</f>
        <v>1</v>
      </c>
      <c r="N8">
        <f>VLOOKUP($D8,[1]shs_tobacco_control!$D$13:$Y$7014,4,)</f>
        <v>1</v>
      </c>
      <c r="O8">
        <f>VLOOKUP($D8,[1]shs_tobacco_control!$D$13:$Y$7014,5,)</f>
        <v>1</v>
      </c>
      <c r="P8">
        <f>VLOOKUP($D8,[1]shs_tobacco_control!$D$13:$Y$7014,6,)</f>
        <v>0</v>
      </c>
      <c r="Q8">
        <f>VLOOKUP($D8,[1]shs_tobacco_control!$D$13:$Y$7014,7,)</f>
        <v>0</v>
      </c>
      <c r="R8">
        <f>VLOOKUP($D8,[1]shs_tobacco_control!$D$13:$Y$7014,8,)</f>
        <v>0</v>
      </c>
      <c r="S8">
        <f>VLOOKUP($D8,[1]shs_tobacco_control!$D$13:$Y$7014,9,)</f>
        <v>1</v>
      </c>
      <c r="T8" t="str">
        <f>VLOOKUP($D8,[1]shs_tobacco_control!$D$13:$Y$7014,10,)</f>
        <v>once a year</v>
      </c>
      <c r="U8">
        <f>VLOOKUP($D8,[1]shs_tobacco_control!$D$13:$Y$7014,11,)</f>
        <v>1</v>
      </c>
      <c r="V8" t="str">
        <f>VLOOKUP($D8,[1]shs_tobacco_control!$D$13:$Y$7014,12,)</f>
        <v>last year</v>
      </c>
      <c r="W8" t="str">
        <f>VLOOKUP($D8,[1]shs_tobacco_control!$D$13:$Y$7014,13,)</f>
        <v>none</v>
      </c>
      <c r="X8">
        <f>VLOOKUP($D8,[1]shs_tobacco_control!$D$13:$Y$7014,14,)</f>
        <v>0</v>
      </c>
      <c r="Y8">
        <f>VLOOKUP($D8,[1]shs_tobacco_control!$D$13:$Y$7014,15,)</f>
        <v>0</v>
      </c>
      <c r="Z8">
        <f>VLOOKUP($D8,[1]shs_tobacco_control!$D$13:$Y$7014,16,)</f>
        <v>0</v>
      </c>
      <c r="AA8">
        <f>VLOOKUP($D8,[1]shs_tobacco_control!$D$13:$Y$7014,17,)</f>
        <v>1</v>
      </c>
      <c r="AB8" t="str">
        <f>VLOOKUP($D8,[1]shs_tobacco_control!$D$13:$Y$7014,18,)</f>
        <v>ocassionally</v>
      </c>
      <c r="AC8">
        <f>VLOOKUP($D8,[1]shs_tobacco_control!$D$13:$Y$7014,19,)</f>
        <v>1</v>
      </c>
      <c r="AD8">
        <f>VLOOKUP($D8,[1]shs_tobacco_control!$D$13:$Y$7014,20,)</f>
        <v>0</v>
      </c>
      <c r="AE8">
        <f>VLOOKUP($D8,[1]shs_tobacco_control!$D$13:$Y$7014,21,)</f>
        <v>0</v>
      </c>
      <c r="AF8">
        <f>VLOOKUP($D8,[1]shs_tobacco_control!$D$13:$Y$7014,22,)</f>
        <v>0</v>
      </c>
    </row>
    <row r="9" spans="1:33" x14ac:dyDescent="0.25">
      <c r="A9" t="s">
        <v>55</v>
      </c>
      <c r="B9" t="s">
        <v>67</v>
      </c>
      <c r="C9" t="s">
        <v>68</v>
      </c>
      <c r="D9">
        <v>304326</v>
      </c>
      <c r="E9" t="s">
        <v>316</v>
      </c>
      <c r="F9" t="s">
        <v>317</v>
      </c>
      <c r="G9" t="s">
        <v>71</v>
      </c>
      <c r="H9" t="s">
        <v>72</v>
      </c>
      <c r="I9" t="s">
        <v>56</v>
      </c>
      <c r="J9" t="s">
        <v>81</v>
      </c>
      <c r="K9" t="s">
        <v>309</v>
      </c>
      <c r="L9" s="10" t="s">
        <v>310</v>
      </c>
      <c r="M9">
        <f>VLOOKUP($D9,[1]shs_tobacco_control!$D$13:$Y$7014,3,)</f>
        <v>1</v>
      </c>
      <c r="N9">
        <f>VLOOKUP($D9,[1]shs_tobacco_control!$D$13:$Y$7014,4,)</f>
        <v>0</v>
      </c>
      <c r="O9">
        <f>VLOOKUP($D9,[1]shs_tobacco_control!$D$13:$Y$7014,5,)</f>
        <v>1</v>
      </c>
      <c r="P9">
        <f>VLOOKUP($D9,[1]shs_tobacco_control!$D$13:$Y$7014,6,)</f>
        <v>0</v>
      </c>
      <c r="Q9">
        <f>VLOOKUP($D9,[1]shs_tobacco_control!$D$13:$Y$7014,7,)</f>
        <v>0</v>
      </c>
      <c r="R9">
        <f>VLOOKUP($D9,[1]shs_tobacco_control!$D$13:$Y$7014,8,)</f>
        <v>1</v>
      </c>
      <c r="S9">
        <f>VLOOKUP($D9,[1]shs_tobacco_control!$D$13:$Y$7014,9,)</f>
        <v>0</v>
      </c>
      <c r="T9">
        <f>VLOOKUP($D9,[1]shs_tobacco_control!$D$13:$Y$7014,10,)</f>
        <v>0</v>
      </c>
      <c r="U9">
        <f>VLOOKUP($D9,[1]shs_tobacco_control!$D$13:$Y$7014,11,)</f>
        <v>0</v>
      </c>
      <c r="V9">
        <f>VLOOKUP($D9,[1]shs_tobacco_control!$D$13:$Y$7014,12,)</f>
        <v>0</v>
      </c>
      <c r="W9">
        <f>VLOOKUP($D9,[1]shs_tobacco_control!$D$13:$Y$7014,13,)</f>
        <v>0</v>
      </c>
      <c r="X9">
        <f>VLOOKUP($D9,[1]shs_tobacco_control!$D$13:$Y$7014,14,)</f>
        <v>0</v>
      </c>
      <c r="Y9">
        <f>VLOOKUP($D9,[1]shs_tobacco_control!$D$13:$Y$7014,15,)</f>
        <v>1</v>
      </c>
      <c r="Z9">
        <f>VLOOKUP($D9,[1]shs_tobacco_control!$D$13:$Y$7014,16,)</f>
        <v>0</v>
      </c>
      <c r="AA9">
        <f>VLOOKUP($D9,[1]shs_tobacco_control!$D$13:$Y$7014,17,)</f>
        <v>0</v>
      </c>
      <c r="AB9">
        <f>VLOOKUP($D9,[1]shs_tobacco_control!$D$13:$Y$7014,18,)</f>
        <v>0</v>
      </c>
      <c r="AC9">
        <f>VLOOKUP($D9,[1]shs_tobacco_control!$D$13:$Y$7014,19,)</f>
        <v>1</v>
      </c>
      <c r="AD9">
        <f>VLOOKUP($D9,[1]shs_tobacco_control!$D$13:$Y$7014,20,)</f>
        <v>0</v>
      </c>
      <c r="AE9">
        <f>VLOOKUP($D9,[1]shs_tobacco_control!$D$13:$Y$7014,21,)</f>
        <v>0</v>
      </c>
      <c r="AF9">
        <f>VLOOKUP($D9,[1]shs_tobacco_control!$D$13:$Y$7014,22,)</f>
        <v>0</v>
      </c>
    </row>
    <row r="10" spans="1:33" x14ac:dyDescent="0.25">
      <c r="A10" t="s">
        <v>55</v>
      </c>
      <c r="B10" t="s">
        <v>67</v>
      </c>
      <c r="C10" t="s">
        <v>68</v>
      </c>
      <c r="D10">
        <v>325104</v>
      </c>
      <c r="E10" t="s">
        <v>322</v>
      </c>
      <c r="F10" t="s">
        <v>323</v>
      </c>
      <c r="G10" t="s">
        <v>71</v>
      </c>
      <c r="H10" t="s">
        <v>72</v>
      </c>
      <c r="I10" t="s">
        <v>56</v>
      </c>
      <c r="J10" t="s">
        <v>73</v>
      </c>
      <c r="K10" t="s">
        <v>309</v>
      </c>
      <c r="L10" s="10" t="s">
        <v>310</v>
      </c>
      <c r="M10">
        <f>VLOOKUP($D10,[1]shs_tobacco_control!$D$13:$Y$7014,3,)</f>
        <v>1</v>
      </c>
      <c r="N10">
        <f>VLOOKUP($D10,[1]shs_tobacco_control!$D$13:$Y$7014,4,)</f>
        <v>0</v>
      </c>
      <c r="O10">
        <f>VLOOKUP($D10,[1]shs_tobacco_control!$D$13:$Y$7014,5,)</f>
        <v>1</v>
      </c>
      <c r="P10">
        <f>VLOOKUP($D10,[1]shs_tobacco_control!$D$13:$Y$7014,6,)</f>
        <v>0</v>
      </c>
      <c r="Q10">
        <f>VLOOKUP($D10,[1]shs_tobacco_control!$D$13:$Y$7014,7,)</f>
        <v>0</v>
      </c>
      <c r="R10">
        <f>VLOOKUP($D10,[1]shs_tobacco_control!$D$13:$Y$7014,8,)</f>
        <v>1</v>
      </c>
      <c r="S10">
        <f>VLOOKUP($D10,[1]shs_tobacco_control!$D$13:$Y$7014,9,)</f>
        <v>0</v>
      </c>
      <c r="T10">
        <f>VLOOKUP($D10,[1]shs_tobacco_control!$D$13:$Y$7014,10,)</f>
        <v>0</v>
      </c>
      <c r="U10">
        <f>VLOOKUP($D10,[1]shs_tobacco_control!$D$13:$Y$7014,11,)</f>
        <v>1</v>
      </c>
      <c r="V10">
        <f>VLOOKUP($D10,[1]shs_tobacco_control!$D$13:$Y$7014,12,)</f>
        <v>0</v>
      </c>
      <c r="W10">
        <f>VLOOKUP($D10,[1]shs_tobacco_control!$D$13:$Y$7014,13,)</f>
        <v>0</v>
      </c>
      <c r="X10">
        <f>VLOOKUP($D10,[1]shs_tobacco_control!$D$13:$Y$7014,14,)</f>
        <v>0</v>
      </c>
      <c r="Y10">
        <f>VLOOKUP($D10,[1]shs_tobacco_control!$D$13:$Y$7014,15,)</f>
        <v>0</v>
      </c>
      <c r="Z10">
        <f>VLOOKUP($D10,[1]shs_tobacco_control!$D$13:$Y$7014,16,)</f>
        <v>1</v>
      </c>
      <c r="AA10">
        <f>VLOOKUP($D10,[1]shs_tobacco_control!$D$13:$Y$7014,17,)</f>
        <v>0</v>
      </c>
      <c r="AB10">
        <f>VLOOKUP($D10,[1]shs_tobacco_control!$D$13:$Y$7014,18,)</f>
        <v>0</v>
      </c>
      <c r="AC10">
        <f>VLOOKUP($D10,[1]shs_tobacco_control!$D$13:$Y$7014,19,)</f>
        <v>0</v>
      </c>
      <c r="AD10">
        <f>VLOOKUP($D10,[1]shs_tobacco_control!$D$13:$Y$7014,20,)</f>
        <v>0</v>
      </c>
      <c r="AE10">
        <f>VLOOKUP($D10,[1]shs_tobacco_control!$D$13:$Y$7014,21,)</f>
        <v>0</v>
      </c>
      <c r="AF10">
        <f>VLOOKUP($D10,[1]shs_tobacco_control!$D$13:$Y$7014,22,)</f>
        <v>0</v>
      </c>
    </row>
    <row r="11" spans="1:33" x14ac:dyDescent="0.25">
      <c r="A11" t="s">
        <v>55</v>
      </c>
      <c r="B11" t="s">
        <v>67</v>
      </c>
      <c r="C11" t="s">
        <v>68</v>
      </c>
      <c r="D11">
        <v>500454</v>
      </c>
      <c r="E11" t="s">
        <v>97</v>
      </c>
      <c r="F11" t="s">
        <v>98</v>
      </c>
      <c r="G11" t="s">
        <v>71</v>
      </c>
      <c r="H11" t="s">
        <v>72</v>
      </c>
      <c r="I11" t="s">
        <v>56</v>
      </c>
      <c r="J11" t="s">
        <v>81</v>
      </c>
      <c r="K11" t="s">
        <v>99</v>
      </c>
      <c r="L11" s="10" t="s">
        <v>100</v>
      </c>
      <c r="M11">
        <f>VLOOKUP($D11,[1]shs_tobacco_control!$D$13:$Y$7014,3,)</f>
        <v>1</v>
      </c>
      <c r="N11">
        <f>VLOOKUP($D11,[1]shs_tobacco_control!$D$13:$Y$7014,4,)</f>
        <v>1</v>
      </c>
      <c r="O11">
        <f>VLOOKUP($D11,[1]shs_tobacco_control!$D$13:$Y$7014,5,)</f>
        <v>1</v>
      </c>
      <c r="P11">
        <f>VLOOKUP($D11,[1]shs_tobacco_control!$D$13:$Y$7014,6,)</f>
        <v>1</v>
      </c>
      <c r="Q11">
        <f>VLOOKUP($D11,[1]shs_tobacco_control!$D$13:$Y$7014,7,)</f>
        <v>0</v>
      </c>
      <c r="R11">
        <f>VLOOKUP($D11,[1]shs_tobacco_control!$D$13:$Y$7014,8,)</f>
        <v>0</v>
      </c>
      <c r="S11">
        <f>VLOOKUP($D11,[1]shs_tobacco_control!$D$13:$Y$7014,9,)</f>
        <v>0</v>
      </c>
      <c r="T11">
        <f>VLOOKUP($D11,[1]shs_tobacco_control!$D$13:$Y$7014,10,)</f>
        <v>0</v>
      </c>
      <c r="U11">
        <f>VLOOKUP($D11,[1]shs_tobacco_control!$D$13:$Y$7014,11,)</f>
        <v>1</v>
      </c>
      <c r="V11" t="str">
        <f>VLOOKUP($D11,[1]shs_tobacco_control!$D$13:$Y$7014,12,)</f>
        <v>October 21, 2019</v>
      </c>
      <c r="W11" t="str">
        <f>VLOOKUP($D11,[1]shs_tobacco_control!$D$13:$Y$7014,13,)</f>
        <v>October 21, 2019</v>
      </c>
      <c r="X11">
        <f>VLOOKUP($D11,[1]shs_tobacco_control!$D$13:$Y$7014,14,)</f>
        <v>1</v>
      </c>
      <c r="Y11">
        <f>VLOOKUP($D11,[1]shs_tobacco_control!$D$13:$Y$7014,15,)</f>
        <v>0</v>
      </c>
      <c r="Z11">
        <f>VLOOKUP($D11,[1]shs_tobacco_control!$D$13:$Y$7014,16,)</f>
        <v>0</v>
      </c>
      <c r="AA11">
        <f>VLOOKUP($D11,[1]shs_tobacco_control!$D$13:$Y$7014,17,)</f>
        <v>0</v>
      </c>
      <c r="AB11">
        <f>VLOOKUP($D11,[1]shs_tobacco_control!$D$13:$Y$7014,18,)</f>
        <v>0</v>
      </c>
      <c r="AC11">
        <f>VLOOKUP($D11,[1]shs_tobacco_control!$D$13:$Y$7014,19,)</f>
        <v>1</v>
      </c>
      <c r="AD11">
        <f>VLOOKUP($D11,[1]shs_tobacco_control!$D$13:$Y$7014,20,)</f>
        <v>0</v>
      </c>
      <c r="AE11">
        <f>VLOOKUP($D11,[1]shs_tobacco_control!$D$13:$Y$7014,21,)</f>
        <v>0</v>
      </c>
      <c r="AF11">
        <f>VLOOKUP($D11,[1]shs_tobacco_control!$D$13:$Y$7014,22,)</f>
        <v>0</v>
      </c>
    </row>
    <row r="12" spans="1:33" x14ac:dyDescent="0.25">
      <c r="A12" t="s">
        <v>55</v>
      </c>
      <c r="B12" t="s">
        <v>67</v>
      </c>
      <c r="C12" t="s">
        <v>105</v>
      </c>
      <c r="D12">
        <v>304303</v>
      </c>
      <c r="E12" t="s">
        <v>325</v>
      </c>
      <c r="F12" t="s">
        <v>326</v>
      </c>
      <c r="G12" t="s">
        <v>71</v>
      </c>
      <c r="H12" t="s">
        <v>72</v>
      </c>
      <c r="I12" t="s">
        <v>56</v>
      </c>
      <c r="J12" t="s">
        <v>112</v>
      </c>
      <c r="K12" t="s">
        <v>309</v>
      </c>
      <c r="L12" s="10" t="s">
        <v>310</v>
      </c>
      <c r="M12">
        <f>VLOOKUP($D12,[1]shs_tobacco_control!$D$13:$Y$7014,3,)</f>
        <v>1</v>
      </c>
      <c r="N12">
        <f>VLOOKUP($D12,[1]shs_tobacco_control!$D$13:$Y$7014,4,)</f>
        <v>1</v>
      </c>
      <c r="O12">
        <f>VLOOKUP($D12,[1]shs_tobacco_control!$D$13:$Y$7014,5,)</f>
        <v>0</v>
      </c>
      <c r="P12">
        <f>VLOOKUP($D12,[1]shs_tobacco_control!$D$13:$Y$7014,6,)</f>
        <v>0</v>
      </c>
      <c r="Q12">
        <f>VLOOKUP($D12,[1]shs_tobacco_control!$D$13:$Y$7014,7,)</f>
        <v>1</v>
      </c>
      <c r="R12">
        <f>VLOOKUP($D12,[1]shs_tobacco_control!$D$13:$Y$7014,8,)</f>
        <v>0</v>
      </c>
      <c r="S12">
        <f>VLOOKUP($D12,[1]shs_tobacco_control!$D$13:$Y$7014,9,)</f>
        <v>0</v>
      </c>
      <c r="T12">
        <f>VLOOKUP($D12,[1]shs_tobacco_control!$D$13:$Y$7014,10,)</f>
        <v>0</v>
      </c>
      <c r="U12">
        <f>VLOOKUP($D12,[1]shs_tobacco_control!$D$13:$Y$7014,11,)</f>
        <v>1</v>
      </c>
      <c r="V12" t="str">
        <f>VLOOKUP($D12,[1]shs_tobacco_control!$D$13:$Y$7014,12,)</f>
        <v>10/28/2019</v>
      </c>
      <c r="W12" t="str">
        <f>VLOOKUP($D12,[1]shs_tobacco_control!$D$13:$Y$7014,13,)</f>
        <v>NONE</v>
      </c>
      <c r="X12">
        <f>VLOOKUP($D12,[1]shs_tobacco_control!$D$13:$Y$7014,14,)</f>
        <v>0</v>
      </c>
      <c r="Y12">
        <f>VLOOKUP($D12,[1]shs_tobacco_control!$D$13:$Y$7014,15,)</f>
        <v>1</v>
      </c>
      <c r="Z12">
        <f>VLOOKUP($D12,[1]shs_tobacco_control!$D$13:$Y$7014,16,)</f>
        <v>0</v>
      </c>
      <c r="AA12">
        <f>VLOOKUP($D12,[1]shs_tobacco_control!$D$13:$Y$7014,17,)</f>
        <v>0</v>
      </c>
      <c r="AB12">
        <f>VLOOKUP($D12,[1]shs_tobacco_control!$D$13:$Y$7014,18,)</f>
        <v>0</v>
      </c>
      <c r="AC12">
        <f>VLOOKUP($D12,[1]shs_tobacco_control!$D$13:$Y$7014,19,)</f>
        <v>0</v>
      </c>
      <c r="AD12">
        <f>VLOOKUP($D12,[1]shs_tobacco_control!$D$13:$Y$7014,20,)</f>
        <v>0</v>
      </c>
      <c r="AE12">
        <f>VLOOKUP($D12,[1]shs_tobacco_control!$D$13:$Y$7014,21,)</f>
        <v>0</v>
      </c>
      <c r="AF12">
        <f>VLOOKUP($D12,[1]shs_tobacco_control!$D$13:$Y$7014,22,)</f>
        <v>0</v>
      </c>
    </row>
    <row r="13" spans="1:33" x14ac:dyDescent="0.25">
      <c r="A13" t="s">
        <v>55</v>
      </c>
      <c r="B13" t="s">
        <v>67</v>
      </c>
      <c r="C13" t="s">
        <v>105</v>
      </c>
      <c r="D13">
        <v>304305</v>
      </c>
      <c r="E13" t="s">
        <v>327</v>
      </c>
      <c r="F13" t="s">
        <v>328</v>
      </c>
      <c r="G13" t="s">
        <v>71</v>
      </c>
      <c r="H13" t="s">
        <v>72</v>
      </c>
      <c r="I13" t="s">
        <v>56</v>
      </c>
      <c r="J13" t="s">
        <v>123</v>
      </c>
      <c r="K13" t="s">
        <v>309</v>
      </c>
      <c r="L13" s="10" t="s">
        <v>310</v>
      </c>
      <c r="M13">
        <f>VLOOKUP($D13,[1]shs_tobacco_control!$D$13:$Y$7014,3,)</f>
        <v>1</v>
      </c>
      <c r="N13">
        <f>VLOOKUP($D13,[1]shs_tobacco_control!$D$13:$Y$7014,4,)</f>
        <v>0</v>
      </c>
      <c r="O13">
        <f>VLOOKUP($D13,[1]shs_tobacco_control!$D$13:$Y$7014,5,)</f>
        <v>1</v>
      </c>
      <c r="P13">
        <f>VLOOKUP($D13,[1]shs_tobacco_control!$D$13:$Y$7014,6,)</f>
        <v>0</v>
      </c>
      <c r="Q13">
        <f>VLOOKUP($D13,[1]shs_tobacco_control!$D$13:$Y$7014,7,)</f>
        <v>0</v>
      </c>
      <c r="R13">
        <f>VLOOKUP($D13,[1]shs_tobacco_control!$D$13:$Y$7014,8,)</f>
        <v>1</v>
      </c>
      <c r="S13">
        <f>VLOOKUP($D13,[1]shs_tobacco_control!$D$13:$Y$7014,9,)</f>
        <v>0</v>
      </c>
      <c r="T13">
        <f>VLOOKUP($D13,[1]shs_tobacco_control!$D$13:$Y$7014,10,)</f>
        <v>0</v>
      </c>
      <c r="U13">
        <f>VLOOKUP($D13,[1]shs_tobacco_control!$D$13:$Y$7014,11,)</f>
        <v>0</v>
      </c>
      <c r="V13">
        <f>VLOOKUP($D13,[1]shs_tobacco_control!$D$13:$Y$7014,12,)</f>
        <v>0</v>
      </c>
      <c r="W13">
        <f>VLOOKUP($D13,[1]shs_tobacco_control!$D$13:$Y$7014,13,)</f>
        <v>0</v>
      </c>
      <c r="X13">
        <f>VLOOKUP($D13,[1]shs_tobacco_control!$D$13:$Y$7014,14,)</f>
        <v>0</v>
      </c>
      <c r="Y13">
        <f>VLOOKUP($D13,[1]shs_tobacco_control!$D$13:$Y$7014,15,)</f>
        <v>0</v>
      </c>
      <c r="Z13">
        <f>VLOOKUP($D13,[1]shs_tobacco_control!$D$13:$Y$7014,16,)</f>
        <v>1</v>
      </c>
      <c r="AA13">
        <f>VLOOKUP($D13,[1]shs_tobacco_control!$D$13:$Y$7014,17,)</f>
        <v>0</v>
      </c>
      <c r="AB13">
        <f>VLOOKUP($D13,[1]shs_tobacco_control!$D$13:$Y$7014,18,)</f>
        <v>0</v>
      </c>
      <c r="AC13">
        <f>VLOOKUP($D13,[1]shs_tobacco_control!$D$13:$Y$7014,19,)</f>
        <v>0</v>
      </c>
      <c r="AD13">
        <f>VLOOKUP($D13,[1]shs_tobacco_control!$D$13:$Y$7014,20,)</f>
        <v>0</v>
      </c>
      <c r="AE13">
        <f>VLOOKUP($D13,[1]shs_tobacco_control!$D$13:$Y$7014,21,)</f>
        <v>0</v>
      </c>
      <c r="AF13">
        <f>VLOOKUP($D13,[1]shs_tobacco_control!$D$13:$Y$7014,22,)</f>
        <v>0</v>
      </c>
    </row>
    <row r="14" spans="1:33" x14ac:dyDescent="0.25">
      <c r="A14" t="s">
        <v>55</v>
      </c>
      <c r="B14" t="s">
        <v>67</v>
      </c>
      <c r="C14" t="s">
        <v>105</v>
      </c>
      <c r="D14">
        <v>304314</v>
      </c>
      <c r="E14" t="s">
        <v>329</v>
      </c>
      <c r="F14" t="s">
        <v>144</v>
      </c>
      <c r="G14" t="s">
        <v>71</v>
      </c>
      <c r="H14" t="s">
        <v>72</v>
      </c>
      <c r="I14" t="s">
        <v>56</v>
      </c>
      <c r="J14" t="s">
        <v>145</v>
      </c>
      <c r="K14" t="s">
        <v>309</v>
      </c>
      <c r="L14" s="10" t="s">
        <v>310</v>
      </c>
      <c r="M14">
        <f>VLOOKUP($D14,[1]shs_tobacco_control!$D$13:$Y$7014,3,)</f>
        <v>1</v>
      </c>
      <c r="N14">
        <f>VLOOKUP($D14,[1]shs_tobacco_control!$D$13:$Y$7014,4,)</f>
        <v>0</v>
      </c>
      <c r="O14">
        <f>VLOOKUP($D14,[1]shs_tobacco_control!$D$13:$Y$7014,5,)</f>
        <v>1</v>
      </c>
      <c r="P14">
        <f>VLOOKUP($D14,[1]shs_tobacco_control!$D$13:$Y$7014,6,)</f>
        <v>0</v>
      </c>
      <c r="Q14">
        <f>VLOOKUP($D14,[1]shs_tobacco_control!$D$13:$Y$7014,7,)</f>
        <v>1</v>
      </c>
      <c r="R14">
        <f>VLOOKUP($D14,[1]shs_tobacco_control!$D$13:$Y$7014,8,)</f>
        <v>0</v>
      </c>
      <c r="S14">
        <f>VLOOKUP($D14,[1]shs_tobacco_control!$D$13:$Y$7014,9,)</f>
        <v>0</v>
      </c>
      <c r="T14">
        <f>VLOOKUP($D14,[1]shs_tobacco_control!$D$13:$Y$7014,10,)</f>
        <v>0</v>
      </c>
      <c r="U14">
        <f>VLOOKUP($D14,[1]shs_tobacco_control!$D$13:$Y$7014,11,)</f>
        <v>0</v>
      </c>
      <c r="V14">
        <f>VLOOKUP($D14,[1]shs_tobacco_control!$D$13:$Y$7014,12,)</f>
        <v>0</v>
      </c>
      <c r="W14">
        <f>VLOOKUP($D14,[1]shs_tobacco_control!$D$13:$Y$7014,13,)</f>
        <v>0</v>
      </c>
      <c r="X14">
        <f>VLOOKUP($D14,[1]shs_tobacco_control!$D$13:$Y$7014,14,)</f>
        <v>0</v>
      </c>
      <c r="Y14">
        <f>VLOOKUP($D14,[1]shs_tobacco_control!$D$13:$Y$7014,15,)</f>
        <v>0</v>
      </c>
      <c r="Z14">
        <f>VLOOKUP($D14,[1]shs_tobacco_control!$D$13:$Y$7014,16,)</f>
        <v>0</v>
      </c>
      <c r="AA14">
        <f>VLOOKUP($D14,[1]shs_tobacco_control!$D$13:$Y$7014,17,)</f>
        <v>0</v>
      </c>
      <c r="AB14">
        <f>VLOOKUP($D14,[1]shs_tobacco_control!$D$13:$Y$7014,18,)</f>
        <v>0</v>
      </c>
      <c r="AC14">
        <f>VLOOKUP($D14,[1]shs_tobacco_control!$D$13:$Y$7014,19,)</f>
        <v>0</v>
      </c>
      <c r="AD14">
        <f>VLOOKUP($D14,[1]shs_tobacco_control!$D$13:$Y$7014,20,)</f>
        <v>0</v>
      </c>
      <c r="AE14">
        <f>VLOOKUP($D14,[1]shs_tobacco_control!$D$13:$Y$7014,21,)</f>
        <v>0</v>
      </c>
      <c r="AF14">
        <f>VLOOKUP($D14,[1]shs_tobacco_control!$D$13:$Y$7014,22,)</f>
        <v>0</v>
      </c>
    </row>
    <row r="15" spans="1:33" x14ac:dyDescent="0.25">
      <c r="A15" t="s">
        <v>55</v>
      </c>
      <c r="B15" t="s">
        <v>67</v>
      </c>
      <c r="C15" t="s">
        <v>105</v>
      </c>
      <c r="D15">
        <v>304327</v>
      </c>
      <c r="E15" t="s">
        <v>330</v>
      </c>
      <c r="F15" t="s">
        <v>331</v>
      </c>
      <c r="G15" t="s">
        <v>71</v>
      </c>
      <c r="H15" t="s">
        <v>72</v>
      </c>
      <c r="I15" t="s">
        <v>56</v>
      </c>
      <c r="J15" t="s">
        <v>142</v>
      </c>
      <c r="K15" t="s">
        <v>309</v>
      </c>
      <c r="L15" s="10" t="s">
        <v>310</v>
      </c>
      <c r="M15">
        <f>VLOOKUP($D15,[1]shs_tobacco_control!$D$13:$Y$7014,3,)</f>
        <v>0</v>
      </c>
      <c r="N15">
        <f>VLOOKUP($D15,[1]shs_tobacco_control!$D$13:$Y$7014,4,)</f>
        <v>0</v>
      </c>
      <c r="O15">
        <f>VLOOKUP($D15,[1]shs_tobacco_control!$D$13:$Y$7014,5,)</f>
        <v>0</v>
      </c>
      <c r="P15">
        <f>VLOOKUP($D15,[1]shs_tobacco_control!$D$13:$Y$7014,6,)</f>
        <v>0</v>
      </c>
      <c r="Q15">
        <f>VLOOKUP($D15,[1]shs_tobacco_control!$D$13:$Y$7014,7,)</f>
        <v>0</v>
      </c>
      <c r="R15">
        <f>VLOOKUP($D15,[1]shs_tobacco_control!$D$13:$Y$7014,8,)</f>
        <v>0</v>
      </c>
      <c r="S15">
        <f>VLOOKUP($D15,[1]shs_tobacco_control!$D$13:$Y$7014,9,)</f>
        <v>0</v>
      </c>
      <c r="T15">
        <f>VLOOKUP($D15,[1]shs_tobacco_control!$D$13:$Y$7014,10,)</f>
        <v>0</v>
      </c>
      <c r="U15">
        <f>VLOOKUP($D15,[1]shs_tobacco_control!$D$13:$Y$7014,11,)</f>
        <v>0</v>
      </c>
      <c r="V15">
        <f>VLOOKUP($D15,[1]shs_tobacco_control!$D$13:$Y$7014,12,)</f>
        <v>0</v>
      </c>
      <c r="W15">
        <f>VLOOKUP($D15,[1]shs_tobacco_control!$D$13:$Y$7014,13,)</f>
        <v>0</v>
      </c>
      <c r="X15">
        <f>VLOOKUP($D15,[1]shs_tobacco_control!$D$13:$Y$7014,14,)</f>
        <v>0</v>
      </c>
      <c r="Y15">
        <f>VLOOKUP($D15,[1]shs_tobacco_control!$D$13:$Y$7014,15,)</f>
        <v>0</v>
      </c>
      <c r="Z15">
        <f>VLOOKUP($D15,[1]shs_tobacco_control!$D$13:$Y$7014,16,)</f>
        <v>0</v>
      </c>
      <c r="AA15">
        <f>VLOOKUP($D15,[1]shs_tobacco_control!$D$13:$Y$7014,17,)</f>
        <v>0</v>
      </c>
      <c r="AB15">
        <f>VLOOKUP($D15,[1]shs_tobacco_control!$D$13:$Y$7014,18,)</f>
        <v>0</v>
      </c>
      <c r="AC15">
        <f>VLOOKUP($D15,[1]shs_tobacco_control!$D$13:$Y$7014,19,)</f>
        <v>0</v>
      </c>
      <c r="AD15">
        <f>VLOOKUP($D15,[1]shs_tobacco_control!$D$13:$Y$7014,20,)</f>
        <v>0</v>
      </c>
      <c r="AE15">
        <f>VLOOKUP($D15,[1]shs_tobacco_control!$D$13:$Y$7014,21,)</f>
        <v>0</v>
      </c>
      <c r="AF15">
        <f>VLOOKUP($D15,[1]shs_tobacco_control!$D$13:$Y$7014,22,)</f>
        <v>0</v>
      </c>
    </row>
    <row r="16" spans="1:33" x14ac:dyDescent="0.25">
      <c r="A16" t="s">
        <v>55</v>
      </c>
      <c r="B16" t="s">
        <v>67</v>
      </c>
      <c r="C16" t="s">
        <v>105</v>
      </c>
      <c r="D16">
        <v>304328</v>
      </c>
      <c r="E16" t="s">
        <v>332</v>
      </c>
      <c r="F16" t="s">
        <v>333</v>
      </c>
      <c r="G16" t="s">
        <v>71</v>
      </c>
      <c r="H16" t="s">
        <v>72</v>
      </c>
      <c r="I16" t="s">
        <v>56</v>
      </c>
      <c r="J16" t="s">
        <v>118</v>
      </c>
      <c r="K16" t="s">
        <v>309</v>
      </c>
      <c r="L16" s="10" t="s">
        <v>310</v>
      </c>
      <c r="M16">
        <f>VLOOKUP($D16,[1]shs_tobacco_control!$D$13:$Y$7014,3,)</f>
        <v>0</v>
      </c>
      <c r="N16">
        <f>VLOOKUP($D16,[1]shs_tobacco_control!$D$13:$Y$7014,4,)</f>
        <v>0</v>
      </c>
      <c r="O16">
        <f>VLOOKUP($D16,[1]shs_tobacco_control!$D$13:$Y$7014,5,)</f>
        <v>1</v>
      </c>
      <c r="P16">
        <f>VLOOKUP($D16,[1]shs_tobacco_control!$D$13:$Y$7014,6,)</f>
        <v>0</v>
      </c>
      <c r="Q16">
        <f>VLOOKUP($D16,[1]shs_tobacco_control!$D$13:$Y$7014,7,)</f>
        <v>0</v>
      </c>
      <c r="R16">
        <f>VLOOKUP($D16,[1]shs_tobacco_control!$D$13:$Y$7014,8,)</f>
        <v>1</v>
      </c>
      <c r="S16">
        <f>VLOOKUP($D16,[1]shs_tobacco_control!$D$13:$Y$7014,9,)</f>
        <v>0</v>
      </c>
      <c r="T16">
        <f>VLOOKUP($D16,[1]shs_tobacco_control!$D$13:$Y$7014,10,)</f>
        <v>0</v>
      </c>
      <c r="U16">
        <f>VLOOKUP($D16,[1]shs_tobacco_control!$D$13:$Y$7014,11,)</f>
        <v>0</v>
      </c>
      <c r="V16">
        <f>VLOOKUP($D16,[1]shs_tobacco_control!$D$13:$Y$7014,12,)</f>
        <v>0</v>
      </c>
      <c r="W16">
        <f>VLOOKUP($D16,[1]shs_tobacco_control!$D$13:$Y$7014,13,)</f>
        <v>0</v>
      </c>
      <c r="X16">
        <f>VLOOKUP($D16,[1]shs_tobacco_control!$D$13:$Y$7014,14,)</f>
        <v>0</v>
      </c>
      <c r="Y16">
        <f>VLOOKUP($D16,[1]shs_tobacco_control!$D$13:$Y$7014,15,)</f>
        <v>0</v>
      </c>
      <c r="Z16">
        <f>VLOOKUP($D16,[1]shs_tobacco_control!$D$13:$Y$7014,16,)</f>
        <v>0</v>
      </c>
      <c r="AA16">
        <f>VLOOKUP($D16,[1]shs_tobacco_control!$D$13:$Y$7014,17,)</f>
        <v>0</v>
      </c>
      <c r="AB16">
        <f>VLOOKUP($D16,[1]shs_tobacco_control!$D$13:$Y$7014,18,)</f>
        <v>0</v>
      </c>
      <c r="AC16">
        <f>VLOOKUP($D16,[1]shs_tobacco_control!$D$13:$Y$7014,19,)</f>
        <v>0</v>
      </c>
      <c r="AD16">
        <f>VLOOKUP($D16,[1]shs_tobacco_control!$D$13:$Y$7014,20,)</f>
        <v>0</v>
      </c>
      <c r="AE16">
        <f>VLOOKUP($D16,[1]shs_tobacco_control!$D$13:$Y$7014,21,)</f>
        <v>0</v>
      </c>
      <c r="AF16">
        <f>VLOOKUP($D16,[1]shs_tobacco_control!$D$13:$Y$7014,22,)</f>
        <v>0</v>
      </c>
    </row>
    <row r="17" spans="1:32" x14ac:dyDescent="0.25">
      <c r="A17" t="s">
        <v>55</v>
      </c>
      <c r="B17" t="s">
        <v>67</v>
      </c>
      <c r="C17" t="s">
        <v>105</v>
      </c>
      <c r="D17">
        <v>304338</v>
      </c>
      <c r="E17" t="s">
        <v>334</v>
      </c>
      <c r="F17" t="s">
        <v>335</v>
      </c>
      <c r="G17" t="s">
        <v>71</v>
      </c>
      <c r="H17" t="s">
        <v>72</v>
      </c>
      <c r="I17" t="s">
        <v>56</v>
      </c>
      <c r="J17" t="s">
        <v>160</v>
      </c>
      <c r="K17" t="s">
        <v>309</v>
      </c>
      <c r="L17" s="10" t="s">
        <v>310</v>
      </c>
      <c r="M17">
        <f>VLOOKUP($D17,[1]shs_tobacco_control!$D$13:$Y$7014,3,)</f>
        <v>1</v>
      </c>
      <c r="N17">
        <f>VLOOKUP($D17,[1]shs_tobacco_control!$D$13:$Y$7014,4,)</f>
        <v>1</v>
      </c>
      <c r="O17">
        <f>VLOOKUP($D17,[1]shs_tobacco_control!$D$13:$Y$7014,5,)</f>
        <v>1</v>
      </c>
      <c r="P17">
        <f>VLOOKUP($D17,[1]shs_tobacco_control!$D$13:$Y$7014,6,)</f>
        <v>0</v>
      </c>
      <c r="Q17">
        <f>VLOOKUP($D17,[1]shs_tobacco_control!$D$13:$Y$7014,7,)</f>
        <v>0</v>
      </c>
      <c r="R17">
        <f>VLOOKUP($D17,[1]shs_tobacco_control!$D$13:$Y$7014,8,)</f>
        <v>0</v>
      </c>
      <c r="S17">
        <f>VLOOKUP($D17,[1]shs_tobacco_control!$D$13:$Y$7014,9,)</f>
        <v>0</v>
      </c>
      <c r="T17">
        <f>VLOOKUP($D17,[1]shs_tobacco_control!$D$13:$Y$7014,10,)</f>
        <v>0</v>
      </c>
      <c r="U17">
        <f>VLOOKUP($D17,[1]shs_tobacco_control!$D$13:$Y$7014,11,)</f>
        <v>0</v>
      </c>
      <c r="V17">
        <f>VLOOKUP($D17,[1]shs_tobacco_control!$D$13:$Y$7014,12,)</f>
        <v>0</v>
      </c>
      <c r="W17">
        <f>VLOOKUP($D17,[1]shs_tobacco_control!$D$13:$Y$7014,13,)</f>
        <v>0</v>
      </c>
      <c r="X17">
        <f>VLOOKUP($D17,[1]shs_tobacco_control!$D$13:$Y$7014,14,)</f>
        <v>0</v>
      </c>
      <c r="Y17">
        <f>VLOOKUP($D17,[1]shs_tobacco_control!$D$13:$Y$7014,15,)</f>
        <v>0</v>
      </c>
      <c r="Z17">
        <f>VLOOKUP($D17,[1]shs_tobacco_control!$D$13:$Y$7014,16,)</f>
        <v>0</v>
      </c>
      <c r="AA17">
        <f>VLOOKUP($D17,[1]shs_tobacco_control!$D$13:$Y$7014,17,)</f>
        <v>0</v>
      </c>
      <c r="AB17">
        <f>VLOOKUP($D17,[1]shs_tobacco_control!$D$13:$Y$7014,18,)</f>
        <v>0</v>
      </c>
      <c r="AC17">
        <f>VLOOKUP($D17,[1]shs_tobacco_control!$D$13:$Y$7014,19,)</f>
        <v>0</v>
      </c>
      <c r="AD17">
        <f>VLOOKUP($D17,[1]shs_tobacco_control!$D$13:$Y$7014,20,)</f>
        <v>0</v>
      </c>
      <c r="AE17">
        <f>VLOOKUP($D17,[1]shs_tobacco_control!$D$13:$Y$7014,21,)</f>
        <v>0</v>
      </c>
      <c r="AF17">
        <f>VLOOKUP($D17,[1]shs_tobacco_control!$D$13:$Y$7014,22,)</f>
        <v>0</v>
      </c>
    </row>
    <row r="18" spans="1:32" x14ac:dyDescent="0.25">
      <c r="A18" t="s">
        <v>55</v>
      </c>
      <c r="B18" t="s">
        <v>67</v>
      </c>
      <c r="C18" t="s">
        <v>105</v>
      </c>
      <c r="D18">
        <v>316104</v>
      </c>
      <c r="E18" t="s">
        <v>336</v>
      </c>
      <c r="F18" t="s">
        <v>284</v>
      </c>
      <c r="G18" t="s">
        <v>71</v>
      </c>
      <c r="H18" t="s">
        <v>72</v>
      </c>
      <c r="I18" t="s">
        <v>56</v>
      </c>
      <c r="J18" t="s">
        <v>129</v>
      </c>
      <c r="K18" t="s">
        <v>309</v>
      </c>
      <c r="L18" s="10" t="s">
        <v>310</v>
      </c>
      <c r="M18">
        <f>VLOOKUP($D18,[1]shs_tobacco_control!$D$13:$Y$7014,3,)</f>
        <v>1</v>
      </c>
      <c r="N18">
        <f>VLOOKUP($D18,[1]shs_tobacco_control!$D$13:$Y$7014,4,)</f>
        <v>0</v>
      </c>
      <c r="O18">
        <f>VLOOKUP($D18,[1]shs_tobacco_control!$D$13:$Y$7014,5,)</f>
        <v>1</v>
      </c>
      <c r="P18">
        <f>VLOOKUP($D18,[1]shs_tobacco_control!$D$13:$Y$7014,6,)</f>
        <v>0</v>
      </c>
      <c r="Q18">
        <f>VLOOKUP($D18,[1]shs_tobacco_control!$D$13:$Y$7014,7,)</f>
        <v>0</v>
      </c>
      <c r="R18">
        <f>VLOOKUP($D18,[1]shs_tobacco_control!$D$13:$Y$7014,8,)</f>
        <v>0</v>
      </c>
      <c r="S18">
        <f>VLOOKUP($D18,[1]shs_tobacco_control!$D$13:$Y$7014,9,)</f>
        <v>0</v>
      </c>
      <c r="T18">
        <f>VLOOKUP($D18,[1]shs_tobacco_control!$D$13:$Y$7014,10,)</f>
        <v>0</v>
      </c>
      <c r="U18">
        <f>VLOOKUP($D18,[1]shs_tobacco_control!$D$13:$Y$7014,11,)</f>
        <v>0</v>
      </c>
      <c r="V18">
        <f>VLOOKUP($D18,[1]shs_tobacco_control!$D$13:$Y$7014,12,)</f>
        <v>0</v>
      </c>
      <c r="W18">
        <f>VLOOKUP($D18,[1]shs_tobacco_control!$D$13:$Y$7014,13,)</f>
        <v>0</v>
      </c>
      <c r="X18">
        <f>VLOOKUP($D18,[1]shs_tobacco_control!$D$13:$Y$7014,14,)</f>
        <v>0</v>
      </c>
      <c r="Y18">
        <f>VLOOKUP($D18,[1]shs_tobacco_control!$D$13:$Y$7014,15,)</f>
        <v>0</v>
      </c>
      <c r="Z18">
        <f>VLOOKUP($D18,[1]shs_tobacco_control!$D$13:$Y$7014,16,)</f>
        <v>0</v>
      </c>
      <c r="AA18">
        <f>VLOOKUP($D18,[1]shs_tobacco_control!$D$13:$Y$7014,17,)</f>
        <v>0</v>
      </c>
      <c r="AB18">
        <f>VLOOKUP($D18,[1]shs_tobacco_control!$D$13:$Y$7014,18,)</f>
        <v>0</v>
      </c>
      <c r="AC18">
        <f>VLOOKUP($D18,[1]shs_tobacco_control!$D$13:$Y$7014,19,)</f>
        <v>0</v>
      </c>
      <c r="AD18">
        <f>VLOOKUP($D18,[1]shs_tobacco_control!$D$13:$Y$7014,20,)</f>
        <v>0</v>
      </c>
      <c r="AE18">
        <f>VLOOKUP($D18,[1]shs_tobacco_control!$D$13:$Y$7014,21,)</f>
        <v>0</v>
      </c>
      <c r="AF18">
        <f>VLOOKUP($D18,[1]shs_tobacco_control!$D$13:$Y$7014,22,)</f>
        <v>0</v>
      </c>
    </row>
    <row r="19" spans="1:32" x14ac:dyDescent="0.25">
      <c r="A19" t="s">
        <v>55</v>
      </c>
      <c r="B19" t="s">
        <v>67</v>
      </c>
      <c r="C19" t="s">
        <v>105</v>
      </c>
      <c r="D19">
        <v>325102</v>
      </c>
      <c r="E19" t="s">
        <v>339</v>
      </c>
      <c r="F19" t="s">
        <v>340</v>
      </c>
      <c r="G19" t="s">
        <v>71</v>
      </c>
      <c r="H19" t="s">
        <v>72</v>
      </c>
      <c r="I19" t="s">
        <v>56</v>
      </c>
      <c r="J19" t="s">
        <v>115</v>
      </c>
      <c r="K19" t="s">
        <v>309</v>
      </c>
      <c r="L19" s="10" t="s">
        <v>310</v>
      </c>
      <c r="M19">
        <f>VLOOKUP($D19,[1]shs_tobacco_control!$D$13:$Y$7014,3,)</f>
        <v>1</v>
      </c>
      <c r="N19">
        <f>VLOOKUP($D19,[1]shs_tobacco_control!$D$13:$Y$7014,4,)</f>
        <v>1</v>
      </c>
      <c r="O19">
        <f>VLOOKUP($D19,[1]shs_tobacco_control!$D$13:$Y$7014,5,)</f>
        <v>1</v>
      </c>
      <c r="P19">
        <f>VLOOKUP($D19,[1]shs_tobacco_control!$D$13:$Y$7014,6,)</f>
        <v>0</v>
      </c>
      <c r="Q19">
        <f>VLOOKUP($D19,[1]shs_tobacco_control!$D$13:$Y$7014,7,)</f>
        <v>1</v>
      </c>
      <c r="R19">
        <f>VLOOKUP($D19,[1]shs_tobacco_control!$D$13:$Y$7014,8,)</f>
        <v>0</v>
      </c>
      <c r="S19">
        <f>VLOOKUP($D19,[1]shs_tobacco_control!$D$13:$Y$7014,9,)</f>
        <v>0</v>
      </c>
      <c r="T19">
        <f>VLOOKUP($D19,[1]shs_tobacco_control!$D$13:$Y$7014,10,)</f>
        <v>0</v>
      </c>
      <c r="U19">
        <f>VLOOKUP($D19,[1]shs_tobacco_control!$D$13:$Y$7014,11,)</f>
        <v>0</v>
      </c>
      <c r="V19">
        <f>VLOOKUP($D19,[1]shs_tobacco_control!$D$13:$Y$7014,12,)</f>
        <v>0</v>
      </c>
      <c r="W19">
        <f>VLOOKUP($D19,[1]shs_tobacco_control!$D$13:$Y$7014,13,)</f>
        <v>0</v>
      </c>
      <c r="X19">
        <f>VLOOKUP($D19,[1]shs_tobacco_control!$D$13:$Y$7014,14,)</f>
        <v>0</v>
      </c>
      <c r="Y19">
        <f>VLOOKUP($D19,[1]shs_tobacco_control!$D$13:$Y$7014,15,)</f>
        <v>1</v>
      </c>
      <c r="Z19">
        <f>VLOOKUP($D19,[1]shs_tobacco_control!$D$13:$Y$7014,16,)</f>
        <v>0</v>
      </c>
      <c r="AA19">
        <f>VLOOKUP($D19,[1]shs_tobacco_control!$D$13:$Y$7014,17,)</f>
        <v>0</v>
      </c>
      <c r="AB19">
        <f>VLOOKUP($D19,[1]shs_tobacco_control!$D$13:$Y$7014,18,)</f>
        <v>0</v>
      </c>
      <c r="AC19">
        <f>VLOOKUP($D19,[1]shs_tobacco_control!$D$13:$Y$7014,19,)</f>
        <v>0</v>
      </c>
      <c r="AD19">
        <f>VLOOKUP($D19,[1]shs_tobacco_control!$D$13:$Y$7014,20,)</f>
        <v>0</v>
      </c>
      <c r="AE19">
        <f>VLOOKUP($D19,[1]shs_tobacco_control!$D$13:$Y$7014,21,)</f>
        <v>0</v>
      </c>
      <c r="AF19">
        <f>VLOOKUP($D19,[1]shs_tobacco_control!$D$13:$Y$7014,22,)</f>
        <v>0</v>
      </c>
    </row>
    <row r="20" spans="1:32" x14ac:dyDescent="0.25">
      <c r="A20" t="s">
        <v>55</v>
      </c>
      <c r="B20" t="s">
        <v>67</v>
      </c>
      <c r="C20" t="s">
        <v>105</v>
      </c>
      <c r="D20">
        <v>325106</v>
      </c>
      <c r="E20" t="s">
        <v>341</v>
      </c>
      <c r="F20" t="s">
        <v>202</v>
      </c>
      <c r="G20" t="s">
        <v>71</v>
      </c>
      <c r="H20" t="s">
        <v>72</v>
      </c>
      <c r="I20" t="s">
        <v>56</v>
      </c>
      <c r="J20" t="s">
        <v>171</v>
      </c>
      <c r="K20" t="s">
        <v>309</v>
      </c>
      <c r="L20" s="10" t="s">
        <v>310</v>
      </c>
      <c r="M20">
        <f>VLOOKUP($D20,[1]shs_tobacco_control!$D$13:$Y$7014,3,)</f>
        <v>1</v>
      </c>
      <c r="N20">
        <f>VLOOKUP($D20,[1]shs_tobacco_control!$D$13:$Y$7014,4,)</f>
        <v>1</v>
      </c>
      <c r="O20">
        <f>VLOOKUP($D20,[1]shs_tobacco_control!$D$13:$Y$7014,5,)</f>
        <v>1</v>
      </c>
      <c r="P20">
        <f>VLOOKUP($D20,[1]shs_tobacco_control!$D$13:$Y$7014,6,)</f>
        <v>0</v>
      </c>
      <c r="Q20">
        <f>VLOOKUP($D20,[1]shs_tobacco_control!$D$13:$Y$7014,7,)</f>
        <v>0</v>
      </c>
      <c r="R20">
        <f>VLOOKUP($D20,[1]shs_tobacco_control!$D$13:$Y$7014,8,)</f>
        <v>1</v>
      </c>
      <c r="S20">
        <f>VLOOKUP($D20,[1]shs_tobacco_control!$D$13:$Y$7014,9,)</f>
        <v>0</v>
      </c>
      <c r="T20">
        <f>VLOOKUP($D20,[1]shs_tobacco_control!$D$13:$Y$7014,10,)</f>
        <v>0</v>
      </c>
      <c r="U20">
        <f>VLOOKUP($D20,[1]shs_tobacco_control!$D$13:$Y$7014,11,)</f>
        <v>1</v>
      </c>
      <c r="V20">
        <f>VLOOKUP($D20,[1]shs_tobacco_control!$D$13:$Y$7014,12,)</f>
        <v>0</v>
      </c>
      <c r="W20">
        <f>VLOOKUP($D20,[1]shs_tobacco_control!$D$13:$Y$7014,13,)</f>
        <v>0</v>
      </c>
      <c r="X20">
        <f>VLOOKUP($D20,[1]shs_tobacco_control!$D$13:$Y$7014,14,)</f>
        <v>0</v>
      </c>
      <c r="Y20">
        <f>VLOOKUP($D20,[1]shs_tobacco_control!$D$13:$Y$7014,15,)</f>
        <v>0</v>
      </c>
      <c r="Z20">
        <f>VLOOKUP($D20,[1]shs_tobacco_control!$D$13:$Y$7014,16,)</f>
        <v>0</v>
      </c>
      <c r="AA20">
        <f>VLOOKUP($D20,[1]shs_tobacco_control!$D$13:$Y$7014,17,)</f>
        <v>0</v>
      </c>
      <c r="AB20">
        <f>VLOOKUP($D20,[1]shs_tobacco_control!$D$13:$Y$7014,18,)</f>
        <v>0</v>
      </c>
      <c r="AC20">
        <f>VLOOKUP($D20,[1]shs_tobacco_control!$D$13:$Y$7014,19,)</f>
        <v>1</v>
      </c>
      <c r="AD20">
        <f>VLOOKUP($D20,[1]shs_tobacco_control!$D$13:$Y$7014,20,)</f>
        <v>0</v>
      </c>
      <c r="AE20">
        <f>VLOOKUP($D20,[1]shs_tobacco_control!$D$13:$Y$7014,21,)</f>
        <v>0</v>
      </c>
      <c r="AF20">
        <f>VLOOKUP($D20,[1]shs_tobacco_control!$D$13:$Y$7014,22,)</f>
        <v>0</v>
      </c>
    </row>
    <row r="21" spans="1:32" x14ac:dyDescent="0.25">
      <c r="A21" t="s">
        <v>55</v>
      </c>
      <c r="B21" t="s">
        <v>67</v>
      </c>
      <c r="C21" t="s">
        <v>174</v>
      </c>
      <c r="D21">
        <v>304313</v>
      </c>
      <c r="E21" t="s">
        <v>342</v>
      </c>
      <c r="F21" t="s">
        <v>343</v>
      </c>
      <c r="G21" t="s">
        <v>71</v>
      </c>
      <c r="H21" t="s">
        <v>72</v>
      </c>
      <c r="I21" t="s">
        <v>56</v>
      </c>
      <c r="J21" t="s">
        <v>184</v>
      </c>
      <c r="K21" t="s">
        <v>309</v>
      </c>
      <c r="L21" s="10" t="s">
        <v>310</v>
      </c>
      <c r="M21">
        <f>VLOOKUP($D21,[1]shs_tobacco_control!$D$13:$Y$7014,3,)</f>
        <v>1</v>
      </c>
      <c r="N21">
        <f>VLOOKUP($D21,[1]shs_tobacco_control!$D$13:$Y$7014,4,)</f>
        <v>0</v>
      </c>
      <c r="O21">
        <f>VLOOKUP($D21,[1]shs_tobacco_control!$D$13:$Y$7014,5,)</f>
        <v>1</v>
      </c>
      <c r="P21">
        <f>VLOOKUP($D21,[1]shs_tobacco_control!$D$13:$Y$7014,6,)</f>
        <v>0</v>
      </c>
      <c r="Q21">
        <f>VLOOKUP($D21,[1]shs_tobacco_control!$D$13:$Y$7014,7,)</f>
        <v>0</v>
      </c>
      <c r="R21">
        <f>VLOOKUP($D21,[1]shs_tobacco_control!$D$13:$Y$7014,8,)</f>
        <v>0</v>
      </c>
      <c r="S21">
        <f>VLOOKUP($D21,[1]shs_tobacco_control!$D$13:$Y$7014,9,)</f>
        <v>1</v>
      </c>
      <c r="T21" t="str">
        <f>VLOOKUP($D21,[1]shs_tobacco_control!$D$13:$Y$7014,10,)</f>
        <v>as the need arises</v>
      </c>
      <c r="U21">
        <f>VLOOKUP($D21,[1]shs_tobacco_control!$D$13:$Y$7014,11,)</f>
        <v>0</v>
      </c>
      <c r="V21">
        <f>VLOOKUP($D21,[1]shs_tobacco_control!$D$13:$Y$7014,12,)</f>
        <v>0</v>
      </c>
      <c r="W21">
        <f>VLOOKUP($D21,[1]shs_tobacco_control!$D$13:$Y$7014,13,)</f>
        <v>0</v>
      </c>
      <c r="X21">
        <f>VLOOKUP($D21,[1]shs_tobacco_control!$D$13:$Y$7014,14,)</f>
        <v>0</v>
      </c>
      <c r="Y21">
        <f>VLOOKUP($D21,[1]shs_tobacco_control!$D$13:$Y$7014,15,)</f>
        <v>0</v>
      </c>
      <c r="Z21">
        <f>VLOOKUP($D21,[1]shs_tobacco_control!$D$13:$Y$7014,16,)</f>
        <v>0</v>
      </c>
      <c r="AA21">
        <f>VLOOKUP($D21,[1]shs_tobacco_control!$D$13:$Y$7014,17,)</f>
        <v>0</v>
      </c>
      <c r="AB21">
        <f>VLOOKUP($D21,[1]shs_tobacco_control!$D$13:$Y$7014,18,)</f>
        <v>0</v>
      </c>
      <c r="AC21">
        <f>VLOOKUP($D21,[1]shs_tobacco_control!$D$13:$Y$7014,19,)</f>
        <v>0</v>
      </c>
      <c r="AD21">
        <f>VLOOKUP($D21,[1]shs_tobacco_control!$D$13:$Y$7014,20,)</f>
        <v>0</v>
      </c>
      <c r="AE21">
        <f>VLOOKUP($D21,[1]shs_tobacco_control!$D$13:$Y$7014,21,)</f>
        <v>0</v>
      </c>
      <c r="AF21">
        <f>VLOOKUP($D21,[1]shs_tobacco_control!$D$13:$Y$7014,22,)</f>
        <v>0</v>
      </c>
    </row>
    <row r="22" spans="1:32" x14ac:dyDescent="0.25">
      <c r="A22" t="s">
        <v>55</v>
      </c>
      <c r="B22" t="s">
        <v>67</v>
      </c>
      <c r="C22" t="s">
        <v>174</v>
      </c>
      <c r="D22">
        <v>304318</v>
      </c>
      <c r="E22" t="s">
        <v>345</v>
      </c>
      <c r="F22" t="s">
        <v>346</v>
      </c>
      <c r="G22" t="s">
        <v>71</v>
      </c>
      <c r="H22" t="s">
        <v>72</v>
      </c>
      <c r="I22" t="s">
        <v>56</v>
      </c>
      <c r="J22" t="s">
        <v>194</v>
      </c>
      <c r="K22" t="s">
        <v>309</v>
      </c>
      <c r="L22" s="10" t="s">
        <v>310</v>
      </c>
      <c r="M22">
        <f>VLOOKUP($D22,[1]shs_tobacco_control!$D$13:$Y$7014,3,)</f>
        <v>1</v>
      </c>
      <c r="N22">
        <f>VLOOKUP($D22,[1]shs_tobacco_control!$D$13:$Y$7014,4,)</f>
        <v>0</v>
      </c>
      <c r="O22">
        <f>VLOOKUP($D22,[1]shs_tobacco_control!$D$13:$Y$7014,5,)</f>
        <v>0</v>
      </c>
      <c r="P22">
        <f>VLOOKUP($D22,[1]shs_tobacco_control!$D$13:$Y$7014,6,)</f>
        <v>0</v>
      </c>
      <c r="Q22">
        <f>VLOOKUP($D22,[1]shs_tobacco_control!$D$13:$Y$7014,7,)</f>
        <v>0</v>
      </c>
      <c r="R22">
        <f>VLOOKUP($D22,[1]shs_tobacco_control!$D$13:$Y$7014,8,)</f>
        <v>0</v>
      </c>
      <c r="S22">
        <f>VLOOKUP($D22,[1]shs_tobacco_control!$D$13:$Y$7014,9,)</f>
        <v>1</v>
      </c>
      <c r="T22" t="str">
        <f>VLOOKUP($D22,[1]shs_tobacco_control!$D$13:$Y$7014,10,)</f>
        <v>By Semester</v>
      </c>
      <c r="U22">
        <f>VLOOKUP($D22,[1]shs_tobacco_control!$D$13:$Y$7014,11,)</f>
        <v>1</v>
      </c>
      <c r="V22">
        <f>VLOOKUP($D22,[1]shs_tobacco_control!$D$13:$Y$7014,12,)</f>
        <v>43630</v>
      </c>
      <c r="W22">
        <f>VLOOKUP($D22,[1]shs_tobacco_control!$D$13:$Y$7014,13,)</f>
        <v>43756</v>
      </c>
      <c r="X22">
        <f>VLOOKUP($D22,[1]shs_tobacco_control!$D$13:$Y$7014,14,)</f>
        <v>0</v>
      </c>
      <c r="Y22">
        <f>VLOOKUP($D22,[1]shs_tobacco_control!$D$13:$Y$7014,15,)</f>
        <v>0</v>
      </c>
      <c r="Z22">
        <f>VLOOKUP($D22,[1]shs_tobacco_control!$D$13:$Y$7014,16,)</f>
        <v>0</v>
      </c>
      <c r="AA22">
        <f>VLOOKUP($D22,[1]shs_tobacco_control!$D$13:$Y$7014,17,)</f>
        <v>1</v>
      </c>
      <c r="AB22" t="str">
        <f>VLOOKUP($D22,[1]shs_tobacco_control!$D$13:$Y$7014,18,)</f>
        <v>By Semester</v>
      </c>
      <c r="AC22">
        <f>VLOOKUP($D22,[1]shs_tobacco_control!$D$13:$Y$7014,19,)</f>
        <v>1</v>
      </c>
      <c r="AD22">
        <f>VLOOKUP($D22,[1]shs_tobacco_control!$D$13:$Y$7014,20,)</f>
        <v>0</v>
      </c>
      <c r="AE22">
        <f>VLOOKUP($D22,[1]shs_tobacco_control!$D$13:$Y$7014,21,)</f>
        <v>0</v>
      </c>
      <c r="AF22">
        <f>VLOOKUP($D22,[1]shs_tobacco_control!$D$13:$Y$7014,22,)</f>
        <v>0</v>
      </c>
    </row>
    <row r="23" spans="1:32" x14ac:dyDescent="0.25">
      <c r="A23" t="s">
        <v>55</v>
      </c>
      <c r="B23" t="s">
        <v>67</v>
      </c>
      <c r="C23" t="s">
        <v>174</v>
      </c>
      <c r="D23">
        <v>325105</v>
      </c>
      <c r="E23" t="s">
        <v>348</v>
      </c>
      <c r="F23" t="s">
        <v>197</v>
      </c>
      <c r="G23" t="s">
        <v>71</v>
      </c>
      <c r="H23" t="s">
        <v>72</v>
      </c>
      <c r="I23" t="s">
        <v>56</v>
      </c>
      <c r="J23" t="s">
        <v>177</v>
      </c>
      <c r="K23" t="s">
        <v>309</v>
      </c>
      <c r="L23" s="10" t="s">
        <v>310</v>
      </c>
      <c r="M23">
        <f>VLOOKUP($D23,[1]shs_tobacco_control!$D$13:$Y$7014,3,)</f>
        <v>0</v>
      </c>
      <c r="N23">
        <f>VLOOKUP($D23,[1]shs_tobacco_control!$D$13:$Y$7014,4,)</f>
        <v>0</v>
      </c>
      <c r="O23">
        <f>VLOOKUP($D23,[1]shs_tobacco_control!$D$13:$Y$7014,5,)</f>
        <v>1</v>
      </c>
      <c r="P23">
        <f>VLOOKUP($D23,[1]shs_tobacco_control!$D$13:$Y$7014,6,)</f>
        <v>0</v>
      </c>
      <c r="Q23">
        <f>VLOOKUP($D23,[1]shs_tobacco_control!$D$13:$Y$7014,7,)</f>
        <v>0</v>
      </c>
      <c r="R23">
        <f>VLOOKUP($D23,[1]shs_tobacco_control!$D$13:$Y$7014,8,)</f>
        <v>0</v>
      </c>
      <c r="S23">
        <f>VLOOKUP($D23,[1]shs_tobacco_control!$D$13:$Y$7014,9,)</f>
        <v>0</v>
      </c>
      <c r="T23">
        <f>VLOOKUP($D23,[1]shs_tobacco_control!$D$13:$Y$7014,10,)</f>
        <v>0</v>
      </c>
      <c r="U23">
        <f>VLOOKUP($D23,[1]shs_tobacco_control!$D$13:$Y$7014,11,)</f>
        <v>1</v>
      </c>
      <c r="V23">
        <f>VLOOKUP($D23,[1]shs_tobacco_control!$D$13:$Y$7014,12,)</f>
        <v>0</v>
      </c>
      <c r="W23">
        <f>VLOOKUP($D23,[1]shs_tobacco_control!$D$13:$Y$7014,13,)</f>
        <v>0</v>
      </c>
      <c r="X23">
        <f>VLOOKUP($D23,[1]shs_tobacco_control!$D$13:$Y$7014,14,)</f>
        <v>0</v>
      </c>
      <c r="Y23">
        <f>VLOOKUP($D23,[1]shs_tobacco_control!$D$13:$Y$7014,15,)</f>
        <v>0</v>
      </c>
      <c r="Z23">
        <f>VLOOKUP($D23,[1]shs_tobacco_control!$D$13:$Y$7014,16,)</f>
        <v>0</v>
      </c>
      <c r="AA23">
        <f>VLOOKUP($D23,[1]shs_tobacco_control!$D$13:$Y$7014,17,)</f>
        <v>0</v>
      </c>
      <c r="AB23">
        <f>VLOOKUP($D23,[1]shs_tobacco_control!$D$13:$Y$7014,18,)</f>
        <v>0</v>
      </c>
      <c r="AC23">
        <f>VLOOKUP($D23,[1]shs_tobacco_control!$D$13:$Y$7014,19,)</f>
        <v>0</v>
      </c>
      <c r="AD23">
        <f>VLOOKUP($D23,[1]shs_tobacco_control!$D$13:$Y$7014,20,)</f>
        <v>0</v>
      </c>
      <c r="AE23">
        <f>VLOOKUP($D23,[1]shs_tobacco_control!$D$13:$Y$7014,21,)</f>
        <v>0</v>
      </c>
      <c r="AF23">
        <f>VLOOKUP($D23,[1]shs_tobacco_control!$D$13:$Y$7014,22,)</f>
        <v>0</v>
      </c>
    </row>
  </sheetData>
  <autoFilter ref="A7:AG23" xr:uid="{00000000-0009-0000-0000-000002000000}"/>
  <mergeCells count="9">
    <mergeCell ref="X5:AB5"/>
    <mergeCell ref="AC5:AC6"/>
    <mergeCell ref="AD5:AF5"/>
    <mergeCell ref="M5:N5"/>
    <mergeCell ref="O5:O6"/>
    <mergeCell ref="P5:T5"/>
    <mergeCell ref="U5:U6"/>
    <mergeCell ref="V5:V6"/>
    <mergeCell ref="W5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2023-08-04T02:50:08Z</dcterms:created>
  <dcterms:modified xsi:type="dcterms:W3CDTF">2023-08-04T02:51:50Z</dcterms:modified>
</cp:coreProperties>
</file>