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2B89FE57-0705-4927-9B3B-B8AF5EECBD92}" xr6:coauthVersionLast="47" xr6:coauthVersionMax="47" xr10:uidLastSave="{00000000-0000-0000-0000-000000000000}"/>
  <bookViews>
    <workbookView xWindow="-120" yWindow="-120" windowWidth="29040" windowHeight="15720" xr2:uid="{3DD4F3DC-83E1-4990-8437-937BCCF350CB}"/>
  </bookViews>
  <sheets>
    <sheet name="DATABASE" sheetId="1" r:id="rId1"/>
  </sheets>
  <definedNames>
    <definedName name="_xlnm._FilterDatabase" localSheetId="0" hidden="1">DATABASE!$A$7:$CX$78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78" i="1" l="1"/>
  <c r="CY78" i="1"/>
  <c r="CN78" i="1"/>
  <c r="CM78" i="1"/>
  <c r="CB78" i="1"/>
  <c r="CA78" i="1"/>
  <c r="CC78" i="1" s="1"/>
  <c r="CD78" i="1" s="1"/>
  <c r="BH78" i="1"/>
  <c r="BG78" i="1"/>
  <c r="AV78" i="1"/>
  <c r="AU78" i="1"/>
  <c r="AD78" i="1"/>
  <c r="AC78" i="1"/>
  <c r="AE78" i="1" s="1"/>
  <c r="AF78" i="1" s="1"/>
  <c r="CZ77" i="1"/>
  <c r="CY77" i="1"/>
  <c r="DA77" i="1" s="1"/>
  <c r="DB77" i="1" s="1"/>
  <c r="CN77" i="1"/>
  <c r="CO77" i="1" s="1"/>
  <c r="CP77" i="1" s="1"/>
  <c r="CM77" i="1"/>
  <c r="CC77" i="1"/>
  <c r="CD77" i="1" s="1"/>
  <c r="CB77" i="1"/>
  <c r="CA77" i="1"/>
  <c r="BH77" i="1"/>
  <c r="BG77" i="1"/>
  <c r="BI77" i="1" s="1"/>
  <c r="BJ77" i="1" s="1"/>
  <c r="AV77" i="1"/>
  <c r="AU77" i="1"/>
  <c r="AD77" i="1"/>
  <c r="AC77" i="1"/>
  <c r="CZ76" i="1"/>
  <c r="CY76" i="1"/>
  <c r="CN76" i="1"/>
  <c r="CM76" i="1"/>
  <c r="CB76" i="1"/>
  <c r="CA76" i="1"/>
  <c r="BH76" i="1"/>
  <c r="BG76" i="1"/>
  <c r="BI76" i="1" s="1"/>
  <c r="BJ76" i="1" s="1"/>
  <c r="AV76" i="1"/>
  <c r="AU76" i="1"/>
  <c r="AD76" i="1"/>
  <c r="AC76" i="1"/>
  <c r="CZ75" i="1"/>
  <c r="CY75" i="1"/>
  <c r="DA75" i="1" s="1"/>
  <c r="DB75" i="1" s="1"/>
  <c r="CN75" i="1"/>
  <c r="CM75" i="1"/>
  <c r="CB75" i="1"/>
  <c r="CA75" i="1"/>
  <c r="CC75" i="1" s="1"/>
  <c r="CD75" i="1" s="1"/>
  <c r="BH75" i="1"/>
  <c r="BG75" i="1"/>
  <c r="AV75" i="1"/>
  <c r="AU75" i="1"/>
  <c r="AW75" i="1" s="1"/>
  <c r="AX75" i="1" s="1"/>
  <c r="AD75" i="1"/>
  <c r="AC75" i="1"/>
  <c r="CZ74" i="1"/>
  <c r="CY74" i="1"/>
  <c r="CN74" i="1"/>
  <c r="CM74" i="1"/>
  <c r="CB74" i="1"/>
  <c r="CA74" i="1"/>
  <c r="BH74" i="1"/>
  <c r="BG74" i="1"/>
  <c r="BI74" i="1" s="1"/>
  <c r="BJ74" i="1" s="1"/>
  <c r="AV74" i="1"/>
  <c r="AU74" i="1"/>
  <c r="AW74" i="1" s="1"/>
  <c r="AX74" i="1" s="1"/>
  <c r="AD74" i="1"/>
  <c r="AC74" i="1"/>
  <c r="CZ73" i="1"/>
  <c r="CY73" i="1"/>
  <c r="CN73" i="1"/>
  <c r="CM73" i="1"/>
  <c r="CB73" i="1"/>
  <c r="CA73" i="1"/>
  <c r="CC73" i="1" s="1"/>
  <c r="CD73" i="1" s="1"/>
  <c r="BH73" i="1"/>
  <c r="BG73" i="1"/>
  <c r="BI73" i="1" s="1"/>
  <c r="BJ73" i="1" s="1"/>
  <c r="AV73" i="1"/>
  <c r="AU73" i="1"/>
  <c r="AD73" i="1"/>
  <c r="AC73" i="1"/>
  <c r="CZ72" i="1"/>
  <c r="CY72" i="1"/>
  <c r="CN72" i="1"/>
  <c r="CM72" i="1"/>
  <c r="CB72" i="1"/>
  <c r="CA72" i="1"/>
  <c r="CC72" i="1" s="1"/>
  <c r="CD72" i="1" s="1"/>
  <c r="BH72" i="1"/>
  <c r="BG72" i="1"/>
  <c r="BI72" i="1" s="1"/>
  <c r="BJ72" i="1" s="1"/>
  <c r="AV72" i="1"/>
  <c r="AU72" i="1"/>
  <c r="AD72" i="1"/>
  <c r="AC72" i="1"/>
  <c r="CZ71" i="1"/>
  <c r="CY71" i="1"/>
  <c r="CN71" i="1"/>
  <c r="CM71" i="1"/>
  <c r="CB71" i="1"/>
  <c r="CA71" i="1"/>
  <c r="CC71" i="1" s="1"/>
  <c r="CD71" i="1" s="1"/>
  <c r="BH71" i="1"/>
  <c r="BG71" i="1"/>
  <c r="BI71" i="1" s="1"/>
  <c r="BJ71" i="1" s="1"/>
  <c r="AV71" i="1"/>
  <c r="AU71" i="1"/>
  <c r="AW71" i="1" s="1"/>
  <c r="AX71" i="1" s="1"/>
  <c r="AD71" i="1"/>
  <c r="AC71" i="1"/>
  <c r="CZ70" i="1"/>
  <c r="CY70" i="1"/>
  <c r="CN70" i="1"/>
  <c r="CM70" i="1"/>
  <c r="CB70" i="1"/>
  <c r="CA70" i="1"/>
  <c r="BH70" i="1"/>
  <c r="BG70" i="1"/>
  <c r="AV70" i="1"/>
  <c r="AW70" i="1" s="1"/>
  <c r="AX70" i="1" s="1"/>
  <c r="AU70" i="1"/>
  <c r="AD70" i="1"/>
  <c r="AC70" i="1"/>
  <c r="AE70" i="1" s="1"/>
  <c r="AF70" i="1" s="1"/>
  <c r="CZ69" i="1"/>
  <c r="CY69" i="1"/>
  <c r="DA69" i="1" s="1"/>
  <c r="DB69" i="1" s="1"/>
  <c r="CN69" i="1"/>
  <c r="CM69" i="1"/>
  <c r="CB69" i="1"/>
  <c r="CA69" i="1"/>
  <c r="CC69" i="1" s="1"/>
  <c r="CD69" i="1" s="1"/>
  <c r="BH69" i="1"/>
  <c r="BG69" i="1"/>
  <c r="AV69" i="1"/>
  <c r="AU69" i="1"/>
  <c r="AW69" i="1" s="1"/>
  <c r="AX69" i="1" s="1"/>
  <c r="AD69" i="1"/>
  <c r="AC69" i="1"/>
  <c r="CZ68" i="1"/>
  <c r="CY68" i="1"/>
  <c r="CN68" i="1"/>
  <c r="CO68" i="1" s="1"/>
  <c r="CP68" i="1" s="1"/>
  <c r="CM68" i="1"/>
  <c r="CB68" i="1"/>
  <c r="CA68" i="1"/>
  <c r="BH68" i="1"/>
  <c r="BG68" i="1"/>
  <c r="BI68" i="1" s="1"/>
  <c r="BJ68" i="1" s="1"/>
  <c r="AV68" i="1"/>
  <c r="AU68" i="1"/>
  <c r="AD68" i="1"/>
  <c r="AC68" i="1"/>
  <c r="CZ67" i="1"/>
  <c r="CY67" i="1"/>
  <c r="CN67" i="1"/>
  <c r="CM67" i="1"/>
  <c r="CB67" i="1"/>
  <c r="CA67" i="1"/>
  <c r="CC67" i="1" s="1"/>
  <c r="CD67" i="1" s="1"/>
  <c r="BH67" i="1"/>
  <c r="BG67" i="1"/>
  <c r="AV67" i="1"/>
  <c r="AW67" i="1" s="1"/>
  <c r="AX67" i="1" s="1"/>
  <c r="AU67" i="1"/>
  <c r="AD67" i="1"/>
  <c r="AC67" i="1"/>
  <c r="CZ66" i="1"/>
  <c r="CY66" i="1"/>
  <c r="CN66" i="1"/>
  <c r="CO66" i="1" s="1"/>
  <c r="CP66" i="1" s="1"/>
  <c r="CM66" i="1"/>
  <c r="CB66" i="1"/>
  <c r="CA66" i="1"/>
  <c r="CC66" i="1" s="1"/>
  <c r="CD66" i="1" s="1"/>
  <c r="BH66" i="1"/>
  <c r="BG66" i="1"/>
  <c r="AV66" i="1"/>
  <c r="AU66" i="1"/>
  <c r="AD66" i="1"/>
  <c r="AC66" i="1"/>
  <c r="CZ65" i="1"/>
  <c r="CY65" i="1"/>
  <c r="CN65" i="1"/>
  <c r="CM65" i="1"/>
  <c r="CB65" i="1"/>
  <c r="CA65" i="1"/>
  <c r="BH65" i="1"/>
  <c r="BG65" i="1"/>
  <c r="BI65" i="1" s="1"/>
  <c r="BJ65" i="1" s="1"/>
  <c r="AV65" i="1"/>
  <c r="AU65" i="1"/>
  <c r="AD65" i="1"/>
  <c r="AC65" i="1"/>
  <c r="CZ64" i="1"/>
  <c r="CY64" i="1"/>
  <c r="DA64" i="1" s="1"/>
  <c r="DB64" i="1" s="1"/>
  <c r="CN64" i="1"/>
  <c r="CM64" i="1"/>
  <c r="CB64" i="1"/>
  <c r="CA64" i="1"/>
  <c r="BH64" i="1"/>
  <c r="BG64" i="1"/>
  <c r="BI64" i="1" s="1"/>
  <c r="BJ64" i="1" s="1"/>
  <c r="AV64" i="1"/>
  <c r="AU64" i="1"/>
  <c r="AD64" i="1"/>
  <c r="AC64" i="1"/>
  <c r="CZ63" i="1"/>
  <c r="CY63" i="1"/>
  <c r="DA63" i="1" s="1"/>
  <c r="DB63" i="1" s="1"/>
  <c r="CN63" i="1"/>
  <c r="CM63" i="1"/>
  <c r="CB63" i="1"/>
  <c r="CC63" i="1" s="1"/>
  <c r="CD63" i="1" s="1"/>
  <c r="CA63" i="1"/>
  <c r="BH63" i="1"/>
  <c r="BG63" i="1"/>
  <c r="AV63" i="1"/>
  <c r="AU63" i="1"/>
  <c r="AD63" i="1"/>
  <c r="AC63" i="1"/>
  <c r="AE63" i="1" s="1"/>
  <c r="AF63" i="1" s="1"/>
  <c r="CZ62" i="1"/>
  <c r="CY62" i="1"/>
  <c r="DA62" i="1" s="1"/>
  <c r="DB62" i="1" s="1"/>
  <c r="CN62" i="1"/>
  <c r="CM62" i="1"/>
  <c r="CO62" i="1" s="1"/>
  <c r="CP62" i="1" s="1"/>
  <c r="CB62" i="1"/>
  <c r="CA62" i="1"/>
  <c r="BH62" i="1"/>
  <c r="BG62" i="1"/>
  <c r="AV62" i="1"/>
  <c r="AU62" i="1"/>
  <c r="AD62" i="1"/>
  <c r="AC62" i="1"/>
  <c r="AE62" i="1" s="1"/>
  <c r="AF62" i="1" s="1"/>
  <c r="CZ61" i="1"/>
  <c r="CY61" i="1"/>
  <c r="CN61" i="1"/>
  <c r="CM61" i="1"/>
  <c r="CB61" i="1"/>
  <c r="CA61" i="1"/>
  <c r="CC61" i="1" s="1"/>
  <c r="CD61" i="1" s="1"/>
  <c r="BH61" i="1"/>
  <c r="BG61" i="1"/>
  <c r="AV61" i="1"/>
  <c r="AU61" i="1"/>
  <c r="AD61" i="1"/>
  <c r="AC61" i="1"/>
  <c r="AE61" i="1" s="1"/>
  <c r="AF61" i="1" s="1"/>
  <c r="CZ60" i="1"/>
  <c r="CY60" i="1"/>
  <c r="CN60" i="1"/>
  <c r="CM60" i="1"/>
  <c r="CB60" i="1"/>
  <c r="CA60" i="1"/>
  <c r="BH60" i="1"/>
  <c r="BG60" i="1"/>
  <c r="AV60" i="1"/>
  <c r="AW60" i="1" s="1"/>
  <c r="AX60" i="1" s="1"/>
  <c r="AU60" i="1"/>
  <c r="AD60" i="1"/>
  <c r="AC60" i="1"/>
  <c r="CZ59" i="1"/>
  <c r="CY59" i="1"/>
  <c r="CN59" i="1"/>
  <c r="CM59" i="1"/>
  <c r="CB59" i="1"/>
  <c r="CA59" i="1"/>
  <c r="CC59" i="1" s="1"/>
  <c r="CD59" i="1" s="1"/>
  <c r="BH59" i="1"/>
  <c r="BG59" i="1"/>
  <c r="AV59" i="1"/>
  <c r="AU59" i="1"/>
  <c r="AD59" i="1"/>
  <c r="AC59" i="1"/>
  <c r="CZ58" i="1"/>
  <c r="CY58" i="1"/>
  <c r="CN58" i="1"/>
  <c r="CM58" i="1"/>
  <c r="CB58" i="1"/>
  <c r="CA58" i="1"/>
  <c r="BH58" i="1"/>
  <c r="BG58" i="1"/>
  <c r="AV58" i="1"/>
  <c r="AU58" i="1"/>
  <c r="AD58" i="1"/>
  <c r="AC58" i="1"/>
  <c r="CZ57" i="1"/>
  <c r="CY57" i="1"/>
  <c r="CN57" i="1"/>
  <c r="CM57" i="1"/>
  <c r="CB57" i="1"/>
  <c r="CA57" i="1"/>
  <c r="CC57" i="1" s="1"/>
  <c r="CD57" i="1" s="1"/>
  <c r="BH57" i="1"/>
  <c r="BG57" i="1"/>
  <c r="BI57" i="1" s="1"/>
  <c r="BJ57" i="1" s="1"/>
  <c r="AV57" i="1"/>
  <c r="AU57" i="1"/>
  <c r="AW57" i="1" s="1"/>
  <c r="AX57" i="1" s="1"/>
  <c r="AD57" i="1"/>
  <c r="AC57" i="1"/>
  <c r="CZ56" i="1"/>
  <c r="CY56" i="1"/>
  <c r="DA56" i="1" s="1"/>
  <c r="DB56" i="1" s="1"/>
  <c r="CN56" i="1"/>
  <c r="CM56" i="1"/>
  <c r="CO56" i="1" s="1"/>
  <c r="CP56" i="1" s="1"/>
  <c r="CB56" i="1"/>
  <c r="CA56" i="1"/>
  <c r="CC56" i="1" s="1"/>
  <c r="CD56" i="1" s="1"/>
  <c r="BH56" i="1"/>
  <c r="BG56" i="1"/>
  <c r="AV56" i="1"/>
  <c r="AU56" i="1"/>
  <c r="AD56" i="1"/>
  <c r="AC56" i="1"/>
  <c r="AE56" i="1" s="1"/>
  <c r="AF56" i="1" s="1"/>
  <c r="CZ55" i="1"/>
  <c r="CY55" i="1"/>
  <c r="CN55" i="1"/>
  <c r="CM55" i="1"/>
  <c r="CB55" i="1"/>
  <c r="CA55" i="1"/>
  <c r="CC55" i="1" s="1"/>
  <c r="CD55" i="1" s="1"/>
  <c r="BH55" i="1"/>
  <c r="BG55" i="1"/>
  <c r="AV55" i="1"/>
  <c r="AU55" i="1"/>
  <c r="AD55" i="1"/>
  <c r="AC55" i="1"/>
  <c r="AE55" i="1" s="1"/>
  <c r="AF55" i="1" s="1"/>
  <c r="CZ54" i="1"/>
  <c r="CY54" i="1"/>
  <c r="CN54" i="1"/>
  <c r="CM54" i="1"/>
  <c r="CB54" i="1"/>
  <c r="CA54" i="1"/>
  <c r="CC54" i="1" s="1"/>
  <c r="CD54" i="1" s="1"/>
  <c r="BH54" i="1"/>
  <c r="BG54" i="1"/>
  <c r="AV54" i="1"/>
  <c r="AU54" i="1"/>
  <c r="AD54" i="1"/>
  <c r="AC54" i="1"/>
  <c r="AE54" i="1" s="1"/>
  <c r="AF54" i="1" s="1"/>
  <c r="CZ53" i="1"/>
  <c r="CY53" i="1"/>
  <c r="CN53" i="1"/>
  <c r="CM53" i="1"/>
  <c r="CB53" i="1"/>
  <c r="CC53" i="1" s="1"/>
  <c r="CD53" i="1" s="1"/>
  <c r="CA53" i="1"/>
  <c r="BH53" i="1"/>
  <c r="BG53" i="1"/>
  <c r="BI53" i="1" s="1"/>
  <c r="BJ53" i="1" s="1"/>
  <c r="AV53" i="1"/>
  <c r="AU53" i="1"/>
  <c r="AD53" i="1"/>
  <c r="AC53" i="1"/>
  <c r="CZ52" i="1"/>
  <c r="CY52" i="1"/>
  <c r="CN52" i="1"/>
  <c r="CM52" i="1"/>
  <c r="CC52" i="1"/>
  <c r="CD52" i="1" s="1"/>
  <c r="CB52" i="1"/>
  <c r="CA52" i="1"/>
  <c r="BH52" i="1"/>
  <c r="BG52" i="1"/>
  <c r="BI52" i="1" s="1"/>
  <c r="BJ52" i="1" s="1"/>
  <c r="AV52" i="1"/>
  <c r="AU52" i="1"/>
  <c r="AW52" i="1" s="1"/>
  <c r="AX52" i="1" s="1"/>
  <c r="AD52" i="1"/>
  <c r="AC52" i="1"/>
  <c r="CZ51" i="1"/>
  <c r="CY51" i="1"/>
  <c r="CN51" i="1"/>
  <c r="CO51" i="1" s="1"/>
  <c r="CP51" i="1" s="1"/>
  <c r="CM51" i="1"/>
  <c r="CB51" i="1"/>
  <c r="CA51" i="1"/>
  <c r="CC51" i="1" s="1"/>
  <c r="CD51" i="1" s="1"/>
  <c r="BH51" i="1"/>
  <c r="BG51" i="1"/>
  <c r="AV51" i="1"/>
  <c r="AW51" i="1" s="1"/>
  <c r="AX51" i="1" s="1"/>
  <c r="AU51" i="1"/>
  <c r="AD51" i="1"/>
  <c r="AC51" i="1"/>
  <c r="AE51" i="1" s="1"/>
  <c r="AF51" i="1" s="1"/>
  <c r="CZ50" i="1"/>
  <c r="CY50" i="1"/>
  <c r="CN50" i="1"/>
  <c r="CM50" i="1"/>
  <c r="CB50" i="1"/>
  <c r="CA50" i="1"/>
  <c r="CC50" i="1" s="1"/>
  <c r="CD50" i="1" s="1"/>
  <c r="BH50" i="1"/>
  <c r="BG50" i="1"/>
  <c r="AV50" i="1"/>
  <c r="AW50" i="1" s="1"/>
  <c r="AX50" i="1" s="1"/>
  <c r="AU50" i="1"/>
  <c r="AD50" i="1"/>
  <c r="AC50" i="1"/>
  <c r="AE50" i="1" s="1"/>
  <c r="AF50" i="1" s="1"/>
  <c r="CZ49" i="1"/>
  <c r="CY49" i="1"/>
  <c r="CN49" i="1"/>
  <c r="CM49" i="1"/>
  <c r="CB49" i="1"/>
  <c r="CA49" i="1"/>
  <c r="BH49" i="1"/>
  <c r="BG49" i="1"/>
  <c r="AV49" i="1"/>
  <c r="AU49" i="1"/>
  <c r="AD49" i="1"/>
  <c r="AC49" i="1"/>
  <c r="CZ48" i="1"/>
  <c r="CY48" i="1"/>
  <c r="DA48" i="1" s="1"/>
  <c r="DB48" i="1" s="1"/>
  <c r="CN48" i="1"/>
  <c r="CM48" i="1"/>
  <c r="CB48" i="1"/>
  <c r="CC48" i="1" s="1"/>
  <c r="CD48" i="1" s="1"/>
  <c r="CA48" i="1"/>
  <c r="BH48" i="1"/>
  <c r="BG48" i="1"/>
  <c r="BI48" i="1" s="1"/>
  <c r="BJ48" i="1" s="1"/>
  <c r="AV48" i="1"/>
  <c r="AU48" i="1"/>
  <c r="AD48" i="1"/>
  <c r="AC48" i="1"/>
  <c r="CZ47" i="1"/>
  <c r="CY47" i="1"/>
  <c r="CN47" i="1"/>
  <c r="CM47" i="1"/>
  <c r="CB47" i="1"/>
  <c r="CA47" i="1"/>
  <c r="CC47" i="1" s="1"/>
  <c r="CD47" i="1" s="1"/>
  <c r="BH47" i="1"/>
  <c r="BG47" i="1"/>
  <c r="AV47" i="1"/>
  <c r="AU47" i="1"/>
  <c r="AD47" i="1"/>
  <c r="AC47" i="1"/>
  <c r="AE47" i="1" s="1"/>
  <c r="AF47" i="1" s="1"/>
  <c r="CZ46" i="1"/>
  <c r="CY46" i="1"/>
  <c r="DA46" i="1" s="1"/>
  <c r="DB46" i="1" s="1"/>
  <c r="CN46" i="1"/>
  <c r="CM46" i="1"/>
  <c r="CB46" i="1"/>
  <c r="CA46" i="1"/>
  <c r="CC46" i="1" s="1"/>
  <c r="CD46" i="1" s="1"/>
  <c r="BH46" i="1"/>
  <c r="BG46" i="1"/>
  <c r="AV46" i="1"/>
  <c r="AU46" i="1"/>
  <c r="AW46" i="1" s="1"/>
  <c r="AX46" i="1" s="1"/>
  <c r="AD46" i="1"/>
  <c r="AC46" i="1"/>
  <c r="AE46" i="1" s="1"/>
  <c r="AF46" i="1" s="1"/>
  <c r="CZ45" i="1"/>
  <c r="CY45" i="1"/>
  <c r="CN45" i="1"/>
  <c r="CM45" i="1"/>
  <c r="CB45" i="1"/>
  <c r="CA45" i="1"/>
  <c r="BH45" i="1"/>
  <c r="BG45" i="1"/>
  <c r="AV45" i="1"/>
  <c r="AU45" i="1"/>
  <c r="AW45" i="1" s="1"/>
  <c r="AX45" i="1" s="1"/>
  <c r="AD45" i="1"/>
  <c r="AC45" i="1"/>
  <c r="CZ44" i="1"/>
  <c r="CY44" i="1"/>
  <c r="CN44" i="1"/>
  <c r="CM44" i="1"/>
  <c r="CB44" i="1"/>
  <c r="CA44" i="1"/>
  <c r="CC44" i="1" s="1"/>
  <c r="CD44" i="1" s="1"/>
  <c r="BH44" i="1"/>
  <c r="BG44" i="1"/>
  <c r="AV44" i="1"/>
  <c r="AU44" i="1"/>
  <c r="AD44" i="1"/>
  <c r="AE44" i="1" s="1"/>
  <c r="AF44" i="1" s="1"/>
  <c r="AC44" i="1"/>
  <c r="CZ43" i="1"/>
  <c r="CY43" i="1"/>
  <c r="CN43" i="1"/>
  <c r="CO43" i="1" s="1"/>
  <c r="CP43" i="1" s="1"/>
  <c r="CM43" i="1"/>
  <c r="CB43" i="1"/>
  <c r="CA43" i="1"/>
  <c r="BH43" i="1"/>
  <c r="BG43" i="1"/>
  <c r="BI43" i="1" s="1"/>
  <c r="BJ43" i="1" s="1"/>
  <c r="AW43" i="1"/>
  <c r="AX43" i="1" s="1"/>
  <c r="AV43" i="1"/>
  <c r="AU43" i="1"/>
  <c r="AD43" i="1"/>
  <c r="AC43" i="1"/>
  <c r="CZ42" i="1"/>
  <c r="CY42" i="1"/>
  <c r="DA42" i="1" s="1"/>
  <c r="DB42" i="1" s="1"/>
  <c r="CN42" i="1"/>
  <c r="CM42" i="1"/>
  <c r="CB42" i="1"/>
  <c r="CA42" i="1"/>
  <c r="BH42" i="1"/>
  <c r="BG42" i="1"/>
  <c r="BI42" i="1" s="1"/>
  <c r="BJ42" i="1" s="1"/>
  <c r="AV42" i="1"/>
  <c r="AU42" i="1"/>
  <c r="AD42" i="1"/>
  <c r="AC42" i="1"/>
  <c r="AE42" i="1" s="1"/>
  <c r="AF42" i="1" s="1"/>
  <c r="CZ41" i="1"/>
  <c r="CY41" i="1"/>
  <c r="CN41" i="1"/>
  <c r="CM41" i="1"/>
  <c r="CB41" i="1"/>
  <c r="CA41" i="1"/>
  <c r="BH41" i="1"/>
  <c r="BG41" i="1"/>
  <c r="AV41" i="1"/>
  <c r="AW41" i="1" s="1"/>
  <c r="AX41" i="1" s="1"/>
  <c r="AU41" i="1"/>
  <c r="AD41" i="1"/>
  <c r="AC41" i="1"/>
  <c r="AE41" i="1" s="1"/>
  <c r="AF41" i="1" s="1"/>
  <c r="CZ40" i="1"/>
  <c r="CY40" i="1"/>
  <c r="CN40" i="1"/>
  <c r="CM40" i="1"/>
  <c r="CB40" i="1"/>
  <c r="CA40" i="1"/>
  <c r="CC40" i="1" s="1"/>
  <c r="CD40" i="1" s="1"/>
  <c r="BH40" i="1"/>
  <c r="BG40" i="1"/>
  <c r="AV40" i="1"/>
  <c r="AU40" i="1"/>
  <c r="AW40" i="1" s="1"/>
  <c r="AX40" i="1" s="1"/>
  <c r="AD40" i="1"/>
  <c r="AC40" i="1"/>
  <c r="CZ39" i="1"/>
  <c r="CY39" i="1"/>
  <c r="DA39" i="1" s="1"/>
  <c r="DB39" i="1" s="1"/>
  <c r="CN39" i="1"/>
  <c r="CM39" i="1"/>
  <c r="CB39" i="1"/>
  <c r="CC39" i="1" s="1"/>
  <c r="CD39" i="1" s="1"/>
  <c r="CA39" i="1"/>
  <c r="BH39" i="1"/>
  <c r="BG39" i="1"/>
  <c r="AV39" i="1"/>
  <c r="AU39" i="1"/>
  <c r="AW39" i="1" s="1"/>
  <c r="AX39" i="1" s="1"/>
  <c r="AD39" i="1"/>
  <c r="AC39" i="1"/>
  <c r="AE39" i="1" s="1"/>
  <c r="AF39" i="1" s="1"/>
  <c r="CZ38" i="1"/>
  <c r="CY38" i="1"/>
  <c r="CN38" i="1"/>
  <c r="CM38" i="1"/>
  <c r="CB38" i="1"/>
  <c r="CA38" i="1"/>
  <c r="BH38" i="1"/>
  <c r="BG38" i="1"/>
  <c r="BI38" i="1" s="1"/>
  <c r="BJ38" i="1" s="1"/>
  <c r="AV38" i="1"/>
  <c r="AU38" i="1"/>
  <c r="AD38" i="1"/>
  <c r="AC38" i="1"/>
  <c r="AE38" i="1" s="1"/>
  <c r="AF38" i="1" s="1"/>
  <c r="CZ37" i="1"/>
  <c r="CY37" i="1"/>
  <c r="CN37" i="1"/>
  <c r="CM37" i="1"/>
  <c r="CB37" i="1"/>
  <c r="CC37" i="1" s="1"/>
  <c r="CD37" i="1" s="1"/>
  <c r="CA37" i="1"/>
  <c r="BH37" i="1"/>
  <c r="BG37" i="1"/>
  <c r="AV37" i="1"/>
  <c r="AU37" i="1"/>
  <c r="AD37" i="1"/>
  <c r="AC37" i="1"/>
  <c r="AE37" i="1" s="1"/>
  <c r="AF37" i="1" s="1"/>
  <c r="CZ36" i="1"/>
  <c r="CY36" i="1"/>
  <c r="CN36" i="1"/>
  <c r="CO36" i="1" s="1"/>
  <c r="CP36" i="1" s="1"/>
  <c r="CM36" i="1"/>
  <c r="CB36" i="1"/>
  <c r="CA36" i="1"/>
  <c r="BH36" i="1"/>
  <c r="BG36" i="1"/>
  <c r="AV36" i="1"/>
  <c r="AU36" i="1"/>
  <c r="AD36" i="1"/>
  <c r="AC36" i="1"/>
  <c r="AE36" i="1" s="1"/>
  <c r="AF36" i="1" s="1"/>
  <c r="CZ35" i="1"/>
  <c r="CY35" i="1"/>
  <c r="CN35" i="1"/>
  <c r="CM35" i="1"/>
  <c r="CB35" i="1"/>
  <c r="CC35" i="1" s="1"/>
  <c r="CD35" i="1" s="1"/>
  <c r="CA35" i="1"/>
  <c r="BH35" i="1"/>
  <c r="BG35" i="1"/>
  <c r="AV35" i="1"/>
  <c r="AU35" i="1"/>
  <c r="AD35" i="1"/>
  <c r="AC35" i="1"/>
  <c r="CZ34" i="1"/>
  <c r="CY34" i="1"/>
  <c r="CN34" i="1"/>
  <c r="CM34" i="1"/>
  <c r="CC34" i="1"/>
  <c r="CD34" i="1" s="1"/>
  <c r="CB34" i="1"/>
  <c r="CA34" i="1"/>
  <c r="BH34" i="1"/>
  <c r="BG34" i="1"/>
  <c r="BI34" i="1" s="1"/>
  <c r="BJ34" i="1" s="1"/>
  <c r="AV34" i="1"/>
  <c r="AU34" i="1"/>
  <c r="AD34" i="1"/>
  <c r="AC34" i="1"/>
  <c r="CZ33" i="1"/>
  <c r="CY33" i="1"/>
  <c r="DA33" i="1" s="1"/>
  <c r="DB33" i="1" s="1"/>
  <c r="CN33" i="1"/>
  <c r="CM33" i="1"/>
  <c r="CO33" i="1" s="1"/>
  <c r="CP33" i="1" s="1"/>
  <c r="CB33" i="1"/>
  <c r="CA33" i="1"/>
  <c r="CC33" i="1" s="1"/>
  <c r="CD33" i="1" s="1"/>
  <c r="BH33" i="1"/>
  <c r="BG33" i="1"/>
  <c r="AV33" i="1"/>
  <c r="AU33" i="1"/>
  <c r="AD33" i="1"/>
  <c r="AC33" i="1"/>
  <c r="CZ32" i="1"/>
  <c r="CY32" i="1"/>
  <c r="CN32" i="1"/>
  <c r="CM32" i="1"/>
  <c r="CB32" i="1"/>
  <c r="CA32" i="1"/>
  <c r="CC32" i="1" s="1"/>
  <c r="CD32" i="1" s="1"/>
  <c r="BH32" i="1"/>
  <c r="BG32" i="1"/>
  <c r="AV32" i="1"/>
  <c r="AU32" i="1"/>
  <c r="AD32" i="1"/>
  <c r="AC32" i="1"/>
  <c r="CZ31" i="1"/>
  <c r="CY31" i="1"/>
  <c r="CN31" i="1"/>
  <c r="CM31" i="1"/>
  <c r="CB31" i="1"/>
  <c r="CA31" i="1"/>
  <c r="CC31" i="1" s="1"/>
  <c r="CD31" i="1" s="1"/>
  <c r="BH31" i="1"/>
  <c r="BG31" i="1"/>
  <c r="AV31" i="1"/>
  <c r="AW31" i="1" s="1"/>
  <c r="AX31" i="1" s="1"/>
  <c r="AU31" i="1"/>
  <c r="AD31" i="1"/>
  <c r="AC31" i="1"/>
  <c r="AE31" i="1" s="1"/>
  <c r="AF31" i="1" s="1"/>
  <c r="CZ30" i="1"/>
  <c r="CY30" i="1"/>
  <c r="CN30" i="1"/>
  <c r="CM30" i="1"/>
  <c r="CO30" i="1" s="1"/>
  <c r="CP30" i="1" s="1"/>
  <c r="CB30" i="1"/>
  <c r="CA30" i="1"/>
  <c r="CC30" i="1" s="1"/>
  <c r="CD30" i="1" s="1"/>
  <c r="BH30" i="1"/>
  <c r="BG30" i="1"/>
  <c r="AV30" i="1"/>
  <c r="AU30" i="1"/>
  <c r="AD30" i="1"/>
  <c r="AC30" i="1"/>
  <c r="AE30" i="1" s="1"/>
  <c r="AF30" i="1" s="1"/>
  <c r="CZ29" i="1"/>
  <c r="CY29" i="1"/>
  <c r="CN29" i="1"/>
  <c r="CM29" i="1"/>
  <c r="CB29" i="1"/>
  <c r="CA29" i="1"/>
  <c r="CC29" i="1" s="1"/>
  <c r="CD29" i="1" s="1"/>
  <c r="BH29" i="1"/>
  <c r="BG29" i="1"/>
  <c r="BI29" i="1" s="1"/>
  <c r="BJ29" i="1" s="1"/>
  <c r="AV29" i="1"/>
  <c r="AU29" i="1"/>
  <c r="AW29" i="1" s="1"/>
  <c r="AX29" i="1" s="1"/>
  <c r="AD29" i="1"/>
  <c r="AC29" i="1"/>
  <c r="CZ28" i="1"/>
  <c r="CY28" i="1"/>
  <c r="CN28" i="1"/>
  <c r="CM28" i="1"/>
  <c r="CO28" i="1" s="1"/>
  <c r="CP28" i="1" s="1"/>
  <c r="CB28" i="1"/>
  <c r="CC28" i="1" s="1"/>
  <c r="CD28" i="1" s="1"/>
  <c r="CA28" i="1"/>
  <c r="BH28" i="1"/>
  <c r="BG28" i="1"/>
  <c r="AV28" i="1"/>
  <c r="AU28" i="1"/>
  <c r="AW28" i="1" s="1"/>
  <c r="AX28" i="1" s="1"/>
  <c r="AD28" i="1"/>
  <c r="AC28" i="1"/>
  <c r="AE28" i="1" s="1"/>
  <c r="AF28" i="1" s="1"/>
  <c r="CZ27" i="1"/>
  <c r="CY27" i="1"/>
  <c r="CN27" i="1"/>
  <c r="CO27" i="1" s="1"/>
  <c r="CP27" i="1" s="1"/>
  <c r="CM27" i="1"/>
  <c r="CB27" i="1"/>
  <c r="CA27" i="1"/>
  <c r="CC27" i="1" s="1"/>
  <c r="CD27" i="1" s="1"/>
  <c r="BH27" i="1"/>
  <c r="BG27" i="1"/>
  <c r="AV27" i="1"/>
  <c r="AU27" i="1"/>
  <c r="AD27" i="1"/>
  <c r="AC27" i="1"/>
  <c r="CZ26" i="1"/>
  <c r="CY26" i="1"/>
  <c r="CN26" i="1"/>
  <c r="CM26" i="1"/>
  <c r="CB26" i="1"/>
  <c r="CC26" i="1" s="1"/>
  <c r="CD26" i="1" s="1"/>
  <c r="CA26" i="1"/>
  <c r="BH26" i="1"/>
  <c r="BG26" i="1"/>
  <c r="AV26" i="1"/>
  <c r="AU26" i="1"/>
  <c r="AW26" i="1" s="1"/>
  <c r="AX26" i="1" s="1"/>
  <c r="AD26" i="1"/>
  <c r="AC26" i="1"/>
  <c r="CZ25" i="1"/>
  <c r="CY25" i="1"/>
  <c r="CN25" i="1"/>
  <c r="CM25" i="1"/>
  <c r="CB25" i="1"/>
  <c r="CA25" i="1"/>
  <c r="BH25" i="1"/>
  <c r="BG25" i="1"/>
  <c r="AV25" i="1"/>
  <c r="AU25" i="1"/>
  <c r="AW25" i="1" s="1"/>
  <c r="AX25" i="1" s="1"/>
  <c r="AD25" i="1"/>
  <c r="AC25" i="1"/>
  <c r="CZ24" i="1"/>
  <c r="CY24" i="1"/>
  <c r="DA24" i="1" s="1"/>
  <c r="DB24" i="1" s="1"/>
  <c r="CN24" i="1"/>
  <c r="CM24" i="1"/>
  <c r="CB24" i="1"/>
  <c r="CA24" i="1"/>
  <c r="BH24" i="1"/>
  <c r="BG24" i="1"/>
  <c r="BI24" i="1" s="1"/>
  <c r="BJ24" i="1" s="1"/>
  <c r="AV24" i="1"/>
  <c r="AU24" i="1"/>
  <c r="AD24" i="1"/>
  <c r="AC24" i="1"/>
  <c r="CZ23" i="1"/>
  <c r="CY23" i="1"/>
  <c r="DA23" i="1" s="1"/>
  <c r="DB23" i="1" s="1"/>
  <c r="CN23" i="1"/>
  <c r="CM23" i="1"/>
  <c r="CB23" i="1"/>
  <c r="CA23" i="1"/>
  <c r="CC23" i="1" s="1"/>
  <c r="CD23" i="1" s="1"/>
  <c r="BH23" i="1"/>
  <c r="BG23" i="1"/>
  <c r="AV23" i="1"/>
  <c r="AU23" i="1"/>
  <c r="AW23" i="1" s="1"/>
  <c r="AX23" i="1" s="1"/>
  <c r="AD23" i="1"/>
  <c r="AE23" i="1" s="1"/>
  <c r="AF23" i="1" s="1"/>
  <c r="AC23" i="1"/>
  <c r="CZ22" i="1"/>
  <c r="CY22" i="1"/>
  <c r="DA22" i="1" s="1"/>
  <c r="DB22" i="1" s="1"/>
  <c r="CN22" i="1"/>
  <c r="CM22" i="1"/>
  <c r="CO22" i="1" s="1"/>
  <c r="CP22" i="1" s="1"/>
  <c r="CC22" i="1"/>
  <c r="CD22" i="1" s="1"/>
  <c r="CB22" i="1"/>
  <c r="CA22" i="1"/>
  <c r="BH22" i="1"/>
  <c r="BG22" i="1"/>
  <c r="BI22" i="1" s="1"/>
  <c r="BJ22" i="1" s="1"/>
  <c r="AV22" i="1"/>
  <c r="AW22" i="1" s="1"/>
  <c r="AX22" i="1" s="1"/>
  <c r="AU22" i="1"/>
  <c r="AD22" i="1"/>
  <c r="AC22" i="1"/>
  <c r="CZ21" i="1"/>
  <c r="CY21" i="1"/>
  <c r="DA21" i="1" s="1"/>
  <c r="DB21" i="1" s="1"/>
  <c r="CO21" i="1"/>
  <c r="CP21" i="1" s="1"/>
  <c r="CN21" i="1"/>
  <c r="CM21" i="1"/>
  <c r="CB21" i="1"/>
  <c r="CA21" i="1"/>
  <c r="CC21" i="1" s="1"/>
  <c r="CD21" i="1" s="1"/>
  <c r="BH21" i="1"/>
  <c r="BG21" i="1"/>
  <c r="AV21" i="1"/>
  <c r="AU21" i="1"/>
  <c r="AD21" i="1"/>
  <c r="AC21" i="1"/>
  <c r="CZ20" i="1"/>
  <c r="CY20" i="1"/>
  <c r="CN20" i="1"/>
  <c r="CM20" i="1"/>
  <c r="CO20" i="1" s="1"/>
  <c r="CP20" i="1" s="1"/>
  <c r="CB20" i="1"/>
  <c r="CA20" i="1"/>
  <c r="CC20" i="1" s="1"/>
  <c r="CD20" i="1" s="1"/>
  <c r="BH20" i="1"/>
  <c r="BI20" i="1" s="1"/>
  <c r="BJ20" i="1" s="1"/>
  <c r="BG20" i="1"/>
  <c r="AV20" i="1"/>
  <c r="AU20" i="1"/>
  <c r="AW20" i="1" s="1"/>
  <c r="AX20" i="1" s="1"/>
  <c r="AD20" i="1"/>
  <c r="AC20" i="1"/>
  <c r="AE20" i="1" s="1"/>
  <c r="AF20" i="1" s="1"/>
  <c r="CZ19" i="1"/>
  <c r="CY19" i="1"/>
  <c r="DA19" i="1" s="1"/>
  <c r="DB19" i="1" s="1"/>
  <c r="CN19" i="1"/>
  <c r="CM19" i="1"/>
  <c r="CB19" i="1"/>
  <c r="CA19" i="1"/>
  <c r="BH19" i="1"/>
  <c r="BG19" i="1"/>
  <c r="BI19" i="1" s="1"/>
  <c r="BJ19" i="1" s="1"/>
  <c r="AV19" i="1"/>
  <c r="AU19" i="1"/>
  <c r="AD19" i="1"/>
  <c r="AE19" i="1" s="1"/>
  <c r="AF19" i="1" s="1"/>
  <c r="AC19" i="1"/>
  <c r="CZ18" i="1"/>
  <c r="CY18" i="1"/>
  <c r="CN18" i="1"/>
  <c r="CM18" i="1"/>
  <c r="CO18" i="1" s="1"/>
  <c r="CP18" i="1" s="1"/>
  <c r="CB18" i="1"/>
  <c r="CA18" i="1"/>
  <c r="CC18" i="1" s="1"/>
  <c r="CD18" i="1" s="1"/>
  <c r="BI18" i="1"/>
  <c r="BJ18" i="1" s="1"/>
  <c r="BH18" i="1"/>
  <c r="BG18" i="1"/>
  <c r="AV18" i="1"/>
  <c r="AU18" i="1"/>
  <c r="AD18" i="1"/>
  <c r="AE18" i="1" s="1"/>
  <c r="AF18" i="1" s="1"/>
  <c r="AC18" i="1"/>
  <c r="CZ17" i="1"/>
  <c r="CY17" i="1"/>
  <c r="CN17" i="1"/>
  <c r="CO17" i="1" s="1"/>
  <c r="CP17" i="1" s="1"/>
  <c r="CM17" i="1"/>
  <c r="CB17" i="1"/>
  <c r="CA17" i="1"/>
  <c r="BH17" i="1"/>
  <c r="BG17" i="1"/>
  <c r="AV17" i="1"/>
  <c r="AU17" i="1"/>
  <c r="AD17" i="1"/>
  <c r="AC17" i="1"/>
  <c r="CZ16" i="1"/>
  <c r="DA16" i="1" s="1"/>
  <c r="DB16" i="1" s="1"/>
  <c r="CY16" i="1"/>
  <c r="CN16" i="1"/>
  <c r="CM16" i="1"/>
  <c r="CB16" i="1"/>
  <c r="CA16" i="1"/>
  <c r="BH16" i="1"/>
  <c r="BG16" i="1"/>
  <c r="AV16" i="1"/>
  <c r="AU16" i="1"/>
  <c r="AD16" i="1"/>
  <c r="AC16" i="1"/>
  <c r="CZ15" i="1"/>
  <c r="CY15" i="1"/>
  <c r="CN15" i="1"/>
  <c r="CO15" i="1" s="1"/>
  <c r="CP15" i="1" s="1"/>
  <c r="CM15" i="1"/>
  <c r="CB15" i="1"/>
  <c r="CA15" i="1"/>
  <c r="BI15" i="1"/>
  <c r="BJ15" i="1" s="1"/>
  <c r="BH15" i="1"/>
  <c r="BG15" i="1"/>
  <c r="AV15" i="1"/>
  <c r="AU15" i="1"/>
  <c r="AD15" i="1"/>
  <c r="AC15" i="1"/>
  <c r="CZ14" i="1"/>
  <c r="CY14" i="1"/>
  <c r="CN14" i="1"/>
  <c r="CM14" i="1"/>
  <c r="CO14" i="1" s="1"/>
  <c r="CP14" i="1" s="1"/>
  <c r="CB14" i="1"/>
  <c r="CA14" i="1"/>
  <c r="BH14" i="1"/>
  <c r="BG14" i="1"/>
  <c r="BI14" i="1" s="1"/>
  <c r="BJ14" i="1" s="1"/>
  <c r="AV14" i="1"/>
  <c r="AU14" i="1"/>
  <c r="AD14" i="1"/>
  <c r="AC14" i="1"/>
  <c r="AE14" i="1" s="1"/>
  <c r="AF14" i="1" s="1"/>
  <c r="CZ13" i="1"/>
  <c r="CY13" i="1"/>
  <c r="CN13" i="1"/>
  <c r="CO13" i="1" s="1"/>
  <c r="CP13" i="1" s="1"/>
  <c r="CM13" i="1"/>
  <c r="CB13" i="1"/>
  <c r="CA13" i="1"/>
  <c r="BH13" i="1"/>
  <c r="BG13" i="1"/>
  <c r="AV13" i="1"/>
  <c r="AU13" i="1"/>
  <c r="AD13" i="1"/>
  <c r="AC13" i="1"/>
  <c r="CZ12" i="1"/>
  <c r="CY12" i="1"/>
  <c r="CN12" i="1"/>
  <c r="CM12" i="1"/>
  <c r="CB12" i="1"/>
  <c r="CA12" i="1"/>
  <c r="BH12" i="1"/>
  <c r="BG12" i="1"/>
  <c r="AV12" i="1"/>
  <c r="AU12" i="1"/>
  <c r="AD12" i="1"/>
  <c r="AC12" i="1"/>
  <c r="CZ11" i="1"/>
  <c r="CY11" i="1"/>
  <c r="DA11" i="1" s="1"/>
  <c r="DB11" i="1" s="1"/>
  <c r="CN11" i="1"/>
  <c r="CM11" i="1"/>
  <c r="CB11" i="1"/>
  <c r="CA11" i="1"/>
  <c r="BH11" i="1"/>
  <c r="BG11" i="1"/>
  <c r="BI11" i="1" s="1"/>
  <c r="BJ11" i="1" s="1"/>
  <c r="AV11" i="1"/>
  <c r="AW11" i="1" s="1"/>
  <c r="AX11" i="1" s="1"/>
  <c r="AU11" i="1"/>
  <c r="AD11" i="1"/>
  <c r="AE11" i="1" s="1"/>
  <c r="AF11" i="1" s="1"/>
  <c r="AC11" i="1"/>
  <c r="CZ10" i="1"/>
  <c r="CY10" i="1"/>
  <c r="CN10" i="1"/>
  <c r="CM10" i="1"/>
  <c r="CB10" i="1"/>
  <c r="CA10" i="1"/>
  <c r="BH10" i="1"/>
  <c r="BG10" i="1"/>
  <c r="BI10" i="1" s="1"/>
  <c r="BJ10" i="1" s="1"/>
  <c r="AV10" i="1"/>
  <c r="AU10" i="1"/>
  <c r="AD10" i="1"/>
  <c r="AC10" i="1"/>
  <c r="AE10" i="1" s="1"/>
  <c r="AF10" i="1" s="1"/>
  <c r="CZ9" i="1"/>
  <c r="CY9" i="1"/>
  <c r="CN9" i="1"/>
  <c r="CO9" i="1" s="1"/>
  <c r="CP9" i="1" s="1"/>
  <c r="CM9" i="1"/>
  <c r="CB9" i="1"/>
  <c r="CA9" i="1"/>
  <c r="BH9" i="1"/>
  <c r="BG9" i="1"/>
  <c r="AV9" i="1"/>
  <c r="AU9" i="1"/>
  <c r="AD9" i="1"/>
  <c r="AC9" i="1"/>
  <c r="CZ8" i="1"/>
  <c r="CY8" i="1"/>
  <c r="CO8" i="1"/>
  <c r="CP8" i="1" s="1"/>
  <c r="CN8" i="1"/>
  <c r="CM8" i="1"/>
  <c r="CB8" i="1"/>
  <c r="CA8" i="1"/>
  <c r="CC8" i="1" s="1"/>
  <c r="CD8" i="1" s="1"/>
  <c r="BH8" i="1"/>
  <c r="BG8" i="1"/>
  <c r="BI8" i="1" s="1"/>
  <c r="BJ8" i="1" s="1"/>
  <c r="AV8" i="1"/>
  <c r="AU8" i="1"/>
  <c r="AD8" i="1"/>
  <c r="AC8" i="1"/>
  <c r="CX6" i="1"/>
  <c r="CW6" i="1"/>
  <c r="CV6" i="1"/>
  <c r="CU6" i="1"/>
  <c r="CT6" i="1"/>
  <c r="CS6" i="1"/>
  <c r="CR6" i="1"/>
  <c r="CQ6" i="1"/>
  <c r="CL6" i="1"/>
  <c r="CK6" i="1"/>
  <c r="CJ6" i="1"/>
  <c r="CI6" i="1"/>
  <c r="CH6" i="1"/>
  <c r="CG6" i="1"/>
  <c r="CF6" i="1"/>
  <c r="CE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F6" i="1"/>
  <c r="BE6" i="1"/>
  <c r="BD6" i="1"/>
  <c r="BC6" i="1"/>
  <c r="BB6" i="1"/>
  <c r="BA6" i="1"/>
  <c r="AZ6" i="1"/>
  <c r="AY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CO59" i="1" l="1"/>
  <c r="CP59" i="1" s="1"/>
  <c r="CO61" i="1"/>
  <c r="CP61" i="1" s="1"/>
  <c r="CC65" i="1"/>
  <c r="CD65" i="1" s="1"/>
  <c r="BI9" i="1"/>
  <c r="BJ9" i="1" s="1"/>
  <c r="AW12" i="1"/>
  <c r="AX12" i="1" s="1"/>
  <c r="AW13" i="1"/>
  <c r="AX13" i="1" s="1"/>
  <c r="DA15" i="1"/>
  <c r="DB15" i="1" s="1"/>
  <c r="CO25" i="1"/>
  <c r="CP25" i="1" s="1"/>
  <c r="CO26" i="1"/>
  <c r="CP26" i="1" s="1"/>
  <c r="BI32" i="1"/>
  <c r="BJ32" i="1" s="1"/>
  <c r="BI33" i="1"/>
  <c r="BJ33" i="1" s="1"/>
  <c r="DA40" i="1"/>
  <c r="DB40" i="1" s="1"/>
  <c r="DA41" i="1"/>
  <c r="DB41" i="1" s="1"/>
  <c r="CO42" i="1"/>
  <c r="CP42" i="1" s="1"/>
  <c r="CC45" i="1"/>
  <c r="CD45" i="1" s="1"/>
  <c r="BI51" i="1"/>
  <c r="BJ51" i="1" s="1"/>
  <c r="DA58" i="1"/>
  <c r="DB58" i="1" s="1"/>
  <c r="DA59" i="1"/>
  <c r="DB59" i="1" s="1"/>
  <c r="DA61" i="1"/>
  <c r="DB61" i="1" s="1"/>
  <c r="AW72" i="1"/>
  <c r="AX72" i="1" s="1"/>
  <c r="AW73" i="1"/>
  <c r="AX73" i="1" s="1"/>
  <c r="AW78" i="1"/>
  <c r="AX78" i="1" s="1"/>
  <c r="AW10" i="1"/>
  <c r="AX10" i="1" s="1"/>
  <c r="AE12" i="1"/>
  <c r="AF12" i="1" s="1"/>
  <c r="BI12" i="1"/>
  <c r="BJ12" i="1" s="1"/>
  <c r="AW14" i="1"/>
  <c r="AX14" i="1" s="1"/>
  <c r="DA17" i="1"/>
  <c r="DB17" i="1" s="1"/>
  <c r="BI35" i="1"/>
  <c r="BJ35" i="1" s="1"/>
  <c r="AW38" i="1"/>
  <c r="AX38" i="1" s="1"/>
  <c r="CO45" i="1"/>
  <c r="CP45" i="1" s="1"/>
  <c r="CO46" i="1"/>
  <c r="CP46" i="1" s="1"/>
  <c r="CC49" i="1"/>
  <c r="CD49" i="1" s="1"/>
  <c r="AW54" i="1"/>
  <c r="AX54" i="1" s="1"/>
  <c r="AW55" i="1"/>
  <c r="AX55" i="1" s="1"/>
  <c r="DA66" i="1"/>
  <c r="DB66" i="1" s="1"/>
  <c r="CC70" i="1"/>
  <c r="CD70" i="1" s="1"/>
  <c r="BH6" i="1"/>
  <c r="CO47" i="1"/>
  <c r="CP47" i="1" s="1"/>
  <c r="AE60" i="1"/>
  <c r="AF60" i="1" s="1"/>
  <c r="CM6" i="1"/>
  <c r="CC11" i="1"/>
  <c r="CD11" i="1" s="1"/>
  <c r="CC12" i="1"/>
  <c r="CD12" i="1" s="1"/>
  <c r="CC13" i="1"/>
  <c r="CD13" i="1" s="1"/>
  <c r="AE17" i="1"/>
  <c r="AF17" i="1" s="1"/>
  <c r="DA18" i="1"/>
  <c r="DB18" i="1" s="1"/>
  <c r="AE26" i="1"/>
  <c r="AF26" i="1" s="1"/>
  <c r="AE27" i="1"/>
  <c r="AF27" i="1" s="1"/>
  <c r="DA27" i="1"/>
  <c r="DB27" i="1" s="1"/>
  <c r="CC36" i="1"/>
  <c r="CD36" i="1" s="1"/>
  <c r="BI39" i="1"/>
  <c r="BJ39" i="1" s="1"/>
  <c r="DA47" i="1"/>
  <c r="DB47" i="1" s="1"/>
  <c r="AW61" i="1"/>
  <c r="AX61" i="1" s="1"/>
  <c r="AE66" i="1"/>
  <c r="AF66" i="1" s="1"/>
  <c r="AE67" i="1"/>
  <c r="AF67" i="1" s="1"/>
  <c r="DA67" i="1"/>
  <c r="DB67" i="1" s="1"/>
  <c r="DA68" i="1"/>
  <c r="DB68" i="1" s="1"/>
  <c r="CC74" i="1"/>
  <c r="CD74" i="1" s="1"/>
  <c r="AW9" i="1"/>
  <c r="AX9" i="1" s="1"/>
  <c r="AE8" i="1"/>
  <c r="AF8" i="1" s="1"/>
  <c r="DA8" i="1"/>
  <c r="DB8" i="1" s="1"/>
  <c r="DA9" i="1"/>
  <c r="DB9" i="1" s="1"/>
  <c r="BI16" i="1"/>
  <c r="BJ16" i="1" s="1"/>
  <c r="AW18" i="1"/>
  <c r="AX18" i="1" s="1"/>
  <c r="AW24" i="1"/>
  <c r="AX24" i="1" s="1"/>
  <c r="AW27" i="1"/>
  <c r="AX27" i="1" s="1"/>
  <c r="DA29" i="1"/>
  <c r="DB29" i="1" s="1"/>
  <c r="DA31" i="1"/>
  <c r="DB31" i="1" s="1"/>
  <c r="DA32" i="1"/>
  <c r="DB32" i="1" s="1"/>
  <c r="AW42" i="1"/>
  <c r="AX42" i="1" s="1"/>
  <c r="AE48" i="1"/>
  <c r="AF48" i="1" s="1"/>
  <c r="DA51" i="1"/>
  <c r="DB51" i="1" s="1"/>
  <c r="BI60" i="1"/>
  <c r="BJ60" i="1" s="1"/>
  <c r="BI62" i="1"/>
  <c r="BJ62" i="1" s="1"/>
  <c r="AW63" i="1"/>
  <c r="AX63" i="1" s="1"/>
  <c r="AW66" i="1"/>
  <c r="AX66" i="1" s="1"/>
  <c r="AE68" i="1"/>
  <c r="AF68" i="1" s="1"/>
  <c r="AE69" i="1"/>
  <c r="AF69" i="1" s="1"/>
  <c r="DA70" i="1"/>
  <c r="DB70" i="1" s="1"/>
  <c r="CO73" i="1"/>
  <c r="CP73" i="1" s="1"/>
  <c r="CO74" i="1"/>
  <c r="CP74" i="1" s="1"/>
  <c r="CO75" i="1"/>
  <c r="CP75" i="1" s="1"/>
  <c r="CO76" i="1"/>
  <c r="CP76" i="1" s="1"/>
  <c r="AD6" i="1"/>
  <c r="DA76" i="1"/>
  <c r="DB76" i="1" s="1"/>
  <c r="AW32" i="1"/>
  <c r="AX32" i="1" s="1"/>
  <c r="AU6" i="1"/>
  <c r="CO38" i="1"/>
  <c r="CP38" i="1" s="1"/>
  <c r="CO55" i="1"/>
  <c r="CP55" i="1" s="1"/>
  <c r="CO37" i="1"/>
  <c r="CP37" i="1" s="1"/>
  <c r="CO54" i="1"/>
  <c r="CP54" i="1" s="1"/>
  <c r="DA13" i="1"/>
  <c r="DB13" i="1" s="1"/>
  <c r="DA14" i="1"/>
  <c r="DB14" i="1" s="1"/>
  <c r="CC16" i="1"/>
  <c r="CD16" i="1" s="1"/>
  <c r="BI17" i="1"/>
  <c r="BJ17" i="1" s="1"/>
  <c r="AE21" i="1"/>
  <c r="AF21" i="1" s="1"/>
  <c r="CC24" i="1"/>
  <c r="CD24" i="1" s="1"/>
  <c r="CC25" i="1"/>
  <c r="CD25" i="1" s="1"/>
  <c r="AW30" i="1"/>
  <c r="AX30" i="1" s="1"/>
  <c r="DA37" i="1"/>
  <c r="DB37" i="1" s="1"/>
  <c r="DA38" i="1"/>
  <c r="DB38" i="1" s="1"/>
  <c r="CC41" i="1"/>
  <c r="CD41" i="1" s="1"/>
  <c r="CC42" i="1"/>
  <c r="CD42" i="1" s="1"/>
  <c r="BI44" i="1"/>
  <c r="BJ44" i="1" s="1"/>
  <c r="BI45" i="1"/>
  <c r="BJ45" i="1" s="1"/>
  <c r="BI47" i="1"/>
  <c r="BJ47" i="1" s="1"/>
  <c r="AW48" i="1"/>
  <c r="AX48" i="1" s="1"/>
  <c r="AW49" i="1"/>
  <c r="AX49" i="1" s="1"/>
  <c r="DA55" i="1"/>
  <c r="DB55" i="1" s="1"/>
  <c r="CC60" i="1"/>
  <c r="CD60" i="1" s="1"/>
  <c r="BI67" i="1"/>
  <c r="BJ67" i="1" s="1"/>
  <c r="AE72" i="1"/>
  <c r="AF72" i="1" s="1"/>
  <c r="AE73" i="1"/>
  <c r="AF73" i="1" s="1"/>
  <c r="AE75" i="1"/>
  <c r="AF75" i="1" s="1"/>
  <c r="AE76" i="1"/>
  <c r="AF76" i="1" s="1"/>
  <c r="AE77" i="1"/>
  <c r="AF77" i="1" s="1"/>
  <c r="DA78" i="1"/>
  <c r="DB78" i="1" s="1"/>
  <c r="AW35" i="1"/>
  <c r="AX35" i="1" s="1"/>
  <c r="AW44" i="1"/>
  <c r="AX44" i="1" s="1"/>
  <c r="AW8" i="1"/>
  <c r="AX8" i="1" s="1"/>
  <c r="CO41" i="1"/>
  <c r="CP41" i="1" s="1"/>
  <c r="BI26" i="1"/>
  <c r="BJ26" i="1" s="1"/>
  <c r="CO40" i="1"/>
  <c r="CP40" i="1" s="1"/>
  <c r="BG6" i="1"/>
  <c r="CO10" i="1"/>
  <c r="CP10" i="1" s="1"/>
  <c r="BI13" i="1"/>
  <c r="BJ13" i="1" s="1"/>
  <c r="AW17" i="1"/>
  <c r="AX17" i="1" s="1"/>
  <c r="CC19" i="1"/>
  <c r="CD19" i="1" s="1"/>
  <c r="AW21" i="1"/>
  <c r="AX21" i="1" s="1"/>
  <c r="CO24" i="1"/>
  <c r="CP24" i="1" s="1"/>
  <c r="BI27" i="1"/>
  <c r="BJ27" i="1" s="1"/>
  <c r="DA28" i="1"/>
  <c r="DB28" i="1" s="1"/>
  <c r="DA30" i="1"/>
  <c r="DB30" i="1" s="1"/>
  <c r="CO31" i="1"/>
  <c r="CP31" i="1" s="1"/>
  <c r="AW36" i="1"/>
  <c r="AX36" i="1" s="1"/>
  <c r="AW37" i="1"/>
  <c r="AX37" i="1" s="1"/>
  <c r="AE40" i="1"/>
  <c r="AF40" i="1" s="1"/>
  <c r="CC43" i="1"/>
  <c r="CD43" i="1" s="1"/>
  <c r="BI54" i="1"/>
  <c r="BJ54" i="1" s="1"/>
  <c r="BI55" i="1"/>
  <c r="BJ55" i="1" s="1"/>
  <c r="AW56" i="1"/>
  <c r="AX56" i="1" s="1"/>
  <c r="AE58" i="1"/>
  <c r="AF58" i="1" s="1"/>
  <c r="AE59" i="1"/>
  <c r="AF59" i="1" s="1"/>
  <c r="CO60" i="1"/>
  <c r="CP60" i="1" s="1"/>
  <c r="CO70" i="1"/>
  <c r="CP70" i="1" s="1"/>
  <c r="CO39" i="1"/>
  <c r="CP39" i="1" s="1"/>
  <c r="DA10" i="1"/>
  <c r="DB10" i="1" s="1"/>
  <c r="CO11" i="1"/>
  <c r="CP11" i="1" s="1"/>
  <c r="AE15" i="1"/>
  <c r="AF15" i="1" s="1"/>
  <c r="CO19" i="1"/>
  <c r="CP19" i="1" s="1"/>
  <c r="BI21" i="1"/>
  <c r="BJ21" i="1" s="1"/>
  <c r="AE29" i="1"/>
  <c r="AF29" i="1" s="1"/>
  <c r="CO32" i="1"/>
  <c r="CP32" i="1" s="1"/>
  <c r="BI36" i="1"/>
  <c r="BJ36" i="1" s="1"/>
  <c r="BI37" i="1"/>
  <c r="BJ37" i="1" s="1"/>
  <c r="DA50" i="1"/>
  <c r="DB50" i="1" s="1"/>
  <c r="BI56" i="1"/>
  <c r="BJ56" i="1" s="1"/>
  <c r="DA60" i="1"/>
  <c r="DB60" i="1" s="1"/>
  <c r="CC64" i="1"/>
  <c r="CD64" i="1" s="1"/>
  <c r="BI66" i="1"/>
  <c r="BJ66" i="1" s="1"/>
  <c r="AW68" i="1"/>
  <c r="AX68" i="1" s="1"/>
  <c r="CO69" i="1"/>
  <c r="CP69" i="1" s="1"/>
  <c r="CC10" i="1"/>
  <c r="CD10" i="1" s="1"/>
  <c r="AW16" i="1"/>
  <c r="AX16" i="1" s="1"/>
  <c r="CO52" i="1"/>
  <c r="CP52" i="1" s="1"/>
  <c r="AW59" i="1"/>
  <c r="AX59" i="1" s="1"/>
  <c r="CO16" i="1"/>
  <c r="CP16" i="1" s="1"/>
  <c r="AW58" i="1"/>
  <c r="AX58" i="1" s="1"/>
  <c r="CO12" i="1"/>
  <c r="CP12" i="1" s="1"/>
  <c r="AW15" i="1"/>
  <c r="AX15" i="1" s="1"/>
  <c r="CC17" i="1"/>
  <c r="CD17" i="1" s="1"/>
  <c r="AE24" i="1"/>
  <c r="AF24" i="1" s="1"/>
  <c r="AE25" i="1"/>
  <c r="AF25" i="1" s="1"/>
  <c r="DA26" i="1"/>
  <c r="DB26" i="1" s="1"/>
  <c r="BI28" i="1"/>
  <c r="BJ28" i="1" s="1"/>
  <c r="BI40" i="1"/>
  <c r="BJ40" i="1" s="1"/>
  <c r="AE43" i="1"/>
  <c r="AF43" i="1" s="1"/>
  <c r="DA43" i="1"/>
  <c r="DB43" i="1" s="1"/>
  <c r="CO44" i="1"/>
  <c r="CP44" i="1" s="1"/>
  <c r="AE52" i="1"/>
  <c r="AF52" i="1" s="1"/>
  <c r="DA52" i="1"/>
  <c r="DB52" i="1" s="1"/>
  <c r="CO53" i="1"/>
  <c r="CP53" i="1" s="1"/>
  <c r="BI58" i="1"/>
  <c r="BJ58" i="1" s="1"/>
  <c r="BI59" i="1"/>
  <c r="BJ59" i="1" s="1"/>
  <c r="CO63" i="1"/>
  <c r="CP63" i="1" s="1"/>
  <c r="CO64" i="1"/>
  <c r="CP64" i="1" s="1"/>
  <c r="BI78" i="1"/>
  <c r="BJ78" i="1" s="1"/>
  <c r="CC15" i="1"/>
  <c r="CD15" i="1" s="1"/>
  <c r="CC9" i="1"/>
  <c r="CD9" i="1" s="1"/>
  <c r="DA12" i="1"/>
  <c r="DB12" i="1" s="1"/>
  <c r="BI23" i="1"/>
  <c r="BJ23" i="1" s="1"/>
  <c r="BI41" i="1"/>
  <c r="BJ41" i="1" s="1"/>
  <c r="DA44" i="1"/>
  <c r="DB44" i="1" s="1"/>
  <c r="BI49" i="1"/>
  <c r="BJ49" i="1" s="1"/>
  <c r="CC68" i="1"/>
  <c r="CD68" i="1" s="1"/>
  <c r="AV6" i="1"/>
  <c r="CN6" i="1"/>
  <c r="CC14" i="1"/>
  <c r="CD14" i="1" s="1"/>
  <c r="AE16" i="1"/>
  <c r="AF16" i="1" s="1"/>
  <c r="BI30" i="1"/>
  <c r="BJ30" i="1" s="1"/>
  <c r="AE34" i="1"/>
  <c r="AF34" i="1" s="1"/>
  <c r="DA35" i="1"/>
  <c r="DB35" i="1" s="1"/>
  <c r="AE53" i="1"/>
  <c r="AF53" i="1" s="1"/>
  <c r="DA53" i="1"/>
  <c r="DB53" i="1" s="1"/>
  <c r="DA54" i="1"/>
  <c r="DB54" i="1" s="1"/>
  <c r="CC58" i="1"/>
  <c r="CD58" i="1" s="1"/>
  <c r="AW34" i="1"/>
  <c r="AX34" i="1" s="1"/>
  <c r="CO48" i="1"/>
  <c r="CP48" i="1" s="1"/>
  <c r="CB6" i="1"/>
  <c r="DA20" i="1"/>
  <c r="DB20" i="1" s="1"/>
  <c r="BI31" i="1"/>
  <c r="BJ31" i="1" s="1"/>
  <c r="AW33" i="1"/>
  <c r="AX33" i="1" s="1"/>
  <c r="AE35" i="1"/>
  <c r="AF35" i="1" s="1"/>
  <c r="DA36" i="1"/>
  <c r="DB36" i="1" s="1"/>
  <c r="AE45" i="1"/>
  <c r="AF45" i="1" s="1"/>
  <c r="DA45" i="1"/>
  <c r="DB45" i="1" s="1"/>
  <c r="BI50" i="1"/>
  <c r="BJ50" i="1" s="1"/>
  <c r="AE74" i="1"/>
  <c r="AF74" i="1" s="1"/>
  <c r="DA74" i="1"/>
  <c r="DB74" i="1" s="1"/>
  <c r="CO34" i="1"/>
  <c r="CP34" i="1" s="1"/>
  <c r="CO49" i="1"/>
  <c r="CP49" i="1" s="1"/>
  <c r="CO57" i="1"/>
  <c r="CP57" i="1" s="1"/>
  <c r="CO71" i="1"/>
  <c r="CP71" i="1" s="1"/>
  <c r="CO72" i="1"/>
  <c r="CP72" i="1" s="1"/>
  <c r="AE22" i="1"/>
  <c r="AF22" i="1" s="1"/>
  <c r="CO23" i="1"/>
  <c r="CP23" i="1" s="1"/>
  <c r="BI25" i="1"/>
  <c r="BJ25" i="1" s="1"/>
  <c r="AE32" i="1"/>
  <c r="AF32" i="1" s="1"/>
  <c r="AE33" i="1"/>
  <c r="AF33" i="1" s="1"/>
  <c r="DA34" i="1"/>
  <c r="DB34" i="1" s="1"/>
  <c r="CO35" i="1"/>
  <c r="CP35" i="1" s="1"/>
  <c r="CC38" i="1"/>
  <c r="CD38" i="1" s="1"/>
  <c r="BI46" i="1"/>
  <c r="BJ46" i="1" s="1"/>
  <c r="AW47" i="1"/>
  <c r="AX47" i="1" s="1"/>
  <c r="AE49" i="1"/>
  <c r="AF49" i="1" s="1"/>
  <c r="DA49" i="1"/>
  <c r="DB49" i="1" s="1"/>
  <c r="CO50" i="1"/>
  <c r="CP50" i="1" s="1"/>
  <c r="AE57" i="1"/>
  <c r="AF57" i="1" s="1"/>
  <c r="DA57" i="1"/>
  <c r="DB57" i="1" s="1"/>
  <c r="CO58" i="1"/>
  <c r="CP58" i="1" s="1"/>
  <c r="BI61" i="1"/>
  <c r="BJ61" i="1" s="1"/>
  <c r="AW62" i="1"/>
  <c r="AX62" i="1" s="1"/>
  <c r="AE64" i="1"/>
  <c r="AF64" i="1" s="1"/>
  <c r="AE65" i="1"/>
  <c r="AF65" i="1" s="1"/>
  <c r="DA65" i="1"/>
  <c r="DB65" i="1" s="1"/>
  <c r="BI69" i="1"/>
  <c r="BJ69" i="1" s="1"/>
  <c r="AE71" i="1"/>
  <c r="AF71" i="1" s="1"/>
  <c r="DA71" i="1"/>
  <c r="DB71" i="1" s="1"/>
  <c r="DA72" i="1"/>
  <c r="DB72" i="1" s="1"/>
  <c r="BI75" i="1"/>
  <c r="BJ75" i="1" s="1"/>
  <c r="AW76" i="1"/>
  <c r="AX76" i="1" s="1"/>
  <c r="AW77" i="1"/>
  <c r="AX77" i="1" s="1"/>
  <c r="CC62" i="1"/>
  <c r="CD62" i="1" s="1"/>
  <c r="BI63" i="1"/>
  <c r="BJ63" i="1" s="1"/>
  <c r="AW64" i="1"/>
  <c r="AX64" i="1" s="1"/>
  <c r="AW65" i="1"/>
  <c r="AX65" i="1" s="1"/>
  <c r="CO67" i="1"/>
  <c r="CP67" i="1" s="1"/>
  <c r="BI70" i="1"/>
  <c r="BJ70" i="1" s="1"/>
  <c r="DA73" i="1"/>
  <c r="DB73" i="1" s="1"/>
  <c r="CC76" i="1"/>
  <c r="CD76" i="1" s="1"/>
  <c r="AW53" i="1"/>
  <c r="AX53" i="1" s="1"/>
  <c r="CO65" i="1"/>
  <c r="CP65" i="1" s="1"/>
  <c r="CO78" i="1"/>
  <c r="CP78" i="1" s="1"/>
  <c r="AC6" i="1"/>
  <c r="AE13" i="1"/>
  <c r="AF13" i="1" s="1"/>
  <c r="CA6" i="1"/>
  <c r="CY6" i="1"/>
  <c r="CZ6" i="1"/>
  <c r="AE9" i="1"/>
  <c r="AF9" i="1" s="1"/>
  <c r="AW19" i="1"/>
  <c r="AX19" i="1" s="1"/>
  <c r="DA25" i="1"/>
  <c r="DB25" i="1" s="1"/>
  <c r="CO29" i="1"/>
  <c r="CP29" i="1" s="1"/>
  <c r="BJ6" i="1" l="1"/>
  <c r="DB6" i="1"/>
  <c r="BI6" i="1"/>
  <c r="CC6" i="1"/>
  <c r="CD6" i="1"/>
  <c r="CO6" i="1"/>
  <c r="CP6" i="1"/>
  <c r="AW6" i="1"/>
  <c r="AX6" i="1"/>
  <c r="AF6" i="1"/>
  <c r="AE6" i="1"/>
  <c r="DA6" i="1"/>
</calcChain>
</file>

<file path=xl/sharedStrings.xml><?xml version="1.0" encoding="utf-8"?>
<sst xmlns="http://schemas.openxmlformats.org/spreadsheetml/2006/main" count="1099" uniqueCount="291">
  <si>
    <t>School Level Data on Alternative Delivery Mode (ADM)</t>
  </si>
  <si>
    <t>SY 2019-2020</t>
  </si>
  <si>
    <t>Based on LIS, generated as of Januart 5, 2020</t>
  </si>
  <si>
    <t>Distance Education (DistEd) for SPED)</t>
  </si>
  <si>
    <t>School with DISTED</t>
  </si>
  <si>
    <t>Enhanced-Instructional Management by Parents, Community and teachers (e-IMPACT)</t>
  </si>
  <si>
    <t>School with e-IMPACT</t>
  </si>
  <si>
    <t>Modified In-School Off-School Approach (MISOSA)</t>
  </si>
  <si>
    <t>School with MISOSA</t>
  </si>
  <si>
    <t>Other School-Initiated Intervention</t>
  </si>
  <si>
    <t>School with Other Intervention</t>
  </si>
  <si>
    <t>Open High School Program (OHSP)</t>
  </si>
  <si>
    <t>School with OHSP</t>
  </si>
  <si>
    <t>Other Schools Initiated Intervention</t>
  </si>
  <si>
    <t>School with Intervention</t>
  </si>
  <si>
    <t>Grade 1</t>
  </si>
  <si>
    <t>Grade 2</t>
  </si>
  <si>
    <t>Grade 3</t>
  </si>
  <si>
    <t>Grade 4</t>
  </si>
  <si>
    <t>Grade 5</t>
  </si>
  <si>
    <t>Grade 6</t>
  </si>
  <si>
    <t>Learners with Disability</t>
  </si>
  <si>
    <t>Grand Total</t>
  </si>
  <si>
    <t>Kindergarten</t>
  </si>
  <si>
    <t>Grade 7</t>
  </si>
  <si>
    <t>Grade 8</t>
  </si>
  <si>
    <t>Grade 9</t>
  </si>
  <si>
    <t>Grade 10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</si>
  <si>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</si>
  <si>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</si>
  <si>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</si>
  <si>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</si>
  <si>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</si>
  <si>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</si>
  <si>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</si>
  <si>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</si>
  <si>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</si>
  <si>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</si>
  <si>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</si>
  <si>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</si>
  <si>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</si>
  <si>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</si>
  <si>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</si>
  <si>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School_subclassification</t>
  </si>
  <si>
    <t>Modified Curricular Offering</t>
  </si>
  <si>
    <t>g1male_DistEd</t>
  </si>
  <si>
    <t>g1female_DistEd</t>
  </si>
  <si>
    <t>g2male_DistEd</t>
  </si>
  <si>
    <t>g2female_DistEd</t>
  </si>
  <si>
    <t>g3male_DistEd</t>
  </si>
  <si>
    <t>g3female_DistEd</t>
  </si>
  <si>
    <t>g4male_DistEd</t>
  </si>
  <si>
    <t>g4female_DistEd</t>
  </si>
  <si>
    <t>g5male_DistEd</t>
  </si>
  <si>
    <t>g5female_DistEd</t>
  </si>
  <si>
    <t>g6male_DistEd</t>
  </si>
  <si>
    <t>g6female_DistEd</t>
  </si>
  <si>
    <t>ngElemmale_DistEd</t>
  </si>
  <si>
    <t>ngElemfemale_DistEd</t>
  </si>
  <si>
    <t>g1male_Eimpact</t>
  </si>
  <si>
    <t>g1female_Eimpact</t>
  </si>
  <si>
    <t>g2male_Eimpact</t>
  </si>
  <si>
    <t>g2female_Eimpact</t>
  </si>
  <si>
    <t>g3male_Eimpact</t>
  </si>
  <si>
    <t>g3female_Eimpact</t>
  </si>
  <si>
    <t>g4male_Eimpact</t>
  </si>
  <si>
    <t>g4female_Eimpact</t>
  </si>
  <si>
    <t>g5male_Eimpact</t>
  </si>
  <si>
    <t>g5female_Eimpact</t>
  </si>
  <si>
    <t>g6male_Eimpact</t>
  </si>
  <si>
    <t>g6female_Eimpact</t>
  </si>
  <si>
    <t>ngElemmale_Eimpact</t>
  </si>
  <si>
    <t>ngElemfemale_Eimpact</t>
  </si>
  <si>
    <t>g4male_misosa</t>
  </si>
  <si>
    <t>g4female_misosa</t>
  </si>
  <si>
    <t>g5male_misosa</t>
  </si>
  <si>
    <t>g5female_misosa</t>
  </si>
  <si>
    <t>g6male_misosa</t>
  </si>
  <si>
    <t>g6female_misosa</t>
  </si>
  <si>
    <t>ngElemmale_misosa</t>
  </si>
  <si>
    <t>ngElemfemale_misosa</t>
  </si>
  <si>
    <t>kmale_otherInterven</t>
  </si>
  <si>
    <t>kfemale_otherInterven</t>
  </si>
  <si>
    <t>g1male_otherInterven</t>
  </si>
  <si>
    <t>g1female_otherInterven</t>
  </si>
  <si>
    <t>g2male_otherInterven</t>
  </si>
  <si>
    <t>g2female_otherInterven</t>
  </si>
  <si>
    <t>g3male_otherInterven</t>
  </si>
  <si>
    <t>g3female_otherInterven</t>
  </si>
  <si>
    <t>g4male_otherInterven</t>
  </si>
  <si>
    <t>g4female_otherInterven</t>
  </si>
  <si>
    <t>g5male_otherInterven</t>
  </si>
  <si>
    <t>g5female_otherInterven</t>
  </si>
  <si>
    <t>g6male_otherInterven</t>
  </si>
  <si>
    <t>g6female_otherInterven</t>
  </si>
  <si>
    <t>ngElemmale_otherInterven</t>
  </si>
  <si>
    <t>ngElemfemale_otherInterven</t>
  </si>
  <si>
    <t>g7male_OHSP</t>
  </si>
  <si>
    <t>g7female_OHSP</t>
  </si>
  <si>
    <t>g8male_OHSP</t>
  </si>
  <si>
    <t>g8female_OHSP</t>
  </si>
  <si>
    <t>g9male_OHSP</t>
  </si>
  <si>
    <t>g9female_OHSP</t>
  </si>
  <si>
    <t>g10male_OHSP</t>
  </si>
  <si>
    <t>g10female_OHSP</t>
  </si>
  <si>
    <t>g7male_otherInterven</t>
  </si>
  <si>
    <t>g7female_otherInterven</t>
  </si>
  <si>
    <t>g8male_otherInterven</t>
  </si>
  <si>
    <t>g8female_otherInterven</t>
  </si>
  <si>
    <t>g9male_otherInterven</t>
  </si>
  <si>
    <t>g9female_otherInterven</t>
  </si>
  <si>
    <t>g10male_otherInterven</t>
  </si>
  <si>
    <t>g10female_otherInterven</t>
  </si>
  <si>
    <t>Region XI</t>
  </si>
  <si>
    <t>2nd District</t>
  </si>
  <si>
    <t>Public</t>
  </si>
  <si>
    <t>DepED Managed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</si>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</sst>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5" xfId="0" applyFont="1" applyBorder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FA59-1FFE-436A-8AE5-209A58C180AE}">
  <dimension ref="A1:DB78"/>
  <sheetViews>
    <sheetView tabSelected="1" zoomScale="85" zoomScaleNormal="85" workbookViewId="0">
      <pane xSplit="4" ySplit="7" topLeftCell="E40" activePane="bottomRight" state="frozen"/>
      <selection pane="topRight" activeCell="E1" sqref="E1"/>
      <selection pane="bottomLeft" activeCell="A8" sqref="A8"/>
      <selection pane="bottomRight" activeCell="F67" sqref="F67"/>
    </sheetView>
  </sheetViews>
  <sheetFormatPr defaultRowHeight="15" x14ac:dyDescent="0.25"/>
  <cols>
    <col min="2" max="2" width="25.5703125" bestFit="1" customWidth="1"/>
  </cols>
  <sheetData>
    <row r="1" spans="1:106" x14ac:dyDescent="0.25">
      <c r="A1" s="1" t="s">
        <v>0</v>
      </c>
    </row>
    <row r="2" spans="1:106" x14ac:dyDescent="0.25">
      <c r="A2" s="1" t="s">
        <v>1</v>
      </c>
    </row>
    <row r="3" spans="1:106" x14ac:dyDescent="0.25">
      <c r="A3" s="1" t="s">
        <v>2</v>
      </c>
      <c r="O3" s="2" t="s">
        <v>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5" t="s">
        <v>4</v>
      </c>
      <c r="AG3" s="2" t="s">
        <v>5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  <c r="AX3" s="6" t="s">
        <v>6</v>
      </c>
      <c r="AY3" s="2" t="s">
        <v>7</v>
      </c>
      <c r="AZ3" s="3"/>
      <c r="BA3" s="3"/>
      <c r="BB3" s="3"/>
      <c r="BC3" s="3"/>
      <c r="BD3" s="3"/>
      <c r="BE3" s="3"/>
      <c r="BF3" s="3"/>
      <c r="BG3" s="3"/>
      <c r="BH3" s="3"/>
      <c r="BI3" s="4"/>
      <c r="BJ3" s="7" t="s">
        <v>8</v>
      </c>
      <c r="BK3" s="2" t="s">
        <v>9</v>
      </c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4"/>
      <c r="CD3" s="7" t="s">
        <v>10</v>
      </c>
      <c r="CE3" s="2" t="s">
        <v>11</v>
      </c>
      <c r="CF3" s="3"/>
      <c r="CG3" s="3"/>
      <c r="CH3" s="3"/>
      <c r="CI3" s="3"/>
      <c r="CJ3" s="3"/>
      <c r="CK3" s="3"/>
      <c r="CL3" s="3"/>
      <c r="CM3" s="3"/>
      <c r="CN3" s="3"/>
      <c r="CO3" s="3"/>
      <c r="CP3" s="8" t="s">
        <v>12</v>
      </c>
      <c r="CQ3" s="9" t="s">
        <v>13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8" t="s">
        <v>14</v>
      </c>
    </row>
    <row r="4" spans="1:106" x14ac:dyDescent="0.25">
      <c r="O4" s="10" t="s">
        <v>15</v>
      </c>
      <c r="P4" s="10"/>
      <c r="Q4" s="10" t="s">
        <v>16</v>
      </c>
      <c r="R4" s="10"/>
      <c r="S4" s="10" t="s">
        <v>17</v>
      </c>
      <c r="T4" s="10"/>
      <c r="U4" s="10" t="s">
        <v>18</v>
      </c>
      <c r="V4" s="10"/>
      <c r="W4" s="10" t="s">
        <v>19</v>
      </c>
      <c r="X4" s="10"/>
      <c r="Y4" s="10" t="s">
        <v>20</v>
      </c>
      <c r="Z4" s="10"/>
      <c r="AA4" s="10" t="s">
        <v>21</v>
      </c>
      <c r="AB4" s="10"/>
      <c r="AC4" s="11" t="s">
        <v>22</v>
      </c>
      <c r="AD4" s="12"/>
      <c r="AE4" s="13"/>
      <c r="AF4" s="14"/>
      <c r="AG4" s="10" t="s">
        <v>15</v>
      </c>
      <c r="AH4" s="10"/>
      <c r="AI4" s="10" t="s">
        <v>16</v>
      </c>
      <c r="AJ4" s="10"/>
      <c r="AK4" s="10" t="s">
        <v>17</v>
      </c>
      <c r="AL4" s="10"/>
      <c r="AM4" s="10" t="s">
        <v>18</v>
      </c>
      <c r="AN4" s="10"/>
      <c r="AO4" s="10" t="s">
        <v>19</v>
      </c>
      <c r="AP4" s="10"/>
      <c r="AQ4" s="10" t="s">
        <v>20</v>
      </c>
      <c r="AR4" s="10"/>
      <c r="AS4" s="9" t="s">
        <v>21</v>
      </c>
      <c r="AT4" s="9"/>
      <c r="AU4" s="11" t="s">
        <v>22</v>
      </c>
      <c r="AV4" s="12"/>
      <c r="AW4" s="13"/>
      <c r="AX4" s="6"/>
      <c r="AY4" s="9" t="s">
        <v>18</v>
      </c>
      <c r="AZ4" s="9"/>
      <c r="BA4" s="9" t="s">
        <v>19</v>
      </c>
      <c r="BB4" s="9"/>
      <c r="BC4" s="9" t="s">
        <v>19</v>
      </c>
      <c r="BD4" s="9"/>
      <c r="BE4" s="9" t="s">
        <v>21</v>
      </c>
      <c r="BF4" s="9"/>
      <c r="BG4" s="11" t="s">
        <v>22</v>
      </c>
      <c r="BH4" s="12"/>
      <c r="BI4" s="13"/>
      <c r="BJ4" s="15"/>
      <c r="BK4" s="9" t="s">
        <v>23</v>
      </c>
      <c r="BL4" s="9"/>
      <c r="BM4" s="9" t="s">
        <v>15</v>
      </c>
      <c r="BN4" s="9"/>
      <c r="BO4" s="9" t="s">
        <v>16</v>
      </c>
      <c r="BP4" s="9"/>
      <c r="BQ4" s="9" t="s">
        <v>17</v>
      </c>
      <c r="BR4" s="9"/>
      <c r="BS4" s="9" t="s">
        <v>18</v>
      </c>
      <c r="BT4" s="9"/>
      <c r="BU4" s="9" t="s">
        <v>19</v>
      </c>
      <c r="BV4" s="9"/>
      <c r="BW4" s="9" t="s">
        <v>19</v>
      </c>
      <c r="BX4" s="9"/>
      <c r="BY4" s="9" t="s">
        <v>21</v>
      </c>
      <c r="BZ4" s="9"/>
      <c r="CA4" s="11" t="s">
        <v>22</v>
      </c>
      <c r="CB4" s="12"/>
      <c r="CC4" s="13"/>
      <c r="CD4" s="15"/>
      <c r="CE4" s="9" t="s">
        <v>24</v>
      </c>
      <c r="CF4" s="9"/>
      <c r="CG4" s="9" t="s">
        <v>25</v>
      </c>
      <c r="CH4" s="9"/>
      <c r="CI4" s="9" t="s">
        <v>26</v>
      </c>
      <c r="CJ4" s="9"/>
      <c r="CK4" s="9" t="s">
        <v>27</v>
      </c>
      <c r="CL4" s="9"/>
      <c r="CM4" s="11" t="s">
        <v>22</v>
      </c>
      <c r="CN4" s="12"/>
      <c r="CO4" s="12"/>
      <c r="CP4" s="16"/>
      <c r="CQ4" s="9" t="s">
        <v>24</v>
      </c>
      <c r="CR4" s="9"/>
      <c r="CS4" s="9" t="s">
        <v>25</v>
      </c>
      <c r="CT4" s="9"/>
      <c r="CU4" s="9" t="s">
        <v>26</v>
      </c>
      <c r="CV4" s="9"/>
      <c r="CW4" s="9" t="s">
        <v>27</v>
      </c>
      <c r="CX4" s="9"/>
      <c r="CY4" s="10" t="s">
        <v>22</v>
      </c>
      <c r="CZ4" s="10"/>
      <c r="DA4" s="10"/>
      <c r="DB4" s="16"/>
    </row>
    <row r="5" spans="1:106" x14ac:dyDescent="0.25">
      <c r="O5" s="17" t="s">
        <v>28</v>
      </c>
      <c r="P5" s="17" t="s">
        <v>29</v>
      </c>
      <c r="Q5" s="17" t="s">
        <v>28</v>
      </c>
      <c r="R5" s="17" t="s">
        <v>29</v>
      </c>
      <c r="S5" s="17" t="s">
        <v>28</v>
      </c>
      <c r="T5" s="17" t="s">
        <v>29</v>
      </c>
      <c r="U5" s="17" t="s">
        <v>28</v>
      </c>
      <c r="V5" s="17" t="s">
        <v>29</v>
      </c>
      <c r="W5" s="17" t="s">
        <v>28</v>
      </c>
      <c r="X5" s="17" t="s">
        <v>29</v>
      </c>
      <c r="Y5" s="17" t="s">
        <v>28</v>
      </c>
      <c r="Z5" s="17" t="s">
        <v>29</v>
      </c>
      <c r="AA5" s="17" t="s">
        <v>28</v>
      </c>
      <c r="AB5" s="17" t="s">
        <v>29</v>
      </c>
      <c r="AC5" s="17" t="s">
        <v>28</v>
      </c>
      <c r="AD5" s="17" t="s">
        <v>29</v>
      </c>
      <c r="AE5" s="17" t="s">
        <v>30</v>
      </c>
      <c r="AF5" s="18"/>
      <c r="AG5" s="17" t="s">
        <v>28</v>
      </c>
      <c r="AH5" s="17" t="s">
        <v>29</v>
      </c>
      <c r="AI5" s="17" t="s">
        <v>28</v>
      </c>
      <c r="AJ5" s="17" t="s">
        <v>29</v>
      </c>
      <c r="AK5" s="17" t="s">
        <v>28</v>
      </c>
      <c r="AL5" s="17" t="s">
        <v>29</v>
      </c>
      <c r="AM5" s="17" t="s">
        <v>28</v>
      </c>
      <c r="AN5" s="17" t="s">
        <v>29</v>
      </c>
      <c r="AO5" s="17" t="s">
        <v>28</v>
      </c>
      <c r="AP5" s="17" t="s">
        <v>29</v>
      </c>
      <c r="AQ5" s="17" t="s">
        <v>28</v>
      </c>
      <c r="AR5" s="17" t="s">
        <v>29</v>
      </c>
      <c r="AS5" s="17" t="s">
        <v>28</v>
      </c>
      <c r="AT5" s="17" t="s">
        <v>29</v>
      </c>
      <c r="AU5" s="17" t="s">
        <v>28</v>
      </c>
      <c r="AV5" s="17" t="s">
        <v>29</v>
      </c>
      <c r="AW5" s="17" t="s">
        <v>30</v>
      </c>
      <c r="AX5" s="6"/>
      <c r="AY5" s="17" t="s">
        <v>28</v>
      </c>
      <c r="AZ5" s="17" t="s">
        <v>29</v>
      </c>
      <c r="BA5" s="17" t="s">
        <v>28</v>
      </c>
      <c r="BB5" s="17" t="s">
        <v>29</v>
      </c>
      <c r="BC5" s="17" t="s">
        <v>28</v>
      </c>
      <c r="BD5" s="17" t="s">
        <v>29</v>
      </c>
      <c r="BE5" s="17" t="s">
        <v>28</v>
      </c>
      <c r="BF5" s="17" t="s">
        <v>29</v>
      </c>
      <c r="BG5" s="17" t="s">
        <v>28</v>
      </c>
      <c r="BH5" s="17" t="s">
        <v>29</v>
      </c>
      <c r="BI5" s="17" t="s">
        <v>30</v>
      </c>
      <c r="BJ5" s="19"/>
      <c r="BK5" s="17" t="s">
        <v>28</v>
      </c>
      <c r="BL5" s="17" t="s">
        <v>29</v>
      </c>
      <c r="BM5" s="17" t="s">
        <v>28</v>
      </c>
      <c r="BN5" s="17" t="s">
        <v>29</v>
      </c>
      <c r="BO5" s="17" t="s">
        <v>28</v>
      </c>
      <c r="BP5" s="17" t="s">
        <v>29</v>
      </c>
      <c r="BQ5" s="17" t="s">
        <v>28</v>
      </c>
      <c r="BR5" s="17" t="s">
        <v>29</v>
      </c>
      <c r="BS5" s="17" t="s">
        <v>28</v>
      </c>
      <c r="BT5" s="17" t="s">
        <v>29</v>
      </c>
      <c r="BU5" s="17" t="s">
        <v>28</v>
      </c>
      <c r="BV5" s="17" t="s">
        <v>29</v>
      </c>
      <c r="BW5" s="17" t="s">
        <v>28</v>
      </c>
      <c r="BX5" s="17" t="s">
        <v>29</v>
      </c>
      <c r="BY5" s="17" t="s">
        <v>28</v>
      </c>
      <c r="BZ5" s="17" t="s">
        <v>29</v>
      </c>
      <c r="CA5" s="17" t="s">
        <v>28</v>
      </c>
      <c r="CB5" s="17" t="s">
        <v>29</v>
      </c>
      <c r="CC5" s="17" t="s">
        <v>30</v>
      </c>
      <c r="CD5" s="19"/>
      <c r="CE5" s="20" t="s">
        <v>28</v>
      </c>
      <c r="CF5" s="20" t="s">
        <v>29</v>
      </c>
      <c r="CG5" s="20" t="s">
        <v>28</v>
      </c>
      <c r="CH5" s="20" t="s">
        <v>29</v>
      </c>
      <c r="CI5" s="20" t="s">
        <v>28</v>
      </c>
      <c r="CJ5" s="20" t="s">
        <v>29</v>
      </c>
      <c r="CK5" s="20" t="s">
        <v>28</v>
      </c>
      <c r="CL5" s="20" t="s">
        <v>29</v>
      </c>
      <c r="CM5" s="17" t="s">
        <v>28</v>
      </c>
      <c r="CN5" s="17" t="s">
        <v>29</v>
      </c>
      <c r="CO5" s="21" t="s">
        <v>30</v>
      </c>
      <c r="CP5" s="22"/>
      <c r="CQ5" s="20" t="s">
        <v>28</v>
      </c>
      <c r="CR5" s="20" t="s">
        <v>29</v>
      </c>
      <c r="CS5" s="20" t="s">
        <v>28</v>
      </c>
      <c r="CT5" s="20" t="s">
        <v>29</v>
      </c>
      <c r="CU5" s="20" t="s">
        <v>28</v>
      </c>
      <c r="CV5" s="20" t="s">
        <v>29</v>
      </c>
      <c r="CW5" s="20" t="s">
        <v>28</v>
      </c>
      <c r="CX5" s="20" t="s">
        <v>29</v>
      </c>
      <c r="CY5" s="17" t="s">
        <v>28</v>
      </c>
      <c r="CZ5" s="17" t="s">
        <v>29</v>
      </c>
      <c r="DA5" s="17" t="s">
        <v>30</v>
      </c>
      <c r="DB5" s="22"/>
    </row>
    <row r="6" spans="1:106" x14ac:dyDescent="0.25">
      <c r="O6" s="1">
        <f>SUM(O8:O78)</f>
        <v>0</v>
      </c>
      <c r="P6" s="1">
        <f>SUM(P8:P78)</f>
        <v>0</v>
      </c>
      <c r="Q6" s="1">
        <f>SUM(Q8:Q78)</f>
        <v>0</v>
      </c>
      <c r="R6" s="1">
        <f>SUM(R8:R78)</f>
        <v>0</v>
      </c>
      <c r="S6" s="1">
        <f>SUM(S8:S78)</f>
        <v>0</v>
      </c>
      <c r="T6" s="1">
        <f>SUM(T8:T78)</f>
        <v>0</v>
      </c>
      <c r="U6" s="1">
        <f>SUM(U8:U78)</f>
        <v>0</v>
      </c>
      <c r="V6" s="1">
        <f>SUM(V8:V78)</f>
        <v>0</v>
      </c>
      <c r="W6" s="1">
        <f>SUM(W8:W78)</f>
        <v>0</v>
      </c>
      <c r="X6" s="1">
        <f>SUM(X8:X78)</f>
        <v>0</v>
      </c>
      <c r="Y6" s="1">
        <f>SUM(Y8:Y78)</f>
        <v>0</v>
      </c>
      <c r="Z6" s="1">
        <f>SUM(Z8:Z78)</f>
        <v>0</v>
      </c>
      <c r="AA6" s="1">
        <f>SUM(AA8:AA78)</f>
        <v>0</v>
      </c>
      <c r="AB6" s="1">
        <f>SUM(AB8:AB78)</f>
        <v>0</v>
      </c>
      <c r="AC6" s="1">
        <f>SUM(AC8:AC78)</f>
        <v>0</v>
      </c>
      <c r="AD6" s="1">
        <f>SUM(AD8:AD78)</f>
        <v>0</v>
      </c>
      <c r="AE6" s="1">
        <f>SUM(AE8:AE78)</f>
        <v>0</v>
      </c>
      <c r="AF6" s="1">
        <f>SUM(AF8:AF78)</f>
        <v>0</v>
      </c>
      <c r="AG6" s="1">
        <f>SUM(AG8:AG78)</f>
        <v>0</v>
      </c>
      <c r="AH6" s="1">
        <f>SUM(AH8:AH78)</f>
        <v>0</v>
      </c>
      <c r="AI6" s="1">
        <f>SUM(AI8:AI78)</f>
        <v>0</v>
      </c>
      <c r="AJ6" s="1">
        <f>SUM(AJ8:AJ78)</f>
        <v>0</v>
      </c>
      <c r="AK6" s="1">
        <f>SUM(AK8:AK78)</f>
        <v>0</v>
      </c>
      <c r="AL6" s="1">
        <f>SUM(AL8:AL78)</f>
        <v>0</v>
      </c>
      <c r="AM6" s="1">
        <f>SUM(AM8:AM78)</f>
        <v>0</v>
      </c>
      <c r="AN6" s="1">
        <f>SUM(AN8:AN78)</f>
        <v>0</v>
      </c>
      <c r="AO6" s="1">
        <f>SUM(AO8:AO78)</f>
        <v>0</v>
      </c>
      <c r="AP6" s="1">
        <f>SUM(AP8:AP78)</f>
        <v>0</v>
      </c>
      <c r="AQ6" s="1">
        <f>SUM(AQ8:AQ78)</f>
        <v>0</v>
      </c>
      <c r="AR6" s="1">
        <f>SUM(AR8:AR78)</f>
        <v>0</v>
      </c>
      <c r="AS6" s="1">
        <f>SUM(AS8:AS78)</f>
        <v>0</v>
      </c>
      <c r="AT6" s="1">
        <f>SUM(AT8:AT78)</f>
        <v>0</v>
      </c>
      <c r="AU6" s="1">
        <f>SUM(AU8:AU78)</f>
        <v>0</v>
      </c>
      <c r="AV6" s="1">
        <f>SUM(AV8:AV78)</f>
        <v>0</v>
      </c>
      <c r="AW6" s="1">
        <f>SUM(AW8:AW78)</f>
        <v>0</v>
      </c>
      <c r="AX6" s="1">
        <f>SUM(AX8:AX78)</f>
        <v>0</v>
      </c>
      <c r="AY6" s="1">
        <f>SUM(AY8:AY78)</f>
        <v>0</v>
      </c>
      <c r="AZ6" s="1">
        <f>SUM(AZ8:AZ78)</f>
        <v>0</v>
      </c>
      <c r="BA6" s="1">
        <f>SUM(BA8:BA78)</f>
        <v>0</v>
      </c>
      <c r="BB6" s="1">
        <f>SUM(BB8:BB78)</f>
        <v>0</v>
      </c>
      <c r="BC6" s="1">
        <f>SUM(BC8:BC78)</f>
        <v>0</v>
      </c>
      <c r="BD6" s="1">
        <f>SUM(BD8:BD78)</f>
        <v>0</v>
      </c>
      <c r="BE6" s="1">
        <f>SUM(BE8:BE78)</f>
        <v>0</v>
      </c>
      <c r="BF6" s="1">
        <f>SUM(BF8:BF78)</f>
        <v>0</v>
      </c>
      <c r="BG6" s="1">
        <f>SUM(BG8:BG78)</f>
        <v>0</v>
      </c>
      <c r="BH6" s="1">
        <f>SUM(BH8:BH78)</f>
        <v>0</v>
      </c>
      <c r="BI6" s="1">
        <f>SUM(BI8:BI78)</f>
        <v>0</v>
      </c>
      <c r="BJ6" s="1">
        <f>SUM(BJ8:BJ78)</f>
        <v>0</v>
      </c>
      <c r="BK6" s="1">
        <f>SUM(BK8:BK78)</f>
        <v>0</v>
      </c>
      <c r="BL6" s="1">
        <f>SUM(BL8:BL78)</f>
        <v>0</v>
      </c>
      <c r="BM6" s="1">
        <f>SUM(BM8:BM78)</f>
        <v>0</v>
      </c>
      <c r="BN6" s="1">
        <f>SUM(BN8:BN78)</f>
        <v>0</v>
      </c>
      <c r="BO6" s="1">
        <f>SUM(BO8:BO78)</f>
        <v>0</v>
      </c>
      <c r="BP6" s="1">
        <f>SUM(BP8:BP78)</f>
        <v>0</v>
      </c>
      <c r="BQ6" s="1">
        <f>SUM(BQ8:BQ78)</f>
        <v>0</v>
      </c>
      <c r="BR6" s="1">
        <f>SUM(BR8:BR78)</f>
        <v>0</v>
      </c>
      <c r="BS6" s="1">
        <f>SUM(BS8:BS78)</f>
        <v>0</v>
      </c>
      <c r="BT6" s="1">
        <f>SUM(BT8:BT78)</f>
        <v>0</v>
      </c>
      <c r="BU6" s="1">
        <f>SUM(BU8:BU78)</f>
        <v>0</v>
      </c>
      <c r="BV6" s="1">
        <f>SUM(BV8:BV78)</f>
        <v>0</v>
      </c>
      <c r="BW6" s="1">
        <f>SUM(BW8:BW78)</f>
        <v>0</v>
      </c>
      <c r="BX6" s="1">
        <f>SUM(BX8:BX78)</f>
        <v>0</v>
      </c>
      <c r="BY6" s="1">
        <f>SUM(BY8:BY78)</f>
        <v>0</v>
      </c>
      <c r="BZ6" s="1">
        <f>SUM(BZ8:BZ78)</f>
        <v>0</v>
      </c>
      <c r="CA6" s="1">
        <f>SUM(CA8:CA78)</f>
        <v>0</v>
      </c>
      <c r="CB6" s="1">
        <f>SUM(CB8:CB78)</f>
        <v>0</v>
      </c>
      <c r="CC6" s="1">
        <f>SUM(CC8:CC78)</f>
        <v>0</v>
      </c>
      <c r="CD6" s="1">
        <f>SUM(CD8:CD78)</f>
        <v>0</v>
      </c>
      <c r="CE6" s="1">
        <f>SUM(CE8:CE78)</f>
        <v>0</v>
      </c>
      <c r="CF6" s="1">
        <f>SUM(CF8:CF78)</f>
        <v>0</v>
      </c>
      <c r="CG6" s="1">
        <f>SUM(CG8:CG78)</f>
        <v>0</v>
      </c>
      <c r="CH6" s="1">
        <f>SUM(CH8:CH78)</f>
        <v>0</v>
      </c>
      <c r="CI6" s="1">
        <f>SUM(CI8:CI78)</f>
        <v>0</v>
      </c>
      <c r="CJ6" s="1">
        <f>SUM(CJ8:CJ78)</f>
        <v>0</v>
      </c>
      <c r="CK6" s="1">
        <f>SUM(CK8:CK78)</f>
        <v>0</v>
      </c>
      <c r="CL6" s="1">
        <f>SUM(CL8:CL78)</f>
        <v>0</v>
      </c>
      <c r="CM6" s="1">
        <f>SUM(CM8:CM78)</f>
        <v>0</v>
      </c>
      <c r="CN6" s="1">
        <f>SUM(CN8:CN78)</f>
        <v>0</v>
      </c>
      <c r="CO6" s="1">
        <f>SUM(CO8:CO78)</f>
        <v>0</v>
      </c>
      <c r="CP6" s="1">
        <f>SUM(CP8:CP78)</f>
        <v>0</v>
      </c>
      <c r="CQ6" s="23">
        <f>SUM(CQ8:CQ78)</f>
        <v>0</v>
      </c>
      <c r="CR6" s="23">
        <f>SUM(CR8:CR78)</f>
        <v>2</v>
      </c>
      <c r="CS6" s="23">
        <f>SUM(CS8:CS78)</f>
        <v>0</v>
      </c>
      <c r="CT6" s="23">
        <f>SUM(CT8:CT78)</f>
        <v>0</v>
      </c>
      <c r="CU6" s="23">
        <f>SUM(CU8:CU78)</f>
        <v>0</v>
      </c>
      <c r="CV6" s="23">
        <f>SUM(CV8:CV78)</f>
        <v>0</v>
      </c>
      <c r="CW6" s="23">
        <f>SUM(CW8:CW78)</f>
        <v>0</v>
      </c>
      <c r="CX6" s="23">
        <f>SUM(CX8:CX78)</f>
        <v>0</v>
      </c>
      <c r="CY6" s="23">
        <f>SUM(CY8:CY78)</f>
        <v>0</v>
      </c>
      <c r="CZ6" s="23">
        <f>SUM(CZ8:CZ78)</f>
        <v>2</v>
      </c>
      <c r="DA6" s="23">
        <f>SUM(DA8:DA78)</f>
        <v>2</v>
      </c>
      <c r="DB6" s="1">
        <f>SUM(DB8:DB78)</f>
        <v>1</v>
      </c>
    </row>
    <row r="7" spans="1:10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24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49</v>
      </c>
      <c r="T7" s="1" t="s">
        <v>50</v>
      </c>
      <c r="U7" s="1" t="s">
        <v>51</v>
      </c>
      <c r="V7" s="1" t="s">
        <v>52</v>
      </c>
      <c r="W7" s="1" t="s">
        <v>53</v>
      </c>
      <c r="X7" s="1" t="s">
        <v>54</v>
      </c>
      <c r="Y7" s="1" t="s">
        <v>55</v>
      </c>
      <c r="Z7" s="1" t="s">
        <v>56</v>
      </c>
      <c r="AA7" s="1" t="s">
        <v>57</v>
      </c>
      <c r="AB7" s="1" t="s">
        <v>58</v>
      </c>
      <c r="AC7" s="17" t="s">
        <v>28</v>
      </c>
      <c r="AD7" s="17" t="s">
        <v>29</v>
      </c>
      <c r="AE7" s="17" t="s">
        <v>30</v>
      </c>
      <c r="AF7" s="25" t="s">
        <v>4</v>
      </c>
      <c r="AG7" s="1" t="s">
        <v>59</v>
      </c>
      <c r="AH7" s="1" t="s">
        <v>60</v>
      </c>
      <c r="AI7" s="1" t="s">
        <v>61</v>
      </c>
      <c r="AJ7" s="1" t="s">
        <v>62</v>
      </c>
      <c r="AK7" s="1" t="s">
        <v>63</v>
      </c>
      <c r="AL7" s="1" t="s">
        <v>64</v>
      </c>
      <c r="AM7" s="1" t="s">
        <v>65</v>
      </c>
      <c r="AN7" s="1" t="s">
        <v>66</v>
      </c>
      <c r="AO7" s="1" t="s">
        <v>67</v>
      </c>
      <c r="AP7" s="1" t="s">
        <v>68</v>
      </c>
      <c r="AQ7" s="1" t="s">
        <v>69</v>
      </c>
      <c r="AR7" s="1" t="s">
        <v>70</v>
      </c>
      <c r="AS7" s="1" t="s">
        <v>71</v>
      </c>
      <c r="AT7" s="1" t="s">
        <v>72</v>
      </c>
      <c r="AU7" s="17" t="s">
        <v>28</v>
      </c>
      <c r="AV7" s="17" t="s">
        <v>29</v>
      </c>
      <c r="AW7" s="17" t="s">
        <v>30</v>
      </c>
      <c r="AX7" s="25" t="s">
        <v>6</v>
      </c>
      <c r="AY7" s="1" t="s">
        <v>73</v>
      </c>
      <c r="AZ7" s="1" t="s">
        <v>74</v>
      </c>
      <c r="BA7" s="1" t="s">
        <v>75</v>
      </c>
      <c r="BB7" s="1" t="s">
        <v>76</v>
      </c>
      <c r="BC7" s="1" t="s">
        <v>77</v>
      </c>
      <c r="BD7" s="1" t="s">
        <v>78</v>
      </c>
      <c r="BE7" s="1" t="s">
        <v>79</v>
      </c>
      <c r="BF7" s="1" t="s">
        <v>80</v>
      </c>
      <c r="BG7" s="17" t="s">
        <v>28</v>
      </c>
      <c r="BH7" s="17" t="s">
        <v>29</v>
      </c>
      <c r="BI7" s="17" t="s">
        <v>30</v>
      </c>
      <c r="BJ7" s="25" t="s">
        <v>8</v>
      </c>
      <c r="BK7" s="1" t="s">
        <v>81</v>
      </c>
      <c r="BL7" s="1" t="s">
        <v>82</v>
      </c>
      <c r="BM7" s="1" t="s">
        <v>83</v>
      </c>
      <c r="BN7" s="1" t="s">
        <v>84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89</v>
      </c>
      <c r="BT7" s="1" t="s">
        <v>90</v>
      </c>
      <c r="BU7" s="1" t="s">
        <v>91</v>
      </c>
      <c r="BV7" s="1" t="s">
        <v>92</v>
      </c>
      <c r="BW7" s="1" t="s">
        <v>93</v>
      </c>
      <c r="BX7" s="1" t="s">
        <v>94</v>
      </c>
      <c r="BY7" s="1" t="s">
        <v>95</v>
      </c>
      <c r="BZ7" s="1" t="s">
        <v>96</v>
      </c>
      <c r="CA7" s="17" t="s">
        <v>28</v>
      </c>
      <c r="CB7" s="17" t="s">
        <v>29</v>
      </c>
      <c r="CC7" s="17" t="s">
        <v>30</v>
      </c>
      <c r="CD7" s="25" t="s">
        <v>10</v>
      </c>
      <c r="CE7" s="1" t="s">
        <v>97</v>
      </c>
      <c r="CF7" s="1" t="s">
        <v>98</v>
      </c>
      <c r="CG7" s="1" t="s">
        <v>99</v>
      </c>
      <c r="CH7" s="1" t="s">
        <v>100</v>
      </c>
      <c r="CI7" s="1" t="s">
        <v>101</v>
      </c>
      <c r="CJ7" s="1" t="s">
        <v>102</v>
      </c>
      <c r="CK7" s="1" t="s">
        <v>103</v>
      </c>
      <c r="CL7" s="1" t="s">
        <v>104</v>
      </c>
      <c r="CM7" s="17" t="s">
        <v>28</v>
      </c>
      <c r="CN7" s="17" t="s">
        <v>29</v>
      </c>
      <c r="CO7" s="17" t="s">
        <v>30</v>
      </c>
      <c r="CP7" s="25" t="s">
        <v>12</v>
      </c>
      <c r="CQ7" s="1" t="s">
        <v>105</v>
      </c>
      <c r="CR7" s="1" t="s">
        <v>106</v>
      </c>
      <c r="CS7" s="1" t="s">
        <v>107</v>
      </c>
      <c r="CT7" s="1" t="s">
        <v>108</v>
      </c>
      <c r="CU7" s="1" t="s">
        <v>109</v>
      </c>
      <c r="CV7" s="1" t="s">
        <v>110</v>
      </c>
      <c r="CW7" s="1" t="s">
        <v>111</v>
      </c>
      <c r="CX7" s="1" t="s">
        <v>112</v>
      </c>
      <c r="CY7" s="26" t="s">
        <v>28</v>
      </c>
      <c r="CZ7" s="26" t="s">
        <v>29</v>
      </c>
      <c r="DA7" s="26" t="s">
        <v>30</v>
      </c>
      <c r="DB7" s="25" t="s">
        <v>12</v>
      </c>
    </row>
    <row r="8" spans="1:106" x14ac:dyDescent="0.25">
      <c r="A8" t="s">
        <v>113</v>
      </c>
      <c r="B8" t="s">
        <v>121</v>
      </c>
      <c r="C8" t="s">
        <v>122</v>
      </c>
      <c r="D8">
        <v>129374</v>
      </c>
      <c r="E8" t="s">
        <v>123</v>
      </c>
      <c r="F8" t="s">
        <v>124</v>
      </c>
      <c r="H8" t="s">
        <v>125</v>
      </c>
      <c r="I8" t="s">
        <v>126</v>
      </c>
      <c r="J8" t="s">
        <v>114</v>
      </c>
      <c r="K8" t="s">
        <v>127</v>
      </c>
      <c r="L8" t="s">
        <v>115</v>
      </c>
      <c r="M8" t="s">
        <v>116</v>
      </c>
      <c r="N8" t="s">
        <v>117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ref="AC8:AD45" si="0">O8+Q8+S8+U8+W8+Y8+AA8</f>
        <v>0</v>
      </c>
      <c r="AD8">
        <f t="shared" si="0"/>
        <v>0</v>
      </c>
      <c r="AE8">
        <f t="shared" ref="AE8:AE63" si="1">SUM(AC8:AD8)</f>
        <v>0</v>
      </c>
      <c r="AF8">
        <f t="shared" ref="AF8:AF63" si="2">IF(AE8&gt;=1,1,0)</f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f t="shared" ref="AU8:AV45" si="3">AG8+AI8+AK8+AM8+AO8+AQ8+AS8</f>
        <v>0</v>
      </c>
      <c r="AV8">
        <f t="shared" si="3"/>
        <v>0</v>
      </c>
      <c r="AW8">
        <f t="shared" ref="AW8:AW63" si="4">SUM(AU8:AV8)</f>
        <v>0</v>
      </c>
      <c r="AX8">
        <f t="shared" ref="AX8:AX63" si="5">IF(AW8&gt;=1,1,0)</f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f t="shared" ref="BG8:BH45" si="6">AY8+BA8+BC8+BE8</f>
        <v>0</v>
      </c>
      <c r="BH8">
        <f t="shared" si="6"/>
        <v>0</v>
      </c>
      <c r="BI8">
        <f t="shared" ref="BI8:BI63" si="7">SUM(BG8:BH8)</f>
        <v>0</v>
      </c>
      <c r="BJ8">
        <f t="shared" ref="BJ8:BJ63" si="8">IF(BI8&gt;=1,1,0)</f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f t="shared" ref="CA8:CB45" si="9">BM8+BO8+BQ8+BS8+BU8+BW8+BY8+BK8</f>
        <v>0</v>
      </c>
      <c r="CB8">
        <f t="shared" si="9"/>
        <v>0</v>
      </c>
      <c r="CC8">
        <f t="shared" ref="CC8:CC63" si="10">SUM(CA8:CB8)</f>
        <v>0</v>
      </c>
      <c r="CD8">
        <f t="shared" ref="CD8:CD63" si="11">IF(CC8&gt;=1,1,0)</f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f t="shared" ref="CM8:CN45" si="12">CE8+CG8+CI8+CK8</f>
        <v>0</v>
      </c>
      <c r="CN8">
        <f t="shared" si="12"/>
        <v>0</v>
      </c>
      <c r="CO8">
        <f t="shared" ref="CO8:CO63" si="13">SUM(CM8:CN8)</f>
        <v>0</v>
      </c>
      <c r="CP8">
        <f t="shared" ref="CP8:CP63" si="14">IF(CO8&gt;=1,1,0)</f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f t="shared" ref="CY8:CZ45" si="15">CQ8+CS8+CU8+CW8</f>
        <v>0</v>
      </c>
      <c r="CZ8">
        <f t="shared" si="15"/>
        <v>0</v>
      </c>
      <c r="DA8">
        <f t="shared" ref="DA8:DA63" si="16">SUM(CY8:CZ8)</f>
        <v>0</v>
      </c>
      <c r="DB8">
        <f t="shared" ref="DB8:DB63" si="17">IF(DA8&gt;=1,1,0)</f>
        <v>0</v>
      </c>
    </row>
    <row r="9" spans="1:106" x14ac:dyDescent="0.25">
      <c r="A9" t="s">
        <v>113</v>
      </c>
      <c r="B9" t="s">
        <v>121</v>
      </c>
      <c r="C9" t="s">
        <v>122</v>
      </c>
      <c r="D9">
        <v>129375</v>
      </c>
      <c r="E9" t="s">
        <v>128</v>
      </c>
      <c r="F9" t="s">
        <v>129</v>
      </c>
      <c r="H9" t="s">
        <v>125</v>
      </c>
      <c r="I9" t="s">
        <v>126</v>
      </c>
      <c r="J9" t="s">
        <v>114</v>
      </c>
      <c r="K9" t="s">
        <v>127</v>
      </c>
      <c r="L9" t="s">
        <v>115</v>
      </c>
      <c r="M9" t="s">
        <v>116</v>
      </c>
      <c r="N9" t="s">
        <v>117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0</v>
      </c>
      <c r="AD9">
        <f t="shared" si="0"/>
        <v>0</v>
      </c>
      <c r="AE9">
        <f t="shared" si="1"/>
        <v>0</v>
      </c>
      <c r="AF9">
        <f t="shared" si="2"/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f t="shared" si="3"/>
        <v>0</v>
      </c>
      <c r="AV9">
        <f t="shared" si="3"/>
        <v>0</v>
      </c>
      <c r="AW9">
        <f t="shared" si="4"/>
        <v>0</v>
      </c>
      <c r="AX9">
        <f t="shared" si="5"/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f t="shared" si="6"/>
        <v>0</v>
      </c>
      <c r="BH9">
        <f t="shared" si="6"/>
        <v>0</v>
      </c>
      <c r="BI9">
        <f t="shared" si="7"/>
        <v>0</v>
      </c>
      <c r="BJ9">
        <f t="shared" si="8"/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f t="shared" si="9"/>
        <v>0</v>
      </c>
      <c r="CB9">
        <f t="shared" si="9"/>
        <v>0</v>
      </c>
      <c r="CC9">
        <f t="shared" si="10"/>
        <v>0</v>
      </c>
      <c r="CD9">
        <f t="shared" si="11"/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f t="shared" si="12"/>
        <v>0</v>
      </c>
      <c r="CN9">
        <f t="shared" si="12"/>
        <v>0</v>
      </c>
      <c r="CO9">
        <f t="shared" si="13"/>
        <v>0</v>
      </c>
      <c r="CP9">
        <f t="shared" si="14"/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f t="shared" si="15"/>
        <v>0</v>
      </c>
      <c r="CZ9">
        <f t="shared" si="15"/>
        <v>0</v>
      </c>
      <c r="DA9">
        <f t="shared" si="16"/>
        <v>0</v>
      </c>
      <c r="DB9">
        <f t="shared" si="17"/>
        <v>0</v>
      </c>
    </row>
    <row r="10" spans="1:106" x14ac:dyDescent="0.25">
      <c r="A10" t="s">
        <v>113</v>
      </c>
      <c r="B10" t="s">
        <v>121</v>
      </c>
      <c r="C10" t="s">
        <v>122</v>
      </c>
      <c r="D10">
        <v>129376</v>
      </c>
      <c r="E10" t="s">
        <v>130</v>
      </c>
      <c r="F10" t="s">
        <v>131</v>
      </c>
      <c r="H10" t="s">
        <v>125</v>
      </c>
      <c r="I10" t="s">
        <v>126</v>
      </c>
      <c r="J10" t="s">
        <v>114</v>
      </c>
      <c r="K10" t="s">
        <v>132</v>
      </c>
      <c r="L10" t="s">
        <v>115</v>
      </c>
      <c r="M10" t="s">
        <v>116</v>
      </c>
      <c r="N10" t="s">
        <v>117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0</v>
      </c>
      <c r="AD10">
        <f t="shared" si="0"/>
        <v>0</v>
      </c>
      <c r="AE10">
        <f t="shared" si="1"/>
        <v>0</v>
      </c>
      <c r="AF10">
        <f t="shared" si="2"/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f t="shared" si="3"/>
        <v>0</v>
      </c>
      <c r="AV10">
        <f t="shared" si="3"/>
        <v>0</v>
      </c>
      <c r="AW10">
        <f t="shared" si="4"/>
        <v>0</v>
      </c>
      <c r="AX10">
        <f t="shared" si="5"/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f t="shared" si="6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f t="shared" si="9"/>
        <v>0</v>
      </c>
      <c r="CB10">
        <f t="shared" si="9"/>
        <v>0</v>
      </c>
      <c r="CC10">
        <f t="shared" si="10"/>
        <v>0</v>
      </c>
      <c r="CD10">
        <f t="shared" si="11"/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f t="shared" si="12"/>
        <v>0</v>
      </c>
      <c r="CN10">
        <f t="shared" si="12"/>
        <v>0</v>
      </c>
      <c r="CO10">
        <f t="shared" si="13"/>
        <v>0</v>
      </c>
      <c r="CP10">
        <f t="shared" si="14"/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f t="shared" si="15"/>
        <v>0</v>
      </c>
      <c r="CZ10">
        <f t="shared" si="15"/>
        <v>0</v>
      </c>
      <c r="DA10">
        <f t="shared" si="16"/>
        <v>0</v>
      </c>
      <c r="DB10">
        <f t="shared" si="17"/>
        <v>0</v>
      </c>
    </row>
    <row r="11" spans="1:106" x14ac:dyDescent="0.25">
      <c r="A11" t="s">
        <v>113</v>
      </c>
      <c r="B11" t="s">
        <v>121</v>
      </c>
      <c r="C11" t="s">
        <v>122</v>
      </c>
      <c r="D11">
        <v>129377</v>
      </c>
      <c r="E11" t="s">
        <v>133</v>
      </c>
      <c r="F11" t="s">
        <v>134</v>
      </c>
      <c r="H11" t="s">
        <v>125</v>
      </c>
      <c r="I11" t="s">
        <v>126</v>
      </c>
      <c r="J11" t="s">
        <v>114</v>
      </c>
      <c r="K11" t="s">
        <v>135</v>
      </c>
      <c r="L11" t="s">
        <v>115</v>
      </c>
      <c r="M11" t="s">
        <v>116</v>
      </c>
      <c r="N11" t="s">
        <v>117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0</v>
      </c>
      <c r="AD11">
        <f t="shared" si="0"/>
        <v>0</v>
      </c>
      <c r="AE11">
        <f t="shared" si="1"/>
        <v>0</v>
      </c>
      <c r="AF11">
        <f t="shared" si="2"/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f t="shared" si="3"/>
        <v>0</v>
      </c>
      <c r="AV11">
        <f t="shared" si="3"/>
        <v>0</v>
      </c>
      <c r="AW11">
        <f t="shared" si="4"/>
        <v>0</v>
      </c>
      <c r="AX11">
        <f t="shared" si="5"/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f t="shared" si="6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f t="shared" si="9"/>
        <v>0</v>
      </c>
      <c r="CB11">
        <f t="shared" si="9"/>
        <v>0</v>
      </c>
      <c r="CC11">
        <f t="shared" si="10"/>
        <v>0</v>
      </c>
      <c r="CD11">
        <f t="shared" si="11"/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f t="shared" si="12"/>
        <v>0</v>
      </c>
      <c r="CN11">
        <f t="shared" si="12"/>
        <v>0</v>
      </c>
      <c r="CO11">
        <f t="shared" si="13"/>
        <v>0</v>
      </c>
      <c r="CP11">
        <f t="shared" si="14"/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f t="shared" si="15"/>
        <v>0</v>
      </c>
      <c r="CZ11">
        <f t="shared" si="15"/>
        <v>0</v>
      </c>
      <c r="DA11">
        <f t="shared" si="16"/>
        <v>0</v>
      </c>
      <c r="DB11">
        <f t="shared" si="17"/>
        <v>0</v>
      </c>
    </row>
    <row r="12" spans="1:106" x14ac:dyDescent="0.25">
      <c r="A12" t="s">
        <v>113</v>
      </c>
      <c r="B12" t="s">
        <v>121</v>
      </c>
      <c r="C12" t="s">
        <v>122</v>
      </c>
      <c r="D12">
        <v>129380</v>
      </c>
      <c r="E12" t="s">
        <v>136</v>
      </c>
      <c r="F12" t="s">
        <v>137</v>
      </c>
      <c r="H12" t="s">
        <v>125</v>
      </c>
      <c r="I12" t="s">
        <v>126</v>
      </c>
      <c r="J12" t="s">
        <v>114</v>
      </c>
      <c r="K12" t="s">
        <v>132</v>
      </c>
      <c r="L12" t="s">
        <v>115</v>
      </c>
      <c r="M12" t="s">
        <v>116</v>
      </c>
      <c r="N12" t="s">
        <v>117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0</v>
      </c>
      <c r="AD12">
        <f t="shared" si="0"/>
        <v>0</v>
      </c>
      <c r="AE12">
        <f t="shared" si="1"/>
        <v>0</v>
      </c>
      <c r="AF12">
        <f t="shared" si="2"/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f t="shared" si="3"/>
        <v>0</v>
      </c>
      <c r="AV12">
        <f t="shared" si="3"/>
        <v>0</v>
      </c>
      <c r="AW12">
        <f t="shared" si="4"/>
        <v>0</v>
      </c>
      <c r="AX12">
        <f t="shared" si="5"/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f t="shared" si="6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f t="shared" si="9"/>
        <v>0</v>
      </c>
      <c r="CB12">
        <f t="shared" si="9"/>
        <v>0</v>
      </c>
      <c r="CC12">
        <f t="shared" si="10"/>
        <v>0</v>
      </c>
      <c r="CD12">
        <f t="shared" si="11"/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f t="shared" si="12"/>
        <v>0</v>
      </c>
      <c r="CN12">
        <f t="shared" si="12"/>
        <v>0</v>
      </c>
      <c r="CO12">
        <f t="shared" si="13"/>
        <v>0</v>
      </c>
      <c r="CP12">
        <f t="shared" si="14"/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f t="shared" si="15"/>
        <v>0</v>
      </c>
      <c r="CZ12">
        <f t="shared" si="15"/>
        <v>0</v>
      </c>
      <c r="DA12">
        <f t="shared" si="16"/>
        <v>0</v>
      </c>
      <c r="DB12">
        <f t="shared" si="17"/>
        <v>0</v>
      </c>
    </row>
    <row r="13" spans="1:106" x14ac:dyDescent="0.25">
      <c r="A13" t="s">
        <v>113</v>
      </c>
      <c r="B13" t="s">
        <v>121</v>
      </c>
      <c r="C13" t="s">
        <v>122</v>
      </c>
      <c r="D13">
        <v>129381</v>
      </c>
      <c r="E13" t="s">
        <v>138</v>
      </c>
      <c r="F13" t="s">
        <v>139</v>
      </c>
      <c r="H13" t="s">
        <v>125</v>
      </c>
      <c r="I13" t="s">
        <v>126</v>
      </c>
      <c r="J13" t="s">
        <v>114</v>
      </c>
      <c r="K13" t="s">
        <v>132</v>
      </c>
      <c r="L13" t="s">
        <v>115</v>
      </c>
      <c r="M13" t="s">
        <v>116</v>
      </c>
      <c r="N13" t="s">
        <v>117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0</v>
      </c>
      <c r="AD13">
        <f t="shared" si="0"/>
        <v>0</v>
      </c>
      <c r="AE13">
        <f t="shared" si="1"/>
        <v>0</v>
      </c>
      <c r="AF13">
        <f t="shared" si="2"/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f t="shared" si="3"/>
        <v>0</v>
      </c>
      <c r="AV13">
        <f t="shared" si="3"/>
        <v>0</v>
      </c>
      <c r="AW13">
        <f t="shared" si="4"/>
        <v>0</v>
      </c>
      <c r="AX13">
        <f t="shared" si="5"/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f t="shared" si="6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f t="shared" si="9"/>
        <v>0</v>
      </c>
      <c r="CB13">
        <f t="shared" si="9"/>
        <v>0</v>
      </c>
      <c r="CC13">
        <f t="shared" si="10"/>
        <v>0</v>
      </c>
      <c r="CD13">
        <f t="shared" si="11"/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f t="shared" si="12"/>
        <v>0</v>
      </c>
      <c r="CN13">
        <f t="shared" si="12"/>
        <v>0</v>
      </c>
      <c r="CO13">
        <f t="shared" si="13"/>
        <v>0</v>
      </c>
      <c r="CP13">
        <f t="shared" si="14"/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f t="shared" si="15"/>
        <v>0</v>
      </c>
      <c r="CZ13">
        <f t="shared" si="15"/>
        <v>0</v>
      </c>
      <c r="DA13">
        <f t="shared" si="16"/>
        <v>0</v>
      </c>
      <c r="DB13">
        <f t="shared" si="17"/>
        <v>0</v>
      </c>
    </row>
    <row r="14" spans="1:106" x14ac:dyDescent="0.25">
      <c r="A14" t="s">
        <v>113</v>
      </c>
      <c r="B14" t="s">
        <v>121</v>
      </c>
      <c r="C14" t="s">
        <v>122</v>
      </c>
      <c r="D14">
        <v>129382</v>
      </c>
      <c r="E14" t="s">
        <v>140</v>
      </c>
      <c r="F14" t="s">
        <v>141</v>
      </c>
      <c r="H14" t="s">
        <v>125</v>
      </c>
      <c r="I14" t="s">
        <v>126</v>
      </c>
      <c r="J14" t="s">
        <v>114</v>
      </c>
      <c r="K14" t="s">
        <v>132</v>
      </c>
      <c r="L14" t="s">
        <v>115</v>
      </c>
      <c r="M14" t="s">
        <v>116</v>
      </c>
      <c r="N14" t="s">
        <v>117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0"/>
        <v>0</v>
      </c>
      <c r="AD14">
        <f t="shared" si="0"/>
        <v>0</v>
      </c>
      <c r="AE14">
        <f t="shared" si="1"/>
        <v>0</v>
      </c>
      <c r="AF14">
        <f t="shared" si="2"/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f t="shared" si="3"/>
        <v>0</v>
      </c>
      <c r="AV14">
        <f t="shared" si="3"/>
        <v>0</v>
      </c>
      <c r="AW14">
        <f t="shared" si="4"/>
        <v>0</v>
      </c>
      <c r="AX14">
        <f t="shared" si="5"/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f t="shared" si="6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f t="shared" si="9"/>
        <v>0</v>
      </c>
      <c r="CB14">
        <f t="shared" si="9"/>
        <v>0</v>
      </c>
      <c r="CC14">
        <f t="shared" si="10"/>
        <v>0</v>
      </c>
      <c r="CD14">
        <f t="shared" si="11"/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f t="shared" si="12"/>
        <v>0</v>
      </c>
      <c r="CN14">
        <f t="shared" si="12"/>
        <v>0</v>
      </c>
      <c r="CO14">
        <f t="shared" si="13"/>
        <v>0</v>
      </c>
      <c r="CP14">
        <f t="shared" si="14"/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f t="shared" si="15"/>
        <v>0</v>
      </c>
      <c r="CZ14">
        <f t="shared" si="15"/>
        <v>0</v>
      </c>
      <c r="DA14">
        <f t="shared" si="16"/>
        <v>0</v>
      </c>
      <c r="DB14">
        <f t="shared" si="17"/>
        <v>0</v>
      </c>
    </row>
    <row r="15" spans="1:106" x14ac:dyDescent="0.25">
      <c r="A15" t="s">
        <v>113</v>
      </c>
      <c r="B15" t="s">
        <v>121</v>
      </c>
      <c r="C15" t="s">
        <v>122</v>
      </c>
      <c r="D15">
        <v>129383</v>
      </c>
      <c r="E15" t="s">
        <v>142</v>
      </c>
      <c r="F15" t="s">
        <v>143</v>
      </c>
      <c r="H15" t="s">
        <v>125</v>
      </c>
      <c r="I15" t="s">
        <v>126</v>
      </c>
      <c r="J15" t="s">
        <v>114</v>
      </c>
      <c r="K15" t="s">
        <v>132</v>
      </c>
      <c r="L15" t="s">
        <v>115</v>
      </c>
      <c r="M15" t="s">
        <v>116</v>
      </c>
      <c r="N15" t="s">
        <v>117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0</v>
      </c>
      <c r="AD15">
        <f t="shared" si="0"/>
        <v>0</v>
      </c>
      <c r="AE15">
        <f t="shared" si="1"/>
        <v>0</v>
      </c>
      <c r="AF15">
        <f t="shared" si="2"/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f t="shared" si="3"/>
        <v>0</v>
      </c>
      <c r="AV15">
        <f t="shared" si="3"/>
        <v>0</v>
      </c>
      <c r="AW15">
        <f t="shared" si="4"/>
        <v>0</v>
      </c>
      <c r="AX15">
        <f t="shared" si="5"/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f t="shared" si="6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f t="shared" si="9"/>
        <v>0</v>
      </c>
      <c r="CB15">
        <f t="shared" si="9"/>
        <v>0</v>
      </c>
      <c r="CC15">
        <f t="shared" si="10"/>
        <v>0</v>
      </c>
      <c r="CD15">
        <f t="shared" si="11"/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f t="shared" si="12"/>
        <v>0</v>
      </c>
      <c r="CN15">
        <f t="shared" si="12"/>
        <v>0</v>
      </c>
      <c r="CO15">
        <f t="shared" si="13"/>
        <v>0</v>
      </c>
      <c r="CP15">
        <f t="shared" si="14"/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f t="shared" si="15"/>
        <v>0</v>
      </c>
      <c r="CZ15">
        <f t="shared" si="15"/>
        <v>0</v>
      </c>
      <c r="DA15">
        <f t="shared" si="16"/>
        <v>0</v>
      </c>
      <c r="DB15">
        <f t="shared" si="17"/>
        <v>0</v>
      </c>
    </row>
    <row r="16" spans="1:106" x14ac:dyDescent="0.25">
      <c r="A16" t="s">
        <v>113</v>
      </c>
      <c r="B16" t="s">
        <v>121</v>
      </c>
      <c r="C16" t="s">
        <v>122</v>
      </c>
      <c r="D16">
        <v>129384</v>
      </c>
      <c r="E16" t="s">
        <v>144</v>
      </c>
      <c r="F16" t="s">
        <v>145</v>
      </c>
      <c r="H16" t="s">
        <v>125</v>
      </c>
      <c r="I16" t="s">
        <v>126</v>
      </c>
      <c r="J16" t="s">
        <v>114</v>
      </c>
      <c r="K16" t="s">
        <v>132</v>
      </c>
      <c r="L16" t="s">
        <v>115</v>
      </c>
      <c r="M16" t="s">
        <v>116</v>
      </c>
      <c r="N16" t="s">
        <v>117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f t="shared" si="0"/>
        <v>0</v>
      </c>
      <c r="AD16">
        <f t="shared" si="0"/>
        <v>0</v>
      </c>
      <c r="AE16">
        <f t="shared" si="1"/>
        <v>0</v>
      </c>
      <c r="AF16">
        <f t="shared" si="2"/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f t="shared" si="3"/>
        <v>0</v>
      </c>
      <c r="AV16">
        <f t="shared" si="3"/>
        <v>0</v>
      </c>
      <c r="AW16">
        <f t="shared" si="4"/>
        <v>0</v>
      </c>
      <c r="AX16">
        <f t="shared" si="5"/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f t="shared" si="6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f t="shared" si="9"/>
        <v>0</v>
      </c>
      <c r="CB16">
        <f t="shared" si="9"/>
        <v>0</v>
      </c>
      <c r="CC16">
        <f t="shared" si="10"/>
        <v>0</v>
      </c>
      <c r="CD16">
        <f t="shared" si="11"/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f t="shared" si="12"/>
        <v>0</v>
      </c>
      <c r="CN16">
        <f t="shared" si="12"/>
        <v>0</v>
      </c>
      <c r="CO16">
        <f t="shared" si="13"/>
        <v>0</v>
      </c>
      <c r="CP16">
        <f t="shared" si="14"/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f t="shared" si="15"/>
        <v>0</v>
      </c>
      <c r="CZ16">
        <f t="shared" si="15"/>
        <v>0</v>
      </c>
      <c r="DA16">
        <f t="shared" si="16"/>
        <v>0</v>
      </c>
      <c r="DB16">
        <f t="shared" si="17"/>
        <v>0</v>
      </c>
    </row>
    <row r="17" spans="1:106" x14ac:dyDescent="0.25">
      <c r="A17" t="s">
        <v>113</v>
      </c>
      <c r="B17" t="s">
        <v>121</v>
      </c>
      <c r="C17" t="s">
        <v>122</v>
      </c>
      <c r="D17">
        <v>129385</v>
      </c>
      <c r="E17" t="s">
        <v>146</v>
      </c>
      <c r="F17" t="s">
        <v>147</v>
      </c>
      <c r="H17" t="s">
        <v>125</v>
      </c>
      <c r="I17" t="s">
        <v>126</v>
      </c>
      <c r="J17" t="s">
        <v>114</v>
      </c>
      <c r="K17" t="s">
        <v>127</v>
      </c>
      <c r="L17" t="s">
        <v>115</v>
      </c>
      <c r="M17" t="s">
        <v>116</v>
      </c>
      <c r="N17" t="s">
        <v>117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f t="shared" si="0"/>
        <v>0</v>
      </c>
      <c r="AD17">
        <f t="shared" si="0"/>
        <v>0</v>
      </c>
      <c r="AE17">
        <f t="shared" si="1"/>
        <v>0</v>
      </c>
      <c r="AF17">
        <f t="shared" si="2"/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f t="shared" si="3"/>
        <v>0</v>
      </c>
      <c r="AV17">
        <f t="shared" si="3"/>
        <v>0</v>
      </c>
      <c r="AW17">
        <f t="shared" si="4"/>
        <v>0</v>
      </c>
      <c r="AX17">
        <f t="shared" si="5"/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f t="shared" si="6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f t="shared" si="9"/>
        <v>0</v>
      </c>
      <c r="CB17">
        <f t="shared" si="9"/>
        <v>0</v>
      </c>
      <c r="CC17">
        <f t="shared" si="10"/>
        <v>0</v>
      </c>
      <c r="CD17">
        <f t="shared" si="11"/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f t="shared" si="12"/>
        <v>0</v>
      </c>
      <c r="CN17">
        <f t="shared" si="12"/>
        <v>0</v>
      </c>
      <c r="CO17">
        <f t="shared" si="13"/>
        <v>0</v>
      </c>
      <c r="CP17">
        <f t="shared" si="14"/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f t="shared" si="15"/>
        <v>0</v>
      </c>
      <c r="CZ17">
        <f t="shared" si="15"/>
        <v>0</v>
      </c>
      <c r="DA17">
        <f t="shared" si="16"/>
        <v>0</v>
      </c>
      <c r="DB17">
        <f t="shared" si="17"/>
        <v>0</v>
      </c>
    </row>
    <row r="18" spans="1:106" x14ac:dyDescent="0.25">
      <c r="A18" t="s">
        <v>113</v>
      </c>
      <c r="B18" t="s">
        <v>121</v>
      </c>
      <c r="C18" t="s">
        <v>122</v>
      </c>
      <c r="D18">
        <v>129386</v>
      </c>
      <c r="E18" t="s">
        <v>148</v>
      </c>
      <c r="F18" t="s">
        <v>149</v>
      </c>
      <c r="H18" t="s">
        <v>125</v>
      </c>
      <c r="I18" t="s">
        <v>126</v>
      </c>
      <c r="J18" t="s">
        <v>114</v>
      </c>
      <c r="K18" t="s">
        <v>135</v>
      </c>
      <c r="L18" t="s">
        <v>115</v>
      </c>
      <c r="M18" t="s">
        <v>116</v>
      </c>
      <c r="N18" t="s">
        <v>117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f t="shared" si="0"/>
        <v>0</v>
      </c>
      <c r="AD18">
        <f t="shared" si="0"/>
        <v>0</v>
      </c>
      <c r="AE18">
        <f t="shared" si="1"/>
        <v>0</v>
      </c>
      <c r="AF18">
        <f t="shared" si="2"/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f t="shared" si="3"/>
        <v>0</v>
      </c>
      <c r="AV18">
        <f t="shared" si="3"/>
        <v>0</v>
      </c>
      <c r="AW18">
        <f t="shared" si="4"/>
        <v>0</v>
      </c>
      <c r="AX18">
        <f t="shared" si="5"/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f t="shared" si="6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f t="shared" si="9"/>
        <v>0</v>
      </c>
      <c r="CB18">
        <f t="shared" si="9"/>
        <v>0</v>
      </c>
      <c r="CC18">
        <f t="shared" si="10"/>
        <v>0</v>
      </c>
      <c r="CD18">
        <f t="shared" si="11"/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f t="shared" si="12"/>
        <v>0</v>
      </c>
      <c r="CN18">
        <f t="shared" si="12"/>
        <v>0</v>
      </c>
      <c r="CO18">
        <f t="shared" si="13"/>
        <v>0</v>
      </c>
      <c r="CP18">
        <f t="shared" si="14"/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f t="shared" si="15"/>
        <v>0</v>
      </c>
      <c r="CZ18">
        <f t="shared" si="15"/>
        <v>0</v>
      </c>
      <c r="DA18">
        <f t="shared" si="16"/>
        <v>0</v>
      </c>
      <c r="DB18">
        <f t="shared" si="17"/>
        <v>0</v>
      </c>
    </row>
    <row r="19" spans="1:106" x14ac:dyDescent="0.25">
      <c r="A19" t="s">
        <v>113</v>
      </c>
      <c r="B19" t="s">
        <v>121</v>
      </c>
      <c r="C19" t="s">
        <v>122</v>
      </c>
      <c r="D19">
        <v>205504</v>
      </c>
      <c r="E19" t="s">
        <v>150</v>
      </c>
      <c r="F19" t="s">
        <v>139</v>
      </c>
      <c r="H19" t="s">
        <v>125</v>
      </c>
      <c r="I19" t="s">
        <v>126</v>
      </c>
      <c r="J19" t="s">
        <v>114</v>
      </c>
      <c r="K19" t="s">
        <v>132</v>
      </c>
      <c r="L19" t="s">
        <v>115</v>
      </c>
      <c r="M19" t="s">
        <v>116</v>
      </c>
      <c r="N19" t="s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f t="shared" si="0"/>
        <v>0</v>
      </c>
      <c r="AD19">
        <f t="shared" si="0"/>
        <v>0</v>
      </c>
      <c r="AE19">
        <f t="shared" si="1"/>
        <v>0</v>
      </c>
      <c r="AF19">
        <f t="shared" si="2"/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f t="shared" si="3"/>
        <v>0</v>
      </c>
      <c r="AV19">
        <f t="shared" si="3"/>
        <v>0</v>
      </c>
      <c r="AW19">
        <f t="shared" si="4"/>
        <v>0</v>
      </c>
      <c r="AX19">
        <f t="shared" si="5"/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f t="shared" si="6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f t="shared" si="9"/>
        <v>0</v>
      </c>
      <c r="CB19">
        <f t="shared" si="9"/>
        <v>0</v>
      </c>
      <c r="CC19">
        <f t="shared" si="10"/>
        <v>0</v>
      </c>
      <c r="CD19">
        <f t="shared" si="11"/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f t="shared" si="12"/>
        <v>0</v>
      </c>
      <c r="CN19">
        <f t="shared" si="12"/>
        <v>0</v>
      </c>
      <c r="CO19">
        <f t="shared" si="13"/>
        <v>0</v>
      </c>
      <c r="CP19">
        <f t="shared" si="14"/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f t="shared" si="15"/>
        <v>0</v>
      </c>
      <c r="CZ19">
        <f t="shared" si="15"/>
        <v>0</v>
      </c>
      <c r="DA19">
        <f t="shared" si="16"/>
        <v>0</v>
      </c>
      <c r="DB19">
        <f t="shared" si="17"/>
        <v>0</v>
      </c>
    </row>
    <row r="20" spans="1:106" x14ac:dyDescent="0.25">
      <c r="A20" t="s">
        <v>113</v>
      </c>
      <c r="B20" t="s">
        <v>121</v>
      </c>
      <c r="C20" t="s">
        <v>122</v>
      </c>
      <c r="D20">
        <v>304325</v>
      </c>
      <c r="E20" t="s">
        <v>151</v>
      </c>
      <c r="F20" t="s">
        <v>152</v>
      </c>
      <c r="H20" t="s">
        <v>125</v>
      </c>
      <c r="I20" t="s">
        <v>126</v>
      </c>
      <c r="J20" t="s">
        <v>114</v>
      </c>
      <c r="K20" t="s">
        <v>135</v>
      </c>
      <c r="L20" t="s">
        <v>115</v>
      </c>
      <c r="M20" t="s">
        <v>116</v>
      </c>
      <c r="N20" t="s">
        <v>118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f t="shared" si="0"/>
        <v>0</v>
      </c>
      <c r="AD20">
        <f t="shared" si="0"/>
        <v>0</v>
      </c>
      <c r="AE20">
        <f t="shared" si="1"/>
        <v>0</v>
      </c>
      <c r="AF20">
        <f t="shared" si="2"/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f t="shared" si="3"/>
        <v>0</v>
      </c>
      <c r="AV20">
        <f t="shared" si="3"/>
        <v>0</v>
      </c>
      <c r="AW20">
        <f t="shared" si="4"/>
        <v>0</v>
      </c>
      <c r="AX20">
        <f t="shared" si="5"/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f t="shared" si="6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f t="shared" si="9"/>
        <v>0</v>
      </c>
      <c r="CB20">
        <f t="shared" si="9"/>
        <v>0</v>
      </c>
      <c r="CC20">
        <f t="shared" si="10"/>
        <v>0</v>
      </c>
      <c r="CD20">
        <f t="shared" si="11"/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f t="shared" si="12"/>
        <v>0</v>
      </c>
      <c r="CN20">
        <f t="shared" si="12"/>
        <v>0</v>
      </c>
      <c r="CO20">
        <f t="shared" si="13"/>
        <v>0</v>
      </c>
      <c r="CP20">
        <f t="shared" si="14"/>
        <v>0</v>
      </c>
      <c r="CQ20">
        <v>0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f t="shared" si="15"/>
        <v>0</v>
      </c>
      <c r="CZ20">
        <f t="shared" si="15"/>
        <v>2</v>
      </c>
      <c r="DA20">
        <f t="shared" si="16"/>
        <v>2</v>
      </c>
      <c r="DB20">
        <f t="shared" si="17"/>
        <v>1</v>
      </c>
    </row>
    <row r="21" spans="1:106" x14ac:dyDescent="0.25">
      <c r="A21" t="s">
        <v>113</v>
      </c>
      <c r="B21" t="s">
        <v>121</v>
      </c>
      <c r="C21" t="s">
        <v>122</v>
      </c>
      <c r="D21">
        <v>304326</v>
      </c>
      <c r="E21" t="s">
        <v>153</v>
      </c>
      <c r="F21" t="s">
        <v>154</v>
      </c>
      <c r="H21" t="s">
        <v>125</v>
      </c>
      <c r="I21" t="s">
        <v>126</v>
      </c>
      <c r="J21" t="s">
        <v>114</v>
      </c>
      <c r="K21" t="s">
        <v>135</v>
      </c>
      <c r="L21" t="s">
        <v>115</v>
      </c>
      <c r="M21" t="s">
        <v>116</v>
      </c>
      <c r="N21" t="s">
        <v>118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f t="shared" si="0"/>
        <v>0</v>
      </c>
      <c r="AD21">
        <f t="shared" si="0"/>
        <v>0</v>
      </c>
      <c r="AE21">
        <f t="shared" si="1"/>
        <v>0</v>
      </c>
      <c r="AF21">
        <f t="shared" si="2"/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f t="shared" si="3"/>
        <v>0</v>
      </c>
      <c r="AV21">
        <f t="shared" si="3"/>
        <v>0</v>
      </c>
      <c r="AW21">
        <f t="shared" si="4"/>
        <v>0</v>
      </c>
      <c r="AX21">
        <f t="shared" si="5"/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f t="shared" si="6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f t="shared" si="9"/>
        <v>0</v>
      </c>
      <c r="CB21">
        <f t="shared" si="9"/>
        <v>0</v>
      </c>
      <c r="CC21">
        <f t="shared" si="10"/>
        <v>0</v>
      </c>
      <c r="CD21">
        <f t="shared" si="11"/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f t="shared" si="12"/>
        <v>0</v>
      </c>
      <c r="CN21">
        <f t="shared" si="12"/>
        <v>0</v>
      </c>
      <c r="CO21">
        <f t="shared" si="13"/>
        <v>0</v>
      </c>
      <c r="CP21">
        <f t="shared" si="14"/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f t="shared" si="15"/>
        <v>0</v>
      </c>
      <c r="CZ21">
        <f t="shared" si="15"/>
        <v>0</v>
      </c>
      <c r="DA21">
        <f t="shared" si="16"/>
        <v>0</v>
      </c>
      <c r="DB21">
        <f t="shared" si="17"/>
        <v>0</v>
      </c>
    </row>
    <row r="22" spans="1:106" x14ac:dyDescent="0.25">
      <c r="A22" t="s">
        <v>113</v>
      </c>
      <c r="B22" t="s">
        <v>121</v>
      </c>
      <c r="C22" t="s">
        <v>122</v>
      </c>
      <c r="D22">
        <v>305680</v>
      </c>
      <c r="E22" t="s">
        <v>155</v>
      </c>
      <c r="F22" t="s">
        <v>156</v>
      </c>
      <c r="H22" t="s">
        <v>125</v>
      </c>
      <c r="I22" t="s">
        <v>126</v>
      </c>
      <c r="J22" t="s">
        <v>114</v>
      </c>
      <c r="K22" t="s">
        <v>157</v>
      </c>
      <c r="L22" t="s">
        <v>115</v>
      </c>
      <c r="M22" t="s">
        <v>116</v>
      </c>
      <c r="N22" t="s">
        <v>119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f t="shared" si="0"/>
        <v>0</v>
      </c>
      <c r="AD22">
        <f t="shared" si="0"/>
        <v>0</v>
      </c>
      <c r="AE22">
        <f t="shared" si="1"/>
        <v>0</v>
      </c>
      <c r="AF22">
        <f t="shared" si="2"/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f t="shared" si="3"/>
        <v>0</v>
      </c>
      <c r="AV22">
        <f t="shared" si="3"/>
        <v>0</v>
      </c>
      <c r="AW22">
        <f t="shared" si="4"/>
        <v>0</v>
      </c>
      <c r="AX22">
        <f t="shared" si="5"/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f t="shared" si="6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f t="shared" si="9"/>
        <v>0</v>
      </c>
      <c r="CB22">
        <f t="shared" si="9"/>
        <v>0</v>
      </c>
      <c r="CC22">
        <f t="shared" si="10"/>
        <v>0</v>
      </c>
      <c r="CD22">
        <f t="shared" si="11"/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f t="shared" si="12"/>
        <v>0</v>
      </c>
      <c r="CN22">
        <f t="shared" si="12"/>
        <v>0</v>
      </c>
      <c r="CO22">
        <f t="shared" si="13"/>
        <v>0</v>
      </c>
      <c r="CP22">
        <f t="shared" si="14"/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f t="shared" si="15"/>
        <v>0</v>
      </c>
      <c r="CZ22">
        <f t="shared" si="15"/>
        <v>0</v>
      </c>
      <c r="DA22">
        <f t="shared" si="16"/>
        <v>0</v>
      </c>
      <c r="DB22">
        <f t="shared" si="17"/>
        <v>0</v>
      </c>
    </row>
    <row r="23" spans="1:106" x14ac:dyDescent="0.25">
      <c r="A23" t="s">
        <v>113</v>
      </c>
      <c r="B23" t="s">
        <v>121</v>
      </c>
      <c r="C23" t="s">
        <v>122</v>
      </c>
      <c r="D23">
        <v>325104</v>
      </c>
      <c r="E23" t="s">
        <v>158</v>
      </c>
      <c r="F23" t="s">
        <v>159</v>
      </c>
      <c r="H23" t="s">
        <v>125</v>
      </c>
      <c r="I23" t="s">
        <v>126</v>
      </c>
      <c r="J23" t="s">
        <v>114</v>
      </c>
      <c r="K23" t="s">
        <v>127</v>
      </c>
      <c r="L23" t="s">
        <v>115</v>
      </c>
      <c r="M23" t="s">
        <v>116</v>
      </c>
      <c r="N23" t="s">
        <v>118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f t="shared" si="0"/>
        <v>0</v>
      </c>
      <c r="AD23">
        <f t="shared" si="0"/>
        <v>0</v>
      </c>
      <c r="AE23">
        <f t="shared" si="1"/>
        <v>0</v>
      </c>
      <c r="AF23">
        <f t="shared" si="2"/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f t="shared" si="3"/>
        <v>0</v>
      </c>
      <c r="AV23">
        <f t="shared" si="3"/>
        <v>0</v>
      </c>
      <c r="AW23">
        <f t="shared" si="4"/>
        <v>0</v>
      </c>
      <c r="AX23">
        <f t="shared" si="5"/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f t="shared" si="6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f t="shared" si="9"/>
        <v>0</v>
      </c>
      <c r="CB23">
        <f t="shared" si="9"/>
        <v>0</v>
      </c>
      <c r="CC23">
        <f t="shared" si="10"/>
        <v>0</v>
      </c>
      <c r="CD23">
        <f t="shared" si="11"/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f t="shared" si="12"/>
        <v>0</v>
      </c>
      <c r="CN23">
        <f t="shared" si="12"/>
        <v>0</v>
      </c>
      <c r="CO23">
        <f t="shared" si="13"/>
        <v>0</v>
      </c>
      <c r="CP23">
        <f t="shared" si="14"/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f t="shared" si="15"/>
        <v>0</v>
      </c>
      <c r="CZ23">
        <f t="shared" si="15"/>
        <v>0</v>
      </c>
      <c r="DA23">
        <f t="shared" si="16"/>
        <v>0</v>
      </c>
      <c r="DB23">
        <f t="shared" si="17"/>
        <v>0</v>
      </c>
    </row>
    <row r="24" spans="1:106" x14ac:dyDescent="0.25">
      <c r="A24" t="s">
        <v>113</v>
      </c>
      <c r="B24" t="s">
        <v>121</v>
      </c>
      <c r="C24" t="s">
        <v>122</v>
      </c>
      <c r="D24">
        <v>500454</v>
      </c>
      <c r="E24" t="s">
        <v>160</v>
      </c>
      <c r="F24" t="s">
        <v>161</v>
      </c>
      <c r="H24" t="s">
        <v>125</v>
      </c>
      <c r="I24" t="s">
        <v>126</v>
      </c>
      <c r="J24" t="s">
        <v>114</v>
      </c>
      <c r="K24" t="s">
        <v>135</v>
      </c>
      <c r="L24" t="s">
        <v>115</v>
      </c>
      <c r="M24" t="s">
        <v>116</v>
      </c>
      <c r="N24" t="s">
        <v>162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f t="shared" si="0"/>
        <v>0</v>
      </c>
      <c r="AD24">
        <f t="shared" si="0"/>
        <v>0</v>
      </c>
      <c r="AE24">
        <f t="shared" si="1"/>
        <v>0</v>
      </c>
      <c r="AF24">
        <f t="shared" si="2"/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f t="shared" si="3"/>
        <v>0</v>
      </c>
      <c r="AV24">
        <f t="shared" si="3"/>
        <v>0</v>
      </c>
      <c r="AW24">
        <f t="shared" si="4"/>
        <v>0</v>
      </c>
      <c r="AX24">
        <f t="shared" si="5"/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f t="shared" si="6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f t="shared" si="9"/>
        <v>0</v>
      </c>
      <c r="CB24">
        <f t="shared" si="9"/>
        <v>0</v>
      </c>
      <c r="CC24">
        <f t="shared" si="10"/>
        <v>0</v>
      </c>
      <c r="CD24">
        <f t="shared" si="11"/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f t="shared" si="12"/>
        <v>0</v>
      </c>
      <c r="CN24">
        <f t="shared" si="12"/>
        <v>0</v>
      </c>
      <c r="CO24">
        <f t="shared" si="13"/>
        <v>0</v>
      </c>
      <c r="CP24">
        <f t="shared" si="14"/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f t="shared" si="15"/>
        <v>0</v>
      </c>
      <c r="CZ24">
        <f t="shared" si="15"/>
        <v>0</v>
      </c>
      <c r="DA24">
        <f t="shared" si="16"/>
        <v>0</v>
      </c>
      <c r="DB24">
        <f t="shared" si="17"/>
        <v>0</v>
      </c>
    </row>
    <row r="25" spans="1:106" x14ac:dyDescent="0.25">
      <c r="A25" t="s">
        <v>113</v>
      </c>
      <c r="B25" t="s">
        <v>121</v>
      </c>
      <c r="C25" t="s">
        <v>122</v>
      </c>
      <c r="D25">
        <v>501424</v>
      </c>
      <c r="E25" t="s">
        <v>163</v>
      </c>
      <c r="F25" t="s">
        <v>164</v>
      </c>
      <c r="H25" t="s">
        <v>125</v>
      </c>
      <c r="I25" t="s">
        <v>126</v>
      </c>
      <c r="J25" t="s">
        <v>114</v>
      </c>
      <c r="K25" t="s">
        <v>165</v>
      </c>
      <c r="L25" t="s">
        <v>115</v>
      </c>
      <c r="M25" t="s">
        <v>116</v>
      </c>
      <c r="N25" t="s">
        <v>120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f t="shared" si="0"/>
        <v>0</v>
      </c>
      <c r="AD25">
        <f t="shared" si="0"/>
        <v>0</v>
      </c>
      <c r="AE25">
        <f t="shared" si="1"/>
        <v>0</v>
      </c>
      <c r="AF25">
        <f t="shared" si="2"/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f t="shared" si="3"/>
        <v>0</v>
      </c>
      <c r="AV25">
        <f t="shared" si="3"/>
        <v>0</v>
      </c>
      <c r="AW25">
        <f t="shared" si="4"/>
        <v>0</v>
      </c>
      <c r="AX25">
        <f t="shared" si="5"/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f t="shared" si="6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f t="shared" si="9"/>
        <v>0</v>
      </c>
      <c r="CB25">
        <f t="shared" si="9"/>
        <v>0</v>
      </c>
      <c r="CC25">
        <f t="shared" si="10"/>
        <v>0</v>
      </c>
      <c r="CD25">
        <f t="shared" si="11"/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f t="shared" si="12"/>
        <v>0</v>
      </c>
      <c r="CN25">
        <f t="shared" si="12"/>
        <v>0</v>
      </c>
      <c r="CO25">
        <f t="shared" si="13"/>
        <v>0</v>
      </c>
      <c r="CP25">
        <f t="shared" si="14"/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f t="shared" si="15"/>
        <v>0</v>
      </c>
      <c r="CZ25">
        <f t="shared" si="15"/>
        <v>0</v>
      </c>
      <c r="DA25">
        <f t="shared" si="16"/>
        <v>0</v>
      </c>
      <c r="DB25">
        <f t="shared" si="17"/>
        <v>0</v>
      </c>
    </row>
    <row r="26" spans="1:106" x14ac:dyDescent="0.25">
      <c r="A26" t="s">
        <v>113</v>
      </c>
      <c r="B26" t="s">
        <v>121</v>
      </c>
      <c r="C26" t="s">
        <v>166</v>
      </c>
      <c r="D26">
        <v>101813</v>
      </c>
      <c r="E26" t="s">
        <v>167</v>
      </c>
      <c r="F26" t="s">
        <v>168</v>
      </c>
      <c r="H26" t="s">
        <v>125</v>
      </c>
      <c r="I26" t="s">
        <v>126</v>
      </c>
      <c r="J26" t="s">
        <v>114</v>
      </c>
      <c r="K26" t="s">
        <v>169</v>
      </c>
      <c r="L26" t="s">
        <v>115</v>
      </c>
      <c r="M26" t="s">
        <v>116</v>
      </c>
      <c r="N26" t="s">
        <v>117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f t="shared" si="0"/>
        <v>0</v>
      </c>
      <c r="AD26">
        <f t="shared" si="0"/>
        <v>0</v>
      </c>
      <c r="AE26">
        <f t="shared" si="1"/>
        <v>0</v>
      </c>
      <c r="AF26">
        <f t="shared" si="2"/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f t="shared" si="3"/>
        <v>0</v>
      </c>
      <c r="AV26">
        <f t="shared" si="3"/>
        <v>0</v>
      </c>
      <c r="AW26">
        <f t="shared" si="4"/>
        <v>0</v>
      </c>
      <c r="AX26">
        <f t="shared" si="5"/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f t="shared" si="6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f t="shared" si="9"/>
        <v>0</v>
      </c>
      <c r="CB26">
        <f t="shared" si="9"/>
        <v>0</v>
      </c>
      <c r="CC26">
        <f t="shared" si="10"/>
        <v>0</v>
      </c>
      <c r="CD26">
        <f t="shared" si="11"/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f t="shared" si="12"/>
        <v>0</v>
      </c>
      <c r="CN26">
        <f t="shared" si="12"/>
        <v>0</v>
      </c>
      <c r="CO26">
        <f t="shared" si="13"/>
        <v>0</v>
      </c>
      <c r="CP26">
        <f t="shared" si="14"/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f t="shared" si="15"/>
        <v>0</v>
      </c>
      <c r="CZ26">
        <f t="shared" si="15"/>
        <v>0</v>
      </c>
      <c r="DA26">
        <f t="shared" si="16"/>
        <v>0</v>
      </c>
      <c r="DB26">
        <f t="shared" si="17"/>
        <v>0</v>
      </c>
    </row>
    <row r="27" spans="1:106" x14ac:dyDescent="0.25">
      <c r="A27" t="s">
        <v>113</v>
      </c>
      <c r="B27" t="s">
        <v>121</v>
      </c>
      <c r="C27" t="s">
        <v>166</v>
      </c>
      <c r="D27">
        <v>129387</v>
      </c>
      <c r="E27" t="s">
        <v>170</v>
      </c>
      <c r="F27" t="s">
        <v>171</v>
      </c>
      <c r="H27" t="s">
        <v>125</v>
      </c>
      <c r="I27" t="s">
        <v>126</v>
      </c>
      <c r="J27" t="s">
        <v>114</v>
      </c>
      <c r="K27" t="s">
        <v>172</v>
      </c>
      <c r="L27" t="s">
        <v>115</v>
      </c>
      <c r="M27" t="s">
        <v>116</v>
      </c>
      <c r="N27" t="s">
        <v>117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f t="shared" si="0"/>
        <v>0</v>
      </c>
      <c r="AD27">
        <f t="shared" si="0"/>
        <v>0</v>
      </c>
      <c r="AE27">
        <f t="shared" si="1"/>
        <v>0</v>
      </c>
      <c r="AF27">
        <f t="shared" si="2"/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f t="shared" si="3"/>
        <v>0</v>
      </c>
      <c r="AV27">
        <f t="shared" si="3"/>
        <v>0</v>
      </c>
      <c r="AW27">
        <f t="shared" si="4"/>
        <v>0</v>
      </c>
      <c r="AX27">
        <f t="shared" si="5"/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f t="shared" si="6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f t="shared" si="9"/>
        <v>0</v>
      </c>
      <c r="CB27">
        <f t="shared" si="9"/>
        <v>0</v>
      </c>
      <c r="CC27">
        <f t="shared" si="10"/>
        <v>0</v>
      </c>
      <c r="CD27">
        <f t="shared" si="11"/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f t="shared" si="12"/>
        <v>0</v>
      </c>
      <c r="CN27">
        <f t="shared" si="12"/>
        <v>0</v>
      </c>
      <c r="CO27">
        <f t="shared" si="13"/>
        <v>0</v>
      </c>
      <c r="CP27">
        <f t="shared" si="14"/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f t="shared" si="15"/>
        <v>0</v>
      </c>
      <c r="CZ27">
        <f t="shared" si="15"/>
        <v>0</v>
      </c>
      <c r="DA27">
        <f t="shared" si="16"/>
        <v>0</v>
      </c>
      <c r="DB27">
        <f t="shared" si="17"/>
        <v>0</v>
      </c>
    </row>
    <row r="28" spans="1:106" x14ac:dyDescent="0.25">
      <c r="A28" t="s">
        <v>113</v>
      </c>
      <c r="B28" t="s">
        <v>121</v>
      </c>
      <c r="C28" t="s">
        <v>166</v>
      </c>
      <c r="D28">
        <v>129388</v>
      </c>
      <c r="E28" t="s">
        <v>173</v>
      </c>
      <c r="F28" t="s">
        <v>174</v>
      </c>
      <c r="H28" t="s">
        <v>125</v>
      </c>
      <c r="I28" t="s">
        <v>126</v>
      </c>
      <c r="J28" t="s">
        <v>114</v>
      </c>
      <c r="K28" t="s">
        <v>175</v>
      </c>
      <c r="L28" t="s">
        <v>115</v>
      </c>
      <c r="M28" t="s">
        <v>116</v>
      </c>
      <c r="N28" t="s">
        <v>117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 t="shared" si="0"/>
        <v>0</v>
      </c>
      <c r="AD28">
        <f t="shared" si="0"/>
        <v>0</v>
      </c>
      <c r="AE28">
        <f t="shared" si="1"/>
        <v>0</v>
      </c>
      <c r="AF28">
        <f t="shared" si="2"/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f t="shared" si="3"/>
        <v>0</v>
      </c>
      <c r="AV28">
        <f t="shared" si="3"/>
        <v>0</v>
      </c>
      <c r="AW28">
        <f t="shared" si="4"/>
        <v>0</v>
      </c>
      <c r="AX28">
        <f t="shared" si="5"/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f t="shared" si="6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f t="shared" si="9"/>
        <v>0</v>
      </c>
      <c r="CB28">
        <f t="shared" si="9"/>
        <v>0</v>
      </c>
      <c r="CC28">
        <f t="shared" si="10"/>
        <v>0</v>
      </c>
      <c r="CD28">
        <f t="shared" si="11"/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f t="shared" si="12"/>
        <v>0</v>
      </c>
      <c r="CN28">
        <f t="shared" si="12"/>
        <v>0</v>
      </c>
      <c r="CO28">
        <f t="shared" si="13"/>
        <v>0</v>
      </c>
      <c r="CP28">
        <f t="shared" si="14"/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f t="shared" si="15"/>
        <v>0</v>
      </c>
      <c r="CZ28">
        <f t="shared" si="15"/>
        <v>0</v>
      </c>
      <c r="DA28">
        <f t="shared" si="16"/>
        <v>0</v>
      </c>
      <c r="DB28">
        <f t="shared" si="17"/>
        <v>0</v>
      </c>
    </row>
    <row r="29" spans="1:106" x14ac:dyDescent="0.25">
      <c r="A29" t="s">
        <v>113</v>
      </c>
      <c r="B29" t="s">
        <v>121</v>
      </c>
      <c r="C29" t="s">
        <v>166</v>
      </c>
      <c r="D29">
        <v>129389</v>
      </c>
      <c r="E29" t="s">
        <v>176</v>
      </c>
      <c r="F29" t="s">
        <v>177</v>
      </c>
      <c r="H29" t="s">
        <v>125</v>
      </c>
      <c r="I29" t="s">
        <v>126</v>
      </c>
      <c r="J29" t="s">
        <v>114</v>
      </c>
      <c r="K29" t="s">
        <v>157</v>
      </c>
      <c r="L29" t="s">
        <v>115</v>
      </c>
      <c r="M29" t="s">
        <v>116</v>
      </c>
      <c r="N29" t="s">
        <v>117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si="0"/>
        <v>0</v>
      </c>
      <c r="AD29">
        <f t="shared" si="0"/>
        <v>0</v>
      </c>
      <c r="AE29">
        <f t="shared" si="1"/>
        <v>0</v>
      </c>
      <c r="AF29">
        <f t="shared" si="2"/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f t="shared" si="3"/>
        <v>0</v>
      </c>
      <c r="AV29">
        <f t="shared" si="3"/>
        <v>0</v>
      </c>
      <c r="AW29">
        <f t="shared" si="4"/>
        <v>0</v>
      </c>
      <c r="AX29">
        <f t="shared" si="5"/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f t="shared" si="6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f t="shared" si="9"/>
        <v>0</v>
      </c>
      <c r="CB29">
        <f t="shared" si="9"/>
        <v>0</v>
      </c>
      <c r="CC29">
        <f t="shared" si="10"/>
        <v>0</v>
      </c>
      <c r="CD29">
        <f t="shared" si="11"/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f t="shared" si="12"/>
        <v>0</v>
      </c>
      <c r="CN29">
        <f t="shared" si="12"/>
        <v>0</v>
      </c>
      <c r="CO29">
        <f t="shared" si="13"/>
        <v>0</v>
      </c>
      <c r="CP29">
        <f t="shared" si="14"/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f t="shared" si="15"/>
        <v>0</v>
      </c>
      <c r="CZ29">
        <f t="shared" si="15"/>
        <v>0</v>
      </c>
      <c r="DA29">
        <f t="shared" si="16"/>
        <v>0</v>
      </c>
      <c r="DB29">
        <f t="shared" si="17"/>
        <v>0</v>
      </c>
    </row>
    <row r="30" spans="1:106" x14ac:dyDescent="0.25">
      <c r="A30" t="s">
        <v>113</v>
      </c>
      <c r="B30" t="s">
        <v>121</v>
      </c>
      <c r="C30" t="s">
        <v>166</v>
      </c>
      <c r="D30">
        <v>129390</v>
      </c>
      <c r="E30" t="s">
        <v>178</v>
      </c>
      <c r="F30" t="s">
        <v>179</v>
      </c>
      <c r="H30" t="s">
        <v>125</v>
      </c>
      <c r="I30" t="s">
        <v>126</v>
      </c>
      <c r="J30" t="s">
        <v>114</v>
      </c>
      <c r="K30" t="s">
        <v>172</v>
      </c>
      <c r="L30" t="s">
        <v>115</v>
      </c>
      <c r="M30" t="s">
        <v>116</v>
      </c>
      <c r="N30" t="s">
        <v>117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0"/>
        <v>0</v>
      </c>
      <c r="AD30">
        <f t="shared" si="0"/>
        <v>0</v>
      </c>
      <c r="AE30">
        <f t="shared" si="1"/>
        <v>0</v>
      </c>
      <c r="AF30">
        <f t="shared" si="2"/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f t="shared" si="3"/>
        <v>0</v>
      </c>
      <c r="AV30">
        <f t="shared" si="3"/>
        <v>0</v>
      </c>
      <c r="AW30">
        <f t="shared" si="4"/>
        <v>0</v>
      </c>
      <c r="AX30">
        <f t="shared" si="5"/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f t="shared" si="6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f t="shared" si="9"/>
        <v>0</v>
      </c>
      <c r="CB30">
        <f t="shared" si="9"/>
        <v>0</v>
      </c>
      <c r="CC30">
        <f t="shared" si="10"/>
        <v>0</v>
      </c>
      <c r="CD30">
        <f t="shared" si="11"/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f t="shared" si="12"/>
        <v>0</v>
      </c>
      <c r="CN30">
        <f t="shared" si="12"/>
        <v>0</v>
      </c>
      <c r="CO30">
        <f t="shared" si="13"/>
        <v>0</v>
      </c>
      <c r="CP30">
        <f t="shared" si="14"/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f t="shared" si="15"/>
        <v>0</v>
      </c>
      <c r="CZ30">
        <f t="shared" si="15"/>
        <v>0</v>
      </c>
      <c r="DA30">
        <f t="shared" si="16"/>
        <v>0</v>
      </c>
      <c r="DB30">
        <f t="shared" si="17"/>
        <v>0</v>
      </c>
    </row>
    <row r="31" spans="1:106" x14ac:dyDescent="0.25">
      <c r="A31" t="s">
        <v>113</v>
      </c>
      <c r="B31" t="s">
        <v>121</v>
      </c>
      <c r="C31" t="s">
        <v>166</v>
      </c>
      <c r="D31">
        <v>129391</v>
      </c>
      <c r="E31" t="s">
        <v>180</v>
      </c>
      <c r="F31" t="s">
        <v>181</v>
      </c>
      <c r="H31" t="s">
        <v>125</v>
      </c>
      <c r="I31" t="s">
        <v>126</v>
      </c>
      <c r="J31" t="s">
        <v>114</v>
      </c>
      <c r="K31" t="s">
        <v>182</v>
      </c>
      <c r="L31" t="s">
        <v>115</v>
      </c>
      <c r="M31" t="s">
        <v>116</v>
      </c>
      <c r="N31" t="s">
        <v>117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f t="shared" si="0"/>
        <v>0</v>
      </c>
      <c r="AD31">
        <f t="shared" si="0"/>
        <v>0</v>
      </c>
      <c r="AE31">
        <f t="shared" si="1"/>
        <v>0</v>
      </c>
      <c r="AF31">
        <f t="shared" si="2"/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f t="shared" si="3"/>
        <v>0</v>
      </c>
      <c r="AV31">
        <f t="shared" si="3"/>
        <v>0</v>
      </c>
      <c r="AW31">
        <f t="shared" si="4"/>
        <v>0</v>
      </c>
      <c r="AX31">
        <f t="shared" si="5"/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f t="shared" si="6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f t="shared" si="9"/>
        <v>0</v>
      </c>
      <c r="CB31">
        <f t="shared" si="9"/>
        <v>0</v>
      </c>
      <c r="CC31">
        <f t="shared" si="10"/>
        <v>0</v>
      </c>
      <c r="CD31">
        <f t="shared" si="11"/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f t="shared" si="12"/>
        <v>0</v>
      </c>
      <c r="CN31">
        <f t="shared" si="12"/>
        <v>0</v>
      </c>
      <c r="CO31">
        <f t="shared" si="13"/>
        <v>0</v>
      </c>
      <c r="CP31">
        <f t="shared" si="14"/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f t="shared" si="15"/>
        <v>0</v>
      </c>
      <c r="CZ31">
        <f t="shared" si="15"/>
        <v>0</v>
      </c>
      <c r="DA31">
        <f t="shared" si="16"/>
        <v>0</v>
      </c>
      <c r="DB31">
        <f t="shared" si="17"/>
        <v>0</v>
      </c>
    </row>
    <row r="32" spans="1:106" x14ac:dyDescent="0.25">
      <c r="A32" t="s">
        <v>113</v>
      </c>
      <c r="B32" t="s">
        <v>121</v>
      </c>
      <c r="C32" t="s">
        <v>166</v>
      </c>
      <c r="D32">
        <v>129392</v>
      </c>
      <c r="E32" t="s">
        <v>183</v>
      </c>
      <c r="F32" t="s">
        <v>184</v>
      </c>
      <c r="H32" t="s">
        <v>125</v>
      </c>
      <c r="I32" t="s">
        <v>126</v>
      </c>
      <c r="J32" t="s">
        <v>114</v>
      </c>
      <c r="K32" t="s">
        <v>185</v>
      </c>
      <c r="L32" t="s">
        <v>115</v>
      </c>
      <c r="M32" t="s">
        <v>116</v>
      </c>
      <c r="N32" t="s">
        <v>117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0"/>
        <v>0</v>
      </c>
      <c r="AD32">
        <f t="shared" si="0"/>
        <v>0</v>
      </c>
      <c r="AE32">
        <f t="shared" si="1"/>
        <v>0</v>
      </c>
      <c r="AF32">
        <f t="shared" si="2"/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f t="shared" si="3"/>
        <v>0</v>
      </c>
      <c r="AV32">
        <f t="shared" si="3"/>
        <v>0</v>
      </c>
      <c r="AW32">
        <f t="shared" si="4"/>
        <v>0</v>
      </c>
      <c r="AX32">
        <f t="shared" si="5"/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f t="shared" si="6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f t="shared" si="9"/>
        <v>0</v>
      </c>
      <c r="CB32">
        <f t="shared" si="9"/>
        <v>0</v>
      </c>
      <c r="CC32">
        <f t="shared" si="10"/>
        <v>0</v>
      </c>
      <c r="CD32">
        <f t="shared" si="11"/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f t="shared" si="12"/>
        <v>0</v>
      </c>
      <c r="CN32">
        <f t="shared" si="12"/>
        <v>0</v>
      </c>
      <c r="CO32">
        <f t="shared" si="13"/>
        <v>0</v>
      </c>
      <c r="CP32">
        <f t="shared" si="14"/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f t="shared" si="15"/>
        <v>0</v>
      </c>
      <c r="CZ32">
        <f t="shared" si="15"/>
        <v>0</v>
      </c>
      <c r="DA32">
        <f t="shared" si="16"/>
        <v>0</v>
      </c>
      <c r="DB32">
        <f t="shared" si="17"/>
        <v>0</v>
      </c>
    </row>
    <row r="33" spans="1:106" x14ac:dyDescent="0.25">
      <c r="A33" t="s">
        <v>113</v>
      </c>
      <c r="B33" t="s">
        <v>121</v>
      </c>
      <c r="C33" t="s">
        <v>166</v>
      </c>
      <c r="D33">
        <v>129393</v>
      </c>
      <c r="E33" t="s">
        <v>186</v>
      </c>
      <c r="F33" t="s">
        <v>187</v>
      </c>
      <c r="H33" t="s">
        <v>125</v>
      </c>
      <c r="I33" t="s">
        <v>126</v>
      </c>
      <c r="J33" t="s">
        <v>114</v>
      </c>
      <c r="K33" t="s">
        <v>188</v>
      </c>
      <c r="L33" t="s">
        <v>115</v>
      </c>
      <c r="M33" t="s">
        <v>116</v>
      </c>
      <c r="N33" t="s">
        <v>117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0"/>
        <v>0</v>
      </c>
      <c r="AD33">
        <f t="shared" si="0"/>
        <v>0</v>
      </c>
      <c r="AE33">
        <f t="shared" si="1"/>
        <v>0</v>
      </c>
      <c r="AF33">
        <f t="shared" si="2"/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f t="shared" si="3"/>
        <v>0</v>
      </c>
      <c r="AV33">
        <f t="shared" si="3"/>
        <v>0</v>
      </c>
      <c r="AW33">
        <f t="shared" si="4"/>
        <v>0</v>
      </c>
      <c r="AX33">
        <f t="shared" si="5"/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f t="shared" si="6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f t="shared" si="9"/>
        <v>0</v>
      </c>
      <c r="CB33">
        <f t="shared" si="9"/>
        <v>0</v>
      </c>
      <c r="CC33">
        <f t="shared" si="10"/>
        <v>0</v>
      </c>
      <c r="CD33">
        <f t="shared" si="11"/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f t="shared" si="12"/>
        <v>0</v>
      </c>
      <c r="CN33">
        <f t="shared" si="12"/>
        <v>0</v>
      </c>
      <c r="CO33">
        <f t="shared" si="13"/>
        <v>0</v>
      </c>
      <c r="CP33">
        <f t="shared" si="14"/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f t="shared" si="15"/>
        <v>0</v>
      </c>
      <c r="CZ33">
        <f t="shared" si="15"/>
        <v>0</v>
      </c>
      <c r="DA33">
        <f t="shared" si="16"/>
        <v>0</v>
      </c>
      <c r="DB33">
        <f t="shared" si="17"/>
        <v>0</v>
      </c>
    </row>
    <row r="34" spans="1:106" x14ac:dyDescent="0.25">
      <c r="A34" t="s">
        <v>113</v>
      </c>
      <c r="B34" t="s">
        <v>121</v>
      </c>
      <c r="C34" t="s">
        <v>166</v>
      </c>
      <c r="D34">
        <v>129394</v>
      </c>
      <c r="E34" t="s">
        <v>189</v>
      </c>
      <c r="F34" t="s">
        <v>190</v>
      </c>
      <c r="H34" t="s">
        <v>125</v>
      </c>
      <c r="I34" t="s">
        <v>126</v>
      </c>
      <c r="J34" t="s">
        <v>114</v>
      </c>
      <c r="K34" t="s">
        <v>182</v>
      </c>
      <c r="L34" t="s">
        <v>115</v>
      </c>
      <c r="M34" t="s">
        <v>116</v>
      </c>
      <c r="N34" t="s">
        <v>117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0"/>
        <v>0</v>
      </c>
      <c r="AD34">
        <f t="shared" si="0"/>
        <v>0</v>
      </c>
      <c r="AE34">
        <f t="shared" si="1"/>
        <v>0</v>
      </c>
      <c r="AF34">
        <f t="shared" si="2"/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f t="shared" si="3"/>
        <v>0</v>
      </c>
      <c r="AV34">
        <f t="shared" si="3"/>
        <v>0</v>
      </c>
      <c r="AW34">
        <f t="shared" si="4"/>
        <v>0</v>
      </c>
      <c r="AX34">
        <f t="shared" si="5"/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f t="shared" si="6"/>
        <v>0</v>
      </c>
      <c r="BH34">
        <f t="shared" si="6"/>
        <v>0</v>
      </c>
      <c r="BI34">
        <f t="shared" si="7"/>
        <v>0</v>
      </c>
      <c r="BJ34">
        <f t="shared" si="8"/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f t="shared" si="9"/>
        <v>0</v>
      </c>
      <c r="CB34">
        <f t="shared" si="9"/>
        <v>0</v>
      </c>
      <c r="CC34">
        <f t="shared" si="10"/>
        <v>0</v>
      </c>
      <c r="CD34">
        <f t="shared" si="11"/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f t="shared" si="12"/>
        <v>0</v>
      </c>
      <c r="CN34">
        <f t="shared" si="12"/>
        <v>0</v>
      </c>
      <c r="CO34">
        <f t="shared" si="13"/>
        <v>0</v>
      </c>
      <c r="CP34">
        <f t="shared" si="14"/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f t="shared" si="15"/>
        <v>0</v>
      </c>
      <c r="CZ34">
        <f t="shared" si="15"/>
        <v>0</v>
      </c>
      <c r="DA34">
        <f t="shared" si="16"/>
        <v>0</v>
      </c>
      <c r="DB34">
        <f t="shared" si="17"/>
        <v>0</v>
      </c>
    </row>
    <row r="35" spans="1:106" x14ac:dyDescent="0.25">
      <c r="A35" t="s">
        <v>113</v>
      </c>
      <c r="B35" t="s">
        <v>121</v>
      </c>
      <c r="C35" t="s">
        <v>166</v>
      </c>
      <c r="D35">
        <v>129395</v>
      </c>
      <c r="E35" t="s">
        <v>191</v>
      </c>
      <c r="F35" t="s">
        <v>192</v>
      </c>
      <c r="H35" t="s">
        <v>125</v>
      </c>
      <c r="I35" t="s">
        <v>126</v>
      </c>
      <c r="J35" t="s">
        <v>114</v>
      </c>
      <c r="K35" t="s">
        <v>157</v>
      </c>
      <c r="L35" t="s">
        <v>115</v>
      </c>
      <c r="M35" t="s">
        <v>116</v>
      </c>
      <c r="N35" t="s">
        <v>117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f t="shared" si="0"/>
        <v>0</v>
      </c>
      <c r="AD35">
        <f t="shared" si="0"/>
        <v>0</v>
      </c>
      <c r="AE35">
        <f t="shared" si="1"/>
        <v>0</v>
      </c>
      <c r="AF35">
        <f t="shared" si="2"/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f t="shared" si="3"/>
        <v>0</v>
      </c>
      <c r="AV35">
        <f t="shared" si="3"/>
        <v>0</v>
      </c>
      <c r="AW35">
        <f t="shared" si="4"/>
        <v>0</v>
      </c>
      <c r="AX35">
        <f t="shared" si="5"/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f t="shared" si="6"/>
        <v>0</v>
      </c>
      <c r="BH35">
        <f t="shared" si="6"/>
        <v>0</v>
      </c>
      <c r="BI35">
        <f t="shared" si="7"/>
        <v>0</v>
      </c>
      <c r="BJ35">
        <f t="shared" si="8"/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f t="shared" si="9"/>
        <v>0</v>
      </c>
      <c r="CB35">
        <f t="shared" si="9"/>
        <v>0</v>
      </c>
      <c r="CC35">
        <f t="shared" si="10"/>
        <v>0</v>
      </c>
      <c r="CD35">
        <f t="shared" si="11"/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f t="shared" si="12"/>
        <v>0</v>
      </c>
      <c r="CN35">
        <f t="shared" si="12"/>
        <v>0</v>
      </c>
      <c r="CO35">
        <f t="shared" si="13"/>
        <v>0</v>
      </c>
      <c r="CP35">
        <f t="shared" si="14"/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f t="shared" si="15"/>
        <v>0</v>
      </c>
      <c r="CZ35">
        <f t="shared" si="15"/>
        <v>0</v>
      </c>
      <c r="DA35">
        <f t="shared" si="16"/>
        <v>0</v>
      </c>
      <c r="DB35">
        <f t="shared" si="17"/>
        <v>0</v>
      </c>
    </row>
    <row r="36" spans="1:106" x14ac:dyDescent="0.25">
      <c r="A36" t="s">
        <v>113</v>
      </c>
      <c r="B36" t="s">
        <v>121</v>
      </c>
      <c r="C36" t="s">
        <v>166</v>
      </c>
      <c r="D36">
        <v>129396</v>
      </c>
      <c r="E36" t="s">
        <v>193</v>
      </c>
      <c r="F36" t="s">
        <v>194</v>
      </c>
      <c r="H36" t="s">
        <v>125</v>
      </c>
      <c r="I36" t="s">
        <v>126</v>
      </c>
      <c r="J36" t="s">
        <v>114</v>
      </c>
      <c r="K36" t="s">
        <v>188</v>
      </c>
      <c r="L36" t="s">
        <v>115</v>
      </c>
      <c r="M36" t="s">
        <v>116</v>
      </c>
      <c r="N36" t="s">
        <v>117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f t="shared" si="0"/>
        <v>0</v>
      </c>
      <c r="AD36">
        <f t="shared" si="0"/>
        <v>0</v>
      </c>
      <c r="AE36">
        <f t="shared" si="1"/>
        <v>0</v>
      </c>
      <c r="AF36">
        <f t="shared" si="2"/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f t="shared" si="3"/>
        <v>0</v>
      </c>
      <c r="AV36">
        <f t="shared" si="3"/>
        <v>0</v>
      </c>
      <c r="AW36">
        <f t="shared" si="4"/>
        <v>0</v>
      </c>
      <c r="AX36">
        <f t="shared" si="5"/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f t="shared" si="6"/>
        <v>0</v>
      </c>
      <c r="BH36">
        <f t="shared" si="6"/>
        <v>0</v>
      </c>
      <c r="BI36">
        <f t="shared" si="7"/>
        <v>0</v>
      </c>
      <c r="BJ36">
        <f t="shared" si="8"/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f t="shared" si="9"/>
        <v>0</v>
      </c>
      <c r="CB36">
        <f t="shared" si="9"/>
        <v>0</v>
      </c>
      <c r="CC36">
        <f t="shared" si="10"/>
        <v>0</v>
      </c>
      <c r="CD36">
        <f t="shared" si="11"/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f t="shared" si="12"/>
        <v>0</v>
      </c>
      <c r="CN36">
        <f t="shared" si="12"/>
        <v>0</v>
      </c>
      <c r="CO36">
        <f t="shared" si="13"/>
        <v>0</v>
      </c>
      <c r="CP36">
        <f t="shared" si="14"/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f t="shared" si="15"/>
        <v>0</v>
      </c>
      <c r="CZ36">
        <f t="shared" si="15"/>
        <v>0</v>
      </c>
      <c r="DA36">
        <f t="shared" si="16"/>
        <v>0</v>
      </c>
      <c r="DB36">
        <f t="shared" si="17"/>
        <v>0</v>
      </c>
    </row>
    <row r="37" spans="1:106" x14ac:dyDescent="0.25">
      <c r="A37" t="s">
        <v>113</v>
      </c>
      <c r="B37" t="s">
        <v>121</v>
      </c>
      <c r="C37" t="s">
        <v>166</v>
      </c>
      <c r="D37">
        <v>129397</v>
      </c>
      <c r="E37" t="s">
        <v>195</v>
      </c>
      <c r="F37" t="s">
        <v>196</v>
      </c>
      <c r="H37" t="s">
        <v>125</v>
      </c>
      <c r="I37" t="s">
        <v>126</v>
      </c>
      <c r="J37" t="s">
        <v>114</v>
      </c>
      <c r="K37" t="s">
        <v>197</v>
      </c>
      <c r="L37" t="s">
        <v>115</v>
      </c>
      <c r="M37" t="s">
        <v>116</v>
      </c>
      <c r="N37" t="s">
        <v>117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f t="shared" si="0"/>
        <v>0</v>
      </c>
      <c r="AD37">
        <f t="shared" si="0"/>
        <v>0</v>
      </c>
      <c r="AE37">
        <f t="shared" si="1"/>
        <v>0</v>
      </c>
      <c r="AF37">
        <f t="shared" si="2"/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f t="shared" si="3"/>
        <v>0</v>
      </c>
      <c r="AV37">
        <f t="shared" si="3"/>
        <v>0</v>
      </c>
      <c r="AW37">
        <f t="shared" si="4"/>
        <v>0</v>
      </c>
      <c r="AX37">
        <f t="shared" si="5"/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f t="shared" si="6"/>
        <v>0</v>
      </c>
      <c r="BH37">
        <f t="shared" si="6"/>
        <v>0</v>
      </c>
      <c r="BI37">
        <f t="shared" si="7"/>
        <v>0</v>
      </c>
      <c r="BJ37">
        <f t="shared" si="8"/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f t="shared" si="9"/>
        <v>0</v>
      </c>
      <c r="CB37">
        <f t="shared" si="9"/>
        <v>0</v>
      </c>
      <c r="CC37">
        <f t="shared" si="10"/>
        <v>0</v>
      </c>
      <c r="CD37">
        <f t="shared" si="11"/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f t="shared" si="12"/>
        <v>0</v>
      </c>
      <c r="CN37">
        <f t="shared" si="12"/>
        <v>0</v>
      </c>
      <c r="CO37">
        <f t="shared" si="13"/>
        <v>0</v>
      </c>
      <c r="CP37">
        <f t="shared" si="14"/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f t="shared" si="15"/>
        <v>0</v>
      </c>
      <c r="CZ37">
        <f t="shared" si="15"/>
        <v>0</v>
      </c>
      <c r="DA37">
        <f t="shared" si="16"/>
        <v>0</v>
      </c>
      <c r="DB37">
        <f t="shared" si="17"/>
        <v>0</v>
      </c>
    </row>
    <row r="38" spans="1:106" x14ac:dyDescent="0.25">
      <c r="A38" t="s">
        <v>113</v>
      </c>
      <c r="B38" t="s">
        <v>121</v>
      </c>
      <c r="C38" t="s">
        <v>166</v>
      </c>
      <c r="D38">
        <v>129398</v>
      </c>
      <c r="E38" t="s">
        <v>198</v>
      </c>
      <c r="F38" t="s">
        <v>199</v>
      </c>
      <c r="H38" t="s">
        <v>125</v>
      </c>
      <c r="I38" t="s">
        <v>126</v>
      </c>
      <c r="J38" t="s">
        <v>114</v>
      </c>
      <c r="K38" t="s">
        <v>200</v>
      </c>
      <c r="L38" t="s">
        <v>115</v>
      </c>
      <c r="M38" t="s">
        <v>116</v>
      </c>
      <c r="N38" t="s">
        <v>117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f t="shared" si="0"/>
        <v>0</v>
      </c>
      <c r="AD38">
        <f t="shared" si="0"/>
        <v>0</v>
      </c>
      <c r="AE38">
        <f t="shared" si="1"/>
        <v>0</v>
      </c>
      <c r="AF38">
        <f t="shared" si="2"/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f t="shared" si="3"/>
        <v>0</v>
      </c>
      <c r="AV38">
        <f t="shared" si="3"/>
        <v>0</v>
      </c>
      <c r="AW38">
        <f t="shared" si="4"/>
        <v>0</v>
      </c>
      <c r="AX38">
        <f t="shared" si="5"/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f t="shared" si="6"/>
        <v>0</v>
      </c>
      <c r="BH38">
        <f t="shared" si="6"/>
        <v>0</v>
      </c>
      <c r="BI38">
        <f t="shared" si="7"/>
        <v>0</v>
      </c>
      <c r="BJ38">
        <f t="shared" si="8"/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f t="shared" si="9"/>
        <v>0</v>
      </c>
      <c r="CB38">
        <f t="shared" si="9"/>
        <v>0</v>
      </c>
      <c r="CC38">
        <f t="shared" si="10"/>
        <v>0</v>
      </c>
      <c r="CD38">
        <f t="shared" si="11"/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f t="shared" si="12"/>
        <v>0</v>
      </c>
      <c r="CN38">
        <f t="shared" si="12"/>
        <v>0</v>
      </c>
      <c r="CO38">
        <f t="shared" si="13"/>
        <v>0</v>
      </c>
      <c r="CP38">
        <f t="shared" si="14"/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f t="shared" si="15"/>
        <v>0</v>
      </c>
      <c r="CZ38">
        <f t="shared" si="15"/>
        <v>0</v>
      </c>
      <c r="DA38">
        <f t="shared" si="16"/>
        <v>0</v>
      </c>
      <c r="DB38">
        <f t="shared" si="17"/>
        <v>0</v>
      </c>
    </row>
    <row r="39" spans="1:106" x14ac:dyDescent="0.25">
      <c r="A39" t="s">
        <v>113</v>
      </c>
      <c r="B39" t="s">
        <v>121</v>
      </c>
      <c r="C39" t="s">
        <v>166</v>
      </c>
      <c r="D39">
        <v>129399</v>
      </c>
      <c r="E39" t="s">
        <v>201</v>
      </c>
      <c r="F39" t="s">
        <v>202</v>
      </c>
      <c r="H39" t="s">
        <v>125</v>
      </c>
      <c r="I39" t="s">
        <v>126</v>
      </c>
      <c r="J39" t="s">
        <v>114</v>
      </c>
      <c r="K39" t="s">
        <v>203</v>
      </c>
      <c r="L39" t="s">
        <v>115</v>
      </c>
      <c r="M39" t="s">
        <v>116</v>
      </c>
      <c r="N39" t="s">
        <v>117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f t="shared" si="0"/>
        <v>0</v>
      </c>
      <c r="AD39">
        <f t="shared" si="0"/>
        <v>0</v>
      </c>
      <c r="AE39">
        <f t="shared" si="1"/>
        <v>0</v>
      </c>
      <c r="AF39">
        <f t="shared" si="2"/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f t="shared" si="3"/>
        <v>0</v>
      </c>
      <c r="AV39">
        <f t="shared" si="3"/>
        <v>0</v>
      </c>
      <c r="AW39">
        <f t="shared" si="4"/>
        <v>0</v>
      </c>
      <c r="AX39">
        <f t="shared" si="5"/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f t="shared" si="6"/>
        <v>0</v>
      </c>
      <c r="BH39">
        <f t="shared" si="6"/>
        <v>0</v>
      </c>
      <c r="BI39">
        <f t="shared" si="7"/>
        <v>0</v>
      </c>
      <c r="BJ39">
        <f t="shared" si="8"/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f t="shared" si="9"/>
        <v>0</v>
      </c>
      <c r="CB39">
        <f t="shared" si="9"/>
        <v>0</v>
      </c>
      <c r="CC39">
        <f t="shared" si="10"/>
        <v>0</v>
      </c>
      <c r="CD39">
        <f t="shared" si="11"/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f t="shared" si="12"/>
        <v>0</v>
      </c>
      <c r="CN39">
        <f t="shared" si="12"/>
        <v>0</v>
      </c>
      <c r="CO39">
        <f t="shared" si="13"/>
        <v>0</v>
      </c>
      <c r="CP39">
        <f t="shared" si="14"/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f t="shared" si="15"/>
        <v>0</v>
      </c>
      <c r="CZ39">
        <f t="shared" si="15"/>
        <v>0</v>
      </c>
      <c r="DA39">
        <f t="shared" si="16"/>
        <v>0</v>
      </c>
      <c r="DB39">
        <f t="shared" si="17"/>
        <v>0</v>
      </c>
    </row>
    <row r="40" spans="1:106" x14ac:dyDescent="0.25">
      <c r="A40" t="s">
        <v>113</v>
      </c>
      <c r="B40" t="s">
        <v>121</v>
      </c>
      <c r="C40" t="s">
        <v>166</v>
      </c>
      <c r="D40">
        <v>129400</v>
      </c>
      <c r="E40" t="s">
        <v>204</v>
      </c>
      <c r="F40" t="s">
        <v>205</v>
      </c>
      <c r="H40" t="s">
        <v>125</v>
      </c>
      <c r="I40" t="s">
        <v>126</v>
      </c>
      <c r="J40" t="s">
        <v>114</v>
      </c>
      <c r="K40" t="s">
        <v>200</v>
      </c>
      <c r="L40" t="s">
        <v>115</v>
      </c>
      <c r="M40" t="s">
        <v>116</v>
      </c>
      <c r="N40" t="s">
        <v>117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f t="shared" si="0"/>
        <v>0</v>
      </c>
      <c r="AD40">
        <f t="shared" si="0"/>
        <v>0</v>
      </c>
      <c r="AE40">
        <f t="shared" si="1"/>
        <v>0</v>
      </c>
      <c r="AF40">
        <f t="shared" si="2"/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f t="shared" si="3"/>
        <v>0</v>
      </c>
      <c r="AV40">
        <f t="shared" si="3"/>
        <v>0</v>
      </c>
      <c r="AW40">
        <f t="shared" si="4"/>
        <v>0</v>
      </c>
      <c r="AX40">
        <f t="shared" si="5"/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f t="shared" si="6"/>
        <v>0</v>
      </c>
      <c r="BH40">
        <f t="shared" si="6"/>
        <v>0</v>
      </c>
      <c r="BI40">
        <f t="shared" si="7"/>
        <v>0</v>
      </c>
      <c r="BJ40">
        <f t="shared" si="8"/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f t="shared" si="9"/>
        <v>0</v>
      </c>
      <c r="CB40">
        <f t="shared" si="9"/>
        <v>0</v>
      </c>
      <c r="CC40">
        <f t="shared" si="10"/>
        <v>0</v>
      </c>
      <c r="CD40">
        <f t="shared" si="11"/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f t="shared" si="12"/>
        <v>0</v>
      </c>
      <c r="CN40">
        <f t="shared" si="12"/>
        <v>0</v>
      </c>
      <c r="CO40">
        <f t="shared" si="13"/>
        <v>0</v>
      </c>
      <c r="CP40">
        <f t="shared" si="14"/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f t="shared" si="15"/>
        <v>0</v>
      </c>
      <c r="CZ40">
        <f t="shared" si="15"/>
        <v>0</v>
      </c>
      <c r="DA40">
        <f t="shared" si="16"/>
        <v>0</v>
      </c>
      <c r="DB40">
        <f t="shared" si="17"/>
        <v>0</v>
      </c>
    </row>
    <row r="41" spans="1:106" x14ac:dyDescent="0.25">
      <c r="A41" t="s">
        <v>113</v>
      </c>
      <c r="B41" t="s">
        <v>121</v>
      </c>
      <c r="C41" t="s">
        <v>166</v>
      </c>
      <c r="D41">
        <v>129401</v>
      </c>
      <c r="E41" t="s">
        <v>206</v>
      </c>
      <c r="F41" t="s">
        <v>207</v>
      </c>
      <c r="H41" t="s">
        <v>125</v>
      </c>
      <c r="I41" t="s">
        <v>126</v>
      </c>
      <c r="J41" t="s">
        <v>114</v>
      </c>
      <c r="K41" t="s">
        <v>175</v>
      </c>
      <c r="L41" t="s">
        <v>115</v>
      </c>
      <c r="M41" t="s">
        <v>116</v>
      </c>
      <c r="N41" t="s">
        <v>117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f t="shared" si="0"/>
        <v>0</v>
      </c>
      <c r="AD41">
        <f t="shared" si="0"/>
        <v>0</v>
      </c>
      <c r="AE41">
        <f t="shared" si="1"/>
        <v>0</v>
      </c>
      <c r="AF41">
        <f t="shared" si="2"/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f t="shared" si="3"/>
        <v>0</v>
      </c>
      <c r="AV41">
        <f t="shared" si="3"/>
        <v>0</v>
      </c>
      <c r="AW41">
        <f t="shared" si="4"/>
        <v>0</v>
      </c>
      <c r="AX41">
        <f t="shared" si="5"/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f t="shared" si="6"/>
        <v>0</v>
      </c>
      <c r="BH41">
        <f t="shared" si="6"/>
        <v>0</v>
      </c>
      <c r="BI41">
        <f t="shared" si="7"/>
        <v>0</v>
      </c>
      <c r="BJ41">
        <f t="shared" si="8"/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f t="shared" si="9"/>
        <v>0</v>
      </c>
      <c r="CB41">
        <f t="shared" si="9"/>
        <v>0</v>
      </c>
      <c r="CC41">
        <f t="shared" si="10"/>
        <v>0</v>
      </c>
      <c r="CD41">
        <f t="shared" si="11"/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f t="shared" si="12"/>
        <v>0</v>
      </c>
      <c r="CN41">
        <f t="shared" si="12"/>
        <v>0</v>
      </c>
      <c r="CO41">
        <f t="shared" si="13"/>
        <v>0</v>
      </c>
      <c r="CP41">
        <f t="shared" si="14"/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f t="shared" si="15"/>
        <v>0</v>
      </c>
      <c r="CZ41">
        <f t="shared" si="15"/>
        <v>0</v>
      </c>
      <c r="DA41">
        <f t="shared" si="16"/>
        <v>0</v>
      </c>
      <c r="DB41">
        <f t="shared" si="17"/>
        <v>0</v>
      </c>
    </row>
    <row r="42" spans="1:106" x14ac:dyDescent="0.25">
      <c r="A42" t="s">
        <v>113</v>
      </c>
      <c r="B42" t="s">
        <v>121</v>
      </c>
      <c r="C42" t="s">
        <v>166</v>
      </c>
      <c r="D42">
        <v>129402</v>
      </c>
      <c r="E42" t="s">
        <v>208</v>
      </c>
      <c r="F42" t="s">
        <v>209</v>
      </c>
      <c r="H42" t="s">
        <v>125</v>
      </c>
      <c r="I42" t="s">
        <v>126</v>
      </c>
      <c r="J42" t="s">
        <v>114</v>
      </c>
      <c r="K42" t="s">
        <v>188</v>
      </c>
      <c r="L42" t="s">
        <v>115</v>
      </c>
      <c r="M42" t="s">
        <v>116</v>
      </c>
      <c r="N42" t="s">
        <v>117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f t="shared" si="0"/>
        <v>0</v>
      </c>
      <c r="AD42">
        <f t="shared" si="0"/>
        <v>0</v>
      </c>
      <c r="AE42">
        <f t="shared" si="1"/>
        <v>0</v>
      </c>
      <c r="AF42">
        <f t="shared" si="2"/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f t="shared" si="3"/>
        <v>0</v>
      </c>
      <c r="AV42">
        <f t="shared" si="3"/>
        <v>0</v>
      </c>
      <c r="AW42">
        <f t="shared" si="4"/>
        <v>0</v>
      </c>
      <c r="AX42">
        <f t="shared" si="5"/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f t="shared" si="6"/>
        <v>0</v>
      </c>
      <c r="BH42">
        <f t="shared" si="6"/>
        <v>0</v>
      </c>
      <c r="BI42">
        <f t="shared" si="7"/>
        <v>0</v>
      </c>
      <c r="BJ42">
        <f t="shared" si="8"/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f t="shared" si="9"/>
        <v>0</v>
      </c>
      <c r="CB42">
        <f t="shared" si="9"/>
        <v>0</v>
      </c>
      <c r="CC42">
        <f t="shared" si="10"/>
        <v>0</v>
      </c>
      <c r="CD42">
        <f t="shared" si="11"/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f t="shared" si="12"/>
        <v>0</v>
      </c>
      <c r="CN42">
        <f t="shared" si="12"/>
        <v>0</v>
      </c>
      <c r="CO42">
        <f t="shared" si="13"/>
        <v>0</v>
      </c>
      <c r="CP42">
        <f t="shared" si="14"/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f t="shared" si="15"/>
        <v>0</v>
      </c>
      <c r="CZ42">
        <f t="shared" si="15"/>
        <v>0</v>
      </c>
      <c r="DA42">
        <f t="shared" si="16"/>
        <v>0</v>
      </c>
      <c r="DB42">
        <f t="shared" si="17"/>
        <v>0</v>
      </c>
    </row>
    <row r="43" spans="1:106" x14ac:dyDescent="0.25">
      <c r="A43" t="s">
        <v>113</v>
      </c>
      <c r="B43" t="s">
        <v>121</v>
      </c>
      <c r="C43" t="s">
        <v>166</v>
      </c>
      <c r="D43">
        <v>129403</v>
      </c>
      <c r="E43" t="s">
        <v>210</v>
      </c>
      <c r="F43" t="s">
        <v>211</v>
      </c>
      <c r="H43" t="s">
        <v>125</v>
      </c>
      <c r="I43" t="s">
        <v>126</v>
      </c>
      <c r="J43" t="s">
        <v>114</v>
      </c>
      <c r="K43" t="s">
        <v>169</v>
      </c>
      <c r="L43" t="s">
        <v>115</v>
      </c>
      <c r="M43" t="s">
        <v>116</v>
      </c>
      <c r="N43" t="s">
        <v>117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f t="shared" si="0"/>
        <v>0</v>
      </c>
      <c r="AD43">
        <f t="shared" si="0"/>
        <v>0</v>
      </c>
      <c r="AE43">
        <f t="shared" si="1"/>
        <v>0</v>
      </c>
      <c r="AF43">
        <f t="shared" si="2"/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f t="shared" si="3"/>
        <v>0</v>
      </c>
      <c r="AV43">
        <f t="shared" si="3"/>
        <v>0</v>
      </c>
      <c r="AW43">
        <f t="shared" si="4"/>
        <v>0</v>
      </c>
      <c r="AX43">
        <f t="shared" si="5"/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f t="shared" si="6"/>
        <v>0</v>
      </c>
      <c r="BH43">
        <f t="shared" si="6"/>
        <v>0</v>
      </c>
      <c r="BI43">
        <f t="shared" si="7"/>
        <v>0</v>
      </c>
      <c r="BJ43">
        <f t="shared" si="8"/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f t="shared" si="9"/>
        <v>0</v>
      </c>
      <c r="CB43">
        <f t="shared" si="9"/>
        <v>0</v>
      </c>
      <c r="CC43">
        <f t="shared" si="10"/>
        <v>0</v>
      </c>
      <c r="CD43">
        <f t="shared" si="11"/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f t="shared" si="12"/>
        <v>0</v>
      </c>
      <c r="CN43">
        <f t="shared" si="12"/>
        <v>0</v>
      </c>
      <c r="CO43">
        <f t="shared" si="13"/>
        <v>0</v>
      </c>
      <c r="CP43">
        <f t="shared" si="14"/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f t="shared" si="15"/>
        <v>0</v>
      </c>
      <c r="CZ43">
        <f t="shared" si="15"/>
        <v>0</v>
      </c>
      <c r="DA43">
        <f t="shared" si="16"/>
        <v>0</v>
      </c>
      <c r="DB43">
        <f t="shared" si="17"/>
        <v>0</v>
      </c>
    </row>
    <row r="44" spans="1:106" x14ac:dyDescent="0.25">
      <c r="A44" t="s">
        <v>113</v>
      </c>
      <c r="B44" t="s">
        <v>121</v>
      </c>
      <c r="C44" t="s">
        <v>166</v>
      </c>
      <c r="D44">
        <v>129404</v>
      </c>
      <c r="E44" t="s">
        <v>212</v>
      </c>
      <c r="F44" t="s">
        <v>213</v>
      </c>
      <c r="H44" t="s">
        <v>125</v>
      </c>
      <c r="I44" t="s">
        <v>126</v>
      </c>
      <c r="J44" t="s">
        <v>114</v>
      </c>
      <c r="K44" t="s">
        <v>214</v>
      </c>
      <c r="L44" t="s">
        <v>115</v>
      </c>
      <c r="M44" t="s">
        <v>116</v>
      </c>
      <c r="N44" t="s">
        <v>117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f t="shared" si="0"/>
        <v>0</v>
      </c>
      <c r="AD44">
        <f t="shared" si="0"/>
        <v>0</v>
      </c>
      <c r="AE44">
        <f t="shared" si="1"/>
        <v>0</v>
      </c>
      <c r="AF44">
        <f t="shared" si="2"/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f t="shared" si="3"/>
        <v>0</v>
      </c>
      <c r="AV44">
        <f t="shared" si="3"/>
        <v>0</v>
      </c>
      <c r="AW44">
        <f t="shared" si="4"/>
        <v>0</v>
      </c>
      <c r="AX44">
        <f t="shared" si="5"/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f t="shared" si="6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f t="shared" si="9"/>
        <v>0</v>
      </c>
      <c r="CB44">
        <f t="shared" si="9"/>
        <v>0</v>
      </c>
      <c r="CC44">
        <f t="shared" si="10"/>
        <v>0</v>
      </c>
      <c r="CD44">
        <f t="shared" si="11"/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f t="shared" si="12"/>
        <v>0</v>
      </c>
      <c r="CN44">
        <f t="shared" si="12"/>
        <v>0</v>
      </c>
      <c r="CO44">
        <f t="shared" si="13"/>
        <v>0</v>
      </c>
      <c r="CP44">
        <f t="shared" si="14"/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f t="shared" si="15"/>
        <v>0</v>
      </c>
      <c r="CZ44">
        <f t="shared" si="15"/>
        <v>0</v>
      </c>
      <c r="DA44">
        <f t="shared" si="16"/>
        <v>0</v>
      </c>
      <c r="DB44">
        <f t="shared" si="17"/>
        <v>0</v>
      </c>
    </row>
    <row r="45" spans="1:106" x14ac:dyDescent="0.25">
      <c r="A45" t="s">
        <v>113</v>
      </c>
      <c r="B45" t="s">
        <v>121</v>
      </c>
      <c r="C45" t="s">
        <v>166</v>
      </c>
      <c r="D45">
        <v>129405</v>
      </c>
      <c r="E45" t="s">
        <v>215</v>
      </c>
      <c r="F45" t="s">
        <v>216</v>
      </c>
      <c r="H45" t="s">
        <v>125</v>
      </c>
      <c r="I45" t="s">
        <v>126</v>
      </c>
      <c r="J45" t="s">
        <v>114</v>
      </c>
      <c r="K45" t="s">
        <v>217</v>
      </c>
      <c r="L45" t="s">
        <v>115</v>
      </c>
      <c r="M45" t="s">
        <v>116</v>
      </c>
      <c r="N45" t="s">
        <v>117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f t="shared" si="0"/>
        <v>0</v>
      </c>
      <c r="AD45">
        <f t="shared" si="0"/>
        <v>0</v>
      </c>
      <c r="AE45">
        <f t="shared" si="1"/>
        <v>0</v>
      </c>
      <c r="AF45">
        <f t="shared" si="2"/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f t="shared" si="3"/>
        <v>0</v>
      </c>
      <c r="AV45">
        <f t="shared" si="3"/>
        <v>0</v>
      </c>
      <c r="AW45">
        <f t="shared" si="4"/>
        <v>0</v>
      </c>
      <c r="AX45">
        <f t="shared" si="5"/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f t="shared" si="6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f t="shared" si="9"/>
        <v>0</v>
      </c>
      <c r="CB45">
        <f t="shared" si="9"/>
        <v>0</v>
      </c>
      <c r="CC45">
        <f t="shared" si="10"/>
        <v>0</v>
      </c>
      <c r="CD45">
        <f t="shared" si="11"/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f t="shared" si="12"/>
        <v>0</v>
      </c>
      <c r="CN45">
        <f t="shared" si="12"/>
        <v>0</v>
      </c>
      <c r="CO45">
        <f t="shared" si="13"/>
        <v>0</v>
      </c>
      <c r="CP45">
        <f t="shared" si="14"/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f t="shared" si="15"/>
        <v>0</v>
      </c>
      <c r="CZ45">
        <f t="shared" si="15"/>
        <v>0</v>
      </c>
      <c r="DA45">
        <f t="shared" si="16"/>
        <v>0</v>
      </c>
      <c r="DB45">
        <f t="shared" si="17"/>
        <v>0</v>
      </c>
    </row>
    <row r="46" spans="1:106" x14ac:dyDescent="0.25">
      <c r="A46" t="s">
        <v>113</v>
      </c>
      <c r="B46" t="s">
        <v>121</v>
      </c>
      <c r="C46" t="s">
        <v>166</v>
      </c>
      <c r="D46">
        <v>129406</v>
      </c>
      <c r="E46" t="s">
        <v>218</v>
      </c>
      <c r="F46" t="s">
        <v>219</v>
      </c>
      <c r="H46" t="s">
        <v>125</v>
      </c>
      <c r="I46" t="s">
        <v>126</v>
      </c>
      <c r="J46" t="s">
        <v>114</v>
      </c>
      <c r="K46" t="s">
        <v>185</v>
      </c>
      <c r="L46" t="s">
        <v>115</v>
      </c>
      <c r="M46" t="s">
        <v>116</v>
      </c>
      <c r="N46" t="s">
        <v>117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f t="shared" ref="AC46:AD78" si="18">O46+Q46+S46+U46+W46+Y46+AA46</f>
        <v>0</v>
      </c>
      <c r="AD46">
        <f t="shared" si="18"/>
        <v>0</v>
      </c>
      <c r="AE46">
        <f t="shared" si="1"/>
        <v>0</v>
      </c>
      <c r="AF46">
        <f t="shared" si="2"/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f t="shared" ref="AU46:AV78" si="19">AG46+AI46+AK46+AM46+AO46+AQ46+AS46</f>
        <v>0</v>
      </c>
      <c r="AV46">
        <f t="shared" si="19"/>
        <v>0</v>
      </c>
      <c r="AW46">
        <f t="shared" si="4"/>
        <v>0</v>
      </c>
      <c r="AX46">
        <f t="shared" si="5"/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f t="shared" ref="BG46:BH78" si="20">AY46+BA46+BC46+BE46</f>
        <v>0</v>
      </c>
      <c r="BH46">
        <f t="shared" si="20"/>
        <v>0</v>
      </c>
      <c r="BI46">
        <f t="shared" si="7"/>
        <v>0</v>
      </c>
      <c r="BJ46">
        <f t="shared" si="8"/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f t="shared" ref="CA46:CB78" si="21">BM46+BO46+BQ46+BS46+BU46+BW46+BY46+BK46</f>
        <v>0</v>
      </c>
      <c r="CB46">
        <f t="shared" si="21"/>
        <v>0</v>
      </c>
      <c r="CC46">
        <f t="shared" si="10"/>
        <v>0</v>
      </c>
      <c r="CD46">
        <f t="shared" si="11"/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f t="shared" ref="CM46:CN78" si="22">CE46+CG46+CI46+CK46</f>
        <v>0</v>
      </c>
      <c r="CN46">
        <f t="shared" si="22"/>
        <v>0</v>
      </c>
      <c r="CO46">
        <f t="shared" si="13"/>
        <v>0</v>
      </c>
      <c r="CP46">
        <f t="shared" si="14"/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f t="shared" ref="CY46:CZ78" si="23">CQ46+CS46+CU46+CW46</f>
        <v>0</v>
      </c>
      <c r="CZ46">
        <f t="shared" si="23"/>
        <v>0</v>
      </c>
      <c r="DA46">
        <f t="shared" si="16"/>
        <v>0</v>
      </c>
      <c r="DB46">
        <f t="shared" si="17"/>
        <v>0</v>
      </c>
    </row>
    <row r="47" spans="1:106" x14ac:dyDescent="0.25">
      <c r="A47" t="s">
        <v>113</v>
      </c>
      <c r="B47" t="s">
        <v>121</v>
      </c>
      <c r="C47" t="s">
        <v>166</v>
      </c>
      <c r="D47">
        <v>129407</v>
      </c>
      <c r="E47" t="s">
        <v>220</v>
      </c>
      <c r="F47" t="s">
        <v>221</v>
      </c>
      <c r="H47" t="s">
        <v>125</v>
      </c>
      <c r="I47" t="s">
        <v>126</v>
      </c>
      <c r="J47" t="s">
        <v>114</v>
      </c>
      <c r="K47" t="s">
        <v>197</v>
      </c>
      <c r="L47" t="s">
        <v>115</v>
      </c>
      <c r="M47" t="s">
        <v>116</v>
      </c>
      <c r="N47" t="s">
        <v>117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f t="shared" si="18"/>
        <v>0</v>
      </c>
      <c r="AD47">
        <f t="shared" si="18"/>
        <v>0</v>
      </c>
      <c r="AE47">
        <f t="shared" si="1"/>
        <v>0</v>
      </c>
      <c r="AF47">
        <f t="shared" si="2"/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f t="shared" si="19"/>
        <v>0</v>
      </c>
      <c r="AV47">
        <f t="shared" si="19"/>
        <v>0</v>
      </c>
      <c r="AW47">
        <f t="shared" si="4"/>
        <v>0</v>
      </c>
      <c r="AX47">
        <f t="shared" si="5"/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f t="shared" si="20"/>
        <v>0</v>
      </c>
      <c r="BH47">
        <f t="shared" si="20"/>
        <v>0</v>
      </c>
      <c r="BI47">
        <f t="shared" si="7"/>
        <v>0</v>
      </c>
      <c r="BJ47">
        <f t="shared" si="8"/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f t="shared" si="21"/>
        <v>0</v>
      </c>
      <c r="CB47">
        <f t="shared" si="21"/>
        <v>0</v>
      </c>
      <c r="CC47">
        <f t="shared" si="10"/>
        <v>0</v>
      </c>
      <c r="CD47">
        <f t="shared" si="11"/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f t="shared" si="22"/>
        <v>0</v>
      </c>
      <c r="CN47">
        <f t="shared" si="22"/>
        <v>0</v>
      </c>
      <c r="CO47">
        <f t="shared" si="13"/>
        <v>0</v>
      </c>
      <c r="CP47">
        <f t="shared" si="14"/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f t="shared" si="23"/>
        <v>0</v>
      </c>
      <c r="CZ47">
        <f t="shared" si="23"/>
        <v>0</v>
      </c>
      <c r="DA47">
        <f t="shared" si="16"/>
        <v>0</v>
      </c>
      <c r="DB47">
        <f t="shared" si="17"/>
        <v>0</v>
      </c>
    </row>
    <row r="48" spans="1:106" x14ac:dyDescent="0.25">
      <c r="A48" t="s">
        <v>113</v>
      </c>
      <c r="B48" t="s">
        <v>121</v>
      </c>
      <c r="C48" t="s">
        <v>166</v>
      </c>
      <c r="D48">
        <v>129408</v>
      </c>
      <c r="E48" t="s">
        <v>222</v>
      </c>
      <c r="F48" t="s">
        <v>223</v>
      </c>
      <c r="H48" t="s">
        <v>125</v>
      </c>
      <c r="I48" t="s">
        <v>126</v>
      </c>
      <c r="J48" t="s">
        <v>114</v>
      </c>
      <c r="K48" t="s">
        <v>200</v>
      </c>
      <c r="L48" t="s">
        <v>115</v>
      </c>
      <c r="M48" t="s">
        <v>116</v>
      </c>
      <c r="N48" t="s">
        <v>117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f t="shared" si="18"/>
        <v>0</v>
      </c>
      <c r="AD48">
        <f t="shared" si="18"/>
        <v>0</v>
      </c>
      <c r="AE48">
        <f t="shared" si="1"/>
        <v>0</v>
      </c>
      <c r="AF48">
        <f t="shared" si="2"/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f t="shared" si="19"/>
        <v>0</v>
      </c>
      <c r="AV48">
        <f t="shared" si="19"/>
        <v>0</v>
      </c>
      <c r="AW48">
        <f t="shared" si="4"/>
        <v>0</v>
      </c>
      <c r="AX48">
        <f t="shared" si="5"/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f t="shared" si="20"/>
        <v>0</v>
      </c>
      <c r="BH48">
        <f t="shared" si="20"/>
        <v>0</v>
      </c>
      <c r="BI48">
        <f t="shared" si="7"/>
        <v>0</v>
      </c>
      <c r="BJ48">
        <f t="shared" si="8"/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f t="shared" si="21"/>
        <v>0</v>
      </c>
      <c r="CB48">
        <f t="shared" si="21"/>
        <v>0</v>
      </c>
      <c r="CC48">
        <f t="shared" si="10"/>
        <v>0</v>
      </c>
      <c r="CD48">
        <f t="shared" si="11"/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f t="shared" si="22"/>
        <v>0</v>
      </c>
      <c r="CN48">
        <f t="shared" si="22"/>
        <v>0</v>
      </c>
      <c r="CO48">
        <f t="shared" si="13"/>
        <v>0</v>
      </c>
      <c r="CP48">
        <f t="shared" si="14"/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f t="shared" si="23"/>
        <v>0</v>
      </c>
      <c r="CZ48">
        <f t="shared" si="23"/>
        <v>0</v>
      </c>
      <c r="DA48">
        <f t="shared" si="16"/>
        <v>0</v>
      </c>
      <c r="DB48">
        <f t="shared" si="17"/>
        <v>0</v>
      </c>
    </row>
    <row r="49" spans="1:106" x14ac:dyDescent="0.25">
      <c r="A49" t="s">
        <v>113</v>
      </c>
      <c r="B49" t="s">
        <v>121</v>
      </c>
      <c r="C49" t="s">
        <v>166</v>
      </c>
      <c r="D49">
        <v>129409</v>
      </c>
      <c r="E49" t="s">
        <v>224</v>
      </c>
      <c r="F49" t="s">
        <v>225</v>
      </c>
      <c r="H49" t="s">
        <v>125</v>
      </c>
      <c r="I49" t="s">
        <v>126</v>
      </c>
      <c r="J49" t="s">
        <v>114</v>
      </c>
      <c r="K49" t="s">
        <v>226</v>
      </c>
      <c r="L49" t="s">
        <v>115</v>
      </c>
      <c r="M49" t="s">
        <v>116</v>
      </c>
      <c r="N49" t="s">
        <v>117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f t="shared" si="18"/>
        <v>0</v>
      </c>
      <c r="AD49">
        <f t="shared" si="18"/>
        <v>0</v>
      </c>
      <c r="AE49">
        <f t="shared" si="1"/>
        <v>0</v>
      </c>
      <c r="AF49">
        <f t="shared" si="2"/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f t="shared" si="19"/>
        <v>0</v>
      </c>
      <c r="AV49">
        <f t="shared" si="19"/>
        <v>0</v>
      </c>
      <c r="AW49">
        <f t="shared" si="4"/>
        <v>0</v>
      </c>
      <c r="AX49">
        <f t="shared" si="5"/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f t="shared" si="20"/>
        <v>0</v>
      </c>
      <c r="BH49">
        <f t="shared" si="20"/>
        <v>0</v>
      </c>
      <c r="BI49">
        <f t="shared" si="7"/>
        <v>0</v>
      </c>
      <c r="BJ49">
        <f t="shared" si="8"/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f t="shared" si="21"/>
        <v>0</v>
      </c>
      <c r="CB49">
        <f t="shared" si="21"/>
        <v>0</v>
      </c>
      <c r="CC49">
        <f t="shared" si="10"/>
        <v>0</v>
      </c>
      <c r="CD49">
        <f t="shared" si="11"/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f t="shared" si="22"/>
        <v>0</v>
      </c>
      <c r="CN49">
        <f t="shared" si="22"/>
        <v>0</v>
      </c>
      <c r="CO49">
        <f t="shared" si="13"/>
        <v>0</v>
      </c>
      <c r="CP49">
        <f t="shared" si="14"/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f t="shared" si="23"/>
        <v>0</v>
      </c>
      <c r="CZ49">
        <f t="shared" si="23"/>
        <v>0</v>
      </c>
      <c r="DA49">
        <f t="shared" si="16"/>
        <v>0</v>
      </c>
      <c r="DB49">
        <f t="shared" si="17"/>
        <v>0</v>
      </c>
    </row>
    <row r="50" spans="1:106" x14ac:dyDescent="0.25">
      <c r="A50" t="s">
        <v>113</v>
      </c>
      <c r="B50" t="s">
        <v>121</v>
      </c>
      <c r="C50" t="s">
        <v>166</v>
      </c>
      <c r="D50">
        <v>257001</v>
      </c>
      <c r="E50" t="s">
        <v>227</v>
      </c>
      <c r="F50" t="s">
        <v>228</v>
      </c>
      <c r="H50" t="s">
        <v>125</v>
      </c>
      <c r="I50" t="s">
        <v>126</v>
      </c>
      <c r="J50" t="s">
        <v>114</v>
      </c>
      <c r="K50" t="s">
        <v>157</v>
      </c>
      <c r="L50" t="s">
        <v>115</v>
      </c>
      <c r="M50" t="s">
        <v>116</v>
      </c>
      <c r="N50" t="s">
        <v>117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f t="shared" si="18"/>
        <v>0</v>
      </c>
      <c r="AD50">
        <f t="shared" si="18"/>
        <v>0</v>
      </c>
      <c r="AE50">
        <f t="shared" si="1"/>
        <v>0</v>
      </c>
      <c r="AF50">
        <f t="shared" si="2"/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f t="shared" si="19"/>
        <v>0</v>
      </c>
      <c r="AV50">
        <f t="shared" si="19"/>
        <v>0</v>
      </c>
      <c r="AW50">
        <f t="shared" si="4"/>
        <v>0</v>
      </c>
      <c r="AX50">
        <f t="shared" si="5"/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f t="shared" si="20"/>
        <v>0</v>
      </c>
      <c r="BH50">
        <f t="shared" si="20"/>
        <v>0</v>
      </c>
      <c r="BI50">
        <f t="shared" si="7"/>
        <v>0</v>
      </c>
      <c r="BJ50">
        <f t="shared" si="8"/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f t="shared" si="21"/>
        <v>0</v>
      </c>
      <c r="CB50">
        <f t="shared" si="21"/>
        <v>0</v>
      </c>
      <c r="CC50">
        <f t="shared" si="10"/>
        <v>0</v>
      </c>
      <c r="CD50">
        <f t="shared" si="11"/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f t="shared" si="22"/>
        <v>0</v>
      </c>
      <c r="CN50">
        <f t="shared" si="22"/>
        <v>0</v>
      </c>
      <c r="CO50">
        <f t="shared" si="13"/>
        <v>0</v>
      </c>
      <c r="CP50">
        <f t="shared" si="14"/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f t="shared" si="23"/>
        <v>0</v>
      </c>
      <c r="CZ50">
        <f t="shared" si="23"/>
        <v>0</v>
      </c>
      <c r="DA50">
        <f t="shared" si="16"/>
        <v>0</v>
      </c>
      <c r="DB50">
        <f t="shared" si="17"/>
        <v>0</v>
      </c>
    </row>
    <row r="51" spans="1:106" x14ac:dyDescent="0.25">
      <c r="A51" t="s">
        <v>113</v>
      </c>
      <c r="B51" t="s">
        <v>121</v>
      </c>
      <c r="C51" t="s">
        <v>166</v>
      </c>
      <c r="D51">
        <v>304303</v>
      </c>
      <c r="E51" t="s">
        <v>229</v>
      </c>
      <c r="F51" t="s">
        <v>230</v>
      </c>
      <c r="H51" t="s">
        <v>125</v>
      </c>
      <c r="I51" t="s">
        <v>126</v>
      </c>
      <c r="J51" t="s">
        <v>114</v>
      </c>
      <c r="K51" t="s">
        <v>172</v>
      </c>
      <c r="L51" t="s">
        <v>115</v>
      </c>
      <c r="M51" t="s">
        <v>116</v>
      </c>
      <c r="N51" t="s">
        <v>118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f t="shared" si="18"/>
        <v>0</v>
      </c>
      <c r="AD51">
        <f t="shared" si="18"/>
        <v>0</v>
      </c>
      <c r="AE51">
        <f t="shared" si="1"/>
        <v>0</v>
      </c>
      <c r="AF51">
        <f t="shared" si="2"/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f t="shared" si="19"/>
        <v>0</v>
      </c>
      <c r="AV51">
        <f t="shared" si="19"/>
        <v>0</v>
      </c>
      <c r="AW51">
        <f t="shared" si="4"/>
        <v>0</v>
      </c>
      <c r="AX51">
        <f t="shared" si="5"/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f t="shared" si="20"/>
        <v>0</v>
      </c>
      <c r="BH51">
        <f t="shared" si="20"/>
        <v>0</v>
      </c>
      <c r="BI51">
        <f t="shared" si="7"/>
        <v>0</v>
      </c>
      <c r="BJ51">
        <f t="shared" si="8"/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f t="shared" si="21"/>
        <v>0</v>
      </c>
      <c r="CB51">
        <f t="shared" si="21"/>
        <v>0</v>
      </c>
      <c r="CC51">
        <f t="shared" si="10"/>
        <v>0</v>
      </c>
      <c r="CD51">
        <f t="shared" si="11"/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f t="shared" si="22"/>
        <v>0</v>
      </c>
      <c r="CN51">
        <f t="shared" si="22"/>
        <v>0</v>
      </c>
      <c r="CO51">
        <f t="shared" si="13"/>
        <v>0</v>
      </c>
      <c r="CP51">
        <f t="shared" si="14"/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f t="shared" si="23"/>
        <v>0</v>
      </c>
      <c r="CZ51">
        <f t="shared" si="23"/>
        <v>0</v>
      </c>
      <c r="DA51">
        <f t="shared" si="16"/>
        <v>0</v>
      </c>
      <c r="DB51">
        <f t="shared" si="17"/>
        <v>0</v>
      </c>
    </row>
    <row r="52" spans="1:106" x14ac:dyDescent="0.25">
      <c r="A52" t="s">
        <v>113</v>
      </c>
      <c r="B52" t="s">
        <v>121</v>
      </c>
      <c r="C52" t="s">
        <v>166</v>
      </c>
      <c r="D52">
        <v>304305</v>
      </c>
      <c r="E52" t="s">
        <v>231</v>
      </c>
      <c r="F52" t="s">
        <v>232</v>
      </c>
      <c r="H52" t="s">
        <v>125</v>
      </c>
      <c r="I52" t="s">
        <v>126</v>
      </c>
      <c r="J52" t="s">
        <v>114</v>
      </c>
      <c r="K52" t="s">
        <v>182</v>
      </c>
      <c r="L52" t="s">
        <v>115</v>
      </c>
      <c r="M52" t="s">
        <v>116</v>
      </c>
      <c r="N52" t="s">
        <v>118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f t="shared" si="18"/>
        <v>0</v>
      </c>
      <c r="AD52">
        <f t="shared" si="18"/>
        <v>0</v>
      </c>
      <c r="AE52">
        <f t="shared" si="1"/>
        <v>0</v>
      </c>
      <c r="AF52">
        <f t="shared" si="2"/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f t="shared" si="19"/>
        <v>0</v>
      </c>
      <c r="AV52">
        <f t="shared" si="19"/>
        <v>0</v>
      </c>
      <c r="AW52">
        <f t="shared" si="4"/>
        <v>0</v>
      </c>
      <c r="AX52">
        <f t="shared" si="5"/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f t="shared" si="20"/>
        <v>0</v>
      </c>
      <c r="BH52">
        <f t="shared" si="20"/>
        <v>0</v>
      </c>
      <c r="BI52">
        <f t="shared" si="7"/>
        <v>0</v>
      </c>
      <c r="BJ52">
        <f t="shared" si="8"/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f t="shared" si="21"/>
        <v>0</v>
      </c>
      <c r="CB52">
        <f t="shared" si="21"/>
        <v>0</v>
      </c>
      <c r="CC52">
        <f t="shared" si="10"/>
        <v>0</v>
      </c>
      <c r="CD52">
        <f t="shared" si="11"/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f t="shared" si="22"/>
        <v>0</v>
      </c>
      <c r="CN52">
        <f t="shared" si="22"/>
        <v>0</v>
      </c>
      <c r="CO52">
        <f t="shared" si="13"/>
        <v>0</v>
      </c>
      <c r="CP52">
        <f t="shared" si="14"/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f t="shared" si="23"/>
        <v>0</v>
      </c>
      <c r="CZ52">
        <f t="shared" si="23"/>
        <v>0</v>
      </c>
      <c r="DA52">
        <f t="shared" si="16"/>
        <v>0</v>
      </c>
      <c r="DB52">
        <f t="shared" si="17"/>
        <v>0</v>
      </c>
    </row>
    <row r="53" spans="1:106" x14ac:dyDescent="0.25">
      <c r="A53" t="s">
        <v>113</v>
      </c>
      <c r="B53" t="s">
        <v>121</v>
      </c>
      <c r="C53" t="s">
        <v>166</v>
      </c>
      <c r="D53">
        <v>304314</v>
      </c>
      <c r="E53" t="s">
        <v>233</v>
      </c>
      <c r="F53" t="s">
        <v>202</v>
      </c>
      <c r="H53" t="s">
        <v>125</v>
      </c>
      <c r="I53" t="s">
        <v>126</v>
      </c>
      <c r="J53" t="s">
        <v>114</v>
      </c>
      <c r="K53" t="s">
        <v>203</v>
      </c>
      <c r="L53" t="s">
        <v>115</v>
      </c>
      <c r="M53" t="s">
        <v>116</v>
      </c>
      <c r="N53" t="s">
        <v>118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f t="shared" si="18"/>
        <v>0</v>
      </c>
      <c r="AD53">
        <f t="shared" si="18"/>
        <v>0</v>
      </c>
      <c r="AE53">
        <f t="shared" si="1"/>
        <v>0</v>
      </c>
      <c r="AF53">
        <f t="shared" si="2"/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f t="shared" si="19"/>
        <v>0</v>
      </c>
      <c r="AV53">
        <f t="shared" si="19"/>
        <v>0</v>
      </c>
      <c r="AW53">
        <f t="shared" si="4"/>
        <v>0</v>
      </c>
      <c r="AX53">
        <f t="shared" si="5"/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f t="shared" si="20"/>
        <v>0</v>
      </c>
      <c r="BH53">
        <f t="shared" si="20"/>
        <v>0</v>
      </c>
      <c r="BI53">
        <f t="shared" si="7"/>
        <v>0</v>
      </c>
      <c r="BJ53">
        <f t="shared" si="8"/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f t="shared" si="21"/>
        <v>0</v>
      </c>
      <c r="CB53">
        <f t="shared" si="21"/>
        <v>0</v>
      </c>
      <c r="CC53">
        <f t="shared" si="10"/>
        <v>0</v>
      </c>
      <c r="CD53">
        <f t="shared" si="11"/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f t="shared" si="22"/>
        <v>0</v>
      </c>
      <c r="CN53">
        <f t="shared" si="22"/>
        <v>0</v>
      </c>
      <c r="CO53">
        <f t="shared" si="13"/>
        <v>0</v>
      </c>
      <c r="CP53">
        <f t="shared" si="14"/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f t="shared" si="23"/>
        <v>0</v>
      </c>
      <c r="CZ53">
        <f t="shared" si="23"/>
        <v>0</v>
      </c>
      <c r="DA53">
        <f t="shared" si="16"/>
        <v>0</v>
      </c>
      <c r="DB53">
        <f t="shared" si="17"/>
        <v>0</v>
      </c>
    </row>
    <row r="54" spans="1:106" x14ac:dyDescent="0.25">
      <c r="A54" t="s">
        <v>113</v>
      </c>
      <c r="B54" t="s">
        <v>121</v>
      </c>
      <c r="C54" t="s">
        <v>166</v>
      </c>
      <c r="D54">
        <v>304327</v>
      </c>
      <c r="E54" t="s">
        <v>234</v>
      </c>
      <c r="F54" t="s">
        <v>235</v>
      </c>
      <c r="H54" t="s">
        <v>125</v>
      </c>
      <c r="I54" t="s">
        <v>126</v>
      </c>
      <c r="J54" t="s">
        <v>114</v>
      </c>
      <c r="K54" t="s">
        <v>200</v>
      </c>
      <c r="L54" t="s">
        <v>115</v>
      </c>
      <c r="M54" t="s">
        <v>116</v>
      </c>
      <c r="N54" t="s">
        <v>118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f t="shared" si="18"/>
        <v>0</v>
      </c>
      <c r="AD54">
        <f t="shared" si="18"/>
        <v>0</v>
      </c>
      <c r="AE54">
        <f t="shared" si="1"/>
        <v>0</v>
      </c>
      <c r="AF54">
        <f t="shared" si="2"/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f t="shared" si="19"/>
        <v>0</v>
      </c>
      <c r="AV54">
        <f t="shared" si="19"/>
        <v>0</v>
      </c>
      <c r="AW54">
        <f t="shared" si="4"/>
        <v>0</v>
      </c>
      <c r="AX54">
        <f t="shared" si="5"/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f t="shared" si="20"/>
        <v>0</v>
      </c>
      <c r="BH54">
        <f t="shared" si="20"/>
        <v>0</v>
      </c>
      <c r="BI54">
        <f t="shared" si="7"/>
        <v>0</v>
      </c>
      <c r="BJ54">
        <f t="shared" si="8"/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f t="shared" si="21"/>
        <v>0</v>
      </c>
      <c r="CB54">
        <f t="shared" si="21"/>
        <v>0</v>
      </c>
      <c r="CC54">
        <f t="shared" si="10"/>
        <v>0</v>
      </c>
      <c r="CD54">
        <f t="shared" si="11"/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f t="shared" si="22"/>
        <v>0</v>
      </c>
      <c r="CN54">
        <f t="shared" si="22"/>
        <v>0</v>
      </c>
      <c r="CO54">
        <f t="shared" si="13"/>
        <v>0</v>
      </c>
      <c r="CP54">
        <f t="shared" si="14"/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f t="shared" si="23"/>
        <v>0</v>
      </c>
      <c r="CZ54">
        <f t="shared" si="23"/>
        <v>0</v>
      </c>
      <c r="DA54">
        <f t="shared" si="16"/>
        <v>0</v>
      </c>
      <c r="DB54">
        <f t="shared" si="17"/>
        <v>0</v>
      </c>
    </row>
    <row r="55" spans="1:106" x14ac:dyDescent="0.25">
      <c r="A55" t="s">
        <v>113</v>
      </c>
      <c r="B55" t="s">
        <v>121</v>
      </c>
      <c r="C55" t="s">
        <v>166</v>
      </c>
      <c r="D55">
        <v>304328</v>
      </c>
      <c r="E55" t="s">
        <v>236</v>
      </c>
      <c r="F55" t="s">
        <v>237</v>
      </c>
      <c r="H55" t="s">
        <v>125</v>
      </c>
      <c r="I55" t="s">
        <v>126</v>
      </c>
      <c r="J55" t="s">
        <v>114</v>
      </c>
      <c r="K55" t="s">
        <v>157</v>
      </c>
      <c r="L55" t="s">
        <v>115</v>
      </c>
      <c r="M55" t="s">
        <v>116</v>
      </c>
      <c r="N55" t="s">
        <v>118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f t="shared" si="18"/>
        <v>0</v>
      </c>
      <c r="AD55">
        <f t="shared" si="18"/>
        <v>0</v>
      </c>
      <c r="AE55">
        <f t="shared" si="1"/>
        <v>0</v>
      </c>
      <c r="AF55">
        <f t="shared" si="2"/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f t="shared" si="19"/>
        <v>0</v>
      </c>
      <c r="AV55">
        <f t="shared" si="19"/>
        <v>0</v>
      </c>
      <c r="AW55">
        <f t="shared" si="4"/>
        <v>0</v>
      </c>
      <c r="AX55">
        <f t="shared" si="5"/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f t="shared" si="20"/>
        <v>0</v>
      </c>
      <c r="BH55">
        <f t="shared" si="20"/>
        <v>0</v>
      </c>
      <c r="BI55">
        <f t="shared" si="7"/>
        <v>0</v>
      </c>
      <c r="BJ55">
        <f t="shared" si="8"/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f t="shared" si="21"/>
        <v>0</v>
      </c>
      <c r="CB55">
        <f t="shared" si="21"/>
        <v>0</v>
      </c>
      <c r="CC55">
        <f t="shared" si="10"/>
        <v>0</v>
      </c>
      <c r="CD55">
        <f t="shared" si="11"/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f t="shared" si="22"/>
        <v>0</v>
      </c>
      <c r="CN55">
        <f t="shared" si="22"/>
        <v>0</v>
      </c>
      <c r="CO55">
        <f t="shared" si="13"/>
        <v>0</v>
      </c>
      <c r="CP55">
        <f t="shared" si="14"/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f t="shared" si="23"/>
        <v>0</v>
      </c>
      <c r="CZ55">
        <f t="shared" si="23"/>
        <v>0</v>
      </c>
      <c r="DA55">
        <f t="shared" si="16"/>
        <v>0</v>
      </c>
      <c r="DB55">
        <f t="shared" si="17"/>
        <v>0</v>
      </c>
    </row>
    <row r="56" spans="1:106" x14ac:dyDescent="0.25">
      <c r="A56" t="s">
        <v>113</v>
      </c>
      <c r="B56" t="s">
        <v>121</v>
      </c>
      <c r="C56" t="s">
        <v>166</v>
      </c>
      <c r="D56">
        <v>304338</v>
      </c>
      <c r="E56" t="s">
        <v>238</v>
      </c>
      <c r="F56" t="s">
        <v>239</v>
      </c>
      <c r="H56" t="s">
        <v>125</v>
      </c>
      <c r="I56" t="s">
        <v>126</v>
      </c>
      <c r="J56" t="s">
        <v>114</v>
      </c>
      <c r="K56" t="s">
        <v>217</v>
      </c>
      <c r="L56" t="s">
        <v>115</v>
      </c>
      <c r="M56" t="s">
        <v>116</v>
      </c>
      <c r="N56" t="s">
        <v>118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f t="shared" si="18"/>
        <v>0</v>
      </c>
      <c r="AD56">
        <f t="shared" si="18"/>
        <v>0</v>
      </c>
      <c r="AE56">
        <f t="shared" si="1"/>
        <v>0</v>
      </c>
      <c r="AF56">
        <f t="shared" si="2"/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f t="shared" si="19"/>
        <v>0</v>
      </c>
      <c r="AV56">
        <f t="shared" si="19"/>
        <v>0</v>
      </c>
      <c r="AW56">
        <f t="shared" si="4"/>
        <v>0</v>
      </c>
      <c r="AX56">
        <f t="shared" si="5"/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f t="shared" si="20"/>
        <v>0</v>
      </c>
      <c r="BH56">
        <f t="shared" si="20"/>
        <v>0</v>
      </c>
      <c r="BI56">
        <f t="shared" si="7"/>
        <v>0</v>
      </c>
      <c r="BJ56">
        <f t="shared" si="8"/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f t="shared" si="21"/>
        <v>0</v>
      </c>
      <c r="CB56">
        <f t="shared" si="21"/>
        <v>0</v>
      </c>
      <c r="CC56">
        <f t="shared" si="10"/>
        <v>0</v>
      </c>
      <c r="CD56">
        <f t="shared" si="11"/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f t="shared" si="22"/>
        <v>0</v>
      </c>
      <c r="CN56">
        <f t="shared" si="22"/>
        <v>0</v>
      </c>
      <c r="CO56">
        <f t="shared" si="13"/>
        <v>0</v>
      </c>
      <c r="CP56">
        <f t="shared" si="14"/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f t="shared" si="23"/>
        <v>0</v>
      </c>
      <c r="CZ56">
        <f t="shared" si="23"/>
        <v>0</v>
      </c>
      <c r="DA56">
        <f t="shared" si="16"/>
        <v>0</v>
      </c>
      <c r="DB56">
        <f t="shared" si="17"/>
        <v>0</v>
      </c>
    </row>
    <row r="57" spans="1:106" x14ac:dyDescent="0.25">
      <c r="A57" t="s">
        <v>113</v>
      </c>
      <c r="B57" t="s">
        <v>121</v>
      </c>
      <c r="C57" t="s">
        <v>166</v>
      </c>
      <c r="D57">
        <v>316104</v>
      </c>
      <c r="E57" t="s">
        <v>240</v>
      </c>
      <c r="F57" t="s">
        <v>241</v>
      </c>
      <c r="H57" t="s">
        <v>125</v>
      </c>
      <c r="I57" t="s">
        <v>126</v>
      </c>
      <c r="J57" t="s">
        <v>114</v>
      </c>
      <c r="K57" t="s">
        <v>188</v>
      </c>
      <c r="L57" t="s">
        <v>115</v>
      </c>
      <c r="M57" t="s">
        <v>116</v>
      </c>
      <c r="N57" t="s">
        <v>118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f t="shared" si="18"/>
        <v>0</v>
      </c>
      <c r="AD57">
        <f t="shared" si="18"/>
        <v>0</v>
      </c>
      <c r="AE57">
        <f t="shared" si="1"/>
        <v>0</v>
      </c>
      <c r="AF57">
        <f t="shared" si="2"/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f t="shared" si="19"/>
        <v>0</v>
      </c>
      <c r="AV57">
        <f t="shared" si="19"/>
        <v>0</v>
      </c>
      <c r="AW57">
        <f t="shared" si="4"/>
        <v>0</v>
      </c>
      <c r="AX57">
        <f t="shared" si="5"/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f t="shared" si="20"/>
        <v>0</v>
      </c>
      <c r="BH57">
        <f t="shared" si="20"/>
        <v>0</v>
      </c>
      <c r="BI57">
        <f t="shared" si="7"/>
        <v>0</v>
      </c>
      <c r="BJ57">
        <f t="shared" si="8"/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f t="shared" si="21"/>
        <v>0</v>
      </c>
      <c r="CB57">
        <f t="shared" si="21"/>
        <v>0</v>
      </c>
      <c r="CC57">
        <f t="shared" si="10"/>
        <v>0</v>
      </c>
      <c r="CD57">
        <f t="shared" si="11"/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f t="shared" si="22"/>
        <v>0</v>
      </c>
      <c r="CN57">
        <f t="shared" si="22"/>
        <v>0</v>
      </c>
      <c r="CO57">
        <f t="shared" si="13"/>
        <v>0</v>
      </c>
      <c r="CP57">
        <f t="shared" si="14"/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f t="shared" si="23"/>
        <v>0</v>
      </c>
      <c r="CZ57">
        <f t="shared" si="23"/>
        <v>0</v>
      </c>
      <c r="DA57">
        <f t="shared" si="16"/>
        <v>0</v>
      </c>
      <c r="DB57">
        <f t="shared" si="17"/>
        <v>0</v>
      </c>
    </row>
    <row r="58" spans="1:106" x14ac:dyDescent="0.25">
      <c r="A58" t="s">
        <v>113</v>
      </c>
      <c r="B58" t="s">
        <v>121</v>
      </c>
      <c r="C58" t="s">
        <v>166</v>
      </c>
      <c r="D58">
        <v>325101</v>
      </c>
      <c r="E58" t="s">
        <v>242</v>
      </c>
      <c r="F58" t="s">
        <v>243</v>
      </c>
      <c r="H58" t="s">
        <v>125</v>
      </c>
      <c r="I58" t="s">
        <v>126</v>
      </c>
      <c r="J58" t="s">
        <v>114</v>
      </c>
      <c r="K58" t="s">
        <v>157</v>
      </c>
      <c r="L58" t="s">
        <v>115</v>
      </c>
      <c r="M58" t="s">
        <v>116</v>
      </c>
      <c r="N58" t="s">
        <v>119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f t="shared" si="18"/>
        <v>0</v>
      </c>
      <c r="AD58">
        <f t="shared" si="18"/>
        <v>0</v>
      </c>
      <c r="AE58">
        <f t="shared" si="1"/>
        <v>0</v>
      </c>
      <c r="AF58">
        <f t="shared" si="2"/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f t="shared" si="19"/>
        <v>0</v>
      </c>
      <c r="AV58">
        <f t="shared" si="19"/>
        <v>0</v>
      </c>
      <c r="AW58">
        <f t="shared" si="4"/>
        <v>0</v>
      </c>
      <c r="AX58">
        <f t="shared" si="5"/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f t="shared" si="20"/>
        <v>0</v>
      </c>
      <c r="BH58">
        <f t="shared" si="20"/>
        <v>0</v>
      </c>
      <c r="BI58">
        <f t="shared" si="7"/>
        <v>0</v>
      </c>
      <c r="BJ58">
        <f t="shared" si="8"/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f t="shared" si="21"/>
        <v>0</v>
      </c>
      <c r="CB58">
        <f t="shared" si="21"/>
        <v>0</v>
      </c>
      <c r="CC58">
        <f t="shared" si="10"/>
        <v>0</v>
      </c>
      <c r="CD58">
        <f t="shared" si="11"/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f t="shared" si="22"/>
        <v>0</v>
      </c>
      <c r="CN58">
        <f t="shared" si="22"/>
        <v>0</v>
      </c>
      <c r="CO58">
        <f t="shared" si="13"/>
        <v>0</v>
      </c>
      <c r="CP58">
        <f t="shared" si="14"/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f t="shared" si="23"/>
        <v>0</v>
      </c>
      <c r="CZ58">
        <f t="shared" si="23"/>
        <v>0</v>
      </c>
      <c r="DA58">
        <f t="shared" si="16"/>
        <v>0</v>
      </c>
      <c r="DB58">
        <f t="shared" si="17"/>
        <v>0</v>
      </c>
    </row>
    <row r="59" spans="1:106" x14ac:dyDescent="0.25">
      <c r="A59" t="s">
        <v>113</v>
      </c>
      <c r="B59" t="s">
        <v>121</v>
      </c>
      <c r="C59" t="s">
        <v>166</v>
      </c>
      <c r="D59">
        <v>325102</v>
      </c>
      <c r="E59" t="s">
        <v>244</v>
      </c>
      <c r="F59" t="s">
        <v>245</v>
      </c>
      <c r="H59" t="s">
        <v>125</v>
      </c>
      <c r="I59" t="s">
        <v>126</v>
      </c>
      <c r="J59" t="s">
        <v>114</v>
      </c>
      <c r="K59" t="s">
        <v>175</v>
      </c>
      <c r="L59" t="s">
        <v>115</v>
      </c>
      <c r="M59" t="s">
        <v>116</v>
      </c>
      <c r="N59" t="s">
        <v>118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f t="shared" si="18"/>
        <v>0</v>
      </c>
      <c r="AD59">
        <f t="shared" si="18"/>
        <v>0</v>
      </c>
      <c r="AE59">
        <f t="shared" si="1"/>
        <v>0</v>
      </c>
      <c r="AF59">
        <f t="shared" si="2"/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f t="shared" si="19"/>
        <v>0</v>
      </c>
      <c r="AV59">
        <f t="shared" si="19"/>
        <v>0</v>
      </c>
      <c r="AW59">
        <f t="shared" si="4"/>
        <v>0</v>
      </c>
      <c r="AX59">
        <f t="shared" si="5"/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f t="shared" si="20"/>
        <v>0</v>
      </c>
      <c r="BH59">
        <f t="shared" si="20"/>
        <v>0</v>
      </c>
      <c r="BI59">
        <f t="shared" si="7"/>
        <v>0</v>
      </c>
      <c r="BJ59">
        <f t="shared" si="8"/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f t="shared" si="21"/>
        <v>0</v>
      </c>
      <c r="CB59">
        <f t="shared" si="21"/>
        <v>0</v>
      </c>
      <c r="CC59">
        <f t="shared" si="10"/>
        <v>0</v>
      </c>
      <c r="CD59">
        <f t="shared" si="11"/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f t="shared" si="22"/>
        <v>0</v>
      </c>
      <c r="CN59">
        <f t="shared" si="22"/>
        <v>0</v>
      </c>
      <c r="CO59">
        <f t="shared" si="13"/>
        <v>0</v>
      </c>
      <c r="CP59">
        <f t="shared" si="14"/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f t="shared" si="23"/>
        <v>0</v>
      </c>
      <c r="CZ59">
        <f t="shared" si="23"/>
        <v>0</v>
      </c>
      <c r="DA59">
        <f t="shared" si="16"/>
        <v>0</v>
      </c>
      <c r="DB59">
        <f t="shared" si="17"/>
        <v>0</v>
      </c>
    </row>
    <row r="60" spans="1:106" x14ac:dyDescent="0.25">
      <c r="A60" t="s">
        <v>113</v>
      </c>
      <c r="B60" t="s">
        <v>121</v>
      </c>
      <c r="C60" t="s">
        <v>166</v>
      </c>
      <c r="D60">
        <v>325106</v>
      </c>
      <c r="E60" t="s">
        <v>246</v>
      </c>
      <c r="F60" t="s">
        <v>247</v>
      </c>
      <c r="H60" t="s">
        <v>125</v>
      </c>
      <c r="I60" t="s">
        <v>126</v>
      </c>
      <c r="J60" t="s">
        <v>114</v>
      </c>
      <c r="K60" t="s">
        <v>226</v>
      </c>
      <c r="L60" t="s">
        <v>115</v>
      </c>
      <c r="M60" t="s">
        <v>116</v>
      </c>
      <c r="N60" t="s">
        <v>118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f t="shared" si="18"/>
        <v>0</v>
      </c>
      <c r="AD60">
        <f t="shared" si="18"/>
        <v>0</v>
      </c>
      <c r="AE60">
        <f t="shared" si="1"/>
        <v>0</v>
      </c>
      <c r="AF60">
        <f t="shared" si="2"/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f t="shared" si="19"/>
        <v>0</v>
      </c>
      <c r="AV60">
        <f t="shared" si="19"/>
        <v>0</v>
      </c>
      <c r="AW60">
        <f t="shared" si="4"/>
        <v>0</v>
      </c>
      <c r="AX60">
        <f t="shared" si="5"/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f t="shared" si="20"/>
        <v>0</v>
      </c>
      <c r="BH60">
        <f t="shared" si="20"/>
        <v>0</v>
      </c>
      <c r="BI60">
        <f t="shared" si="7"/>
        <v>0</v>
      </c>
      <c r="BJ60">
        <f t="shared" si="8"/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f t="shared" si="21"/>
        <v>0</v>
      </c>
      <c r="CB60">
        <f t="shared" si="21"/>
        <v>0</v>
      </c>
      <c r="CC60">
        <f t="shared" si="10"/>
        <v>0</v>
      </c>
      <c r="CD60">
        <f t="shared" si="11"/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f t="shared" si="22"/>
        <v>0</v>
      </c>
      <c r="CN60">
        <f t="shared" si="22"/>
        <v>0</v>
      </c>
      <c r="CO60">
        <f t="shared" si="13"/>
        <v>0</v>
      </c>
      <c r="CP60">
        <f t="shared" si="14"/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f t="shared" si="23"/>
        <v>0</v>
      </c>
      <c r="CZ60">
        <f t="shared" si="23"/>
        <v>0</v>
      </c>
      <c r="DA60">
        <f t="shared" si="16"/>
        <v>0</v>
      </c>
      <c r="DB60">
        <f t="shared" si="17"/>
        <v>0</v>
      </c>
    </row>
    <row r="61" spans="1:106" x14ac:dyDescent="0.25">
      <c r="A61" t="s">
        <v>113</v>
      </c>
      <c r="B61" t="s">
        <v>121</v>
      </c>
      <c r="C61" t="s">
        <v>248</v>
      </c>
      <c r="D61">
        <v>102157</v>
      </c>
      <c r="E61" t="s">
        <v>249</v>
      </c>
      <c r="F61" t="s">
        <v>250</v>
      </c>
      <c r="H61" t="s">
        <v>125</v>
      </c>
      <c r="I61" t="s">
        <v>126</v>
      </c>
      <c r="J61" t="s">
        <v>114</v>
      </c>
      <c r="K61" t="s">
        <v>251</v>
      </c>
      <c r="L61" t="s">
        <v>115</v>
      </c>
      <c r="M61" t="s">
        <v>116</v>
      </c>
      <c r="N61" t="s">
        <v>117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f t="shared" si="18"/>
        <v>0</v>
      </c>
      <c r="AD61">
        <f t="shared" si="18"/>
        <v>0</v>
      </c>
      <c r="AE61">
        <f t="shared" si="1"/>
        <v>0</v>
      </c>
      <c r="AF61">
        <f t="shared" si="2"/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f t="shared" si="19"/>
        <v>0</v>
      </c>
      <c r="AV61">
        <f t="shared" si="19"/>
        <v>0</v>
      </c>
      <c r="AW61">
        <f t="shared" si="4"/>
        <v>0</v>
      </c>
      <c r="AX61">
        <f t="shared" si="5"/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f t="shared" si="20"/>
        <v>0</v>
      </c>
      <c r="BH61">
        <f t="shared" si="20"/>
        <v>0</v>
      </c>
      <c r="BI61">
        <f t="shared" si="7"/>
        <v>0</v>
      </c>
      <c r="BJ61">
        <f t="shared" si="8"/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f t="shared" si="21"/>
        <v>0</v>
      </c>
      <c r="CB61">
        <f t="shared" si="21"/>
        <v>0</v>
      </c>
      <c r="CC61">
        <f t="shared" si="10"/>
        <v>0</v>
      </c>
      <c r="CD61">
        <f t="shared" si="11"/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f t="shared" si="22"/>
        <v>0</v>
      </c>
      <c r="CN61">
        <f t="shared" si="22"/>
        <v>0</v>
      </c>
      <c r="CO61">
        <f t="shared" si="13"/>
        <v>0</v>
      </c>
      <c r="CP61">
        <f t="shared" si="14"/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f t="shared" si="23"/>
        <v>0</v>
      </c>
      <c r="CZ61">
        <f t="shared" si="23"/>
        <v>0</v>
      </c>
      <c r="DA61">
        <f t="shared" si="16"/>
        <v>0</v>
      </c>
      <c r="DB61">
        <f t="shared" si="17"/>
        <v>0</v>
      </c>
    </row>
    <row r="62" spans="1:106" x14ac:dyDescent="0.25">
      <c r="A62" t="s">
        <v>113</v>
      </c>
      <c r="B62" t="s">
        <v>121</v>
      </c>
      <c r="C62" t="s">
        <v>248</v>
      </c>
      <c r="D62">
        <v>102164</v>
      </c>
      <c r="E62" t="s">
        <v>252</v>
      </c>
      <c r="F62" t="s">
        <v>253</v>
      </c>
      <c r="H62" t="s">
        <v>125</v>
      </c>
      <c r="I62" t="s">
        <v>126</v>
      </c>
      <c r="J62" t="s">
        <v>114</v>
      </c>
      <c r="K62" t="s">
        <v>254</v>
      </c>
      <c r="L62" t="s">
        <v>115</v>
      </c>
      <c r="M62" t="s">
        <v>116</v>
      </c>
      <c r="N62" t="s">
        <v>117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f t="shared" si="18"/>
        <v>0</v>
      </c>
      <c r="AD62">
        <f t="shared" si="18"/>
        <v>0</v>
      </c>
      <c r="AE62">
        <f t="shared" si="1"/>
        <v>0</v>
      </c>
      <c r="AF62">
        <f t="shared" si="2"/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f t="shared" si="19"/>
        <v>0</v>
      </c>
      <c r="AV62">
        <f t="shared" si="19"/>
        <v>0</v>
      </c>
      <c r="AW62">
        <f t="shared" si="4"/>
        <v>0</v>
      </c>
      <c r="AX62">
        <f t="shared" si="5"/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f t="shared" si="20"/>
        <v>0</v>
      </c>
      <c r="BH62">
        <f t="shared" si="20"/>
        <v>0</v>
      </c>
      <c r="BI62">
        <f t="shared" si="7"/>
        <v>0</v>
      </c>
      <c r="BJ62">
        <f t="shared" si="8"/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f t="shared" si="21"/>
        <v>0</v>
      </c>
      <c r="CB62">
        <f t="shared" si="21"/>
        <v>0</v>
      </c>
      <c r="CC62">
        <f t="shared" si="10"/>
        <v>0</v>
      </c>
      <c r="CD62">
        <f t="shared" si="11"/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f t="shared" si="22"/>
        <v>0</v>
      </c>
      <c r="CN62">
        <f t="shared" si="22"/>
        <v>0</v>
      </c>
      <c r="CO62">
        <f t="shared" si="13"/>
        <v>0</v>
      </c>
      <c r="CP62">
        <f t="shared" si="14"/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f t="shared" si="23"/>
        <v>0</v>
      </c>
      <c r="CZ62">
        <f t="shared" si="23"/>
        <v>0</v>
      </c>
      <c r="DA62">
        <f t="shared" si="16"/>
        <v>0</v>
      </c>
      <c r="DB62">
        <f t="shared" si="17"/>
        <v>0</v>
      </c>
    </row>
    <row r="63" spans="1:106" x14ac:dyDescent="0.25">
      <c r="A63" t="s">
        <v>113</v>
      </c>
      <c r="B63" t="s">
        <v>121</v>
      </c>
      <c r="C63" t="s">
        <v>248</v>
      </c>
      <c r="D63">
        <v>129410</v>
      </c>
      <c r="E63" t="s">
        <v>255</v>
      </c>
      <c r="F63" t="s">
        <v>256</v>
      </c>
      <c r="H63" t="s">
        <v>125</v>
      </c>
      <c r="I63" t="s">
        <v>126</v>
      </c>
      <c r="J63" t="s">
        <v>114</v>
      </c>
      <c r="K63" t="s">
        <v>257</v>
      </c>
      <c r="L63" t="s">
        <v>115</v>
      </c>
      <c r="M63" t="s">
        <v>116</v>
      </c>
      <c r="N63" t="s">
        <v>117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f t="shared" si="18"/>
        <v>0</v>
      </c>
      <c r="AD63">
        <f t="shared" si="18"/>
        <v>0</v>
      </c>
      <c r="AE63">
        <f t="shared" si="1"/>
        <v>0</v>
      </c>
      <c r="AF63">
        <f t="shared" si="2"/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f t="shared" si="19"/>
        <v>0</v>
      </c>
      <c r="AV63">
        <f t="shared" si="19"/>
        <v>0</v>
      </c>
      <c r="AW63">
        <f t="shared" si="4"/>
        <v>0</v>
      </c>
      <c r="AX63">
        <f t="shared" si="5"/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f t="shared" si="20"/>
        <v>0</v>
      </c>
      <c r="BH63">
        <f t="shared" si="20"/>
        <v>0</v>
      </c>
      <c r="BI63">
        <f t="shared" si="7"/>
        <v>0</v>
      </c>
      <c r="BJ63">
        <f t="shared" si="8"/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f t="shared" si="21"/>
        <v>0</v>
      </c>
      <c r="CB63">
        <f t="shared" si="21"/>
        <v>0</v>
      </c>
      <c r="CC63">
        <f t="shared" si="10"/>
        <v>0</v>
      </c>
      <c r="CD63">
        <f t="shared" si="11"/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f t="shared" si="22"/>
        <v>0</v>
      </c>
      <c r="CN63">
        <f t="shared" si="22"/>
        <v>0</v>
      </c>
      <c r="CO63">
        <f t="shared" si="13"/>
        <v>0</v>
      </c>
      <c r="CP63">
        <f t="shared" si="14"/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f t="shared" si="23"/>
        <v>0</v>
      </c>
      <c r="CZ63">
        <f t="shared" si="23"/>
        <v>0</v>
      </c>
      <c r="DA63">
        <f t="shared" si="16"/>
        <v>0</v>
      </c>
      <c r="DB63">
        <f t="shared" si="17"/>
        <v>0</v>
      </c>
    </row>
    <row r="64" spans="1:106" x14ac:dyDescent="0.25">
      <c r="A64" t="s">
        <v>113</v>
      </c>
      <c r="B64" t="s">
        <v>121</v>
      </c>
      <c r="C64" t="s">
        <v>248</v>
      </c>
      <c r="D64">
        <v>129412</v>
      </c>
      <c r="E64" t="s">
        <v>258</v>
      </c>
      <c r="F64" t="s">
        <v>259</v>
      </c>
      <c r="H64" t="s">
        <v>125</v>
      </c>
      <c r="I64" t="s">
        <v>126</v>
      </c>
      <c r="J64" t="s">
        <v>114</v>
      </c>
      <c r="K64" t="s">
        <v>260</v>
      </c>
      <c r="L64" t="s">
        <v>115</v>
      </c>
      <c r="M64" t="s">
        <v>116</v>
      </c>
      <c r="N64" t="s">
        <v>117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f t="shared" si="18"/>
        <v>0</v>
      </c>
      <c r="AD64">
        <f t="shared" si="18"/>
        <v>0</v>
      </c>
      <c r="AE64">
        <f t="shared" ref="AE64:AE78" si="24">SUM(AC64:AD64)</f>
        <v>0</v>
      </c>
      <c r="AF64">
        <f t="shared" ref="AF64:AF78" si="25">IF(AE64&gt;=1,1,0)</f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f t="shared" si="19"/>
        <v>0</v>
      </c>
      <c r="AV64">
        <f t="shared" si="19"/>
        <v>0</v>
      </c>
      <c r="AW64">
        <f t="shared" ref="AW64:AW78" si="26">SUM(AU64:AV64)</f>
        <v>0</v>
      </c>
      <c r="AX64">
        <f t="shared" ref="AX64:AX78" si="27">IF(AW64&gt;=1,1,0)</f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f t="shared" si="20"/>
        <v>0</v>
      </c>
      <c r="BH64">
        <f t="shared" si="20"/>
        <v>0</v>
      </c>
      <c r="BI64">
        <f t="shared" ref="BI64:BI78" si="28">SUM(BG64:BH64)</f>
        <v>0</v>
      </c>
      <c r="BJ64">
        <f t="shared" ref="BJ64:BJ78" si="29">IF(BI64&gt;=1,1,0)</f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f t="shared" si="21"/>
        <v>0</v>
      </c>
      <c r="CB64">
        <f t="shared" si="21"/>
        <v>0</v>
      </c>
      <c r="CC64">
        <f t="shared" ref="CC64:CC78" si="30">SUM(CA64:CB64)</f>
        <v>0</v>
      </c>
      <c r="CD64">
        <f t="shared" ref="CD64:CD78" si="31">IF(CC64&gt;=1,1,0)</f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f t="shared" si="22"/>
        <v>0</v>
      </c>
      <c r="CN64">
        <f t="shared" si="22"/>
        <v>0</v>
      </c>
      <c r="CO64">
        <f t="shared" ref="CO64:CO78" si="32">SUM(CM64:CN64)</f>
        <v>0</v>
      </c>
      <c r="CP64">
        <f t="shared" ref="CP64:CP78" si="33">IF(CO64&gt;=1,1,0)</f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f t="shared" si="23"/>
        <v>0</v>
      </c>
      <c r="CZ64">
        <f t="shared" si="23"/>
        <v>0</v>
      </c>
      <c r="DA64">
        <f t="shared" ref="DA64:DA78" si="34">SUM(CY64:CZ64)</f>
        <v>0</v>
      </c>
      <c r="DB64">
        <f t="shared" ref="DB64:DB78" si="35">IF(DA64&gt;=1,1,0)</f>
        <v>0</v>
      </c>
    </row>
    <row r="65" spans="1:106" x14ac:dyDescent="0.25">
      <c r="A65" t="s">
        <v>113</v>
      </c>
      <c r="B65" t="s">
        <v>121</v>
      </c>
      <c r="C65" t="s">
        <v>248</v>
      </c>
      <c r="D65">
        <v>129413</v>
      </c>
      <c r="E65" t="s">
        <v>261</v>
      </c>
      <c r="F65" t="s">
        <v>262</v>
      </c>
      <c r="H65" t="s">
        <v>125</v>
      </c>
      <c r="I65" t="s">
        <v>126</v>
      </c>
      <c r="J65" t="s">
        <v>114</v>
      </c>
      <c r="K65" t="s">
        <v>257</v>
      </c>
      <c r="L65" t="s">
        <v>115</v>
      </c>
      <c r="M65" t="s">
        <v>116</v>
      </c>
      <c r="N65" t="s">
        <v>117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f t="shared" si="18"/>
        <v>0</v>
      </c>
      <c r="AD65">
        <f t="shared" si="18"/>
        <v>0</v>
      </c>
      <c r="AE65">
        <f t="shared" si="24"/>
        <v>0</v>
      </c>
      <c r="AF65">
        <f t="shared" si="25"/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f t="shared" si="19"/>
        <v>0</v>
      </c>
      <c r="AV65">
        <f t="shared" si="19"/>
        <v>0</v>
      </c>
      <c r="AW65">
        <f t="shared" si="26"/>
        <v>0</v>
      </c>
      <c r="AX65">
        <f t="shared" si="27"/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f t="shared" si="20"/>
        <v>0</v>
      </c>
      <c r="BH65">
        <f t="shared" si="20"/>
        <v>0</v>
      </c>
      <c r="BI65">
        <f t="shared" si="28"/>
        <v>0</v>
      </c>
      <c r="BJ65">
        <f t="shared" si="29"/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f t="shared" si="21"/>
        <v>0</v>
      </c>
      <c r="CB65">
        <f t="shared" si="21"/>
        <v>0</v>
      </c>
      <c r="CC65">
        <f t="shared" si="30"/>
        <v>0</v>
      </c>
      <c r="CD65">
        <f t="shared" si="31"/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f t="shared" si="22"/>
        <v>0</v>
      </c>
      <c r="CN65">
        <f t="shared" si="22"/>
        <v>0</v>
      </c>
      <c r="CO65">
        <f t="shared" si="32"/>
        <v>0</v>
      </c>
      <c r="CP65">
        <f t="shared" si="33"/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f t="shared" si="23"/>
        <v>0</v>
      </c>
      <c r="CZ65">
        <f t="shared" si="23"/>
        <v>0</v>
      </c>
      <c r="DA65">
        <f t="shared" si="34"/>
        <v>0</v>
      </c>
      <c r="DB65">
        <f t="shared" si="35"/>
        <v>0</v>
      </c>
    </row>
    <row r="66" spans="1:106" x14ac:dyDescent="0.25">
      <c r="A66" t="s">
        <v>113</v>
      </c>
      <c r="B66" t="s">
        <v>121</v>
      </c>
      <c r="C66" t="s">
        <v>248</v>
      </c>
      <c r="D66">
        <v>129414</v>
      </c>
      <c r="E66" t="s">
        <v>263</v>
      </c>
      <c r="F66" t="s">
        <v>264</v>
      </c>
      <c r="H66" t="s">
        <v>125</v>
      </c>
      <c r="I66" t="s">
        <v>126</v>
      </c>
      <c r="J66" t="s">
        <v>114</v>
      </c>
      <c r="K66" t="s">
        <v>265</v>
      </c>
      <c r="L66" t="s">
        <v>115</v>
      </c>
      <c r="M66" t="s">
        <v>116</v>
      </c>
      <c r="N66" t="s">
        <v>117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f t="shared" si="18"/>
        <v>0</v>
      </c>
      <c r="AD66">
        <f t="shared" si="18"/>
        <v>0</v>
      </c>
      <c r="AE66">
        <f t="shared" si="24"/>
        <v>0</v>
      </c>
      <c r="AF66">
        <f t="shared" si="25"/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f t="shared" si="19"/>
        <v>0</v>
      </c>
      <c r="AV66">
        <f t="shared" si="19"/>
        <v>0</v>
      </c>
      <c r="AW66">
        <f t="shared" si="26"/>
        <v>0</v>
      </c>
      <c r="AX66">
        <f t="shared" si="27"/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f t="shared" si="20"/>
        <v>0</v>
      </c>
      <c r="BH66">
        <f t="shared" si="20"/>
        <v>0</v>
      </c>
      <c r="BI66">
        <f t="shared" si="28"/>
        <v>0</v>
      </c>
      <c r="BJ66">
        <f t="shared" si="29"/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f t="shared" si="21"/>
        <v>0</v>
      </c>
      <c r="CB66">
        <f t="shared" si="21"/>
        <v>0</v>
      </c>
      <c r="CC66">
        <f t="shared" si="30"/>
        <v>0</v>
      </c>
      <c r="CD66">
        <f t="shared" si="31"/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f t="shared" si="22"/>
        <v>0</v>
      </c>
      <c r="CN66">
        <f t="shared" si="22"/>
        <v>0</v>
      </c>
      <c r="CO66">
        <f t="shared" si="32"/>
        <v>0</v>
      </c>
      <c r="CP66">
        <f t="shared" si="33"/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f t="shared" si="23"/>
        <v>0</v>
      </c>
      <c r="CZ66">
        <f t="shared" si="23"/>
        <v>0</v>
      </c>
      <c r="DA66">
        <f t="shared" si="34"/>
        <v>0</v>
      </c>
      <c r="DB66">
        <f t="shared" si="35"/>
        <v>0</v>
      </c>
    </row>
    <row r="67" spans="1:106" x14ac:dyDescent="0.25">
      <c r="A67" t="s">
        <v>113</v>
      </c>
      <c r="B67" t="s">
        <v>121</v>
      </c>
      <c r="C67" t="s">
        <v>248</v>
      </c>
      <c r="D67">
        <v>129417</v>
      </c>
      <c r="E67" t="s">
        <v>266</v>
      </c>
      <c r="F67" t="s">
        <v>267</v>
      </c>
      <c r="H67" t="s">
        <v>125</v>
      </c>
      <c r="I67" t="s">
        <v>126</v>
      </c>
      <c r="J67" t="s">
        <v>114</v>
      </c>
      <c r="K67" t="s">
        <v>251</v>
      </c>
      <c r="L67" t="s">
        <v>115</v>
      </c>
      <c r="M67" t="s">
        <v>116</v>
      </c>
      <c r="N67" t="s">
        <v>117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f t="shared" si="18"/>
        <v>0</v>
      </c>
      <c r="AD67">
        <f t="shared" si="18"/>
        <v>0</v>
      </c>
      <c r="AE67">
        <f t="shared" si="24"/>
        <v>0</v>
      </c>
      <c r="AF67">
        <f t="shared" si="25"/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f t="shared" si="19"/>
        <v>0</v>
      </c>
      <c r="AV67">
        <f t="shared" si="19"/>
        <v>0</v>
      </c>
      <c r="AW67">
        <f t="shared" si="26"/>
        <v>0</v>
      </c>
      <c r="AX67">
        <f t="shared" si="27"/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f t="shared" si="20"/>
        <v>0</v>
      </c>
      <c r="BH67">
        <f t="shared" si="20"/>
        <v>0</v>
      </c>
      <c r="BI67">
        <f t="shared" si="28"/>
        <v>0</v>
      </c>
      <c r="BJ67">
        <f t="shared" si="29"/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f t="shared" si="21"/>
        <v>0</v>
      </c>
      <c r="CB67">
        <f t="shared" si="21"/>
        <v>0</v>
      </c>
      <c r="CC67">
        <f t="shared" si="30"/>
        <v>0</v>
      </c>
      <c r="CD67">
        <f t="shared" si="31"/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f t="shared" si="22"/>
        <v>0</v>
      </c>
      <c r="CN67">
        <f t="shared" si="22"/>
        <v>0</v>
      </c>
      <c r="CO67">
        <f t="shared" si="32"/>
        <v>0</v>
      </c>
      <c r="CP67">
        <f t="shared" si="33"/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f t="shared" si="23"/>
        <v>0</v>
      </c>
      <c r="CZ67">
        <f t="shared" si="23"/>
        <v>0</v>
      </c>
      <c r="DA67">
        <f t="shared" si="34"/>
        <v>0</v>
      </c>
      <c r="DB67">
        <f t="shared" si="35"/>
        <v>0</v>
      </c>
    </row>
    <row r="68" spans="1:106" x14ac:dyDescent="0.25">
      <c r="A68" t="s">
        <v>113</v>
      </c>
      <c r="B68" t="s">
        <v>121</v>
      </c>
      <c r="C68" t="s">
        <v>248</v>
      </c>
      <c r="D68">
        <v>129418</v>
      </c>
      <c r="E68" t="s">
        <v>268</v>
      </c>
      <c r="F68" t="s">
        <v>269</v>
      </c>
      <c r="H68" t="s">
        <v>125</v>
      </c>
      <c r="I68" t="s">
        <v>126</v>
      </c>
      <c r="J68" t="s">
        <v>114</v>
      </c>
      <c r="K68" t="s">
        <v>251</v>
      </c>
      <c r="L68" t="s">
        <v>115</v>
      </c>
      <c r="M68" t="s">
        <v>116</v>
      </c>
      <c r="N68" t="s">
        <v>117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f t="shared" si="18"/>
        <v>0</v>
      </c>
      <c r="AD68">
        <f t="shared" si="18"/>
        <v>0</v>
      </c>
      <c r="AE68">
        <f t="shared" si="24"/>
        <v>0</v>
      </c>
      <c r="AF68">
        <f t="shared" si="25"/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f t="shared" si="19"/>
        <v>0</v>
      </c>
      <c r="AV68">
        <f t="shared" si="19"/>
        <v>0</v>
      </c>
      <c r="AW68">
        <f t="shared" si="26"/>
        <v>0</v>
      </c>
      <c r="AX68">
        <f t="shared" si="27"/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f t="shared" si="20"/>
        <v>0</v>
      </c>
      <c r="BH68">
        <f t="shared" si="20"/>
        <v>0</v>
      </c>
      <c r="BI68">
        <f t="shared" si="28"/>
        <v>0</v>
      </c>
      <c r="BJ68">
        <f t="shared" si="29"/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f t="shared" si="21"/>
        <v>0</v>
      </c>
      <c r="CB68">
        <f t="shared" si="21"/>
        <v>0</v>
      </c>
      <c r="CC68">
        <f t="shared" si="30"/>
        <v>0</v>
      </c>
      <c r="CD68">
        <f t="shared" si="31"/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f t="shared" si="22"/>
        <v>0</v>
      </c>
      <c r="CN68">
        <f t="shared" si="22"/>
        <v>0</v>
      </c>
      <c r="CO68">
        <f t="shared" si="32"/>
        <v>0</v>
      </c>
      <c r="CP68">
        <f t="shared" si="33"/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f t="shared" si="23"/>
        <v>0</v>
      </c>
      <c r="CZ68">
        <f t="shared" si="23"/>
        <v>0</v>
      </c>
      <c r="DA68">
        <f t="shared" si="34"/>
        <v>0</v>
      </c>
      <c r="DB68">
        <f t="shared" si="35"/>
        <v>0</v>
      </c>
    </row>
    <row r="69" spans="1:106" x14ac:dyDescent="0.25">
      <c r="A69" t="s">
        <v>113</v>
      </c>
      <c r="B69" t="s">
        <v>121</v>
      </c>
      <c r="C69" t="s">
        <v>248</v>
      </c>
      <c r="D69">
        <v>129419</v>
      </c>
      <c r="E69" t="s">
        <v>270</v>
      </c>
      <c r="F69" t="s">
        <v>247</v>
      </c>
      <c r="H69" t="s">
        <v>125</v>
      </c>
      <c r="I69" t="s">
        <v>126</v>
      </c>
      <c r="J69" t="s">
        <v>114</v>
      </c>
      <c r="K69" t="s">
        <v>271</v>
      </c>
      <c r="L69" t="s">
        <v>115</v>
      </c>
      <c r="M69" t="s">
        <v>116</v>
      </c>
      <c r="N69" t="s">
        <v>117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f t="shared" si="18"/>
        <v>0</v>
      </c>
      <c r="AD69">
        <f t="shared" si="18"/>
        <v>0</v>
      </c>
      <c r="AE69">
        <f t="shared" si="24"/>
        <v>0</v>
      </c>
      <c r="AF69">
        <f t="shared" si="25"/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f t="shared" si="19"/>
        <v>0</v>
      </c>
      <c r="AV69">
        <f t="shared" si="19"/>
        <v>0</v>
      </c>
      <c r="AW69">
        <f t="shared" si="26"/>
        <v>0</v>
      </c>
      <c r="AX69">
        <f t="shared" si="27"/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f t="shared" si="20"/>
        <v>0</v>
      </c>
      <c r="BH69">
        <f t="shared" si="20"/>
        <v>0</v>
      </c>
      <c r="BI69">
        <f t="shared" si="28"/>
        <v>0</v>
      </c>
      <c r="BJ69">
        <f t="shared" si="29"/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f t="shared" si="21"/>
        <v>0</v>
      </c>
      <c r="CB69">
        <f t="shared" si="21"/>
        <v>0</v>
      </c>
      <c r="CC69">
        <f t="shared" si="30"/>
        <v>0</v>
      </c>
      <c r="CD69">
        <f t="shared" si="31"/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f t="shared" si="22"/>
        <v>0</v>
      </c>
      <c r="CN69">
        <f t="shared" si="22"/>
        <v>0</v>
      </c>
      <c r="CO69">
        <f t="shared" si="32"/>
        <v>0</v>
      </c>
      <c r="CP69">
        <f t="shared" si="33"/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f t="shared" si="23"/>
        <v>0</v>
      </c>
      <c r="CZ69">
        <f t="shared" si="23"/>
        <v>0</v>
      </c>
      <c r="DA69">
        <f t="shared" si="34"/>
        <v>0</v>
      </c>
      <c r="DB69">
        <f t="shared" si="35"/>
        <v>0</v>
      </c>
    </row>
    <row r="70" spans="1:106" x14ac:dyDescent="0.25">
      <c r="A70" t="s">
        <v>113</v>
      </c>
      <c r="B70" t="s">
        <v>121</v>
      </c>
      <c r="C70" t="s">
        <v>248</v>
      </c>
      <c r="D70">
        <v>129420</v>
      </c>
      <c r="E70" t="s">
        <v>272</v>
      </c>
      <c r="F70" t="s">
        <v>273</v>
      </c>
      <c r="H70" t="s">
        <v>125</v>
      </c>
      <c r="I70" t="s">
        <v>126</v>
      </c>
      <c r="J70" t="s">
        <v>114</v>
      </c>
      <c r="K70" t="s">
        <v>273</v>
      </c>
      <c r="L70" t="s">
        <v>115</v>
      </c>
      <c r="M70" t="s">
        <v>116</v>
      </c>
      <c r="N70" t="s">
        <v>117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f t="shared" si="18"/>
        <v>0</v>
      </c>
      <c r="AD70">
        <f t="shared" si="18"/>
        <v>0</v>
      </c>
      <c r="AE70">
        <f t="shared" si="24"/>
        <v>0</v>
      </c>
      <c r="AF70">
        <f t="shared" si="25"/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f t="shared" si="19"/>
        <v>0</v>
      </c>
      <c r="AV70">
        <f t="shared" si="19"/>
        <v>0</v>
      </c>
      <c r="AW70">
        <f t="shared" si="26"/>
        <v>0</v>
      </c>
      <c r="AX70">
        <f t="shared" si="27"/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f t="shared" si="20"/>
        <v>0</v>
      </c>
      <c r="BH70">
        <f t="shared" si="20"/>
        <v>0</v>
      </c>
      <c r="BI70">
        <f t="shared" si="28"/>
        <v>0</v>
      </c>
      <c r="BJ70">
        <f t="shared" si="29"/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f t="shared" si="21"/>
        <v>0</v>
      </c>
      <c r="CB70">
        <f t="shared" si="21"/>
        <v>0</v>
      </c>
      <c r="CC70">
        <f t="shared" si="30"/>
        <v>0</v>
      </c>
      <c r="CD70">
        <f t="shared" si="31"/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f t="shared" si="22"/>
        <v>0</v>
      </c>
      <c r="CN70">
        <f t="shared" si="22"/>
        <v>0</v>
      </c>
      <c r="CO70">
        <f t="shared" si="32"/>
        <v>0</v>
      </c>
      <c r="CP70">
        <f t="shared" si="33"/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f t="shared" si="23"/>
        <v>0</v>
      </c>
      <c r="CZ70">
        <f t="shared" si="23"/>
        <v>0</v>
      </c>
      <c r="DA70">
        <f t="shared" si="34"/>
        <v>0</v>
      </c>
      <c r="DB70">
        <f t="shared" si="35"/>
        <v>0</v>
      </c>
    </row>
    <row r="71" spans="1:106" x14ac:dyDescent="0.25">
      <c r="A71" t="s">
        <v>113</v>
      </c>
      <c r="B71" t="s">
        <v>121</v>
      </c>
      <c r="C71" t="s">
        <v>248</v>
      </c>
      <c r="D71">
        <v>129421</v>
      </c>
      <c r="E71" t="s">
        <v>274</v>
      </c>
      <c r="F71" t="s">
        <v>275</v>
      </c>
      <c r="H71" t="s">
        <v>125</v>
      </c>
      <c r="I71" t="s">
        <v>126</v>
      </c>
      <c r="J71" t="s">
        <v>114</v>
      </c>
      <c r="K71" t="s">
        <v>257</v>
      </c>
      <c r="L71" t="s">
        <v>115</v>
      </c>
      <c r="M71" t="s">
        <v>116</v>
      </c>
      <c r="N71" t="s">
        <v>117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f t="shared" si="18"/>
        <v>0</v>
      </c>
      <c r="AD71">
        <f t="shared" si="18"/>
        <v>0</v>
      </c>
      <c r="AE71">
        <f t="shared" si="24"/>
        <v>0</v>
      </c>
      <c r="AF71">
        <f t="shared" si="25"/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f t="shared" si="19"/>
        <v>0</v>
      </c>
      <c r="AV71">
        <f t="shared" si="19"/>
        <v>0</v>
      </c>
      <c r="AW71">
        <f t="shared" si="26"/>
        <v>0</v>
      </c>
      <c r="AX71">
        <f t="shared" si="27"/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f t="shared" si="20"/>
        <v>0</v>
      </c>
      <c r="BH71">
        <f t="shared" si="20"/>
        <v>0</v>
      </c>
      <c r="BI71">
        <f t="shared" si="28"/>
        <v>0</v>
      </c>
      <c r="BJ71">
        <f t="shared" si="29"/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f t="shared" si="21"/>
        <v>0</v>
      </c>
      <c r="CB71">
        <f t="shared" si="21"/>
        <v>0</v>
      </c>
      <c r="CC71">
        <f t="shared" si="30"/>
        <v>0</v>
      </c>
      <c r="CD71">
        <f t="shared" si="31"/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f t="shared" si="22"/>
        <v>0</v>
      </c>
      <c r="CN71">
        <f t="shared" si="22"/>
        <v>0</v>
      </c>
      <c r="CO71">
        <f t="shared" si="32"/>
        <v>0</v>
      </c>
      <c r="CP71">
        <f t="shared" si="33"/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f t="shared" si="23"/>
        <v>0</v>
      </c>
      <c r="CZ71">
        <f t="shared" si="23"/>
        <v>0</v>
      </c>
      <c r="DA71">
        <f t="shared" si="34"/>
        <v>0</v>
      </c>
      <c r="DB71">
        <f t="shared" si="35"/>
        <v>0</v>
      </c>
    </row>
    <row r="72" spans="1:106" x14ac:dyDescent="0.25">
      <c r="A72" t="s">
        <v>113</v>
      </c>
      <c r="B72" t="s">
        <v>121</v>
      </c>
      <c r="C72" t="s">
        <v>248</v>
      </c>
      <c r="D72">
        <v>129422</v>
      </c>
      <c r="E72" t="s">
        <v>276</v>
      </c>
      <c r="F72" t="s">
        <v>277</v>
      </c>
      <c r="H72" t="s">
        <v>125</v>
      </c>
      <c r="I72" t="s">
        <v>126</v>
      </c>
      <c r="J72" t="s">
        <v>114</v>
      </c>
      <c r="K72" t="s">
        <v>251</v>
      </c>
      <c r="L72" t="s">
        <v>115</v>
      </c>
      <c r="M72" t="s">
        <v>116</v>
      </c>
      <c r="N72" t="s">
        <v>117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f t="shared" si="18"/>
        <v>0</v>
      </c>
      <c r="AD72">
        <f t="shared" si="18"/>
        <v>0</v>
      </c>
      <c r="AE72">
        <f t="shared" si="24"/>
        <v>0</v>
      </c>
      <c r="AF72">
        <f t="shared" si="25"/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f t="shared" si="19"/>
        <v>0</v>
      </c>
      <c r="AV72">
        <f t="shared" si="19"/>
        <v>0</v>
      </c>
      <c r="AW72">
        <f t="shared" si="26"/>
        <v>0</v>
      </c>
      <c r="AX72">
        <f t="shared" si="27"/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f t="shared" si="20"/>
        <v>0</v>
      </c>
      <c r="BH72">
        <f t="shared" si="20"/>
        <v>0</v>
      </c>
      <c r="BI72">
        <f t="shared" si="28"/>
        <v>0</v>
      </c>
      <c r="BJ72">
        <f t="shared" si="29"/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f t="shared" si="21"/>
        <v>0</v>
      </c>
      <c r="CB72">
        <f t="shared" si="21"/>
        <v>0</v>
      </c>
      <c r="CC72">
        <f t="shared" si="30"/>
        <v>0</v>
      </c>
      <c r="CD72">
        <f t="shared" si="31"/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f t="shared" si="22"/>
        <v>0</v>
      </c>
      <c r="CN72">
        <f t="shared" si="22"/>
        <v>0</v>
      </c>
      <c r="CO72">
        <f t="shared" si="32"/>
        <v>0</v>
      </c>
      <c r="CP72">
        <f t="shared" si="33"/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f t="shared" si="23"/>
        <v>0</v>
      </c>
      <c r="CZ72">
        <f t="shared" si="23"/>
        <v>0</v>
      </c>
      <c r="DA72">
        <f t="shared" si="34"/>
        <v>0</v>
      </c>
      <c r="DB72">
        <f t="shared" si="35"/>
        <v>0</v>
      </c>
    </row>
    <row r="73" spans="1:106" x14ac:dyDescent="0.25">
      <c r="A73" t="s">
        <v>113</v>
      </c>
      <c r="B73" t="s">
        <v>121</v>
      </c>
      <c r="C73" t="s">
        <v>248</v>
      </c>
      <c r="D73">
        <v>304313</v>
      </c>
      <c r="E73" t="s">
        <v>278</v>
      </c>
      <c r="F73" t="s">
        <v>279</v>
      </c>
      <c r="H73" t="s">
        <v>125</v>
      </c>
      <c r="I73" t="s">
        <v>126</v>
      </c>
      <c r="J73" t="s">
        <v>114</v>
      </c>
      <c r="K73" t="s">
        <v>257</v>
      </c>
      <c r="L73" t="s">
        <v>115</v>
      </c>
      <c r="M73" t="s">
        <v>116</v>
      </c>
      <c r="N73" t="s">
        <v>118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f t="shared" si="18"/>
        <v>0</v>
      </c>
      <c r="AD73">
        <f t="shared" si="18"/>
        <v>0</v>
      </c>
      <c r="AE73">
        <f t="shared" si="24"/>
        <v>0</v>
      </c>
      <c r="AF73">
        <f t="shared" si="25"/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f t="shared" si="19"/>
        <v>0</v>
      </c>
      <c r="AV73">
        <f t="shared" si="19"/>
        <v>0</v>
      </c>
      <c r="AW73">
        <f t="shared" si="26"/>
        <v>0</v>
      </c>
      <c r="AX73">
        <f t="shared" si="27"/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f t="shared" si="20"/>
        <v>0</v>
      </c>
      <c r="BH73">
        <f t="shared" si="20"/>
        <v>0</v>
      </c>
      <c r="BI73">
        <f t="shared" si="28"/>
        <v>0</v>
      </c>
      <c r="BJ73">
        <f t="shared" si="29"/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f t="shared" si="21"/>
        <v>0</v>
      </c>
      <c r="CB73">
        <f t="shared" si="21"/>
        <v>0</v>
      </c>
      <c r="CC73">
        <f t="shared" si="30"/>
        <v>0</v>
      </c>
      <c r="CD73">
        <f t="shared" si="31"/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f t="shared" si="22"/>
        <v>0</v>
      </c>
      <c r="CN73">
        <f t="shared" si="22"/>
        <v>0</v>
      </c>
      <c r="CO73">
        <f t="shared" si="32"/>
        <v>0</v>
      </c>
      <c r="CP73">
        <f t="shared" si="33"/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f t="shared" si="23"/>
        <v>0</v>
      </c>
      <c r="CZ73">
        <f t="shared" si="23"/>
        <v>0</v>
      </c>
      <c r="DA73">
        <f t="shared" si="34"/>
        <v>0</v>
      </c>
      <c r="DB73">
        <f t="shared" si="35"/>
        <v>0</v>
      </c>
    </row>
    <row r="74" spans="1:106" x14ac:dyDescent="0.25">
      <c r="A74" t="s">
        <v>113</v>
      </c>
      <c r="B74" t="s">
        <v>121</v>
      </c>
      <c r="C74" t="s">
        <v>248</v>
      </c>
      <c r="D74">
        <v>304318</v>
      </c>
      <c r="E74" t="s">
        <v>280</v>
      </c>
      <c r="F74" t="s">
        <v>281</v>
      </c>
      <c r="H74" t="s">
        <v>125</v>
      </c>
      <c r="I74" t="s">
        <v>126</v>
      </c>
      <c r="J74" t="s">
        <v>114</v>
      </c>
      <c r="K74" t="s">
        <v>265</v>
      </c>
      <c r="L74" t="s">
        <v>115</v>
      </c>
      <c r="M74" t="s">
        <v>116</v>
      </c>
      <c r="N74" t="s">
        <v>118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f t="shared" si="18"/>
        <v>0</v>
      </c>
      <c r="AD74">
        <f t="shared" si="18"/>
        <v>0</v>
      </c>
      <c r="AE74">
        <f t="shared" si="24"/>
        <v>0</v>
      </c>
      <c r="AF74">
        <f t="shared" si="25"/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f t="shared" si="19"/>
        <v>0</v>
      </c>
      <c r="AV74">
        <f t="shared" si="19"/>
        <v>0</v>
      </c>
      <c r="AW74">
        <f t="shared" si="26"/>
        <v>0</v>
      </c>
      <c r="AX74">
        <f t="shared" si="27"/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f t="shared" si="20"/>
        <v>0</v>
      </c>
      <c r="BH74">
        <f t="shared" si="20"/>
        <v>0</v>
      </c>
      <c r="BI74">
        <f t="shared" si="28"/>
        <v>0</v>
      </c>
      <c r="BJ74">
        <f t="shared" si="29"/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f t="shared" si="21"/>
        <v>0</v>
      </c>
      <c r="CB74">
        <f t="shared" si="21"/>
        <v>0</v>
      </c>
      <c r="CC74">
        <f t="shared" si="30"/>
        <v>0</v>
      </c>
      <c r="CD74">
        <f t="shared" si="31"/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f t="shared" si="22"/>
        <v>0</v>
      </c>
      <c r="CN74">
        <f t="shared" si="22"/>
        <v>0</v>
      </c>
      <c r="CO74">
        <f t="shared" si="32"/>
        <v>0</v>
      </c>
      <c r="CP74">
        <f t="shared" si="33"/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f t="shared" si="23"/>
        <v>0</v>
      </c>
      <c r="CZ74">
        <f t="shared" si="23"/>
        <v>0</v>
      </c>
      <c r="DA74">
        <f t="shared" si="34"/>
        <v>0</v>
      </c>
      <c r="DB74">
        <f t="shared" si="35"/>
        <v>0</v>
      </c>
    </row>
    <row r="75" spans="1:106" x14ac:dyDescent="0.25">
      <c r="A75" t="s">
        <v>113</v>
      </c>
      <c r="B75" t="s">
        <v>121</v>
      </c>
      <c r="C75" t="s">
        <v>248</v>
      </c>
      <c r="D75">
        <v>325105</v>
      </c>
      <c r="E75" t="s">
        <v>282</v>
      </c>
      <c r="F75" t="s">
        <v>267</v>
      </c>
      <c r="G75">
        <v>304313</v>
      </c>
      <c r="H75" t="s">
        <v>125</v>
      </c>
      <c r="I75" t="s">
        <v>126</v>
      </c>
      <c r="J75" t="s">
        <v>114</v>
      </c>
      <c r="K75" t="s">
        <v>251</v>
      </c>
      <c r="L75" t="s">
        <v>115</v>
      </c>
      <c r="M75" t="s">
        <v>116</v>
      </c>
      <c r="N75" t="s">
        <v>118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f t="shared" si="18"/>
        <v>0</v>
      </c>
      <c r="AD75">
        <f t="shared" si="18"/>
        <v>0</v>
      </c>
      <c r="AE75">
        <f t="shared" si="24"/>
        <v>0</v>
      </c>
      <c r="AF75">
        <f t="shared" si="25"/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f t="shared" si="19"/>
        <v>0</v>
      </c>
      <c r="AV75">
        <f t="shared" si="19"/>
        <v>0</v>
      </c>
      <c r="AW75">
        <f t="shared" si="26"/>
        <v>0</v>
      </c>
      <c r="AX75">
        <f t="shared" si="27"/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f t="shared" si="20"/>
        <v>0</v>
      </c>
      <c r="BH75">
        <f t="shared" si="20"/>
        <v>0</v>
      </c>
      <c r="BI75">
        <f t="shared" si="28"/>
        <v>0</v>
      </c>
      <c r="BJ75">
        <f t="shared" si="29"/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f t="shared" si="21"/>
        <v>0</v>
      </c>
      <c r="CB75">
        <f t="shared" si="21"/>
        <v>0</v>
      </c>
      <c r="CC75">
        <f t="shared" si="30"/>
        <v>0</v>
      </c>
      <c r="CD75">
        <f t="shared" si="31"/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f t="shared" si="22"/>
        <v>0</v>
      </c>
      <c r="CN75">
        <f t="shared" si="22"/>
        <v>0</v>
      </c>
      <c r="CO75">
        <f t="shared" si="32"/>
        <v>0</v>
      </c>
      <c r="CP75">
        <f t="shared" si="33"/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f t="shared" si="23"/>
        <v>0</v>
      </c>
      <c r="CZ75">
        <f t="shared" si="23"/>
        <v>0</v>
      </c>
      <c r="DA75">
        <f t="shared" si="34"/>
        <v>0</v>
      </c>
      <c r="DB75">
        <f t="shared" si="35"/>
        <v>0</v>
      </c>
    </row>
    <row r="76" spans="1:106" x14ac:dyDescent="0.25">
      <c r="A76" t="s">
        <v>113</v>
      </c>
      <c r="B76" t="s">
        <v>121</v>
      </c>
      <c r="C76" t="s">
        <v>248</v>
      </c>
      <c r="D76">
        <v>501085</v>
      </c>
      <c r="E76" t="s">
        <v>283</v>
      </c>
      <c r="F76" t="s">
        <v>284</v>
      </c>
      <c r="H76" t="s">
        <v>125</v>
      </c>
      <c r="I76" t="s">
        <v>126</v>
      </c>
      <c r="J76" t="s">
        <v>114</v>
      </c>
      <c r="K76" t="s">
        <v>285</v>
      </c>
      <c r="L76" t="s">
        <v>115</v>
      </c>
      <c r="M76" t="s">
        <v>116</v>
      </c>
      <c r="N76" t="s">
        <v>120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f t="shared" si="18"/>
        <v>0</v>
      </c>
      <c r="AD76">
        <f t="shared" si="18"/>
        <v>0</v>
      </c>
      <c r="AE76">
        <f t="shared" si="24"/>
        <v>0</v>
      </c>
      <c r="AF76">
        <f t="shared" si="25"/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f t="shared" si="19"/>
        <v>0</v>
      </c>
      <c r="AV76">
        <f t="shared" si="19"/>
        <v>0</v>
      </c>
      <c r="AW76">
        <f t="shared" si="26"/>
        <v>0</v>
      </c>
      <c r="AX76">
        <f t="shared" si="27"/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f t="shared" si="20"/>
        <v>0</v>
      </c>
      <c r="BH76">
        <f t="shared" si="20"/>
        <v>0</v>
      </c>
      <c r="BI76">
        <f t="shared" si="28"/>
        <v>0</v>
      </c>
      <c r="BJ76">
        <f t="shared" si="29"/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f t="shared" si="21"/>
        <v>0</v>
      </c>
      <c r="CB76">
        <f t="shared" si="21"/>
        <v>0</v>
      </c>
      <c r="CC76">
        <f t="shared" si="30"/>
        <v>0</v>
      </c>
      <c r="CD76">
        <f t="shared" si="31"/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f t="shared" si="22"/>
        <v>0</v>
      </c>
      <c r="CN76">
        <f t="shared" si="22"/>
        <v>0</v>
      </c>
      <c r="CO76">
        <f t="shared" si="32"/>
        <v>0</v>
      </c>
      <c r="CP76">
        <f t="shared" si="33"/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f t="shared" si="23"/>
        <v>0</v>
      </c>
      <c r="CZ76">
        <f t="shared" si="23"/>
        <v>0</v>
      </c>
      <c r="DA76">
        <f t="shared" si="34"/>
        <v>0</v>
      </c>
      <c r="DB76">
        <f t="shared" si="35"/>
        <v>0</v>
      </c>
    </row>
    <row r="77" spans="1:106" x14ac:dyDescent="0.25">
      <c r="A77" t="s">
        <v>113</v>
      </c>
      <c r="B77" t="s">
        <v>121</v>
      </c>
      <c r="C77" t="s">
        <v>248</v>
      </c>
      <c r="D77">
        <v>501086</v>
      </c>
      <c r="E77" t="s">
        <v>286</v>
      </c>
      <c r="F77" t="s">
        <v>287</v>
      </c>
      <c r="H77" t="s">
        <v>125</v>
      </c>
      <c r="I77" t="s">
        <v>126</v>
      </c>
      <c r="J77" t="s">
        <v>114</v>
      </c>
      <c r="K77" t="s">
        <v>288</v>
      </c>
      <c r="L77" t="s">
        <v>115</v>
      </c>
      <c r="M77" t="s">
        <v>116</v>
      </c>
      <c r="N77" t="s">
        <v>120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f t="shared" si="18"/>
        <v>0</v>
      </c>
      <c r="AD77">
        <f t="shared" si="18"/>
        <v>0</v>
      </c>
      <c r="AE77">
        <f t="shared" si="24"/>
        <v>0</v>
      </c>
      <c r="AF77">
        <f t="shared" si="25"/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f t="shared" si="19"/>
        <v>0</v>
      </c>
      <c r="AV77">
        <f t="shared" si="19"/>
        <v>0</v>
      </c>
      <c r="AW77">
        <f t="shared" si="26"/>
        <v>0</v>
      </c>
      <c r="AX77">
        <f t="shared" si="27"/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f t="shared" si="20"/>
        <v>0</v>
      </c>
      <c r="BH77">
        <f t="shared" si="20"/>
        <v>0</v>
      </c>
      <c r="BI77">
        <f t="shared" si="28"/>
        <v>0</v>
      </c>
      <c r="BJ77">
        <f t="shared" si="29"/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f t="shared" si="21"/>
        <v>0</v>
      </c>
      <c r="CB77">
        <f t="shared" si="21"/>
        <v>0</v>
      </c>
      <c r="CC77">
        <f t="shared" si="30"/>
        <v>0</v>
      </c>
      <c r="CD77">
        <f t="shared" si="31"/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f t="shared" si="22"/>
        <v>0</v>
      </c>
      <c r="CN77">
        <f t="shared" si="22"/>
        <v>0</v>
      </c>
      <c r="CO77">
        <f t="shared" si="32"/>
        <v>0</v>
      </c>
      <c r="CP77">
        <f t="shared" si="33"/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f t="shared" si="23"/>
        <v>0</v>
      </c>
      <c r="CZ77">
        <f t="shared" si="23"/>
        <v>0</v>
      </c>
      <c r="DA77">
        <f t="shared" si="34"/>
        <v>0</v>
      </c>
      <c r="DB77">
        <f t="shared" si="35"/>
        <v>0</v>
      </c>
    </row>
    <row r="78" spans="1:106" x14ac:dyDescent="0.25">
      <c r="A78" t="s">
        <v>113</v>
      </c>
      <c r="B78" t="s">
        <v>121</v>
      </c>
      <c r="C78" t="s">
        <v>248</v>
      </c>
      <c r="D78">
        <v>501087</v>
      </c>
      <c r="E78" t="s">
        <v>289</v>
      </c>
      <c r="F78" t="s">
        <v>290</v>
      </c>
      <c r="H78" t="s">
        <v>125</v>
      </c>
      <c r="I78" t="s">
        <v>126</v>
      </c>
      <c r="J78" t="s">
        <v>114</v>
      </c>
      <c r="K78" t="s">
        <v>254</v>
      </c>
      <c r="L78" t="s">
        <v>115</v>
      </c>
      <c r="M78" t="s">
        <v>116</v>
      </c>
      <c r="N78" t="s">
        <v>120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f t="shared" si="18"/>
        <v>0</v>
      </c>
      <c r="AD78">
        <f t="shared" si="18"/>
        <v>0</v>
      </c>
      <c r="AE78">
        <f t="shared" si="24"/>
        <v>0</v>
      </c>
      <c r="AF78">
        <f t="shared" si="25"/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f t="shared" si="19"/>
        <v>0</v>
      </c>
      <c r="AV78">
        <f t="shared" si="19"/>
        <v>0</v>
      </c>
      <c r="AW78">
        <f t="shared" si="26"/>
        <v>0</v>
      </c>
      <c r="AX78">
        <f t="shared" si="27"/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f t="shared" si="20"/>
        <v>0</v>
      </c>
      <c r="BH78">
        <f t="shared" si="20"/>
        <v>0</v>
      </c>
      <c r="BI78">
        <f t="shared" si="28"/>
        <v>0</v>
      </c>
      <c r="BJ78">
        <f t="shared" si="29"/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f t="shared" si="21"/>
        <v>0</v>
      </c>
      <c r="CB78">
        <f t="shared" si="21"/>
        <v>0</v>
      </c>
      <c r="CC78">
        <f t="shared" si="30"/>
        <v>0</v>
      </c>
      <c r="CD78">
        <f t="shared" si="31"/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f t="shared" si="22"/>
        <v>0</v>
      </c>
      <c r="CN78">
        <f t="shared" si="22"/>
        <v>0</v>
      </c>
      <c r="CO78">
        <f t="shared" si="32"/>
        <v>0</v>
      </c>
      <c r="CP78">
        <f t="shared" si="33"/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f t="shared" si="23"/>
        <v>0</v>
      </c>
      <c r="CZ78">
        <f t="shared" si="23"/>
        <v>0</v>
      </c>
      <c r="DA78">
        <f t="shared" si="34"/>
        <v>0</v>
      </c>
      <c r="DB78">
        <f t="shared" si="35"/>
        <v>0</v>
      </c>
    </row>
  </sheetData>
  <autoFilter ref="A7:CX78" xr:uid="{00000000-0009-0000-0000-000000000000}"/>
  <mergeCells count="52">
    <mergeCell ref="CW4:CX4"/>
    <mergeCell ref="CY4:DA4"/>
    <mergeCell ref="CI4:CJ4"/>
    <mergeCell ref="CK4:CL4"/>
    <mergeCell ref="CM4:CO4"/>
    <mergeCell ref="CQ4:CR4"/>
    <mergeCell ref="CS4:CT4"/>
    <mergeCell ref="CU4:CV4"/>
    <mergeCell ref="BU4:BV4"/>
    <mergeCell ref="BW4:BX4"/>
    <mergeCell ref="BY4:BZ4"/>
    <mergeCell ref="CA4:CC4"/>
    <mergeCell ref="CE4:CF4"/>
    <mergeCell ref="CG4:CH4"/>
    <mergeCell ref="AY4:AZ4"/>
    <mergeCell ref="BA4:BB4"/>
    <mergeCell ref="BC4:BD4"/>
    <mergeCell ref="BE4:BF4"/>
    <mergeCell ref="BG4:BI4"/>
    <mergeCell ref="BK4:BL4"/>
    <mergeCell ref="AK4:AL4"/>
    <mergeCell ref="AM4:AN4"/>
    <mergeCell ref="AO4:AP4"/>
    <mergeCell ref="AQ4:AR4"/>
    <mergeCell ref="AS4:AT4"/>
    <mergeCell ref="AU4:AW4"/>
    <mergeCell ref="W4:X4"/>
    <mergeCell ref="Y4:Z4"/>
    <mergeCell ref="AA4:AB4"/>
    <mergeCell ref="AC4:AE4"/>
    <mergeCell ref="AG4:AH4"/>
    <mergeCell ref="AI4:AJ4"/>
    <mergeCell ref="BK3:CC3"/>
    <mergeCell ref="CD3:CD5"/>
    <mergeCell ref="CE3:CO3"/>
    <mergeCell ref="CP3:CP5"/>
    <mergeCell ref="CQ3:DA3"/>
    <mergeCell ref="DB3:DB5"/>
    <mergeCell ref="BM4:BN4"/>
    <mergeCell ref="BO4:BP4"/>
    <mergeCell ref="BQ4:BR4"/>
    <mergeCell ref="BS4:BT4"/>
    <mergeCell ref="O3:AE3"/>
    <mergeCell ref="AF3:AF5"/>
    <mergeCell ref="AG3:AW3"/>
    <mergeCell ref="AX3:AX5"/>
    <mergeCell ref="AY3:BI3"/>
    <mergeCell ref="BJ3:BJ5"/>
    <mergeCell ref="O4:P4"/>
    <mergeCell ref="Q4:R4"/>
    <mergeCell ref="S4:T4"/>
    <mergeCell ref="U4:V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2023-08-07T03:27:20Z</dcterms:created>
  <dcterms:modified xsi:type="dcterms:W3CDTF">2023-08-07T03:28:12Z</dcterms:modified>
</cp:coreProperties>
</file>