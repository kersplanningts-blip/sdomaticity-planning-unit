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8038B92C-F58B-4DEE-82F8-C19CB87B9B7E}" xr6:coauthVersionLast="47" xr6:coauthVersionMax="47" xr10:uidLastSave="{00000000-0000-0000-0000-000000000000}"/>
  <bookViews>
    <workbookView xWindow="-120" yWindow="-120" windowWidth="29040" windowHeight="15720" activeTab="2" xr2:uid="{712220E4-B452-4492-9CEA-3C11D6D13486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ES!$A$8:$AA$62</definedName>
    <definedName name="_xlnm._FilterDatabase" localSheetId="1" hidden="1">JHS!$A$7:$AA$29</definedName>
    <definedName name="_xlnm._FilterDatabase" localSheetId="2" hidden="1">SHS!$A$8:$AA$24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3" l="1"/>
  <c r="Z7" i="3"/>
  <c r="Y7" i="3"/>
  <c r="X7" i="3"/>
  <c r="V7" i="3"/>
  <c r="U7" i="3"/>
  <c r="T7" i="3"/>
  <c r="S7" i="3"/>
  <c r="R7" i="3"/>
  <c r="P7" i="3"/>
  <c r="O7" i="3"/>
  <c r="N7" i="3"/>
  <c r="M7" i="3"/>
  <c r="AA7" i="1"/>
  <c r="Z7" i="1"/>
  <c r="Y7" i="1"/>
  <c r="X7" i="1"/>
  <c r="V7" i="1"/>
  <c r="U7" i="1"/>
  <c r="T7" i="1"/>
  <c r="S7" i="1"/>
  <c r="R7" i="1"/>
  <c r="P7" i="1"/>
  <c r="O7" i="1"/>
  <c r="N7" i="1"/>
  <c r="M7" i="1"/>
</calcChain>
</file>

<file path=xl/sharedStrings.xml><?xml version="1.0" encoding="utf-8"?>
<sst xmlns="http://schemas.openxmlformats.org/spreadsheetml/2006/main" count="1182" uniqueCount="271">
  <si>
    <t>School Level Data on School Clinic in Elementary Level</t>
  </si>
  <si>
    <t>SY 2019-2020</t>
  </si>
  <si>
    <t>Based on BEIS, generated as of June 1, 2020</t>
  </si>
  <si>
    <t>Does the school have a designated school clinic?
(YES = 1 or NO = 0)</t>
  </si>
  <si>
    <t>How many weighing scales does the school have?</t>
  </si>
  <si>
    <t xml:space="preserve">Which of the following tools does the school use for taking height? </t>
  </si>
  <si>
    <t>How many first aid kits does the school have?</t>
  </si>
  <si>
    <t>How many medical thermometers does the school have?</t>
  </si>
  <si>
    <t>How many blood pressure apparatus does the school have?</t>
  </si>
  <si>
    <t>How many school personnel has a training on basic life support and/or first aid?</t>
  </si>
  <si>
    <t>Bathroom</t>
  </si>
  <si>
    <t>Beam balance</t>
  </si>
  <si>
    <t>Others</t>
  </si>
  <si>
    <t xml:space="preserve">Others, please specify </t>
  </si>
  <si>
    <t>Tape Measure</t>
  </si>
  <si>
    <t>Steel tape</t>
  </si>
  <si>
    <t>Microtoise</t>
  </si>
  <si>
    <t>Stadiometer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</si>
  <si>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</si>
  <si>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</si>
  <si>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</si>
  <si>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</si>
  <si>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</si>
  <si>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</si>
  <si>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</si>
  <si>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</si>
  <si>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</si>
  <si>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</si>
  <si>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</si>
  <si>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</si>
  <si>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clinic_designated_yes</t>
  </si>
  <si>
    <t>clinic_weighing_bathroom_units</t>
  </si>
  <si>
    <t>clinic_weighing_beambalance_units</t>
  </si>
  <si>
    <t>clinic_weighing_other_units</t>
  </si>
  <si>
    <t>clinic_weighing_other</t>
  </si>
  <si>
    <t>clinic_tools_tapemeasure</t>
  </si>
  <si>
    <t>clinic_tools_steeltape</t>
  </si>
  <si>
    <t>clinic_tools_microtoise</t>
  </si>
  <si>
    <t>clinic_tools_stadiometer</t>
  </si>
  <si>
    <t>clinic_tools_others</t>
  </si>
  <si>
    <t>clinic_tools_others_value</t>
  </si>
  <si>
    <t>clinic_firstaidkits_unit</t>
  </si>
  <si>
    <t>clinic_thermometers_unit</t>
  </si>
  <si>
    <t>clinic_bpapparatus_unit</t>
  </si>
  <si>
    <t>clinic_basiclifesupport_unit</t>
  </si>
  <si>
    <t>Remarks</t>
  </si>
  <si>
    <t>Region XI</t>
  </si>
  <si>
    <t>2nd District</t>
  </si>
  <si>
    <t>Kinder &amp; Grade 1-6</t>
  </si>
  <si>
    <t>Purely ES</t>
  </si>
  <si>
    <t>METER STICK</t>
  </si>
  <si>
    <t>meter stick</t>
  </si>
  <si>
    <t>Kinder, Grade 1-6, Grade 7-10</t>
  </si>
  <si>
    <t>ES and JHS</t>
  </si>
  <si>
    <t>NONE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</si>
  <si>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</si>
  <si>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</si>
  <si>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</si>
  <si>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</si>
  <si>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</si>
  <si>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</si>
  <si>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</si>
  <si>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</si>
  <si>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</si>
  <si>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</si>
  <si>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</si>
  <si>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</si>
  <si>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</si>
  <si>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</si>
  <si>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</si>
  <si>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</si>
  <si>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</si>
  <si>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</si>
  <si>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</si>
  <si>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</si>
  <si>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</si>
  <si>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</si>
  <si>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</si>
  <si>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</si>
  <si>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</si>
  <si>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</si>
  <si>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</si>
  <si>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</si>
  <si>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</si>
  <si>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</si>
  <si>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</si>
  <si>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</si>
  <si>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</si>
  <si>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</si>
  <si>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</si>
  <si>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</si>
  <si>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</si>
  <si>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</si>
  <si>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</si>
  <si>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</si>
  <si>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</si>
  <si>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</si>
  <si>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</si>
  <si>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</si>
  <si>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</si>
  <si>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</si>
  <si>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</si>
  <si>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</si>
  <si>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</si>
  <si>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</si>
  <si>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</si>
  <si>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</si>
  <si>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</si>
  <si>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</si>
  <si>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</si>
  <si>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</si>
  <si>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</si>
  <si>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</si>
  <si>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</si>
  <si>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</si>
  <si>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</si>
  <si>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</si>
  <si>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</si>
  <si>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</si>
  <si>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</si>
  <si>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</si>
  <si>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</si>
  <si>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</si>
  <si>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</si>
  <si>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</si>
  <si>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</si>
  <si>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</si>
  <si>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</si>
  <si>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</si>
  <si>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</si>
  <si>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</si>
  <si>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</si>
  <si>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</si>
  <si>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</si>
  <si>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</si>
  <si>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</si>
  <si>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</si>
  <si>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</si>
  <si>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</si>
  <si>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COMMECIAL HEIGHT CARDBOARD; METER STICK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</si>
  <si>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</si>
  <si>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</si>
  <si>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</si>
  <si>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</si>
  <si>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</si>
  <si>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</si>
  <si>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</si>
  <si>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</si>
  <si>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</si>
  <si>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</si>
  <si>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</si>
  <si>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</si>
  <si>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</si>
  <si>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</si>
  <si>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</si>
  <si>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</si>
  <si>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</si>
  <si>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</si>
  <si>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</si>
  <si>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</si>
  <si>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</si>
  <si>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</si>
  <si>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</si>
  <si>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</si>
  <si>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</si>
  <si>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</si>
  <si>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</si>
  <si>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Physician Scale</t>
  </si>
  <si>
    <t>Asuncion Rondina Perez MS</t>
  </si>
  <si>
    <t>Danao</t>
  </si>
  <si>
    <t>DANAO</t>
  </si>
  <si>
    <t>Dawan Central ES</t>
  </si>
  <si>
    <t>Purok Mangga</t>
  </si>
  <si>
    <t>DIGITAL WEIGHING SCALE</t>
  </si>
  <si>
    <t>Francisco Hinayon ES</t>
  </si>
  <si>
    <t>Purok 5</t>
  </si>
  <si>
    <t>LIBUDON</t>
  </si>
  <si>
    <t>Macambol ES</t>
  </si>
  <si>
    <t>Macambol</t>
  </si>
  <si>
    <t>dial type</t>
  </si>
  <si>
    <t>Magum ES</t>
  </si>
  <si>
    <t>Purok 1</t>
  </si>
  <si>
    <t>Gelacio  G. Ytac ES</t>
  </si>
  <si>
    <t>Purok II</t>
  </si>
  <si>
    <t>MAMALI</t>
  </si>
  <si>
    <t>Physicians Weighing Scale</t>
  </si>
  <si>
    <t>Sanghay ES</t>
  </si>
  <si>
    <t>SANGHAY</t>
  </si>
  <si>
    <t>Paciano A. Genon EMS</t>
  </si>
  <si>
    <t>Tagamot</t>
  </si>
  <si>
    <t>Wagon ES</t>
  </si>
  <si>
    <t>Wagon</t>
  </si>
  <si>
    <t>DIAL TYPE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</si>
  <si>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</si>
  <si>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</si>
  <si>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</si>
  <si>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</si>
  <si>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</si>
  <si>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</si>
  <si>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</si>
  <si>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</si>
  <si>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detecto</t>
  </si>
  <si>
    <t>METERSTICK</t>
  </si>
  <si>
    <t>Centro</t>
  </si>
  <si>
    <t>School Level Data on School Clinic in Junior High School</t>
  </si>
  <si>
    <t>Based on BIES, generated as of June 1, 2020</t>
  </si>
  <si>
    <t>sch_clinic_scale_bathroom_unit</t>
  </si>
  <si>
    <t>sch_clinic_scale_beambalance_unit</t>
  </si>
  <si>
    <t>sch_clinic_scale_others_unit</t>
  </si>
  <si>
    <t>sch_clinic_scale_others_specify</t>
  </si>
  <si>
    <t>clinic_tools_height_tapemeasure</t>
  </si>
  <si>
    <t>clinic_tools_height_steeltape</t>
  </si>
  <si>
    <t>clinic_tools_height_microtoise</t>
  </si>
  <si>
    <t>clinic_tools_height_stadiometer</t>
  </si>
  <si>
    <t>clinic_tools_height_others</t>
  </si>
  <si>
    <t>sch_clinic_tools_height_others_specify</t>
  </si>
  <si>
    <t>sch_clinic_first_aids</t>
  </si>
  <si>
    <t>sch_clinic_thermometers</t>
  </si>
  <si>
    <t>sch_clinic_bpa</t>
  </si>
  <si>
    <t>sch_clinic_personnel_trained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</si>
  <si>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</si>
  <si>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</si>
  <si>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</si>
  <si>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</si>
  <si>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</si>
  <si>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</si>
  <si>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HEIGHT BOARD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</si>
  <si>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</si>
  <si>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</si>
  <si>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</si>
  <si>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</si>
  <si>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</si>
  <si>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</si>
  <si>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DIAL TYPE WITH HEIGHT ROD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</si>
  <si>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</si>
  <si>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</si>
  <si>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</si>
  <si>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</si>
  <si>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</si>
  <si>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</si>
  <si>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</si>
  <si>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2 in 1 weighing scale</t>
  </si>
  <si>
    <t>Davao Oriental Regional Science High School</t>
  </si>
  <si>
    <t>Gov't Center</t>
  </si>
  <si>
    <t>detecto scale</t>
  </si>
  <si>
    <t>Taguibo Agri. Voc. High School</t>
  </si>
  <si>
    <t>Purok Mahayahay</t>
  </si>
  <si>
    <t>Don Salvador Lopez NHS</t>
  </si>
  <si>
    <t>Doña Rosa G. Rabat MHS</t>
  </si>
  <si>
    <t>Purok 30</t>
  </si>
  <si>
    <t>NA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</si>
  <si>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</si>
  <si>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</si>
  <si>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</si>
  <si>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</si>
  <si>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</si>
  <si>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</si>
  <si>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</si>
  <si>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</si>
  <si>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School Clinic in Senior High School</t>
  </si>
  <si>
    <t>sch_clinic_designated_yes</t>
  </si>
  <si>
    <t>sch_clinic_scale_others</t>
  </si>
  <si>
    <t>sch_clinic_tools_height_tapemeasure</t>
  </si>
  <si>
    <t>sch_clinic_tools_height_steeltape</t>
  </si>
  <si>
    <t>sch_clinic_tools_height_microtoise</t>
  </si>
  <si>
    <t>sch_clinic_tools_height_stadiometer</t>
  </si>
  <si>
    <t>sch_clinic_tools_height_others_value</t>
  </si>
  <si>
    <t>sch_clinic_training</t>
  </si>
  <si>
    <t>Dial type with height board</t>
  </si>
  <si>
    <t>weighing scale with height rod</t>
  </si>
  <si>
    <t>meterstick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</si>
</sst>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5" fontId="0" fillId="0" borderId="0" xfId="1" applyNumberFormat="1" applyFont="1"/>
    <xf numFmtId="165" fontId="3" fillId="0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03C6-D410-4B8D-9187-D4098C06C7EE}">
  <sheetPr codeName="Sheet1"/>
  <dimension ref="A1:AB62"/>
  <sheetViews>
    <sheetView zoomScale="85" zoomScaleNormal="85" workbookViewId="0">
      <pane xSplit="4" ySplit="8" topLeftCell="E43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27" width="13.28515625" customWidth="1"/>
  </cols>
  <sheetData>
    <row r="1" spans="1:28" x14ac:dyDescent="0.25">
      <c r="A1" s="1" t="s">
        <v>0</v>
      </c>
    </row>
    <row r="2" spans="1:28" x14ac:dyDescent="0.25">
      <c r="A2" s="1" t="s">
        <v>1</v>
      </c>
      <c r="L2" s="2"/>
    </row>
    <row r="3" spans="1:28" x14ac:dyDescent="0.25">
      <c r="A3" s="1" t="s">
        <v>2</v>
      </c>
      <c r="L3" s="2"/>
    </row>
    <row r="4" spans="1:28" ht="14.45" customHeight="1" x14ac:dyDescent="0.25">
      <c r="A4" s="1"/>
      <c r="L4" s="2"/>
    </row>
    <row r="5" spans="1:28" ht="14.45" customHeight="1" x14ac:dyDescent="0.25">
      <c r="A5" s="1"/>
      <c r="L5" s="2"/>
      <c r="M5" s="3" t="s">
        <v>3</v>
      </c>
      <c r="N5" s="3" t="s">
        <v>4</v>
      </c>
      <c r="O5" s="3"/>
      <c r="P5" s="3"/>
      <c r="Q5" s="4"/>
      <c r="R5" s="3" t="s">
        <v>5</v>
      </c>
      <c r="S5" s="3"/>
      <c r="T5" s="3"/>
      <c r="U5" s="3"/>
      <c r="V5" s="3"/>
      <c r="W5" s="4"/>
      <c r="X5" s="3" t="s">
        <v>6</v>
      </c>
      <c r="Y5" s="3" t="s">
        <v>7</v>
      </c>
      <c r="Z5" s="3" t="s">
        <v>8</v>
      </c>
      <c r="AA5" s="3" t="s">
        <v>9</v>
      </c>
    </row>
    <row r="6" spans="1:28" ht="45" x14ac:dyDescent="0.25">
      <c r="M6" s="3"/>
      <c r="N6" s="4" t="s">
        <v>10</v>
      </c>
      <c r="O6" s="4" t="s">
        <v>11</v>
      </c>
      <c r="P6" s="4" t="s">
        <v>12</v>
      </c>
      <c r="Q6" s="4" t="s">
        <v>13</v>
      </c>
      <c r="R6" s="4" t="s">
        <v>14</v>
      </c>
      <c r="S6" s="4" t="s">
        <v>15</v>
      </c>
      <c r="T6" s="4" t="s">
        <v>16</v>
      </c>
      <c r="U6" s="4" t="s">
        <v>17</v>
      </c>
      <c r="V6" s="4" t="s">
        <v>12</v>
      </c>
      <c r="W6" s="4" t="s">
        <v>13</v>
      </c>
      <c r="X6" s="3"/>
      <c r="Y6" s="3"/>
      <c r="Z6" s="3"/>
      <c r="AA6" s="3"/>
    </row>
    <row r="7" spans="1:28" x14ac:dyDescent="0.25">
      <c r="M7" s="5">
        <f>SUM(M9:M62)</f>
        <v>36</v>
      </c>
      <c r="N7" s="5">
        <f>SUM(N9:N62)</f>
        <v>126</v>
      </c>
      <c r="O7" s="5">
        <f>SUM(O9:O62)</f>
        <v>15</v>
      </c>
      <c r="P7" s="5">
        <f>SUM(P9:P62)</f>
        <v>4</v>
      </c>
      <c r="Q7" s="5"/>
      <c r="R7" s="5">
        <f>SUM(R9:R62)</f>
        <v>28</v>
      </c>
      <c r="S7" s="5">
        <f>SUM(S9:S62)</f>
        <v>24</v>
      </c>
      <c r="T7" s="5">
        <f>SUM(T9:T62)</f>
        <v>1</v>
      </c>
      <c r="U7" s="5">
        <f>SUM(U9:U62)</f>
        <v>7</v>
      </c>
      <c r="V7" s="5">
        <f>SUM(V9:V62)</f>
        <v>4</v>
      </c>
      <c r="W7" s="5"/>
      <c r="X7" s="5">
        <f>SUM(X9:X62)</f>
        <v>274</v>
      </c>
      <c r="Y7" s="5">
        <f>SUM(Y9:Y62)</f>
        <v>101</v>
      </c>
      <c r="Z7" s="5">
        <f>SUM(Z9:Z62)</f>
        <v>25</v>
      </c>
      <c r="AA7" s="5">
        <f>SUM(AA9:AA62)</f>
        <v>151</v>
      </c>
    </row>
    <row r="8" spans="1:28" x14ac:dyDescent="0.25">
      <c r="A8" s="6" t="s">
        <v>18</v>
      </c>
      <c r="B8" s="6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26</v>
      </c>
      <c r="J8" s="6" t="s">
        <v>27</v>
      </c>
      <c r="K8" s="6" t="s">
        <v>28</v>
      </c>
      <c r="L8" s="7" t="s">
        <v>29</v>
      </c>
      <c r="M8" s="8" t="s">
        <v>30</v>
      </c>
      <c r="N8" s="8" t="s">
        <v>31</v>
      </c>
      <c r="O8" s="8" t="s">
        <v>32</v>
      </c>
      <c r="P8" s="8" t="s">
        <v>33</v>
      </c>
      <c r="Q8" s="8" t="s">
        <v>34</v>
      </c>
      <c r="R8" s="8" t="s">
        <v>35</v>
      </c>
      <c r="S8" s="8" t="s">
        <v>36</v>
      </c>
      <c r="T8" s="8" t="s">
        <v>37</v>
      </c>
      <c r="U8" s="8" t="s">
        <v>38</v>
      </c>
      <c r="V8" s="8" t="s">
        <v>39</v>
      </c>
      <c r="W8" s="8" t="s">
        <v>40</v>
      </c>
      <c r="X8" s="8" t="s">
        <v>41</v>
      </c>
      <c r="Y8" s="8" t="s">
        <v>42</v>
      </c>
      <c r="Z8" s="8" t="s">
        <v>43</v>
      </c>
      <c r="AA8" s="9" t="s">
        <v>44</v>
      </c>
      <c r="AB8" s="8" t="s">
        <v>45</v>
      </c>
    </row>
    <row r="9" spans="1:28" x14ac:dyDescent="0.25">
      <c r="A9" t="s">
        <v>46</v>
      </c>
      <c r="B9" t="s">
        <v>55</v>
      </c>
      <c r="C9" t="s">
        <v>56</v>
      </c>
      <c r="D9">
        <v>129374</v>
      </c>
      <c r="E9" t="s">
        <v>57</v>
      </c>
      <c r="F9" t="s">
        <v>58</v>
      </c>
      <c r="G9" t="s">
        <v>59</v>
      </c>
      <c r="H9" t="s">
        <v>60</v>
      </c>
      <c r="I9" t="s">
        <v>47</v>
      </c>
      <c r="J9" t="s">
        <v>61</v>
      </c>
      <c r="K9" t="s">
        <v>48</v>
      </c>
      <c r="L9" s="10" t="s">
        <v>49</v>
      </c>
      <c r="M9">
        <v>1</v>
      </c>
      <c r="N9">
        <v>4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2</v>
      </c>
      <c r="Z9">
        <v>1</v>
      </c>
      <c r="AA9">
        <v>17</v>
      </c>
    </row>
    <row r="10" spans="1:28" x14ac:dyDescent="0.25">
      <c r="A10" t="s">
        <v>46</v>
      </c>
      <c r="B10" t="s">
        <v>55</v>
      </c>
      <c r="C10" t="s">
        <v>56</v>
      </c>
      <c r="D10">
        <v>129375</v>
      </c>
      <c r="E10" t="s">
        <v>62</v>
      </c>
      <c r="F10" t="s">
        <v>63</v>
      </c>
      <c r="G10" t="s">
        <v>59</v>
      </c>
      <c r="H10" t="s">
        <v>60</v>
      </c>
      <c r="I10" t="s">
        <v>47</v>
      </c>
      <c r="J10" t="s">
        <v>61</v>
      </c>
      <c r="K10" t="s">
        <v>48</v>
      </c>
      <c r="L10" s="10" t="s">
        <v>49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</row>
    <row r="11" spans="1:28" x14ac:dyDescent="0.25">
      <c r="A11" t="s">
        <v>46</v>
      </c>
      <c r="B11" t="s">
        <v>55</v>
      </c>
      <c r="C11" t="s">
        <v>56</v>
      </c>
      <c r="D11">
        <v>129376</v>
      </c>
      <c r="E11" t="s">
        <v>64</v>
      </c>
      <c r="F11" t="s">
        <v>65</v>
      </c>
      <c r="G11" t="s">
        <v>59</v>
      </c>
      <c r="H11" t="s">
        <v>60</v>
      </c>
      <c r="I11" t="s">
        <v>47</v>
      </c>
      <c r="J11" t="s">
        <v>66</v>
      </c>
      <c r="K11" t="s">
        <v>48</v>
      </c>
      <c r="L11" s="10" t="s">
        <v>49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2</v>
      </c>
      <c r="Y11">
        <v>2</v>
      </c>
      <c r="Z11">
        <v>0</v>
      </c>
      <c r="AA11">
        <v>1</v>
      </c>
    </row>
    <row r="12" spans="1:28" x14ac:dyDescent="0.25">
      <c r="A12" t="s">
        <v>46</v>
      </c>
      <c r="B12" t="s">
        <v>55</v>
      </c>
      <c r="C12" t="s">
        <v>56</v>
      </c>
      <c r="D12">
        <v>129377</v>
      </c>
      <c r="E12" t="s">
        <v>67</v>
      </c>
      <c r="F12" t="s">
        <v>68</v>
      </c>
      <c r="G12" t="s">
        <v>59</v>
      </c>
      <c r="H12" t="s">
        <v>60</v>
      </c>
      <c r="I12" t="s">
        <v>47</v>
      </c>
      <c r="J12" t="s">
        <v>69</v>
      </c>
      <c r="K12" t="s">
        <v>48</v>
      </c>
      <c r="L12" s="10" t="s">
        <v>49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2</v>
      </c>
      <c r="Y12">
        <v>2</v>
      </c>
      <c r="Z12">
        <v>0</v>
      </c>
      <c r="AA12">
        <v>1</v>
      </c>
    </row>
    <row r="13" spans="1:28" x14ac:dyDescent="0.25">
      <c r="A13" t="s">
        <v>46</v>
      </c>
      <c r="B13" t="s">
        <v>55</v>
      </c>
      <c r="C13" t="s">
        <v>56</v>
      </c>
      <c r="D13">
        <v>129380</v>
      </c>
      <c r="E13" t="s">
        <v>70</v>
      </c>
      <c r="F13" t="s">
        <v>71</v>
      </c>
      <c r="G13" t="s">
        <v>59</v>
      </c>
      <c r="H13" t="s">
        <v>60</v>
      </c>
      <c r="I13" t="s">
        <v>47</v>
      </c>
      <c r="J13" t="s">
        <v>66</v>
      </c>
      <c r="K13" t="s">
        <v>48</v>
      </c>
      <c r="L13" s="10" t="s">
        <v>49</v>
      </c>
      <c r="M13">
        <v>1</v>
      </c>
      <c r="N13">
        <v>4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3</v>
      </c>
      <c r="Y13">
        <v>1</v>
      </c>
      <c r="Z13">
        <v>1</v>
      </c>
      <c r="AA13">
        <v>48</v>
      </c>
    </row>
    <row r="14" spans="1:28" x14ac:dyDescent="0.25">
      <c r="A14" t="s">
        <v>46</v>
      </c>
      <c r="B14" t="s">
        <v>55</v>
      </c>
      <c r="C14" t="s">
        <v>56</v>
      </c>
      <c r="D14">
        <v>129381</v>
      </c>
      <c r="E14" t="s">
        <v>72</v>
      </c>
      <c r="F14" t="s">
        <v>73</v>
      </c>
      <c r="G14" t="s">
        <v>59</v>
      </c>
      <c r="H14" t="s">
        <v>60</v>
      </c>
      <c r="I14" t="s">
        <v>47</v>
      </c>
      <c r="J14" t="s">
        <v>66</v>
      </c>
      <c r="K14" t="s">
        <v>48</v>
      </c>
      <c r="L14" s="10" t="s">
        <v>49</v>
      </c>
      <c r="M14">
        <v>1</v>
      </c>
      <c r="N14">
        <v>4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37</v>
      </c>
      <c r="Y14">
        <v>2</v>
      </c>
      <c r="Z14">
        <v>0</v>
      </c>
      <c r="AA14">
        <v>1</v>
      </c>
    </row>
    <row r="15" spans="1:28" x14ac:dyDescent="0.25">
      <c r="A15" t="s">
        <v>46</v>
      </c>
      <c r="B15" t="s">
        <v>55</v>
      </c>
      <c r="C15" t="s">
        <v>56</v>
      </c>
      <c r="D15">
        <v>129382</v>
      </c>
      <c r="E15" t="s">
        <v>74</v>
      </c>
      <c r="F15" t="s">
        <v>75</v>
      </c>
      <c r="G15" t="s">
        <v>59</v>
      </c>
      <c r="H15" t="s">
        <v>60</v>
      </c>
      <c r="I15" t="s">
        <v>47</v>
      </c>
      <c r="J15" t="s">
        <v>66</v>
      </c>
      <c r="K15" t="s">
        <v>48</v>
      </c>
      <c r="L15" s="10" t="s">
        <v>49</v>
      </c>
      <c r="M15">
        <v>1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8</v>
      </c>
      <c r="Y15">
        <v>3</v>
      </c>
      <c r="Z15">
        <v>1</v>
      </c>
      <c r="AA15">
        <v>0</v>
      </c>
    </row>
    <row r="16" spans="1:28" x14ac:dyDescent="0.25">
      <c r="A16" t="s">
        <v>46</v>
      </c>
      <c r="B16" t="s">
        <v>55</v>
      </c>
      <c r="C16" t="s">
        <v>56</v>
      </c>
      <c r="D16">
        <v>129383</v>
      </c>
      <c r="E16" t="s">
        <v>76</v>
      </c>
      <c r="F16" t="s">
        <v>77</v>
      </c>
      <c r="G16" t="s">
        <v>59</v>
      </c>
      <c r="H16" t="s">
        <v>60</v>
      </c>
      <c r="I16" t="s">
        <v>47</v>
      </c>
      <c r="J16" t="s">
        <v>66</v>
      </c>
      <c r="K16" t="s">
        <v>48</v>
      </c>
      <c r="L16" s="10" t="s">
        <v>49</v>
      </c>
      <c r="M16">
        <v>1</v>
      </c>
      <c r="N16">
        <v>2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2</v>
      </c>
      <c r="Y16">
        <v>1</v>
      </c>
      <c r="Z16">
        <v>0</v>
      </c>
      <c r="AA16">
        <v>2</v>
      </c>
    </row>
    <row r="17" spans="1:27" x14ac:dyDescent="0.25">
      <c r="A17" t="s">
        <v>46</v>
      </c>
      <c r="B17" t="s">
        <v>55</v>
      </c>
      <c r="C17" t="s">
        <v>56</v>
      </c>
      <c r="D17">
        <v>129384</v>
      </c>
      <c r="E17" t="s">
        <v>78</v>
      </c>
      <c r="F17" t="s">
        <v>79</v>
      </c>
      <c r="G17" t="s">
        <v>59</v>
      </c>
      <c r="H17" t="s">
        <v>60</v>
      </c>
      <c r="I17" t="s">
        <v>47</v>
      </c>
      <c r="J17" t="s">
        <v>66</v>
      </c>
      <c r="K17" t="s">
        <v>48</v>
      </c>
      <c r="L17" s="10" t="s">
        <v>49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2</v>
      </c>
    </row>
    <row r="18" spans="1:27" x14ac:dyDescent="0.25">
      <c r="A18" t="s">
        <v>46</v>
      </c>
      <c r="B18" t="s">
        <v>55</v>
      </c>
      <c r="C18" t="s">
        <v>56</v>
      </c>
      <c r="D18">
        <v>129385</v>
      </c>
      <c r="E18" t="s">
        <v>80</v>
      </c>
      <c r="F18" t="s">
        <v>81</v>
      </c>
      <c r="G18" t="s">
        <v>59</v>
      </c>
      <c r="H18" t="s">
        <v>60</v>
      </c>
      <c r="I18" t="s">
        <v>47</v>
      </c>
      <c r="J18" t="s">
        <v>61</v>
      </c>
      <c r="K18" t="s">
        <v>48</v>
      </c>
      <c r="L18" s="10" t="s">
        <v>49</v>
      </c>
      <c r="M18">
        <v>0</v>
      </c>
      <c r="N18">
        <v>2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2</v>
      </c>
      <c r="Y18">
        <v>4</v>
      </c>
      <c r="Z18">
        <v>1</v>
      </c>
      <c r="AA18">
        <v>0</v>
      </c>
    </row>
    <row r="19" spans="1:27" x14ac:dyDescent="0.25">
      <c r="A19" t="s">
        <v>46</v>
      </c>
      <c r="B19" t="s">
        <v>55</v>
      </c>
      <c r="C19" t="s">
        <v>56</v>
      </c>
      <c r="D19">
        <v>129386</v>
      </c>
      <c r="E19" t="s">
        <v>82</v>
      </c>
      <c r="F19" t="s">
        <v>83</v>
      </c>
      <c r="G19" t="s">
        <v>59</v>
      </c>
      <c r="H19" t="s">
        <v>60</v>
      </c>
      <c r="I19" t="s">
        <v>47</v>
      </c>
      <c r="J19" t="s">
        <v>69</v>
      </c>
      <c r="K19" t="s">
        <v>48</v>
      </c>
      <c r="L19" s="10" t="s">
        <v>49</v>
      </c>
      <c r="M19">
        <v>0</v>
      </c>
      <c r="N19">
        <v>9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2</v>
      </c>
    </row>
    <row r="20" spans="1:27" x14ac:dyDescent="0.25">
      <c r="A20" t="s">
        <v>46</v>
      </c>
      <c r="B20" t="s">
        <v>55</v>
      </c>
      <c r="C20" t="s">
        <v>56</v>
      </c>
      <c r="D20">
        <v>205504</v>
      </c>
      <c r="E20" t="s">
        <v>84</v>
      </c>
      <c r="F20" t="s">
        <v>73</v>
      </c>
      <c r="G20" t="s">
        <v>59</v>
      </c>
      <c r="H20" t="s">
        <v>60</v>
      </c>
      <c r="I20" t="s">
        <v>47</v>
      </c>
      <c r="J20" t="s">
        <v>66</v>
      </c>
      <c r="K20" t="s">
        <v>48</v>
      </c>
      <c r="L20" s="10" t="s">
        <v>49</v>
      </c>
      <c r="M20">
        <v>1</v>
      </c>
      <c r="N20">
        <v>28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40</v>
      </c>
      <c r="Y20">
        <v>5</v>
      </c>
      <c r="Z20">
        <v>5</v>
      </c>
      <c r="AA20">
        <v>41</v>
      </c>
    </row>
    <row r="21" spans="1:27" x14ac:dyDescent="0.25">
      <c r="A21" t="s">
        <v>46</v>
      </c>
      <c r="B21" t="s">
        <v>55</v>
      </c>
      <c r="C21" t="s">
        <v>56</v>
      </c>
      <c r="D21">
        <v>500454</v>
      </c>
      <c r="E21" t="s">
        <v>85</v>
      </c>
      <c r="F21" t="s">
        <v>86</v>
      </c>
      <c r="G21" t="s">
        <v>59</v>
      </c>
      <c r="H21" t="s">
        <v>60</v>
      </c>
      <c r="I21" t="s">
        <v>47</v>
      </c>
      <c r="J21" t="s">
        <v>69</v>
      </c>
      <c r="K21" t="s">
        <v>87</v>
      </c>
      <c r="L21" s="10" t="s">
        <v>88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2</v>
      </c>
      <c r="Z21">
        <v>1</v>
      </c>
      <c r="AA21">
        <v>2</v>
      </c>
    </row>
    <row r="22" spans="1:27" x14ac:dyDescent="0.25">
      <c r="A22" t="s">
        <v>46</v>
      </c>
      <c r="B22" t="s">
        <v>55</v>
      </c>
      <c r="C22" t="s">
        <v>56</v>
      </c>
      <c r="D22">
        <v>501424</v>
      </c>
      <c r="E22" t="s">
        <v>89</v>
      </c>
      <c r="F22" t="s">
        <v>90</v>
      </c>
      <c r="G22" t="s">
        <v>59</v>
      </c>
      <c r="H22" t="s">
        <v>60</v>
      </c>
      <c r="I22" t="s">
        <v>47</v>
      </c>
      <c r="J22" t="s">
        <v>91</v>
      </c>
      <c r="K22" t="s">
        <v>52</v>
      </c>
      <c r="L22" s="10" t="s">
        <v>53</v>
      </c>
      <c r="M22">
        <v>1</v>
      </c>
      <c r="N22">
        <v>2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3</v>
      </c>
      <c r="Z22">
        <v>0</v>
      </c>
      <c r="AA22">
        <v>0</v>
      </c>
    </row>
    <row r="23" spans="1:27" x14ac:dyDescent="0.25">
      <c r="A23" t="s">
        <v>46</v>
      </c>
      <c r="B23" t="s">
        <v>55</v>
      </c>
      <c r="C23" t="s">
        <v>92</v>
      </c>
      <c r="D23">
        <v>101813</v>
      </c>
      <c r="E23" t="s">
        <v>93</v>
      </c>
      <c r="F23" t="s">
        <v>94</v>
      </c>
      <c r="G23" t="s">
        <v>59</v>
      </c>
      <c r="H23" t="s">
        <v>60</v>
      </c>
      <c r="I23" t="s">
        <v>47</v>
      </c>
      <c r="J23" t="s">
        <v>95</v>
      </c>
      <c r="K23" t="s">
        <v>48</v>
      </c>
      <c r="L23" s="10" t="s">
        <v>49</v>
      </c>
      <c r="M23">
        <v>0</v>
      </c>
      <c r="N23">
        <v>0</v>
      </c>
      <c r="O23">
        <v>2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5</v>
      </c>
      <c r="Y23">
        <v>5</v>
      </c>
      <c r="Z23">
        <v>0</v>
      </c>
      <c r="AA23">
        <v>2</v>
      </c>
    </row>
    <row r="24" spans="1:27" x14ac:dyDescent="0.25">
      <c r="A24" t="s">
        <v>46</v>
      </c>
      <c r="B24" t="s">
        <v>55</v>
      </c>
      <c r="C24" t="s">
        <v>92</v>
      </c>
      <c r="D24">
        <v>129387</v>
      </c>
      <c r="E24" t="s">
        <v>96</v>
      </c>
      <c r="F24" t="s">
        <v>97</v>
      </c>
      <c r="G24" t="s">
        <v>59</v>
      </c>
      <c r="H24" t="s">
        <v>60</v>
      </c>
      <c r="I24" t="s">
        <v>47</v>
      </c>
      <c r="J24" t="s">
        <v>98</v>
      </c>
      <c r="K24" t="s">
        <v>48</v>
      </c>
      <c r="L24" s="10" t="s">
        <v>49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8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 t="s">
        <v>55</v>
      </c>
      <c r="C25" t="s">
        <v>92</v>
      </c>
      <c r="D25">
        <v>129388</v>
      </c>
      <c r="E25" t="s">
        <v>99</v>
      </c>
      <c r="F25" t="s">
        <v>100</v>
      </c>
      <c r="G25" t="s">
        <v>59</v>
      </c>
      <c r="H25" t="s">
        <v>60</v>
      </c>
      <c r="I25" t="s">
        <v>47</v>
      </c>
      <c r="J25" t="s">
        <v>101</v>
      </c>
      <c r="K25" t="s">
        <v>48</v>
      </c>
      <c r="L25" s="10" t="s">
        <v>49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2</v>
      </c>
      <c r="Y25">
        <v>1</v>
      </c>
      <c r="Z25">
        <v>1</v>
      </c>
      <c r="AA25">
        <v>1</v>
      </c>
    </row>
    <row r="26" spans="1:27" x14ac:dyDescent="0.25">
      <c r="A26" t="s">
        <v>46</v>
      </c>
      <c r="B26" t="s">
        <v>55</v>
      </c>
      <c r="C26" t="s">
        <v>92</v>
      </c>
      <c r="D26">
        <v>129389</v>
      </c>
      <c r="E26" t="s">
        <v>102</v>
      </c>
      <c r="F26" t="s">
        <v>103</v>
      </c>
      <c r="G26" t="s">
        <v>59</v>
      </c>
      <c r="H26" t="s">
        <v>60</v>
      </c>
      <c r="I26" t="s">
        <v>47</v>
      </c>
      <c r="J26" t="s">
        <v>104</v>
      </c>
      <c r="K26" t="s">
        <v>48</v>
      </c>
      <c r="L26" s="10" t="s">
        <v>49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14</v>
      </c>
      <c r="Y26">
        <v>1</v>
      </c>
      <c r="Z26">
        <v>0</v>
      </c>
      <c r="AA26">
        <v>2</v>
      </c>
    </row>
    <row r="27" spans="1:27" x14ac:dyDescent="0.25">
      <c r="A27" t="s">
        <v>46</v>
      </c>
      <c r="B27" t="s">
        <v>55</v>
      </c>
      <c r="C27" t="s">
        <v>92</v>
      </c>
      <c r="D27">
        <v>129390</v>
      </c>
      <c r="E27" t="s">
        <v>105</v>
      </c>
      <c r="F27" t="s">
        <v>106</v>
      </c>
      <c r="G27" t="s">
        <v>59</v>
      </c>
      <c r="H27" t="s">
        <v>60</v>
      </c>
      <c r="I27" t="s">
        <v>47</v>
      </c>
      <c r="J27" t="s">
        <v>98</v>
      </c>
      <c r="K27" t="s">
        <v>48</v>
      </c>
      <c r="L27" s="10" t="s">
        <v>49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1</v>
      </c>
      <c r="AA27">
        <v>1</v>
      </c>
    </row>
    <row r="28" spans="1:27" x14ac:dyDescent="0.25">
      <c r="A28" t="s">
        <v>46</v>
      </c>
      <c r="B28" t="s">
        <v>55</v>
      </c>
      <c r="C28" t="s">
        <v>92</v>
      </c>
      <c r="D28">
        <v>129391</v>
      </c>
      <c r="E28" t="s">
        <v>107</v>
      </c>
      <c r="F28" t="s">
        <v>108</v>
      </c>
      <c r="G28" t="s">
        <v>59</v>
      </c>
      <c r="H28" t="s">
        <v>60</v>
      </c>
      <c r="I28" t="s">
        <v>47</v>
      </c>
      <c r="J28" t="s">
        <v>109</v>
      </c>
      <c r="K28" t="s">
        <v>48</v>
      </c>
      <c r="L28" s="10" t="s">
        <v>49</v>
      </c>
      <c r="M28">
        <v>1</v>
      </c>
      <c r="N28">
        <v>2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2</v>
      </c>
      <c r="Y28">
        <v>1</v>
      </c>
      <c r="Z28">
        <v>0</v>
      </c>
      <c r="AA28">
        <v>1</v>
      </c>
    </row>
    <row r="29" spans="1:27" x14ac:dyDescent="0.25">
      <c r="A29" t="s">
        <v>46</v>
      </c>
      <c r="B29" t="s">
        <v>55</v>
      </c>
      <c r="C29" t="s">
        <v>92</v>
      </c>
      <c r="D29">
        <v>129392</v>
      </c>
      <c r="E29" t="s">
        <v>110</v>
      </c>
      <c r="F29" t="s">
        <v>111</v>
      </c>
      <c r="G29" t="s">
        <v>59</v>
      </c>
      <c r="H29" t="s">
        <v>60</v>
      </c>
      <c r="I29" t="s">
        <v>47</v>
      </c>
      <c r="J29" t="s">
        <v>112</v>
      </c>
      <c r="K29" t="s">
        <v>48</v>
      </c>
      <c r="L29" s="10" t="s">
        <v>49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2</v>
      </c>
      <c r="Z29">
        <v>1</v>
      </c>
      <c r="AA29">
        <v>0</v>
      </c>
    </row>
    <row r="30" spans="1:27" x14ac:dyDescent="0.25">
      <c r="A30" t="s">
        <v>46</v>
      </c>
      <c r="B30" t="s">
        <v>55</v>
      </c>
      <c r="C30" t="s">
        <v>92</v>
      </c>
      <c r="D30">
        <v>129393</v>
      </c>
      <c r="E30" t="s">
        <v>113</v>
      </c>
      <c r="F30" t="s">
        <v>114</v>
      </c>
      <c r="G30" t="s">
        <v>59</v>
      </c>
      <c r="H30" t="s">
        <v>60</v>
      </c>
      <c r="I30" t="s">
        <v>47</v>
      </c>
      <c r="J30" t="s">
        <v>115</v>
      </c>
      <c r="K30" t="s">
        <v>48</v>
      </c>
      <c r="L30" s="10" t="s">
        <v>49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0</v>
      </c>
      <c r="AA30">
        <v>0</v>
      </c>
    </row>
    <row r="31" spans="1:27" x14ac:dyDescent="0.25">
      <c r="A31" t="s">
        <v>46</v>
      </c>
      <c r="B31" t="s">
        <v>55</v>
      </c>
      <c r="C31" t="s">
        <v>92</v>
      </c>
      <c r="D31">
        <v>129394</v>
      </c>
      <c r="E31" t="s">
        <v>116</v>
      </c>
      <c r="F31" t="s">
        <v>117</v>
      </c>
      <c r="G31" t="s">
        <v>59</v>
      </c>
      <c r="H31" t="s">
        <v>60</v>
      </c>
      <c r="I31" t="s">
        <v>47</v>
      </c>
      <c r="J31" t="s">
        <v>109</v>
      </c>
      <c r="K31" t="s">
        <v>48</v>
      </c>
      <c r="L31" s="10" t="s">
        <v>49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</row>
    <row r="32" spans="1:27" x14ac:dyDescent="0.25">
      <c r="A32" t="s">
        <v>46</v>
      </c>
      <c r="B32" t="s">
        <v>55</v>
      </c>
      <c r="C32" t="s">
        <v>92</v>
      </c>
      <c r="D32">
        <v>129395</v>
      </c>
      <c r="E32" t="s">
        <v>118</v>
      </c>
      <c r="F32" t="s">
        <v>119</v>
      </c>
      <c r="G32" t="s">
        <v>59</v>
      </c>
      <c r="H32" t="s">
        <v>60</v>
      </c>
      <c r="I32" t="s">
        <v>47</v>
      </c>
      <c r="J32" t="s">
        <v>104</v>
      </c>
      <c r="K32" t="s">
        <v>48</v>
      </c>
      <c r="L32" s="10" t="s">
        <v>49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19</v>
      </c>
      <c r="Y32">
        <v>1</v>
      </c>
      <c r="Z32">
        <v>1</v>
      </c>
      <c r="AA32">
        <v>1</v>
      </c>
    </row>
    <row r="33" spans="1:27" x14ac:dyDescent="0.25">
      <c r="A33" t="s">
        <v>46</v>
      </c>
      <c r="B33" t="s">
        <v>55</v>
      </c>
      <c r="C33" t="s">
        <v>92</v>
      </c>
      <c r="D33">
        <v>129396</v>
      </c>
      <c r="E33" t="s">
        <v>120</v>
      </c>
      <c r="F33" t="s">
        <v>121</v>
      </c>
      <c r="G33" t="s">
        <v>59</v>
      </c>
      <c r="H33" t="s">
        <v>60</v>
      </c>
      <c r="I33" t="s">
        <v>47</v>
      </c>
      <c r="J33" t="s">
        <v>115</v>
      </c>
      <c r="K33" t="s">
        <v>48</v>
      </c>
      <c r="L33" s="10" t="s">
        <v>49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2</v>
      </c>
      <c r="Y33">
        <v>2</v>
      </c>
      <c r="Z33">
        <v>1</v>
      </c>
      <c r="AA33">
        <v>1</v>
      </c>
    </row>
    <row r="34" spans="1:27" x14ac:dyDescent="0.25">
      <c r="A34" t="s">
        <v>46</v>
      </c>
      <c r="B34" t="s">
        <v>55</v>
      </c>
      <c r="C34" t="s">
        <v>92</v>
      </c>
      <c r="D34">
        <v>129397</v>
      </c>
      <c r="E34" t="s">
        <v>122</v>
      </c>
      <c r="F34" t="s">
        <v>123</v>
      </c>
      <c r="G34" t="s">
        <v>59</v>
      </c>
      <c r="H34" t="s">
        <v>60</v>
      </c>
      <c r="I34" t="s">
        <v>47</v>
      </c>
      <c r="J34" t="s">
        <v>124</v>
      </c>
      <c r="K34" t="s">
        <v>48</v>
      </c>
      <c r="L34" s="10" t="s">
        <v>49</v>
      </c>
      <c r="M34">
        <v>0</v>
      </c>
      <c r="N34">
        <v>2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2</v>
      </c>
      <c r="Z34">
        <v>1</v>
      </c>
      <c r="AA34">
        <v>1</v>
      </c>
    </row>
    <row r="35" spans="1:27" x14ac:dyDescent="0.25">
      <c r="A35" t="s">
        <v>46</v>
      </c>
      <c r="B35" t="s">
        <v>55</v>
      </c>
      <c r="C35" t="s">
        <v>92</v>
      </c>
      <c r="D35">
        <v>129398</v>
      </c>
      <c r="E35" t="s">
        <v>125</v>
      </c>
      <c r="F35" t="s">
        <v>126</v>
      </c>
      <c r="G35" t="s">
        <v>59</v>
      </c>
      <c r="H35" t="s">
        <v>60</v>
      </c>
      <c r="I35" t="s">
        <v>47</v>
      </c>
      <c r="J35" t="s">
        <v>127</v>
      </c>
      <c r="K35" t="s">
        <v>48</v>
      </c>
      <c r="L35" s="10" t="s">
        <v>49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15</v>
      </c>
      <c r="Y35">
        <v>12</v>
      </c>
      <c r="Z35">
        <v>2</v>
      </c>
      <c r="AA35">
        <v>1</v>
      </c>
    </row>
    <row r="36" spans="1:27" x14ac:dyDescent="0.25">
      <c r="A36" t="s">
        <v>46</v>
      </c>
      <c r="B36" t="s">
        <v>55</v>
      </c>
      <c r="C36" t="s">
        <v>92</v>
      </c>
      <c r="D36">
        <v>129399</v>
      </c>
      <c r="E36" t="s">
        <v>128</v>
      </c>
      <c r="F36" t="s">
        <v>129</v>
      </c>
      <c r="G36" t="s">
        <v>59</v>
      </c>
      <c r="H36" t="s">
        <v>60</v>
      </c>
      <c r="I36" t="s">
        <v>47</v>
      </c>
      <c r="J36" t="s">
        <v>130</v>
      </c>
      <c r="K36" t="s">
        <v>48</v>
      </c>
      <c r="L36" s="10" t="s">
        <v>49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2</v>
      </c>
      <c r="Y36">
        <v>2</v>
      </c>
      <c r="Z36">
        <v>1</v>
      </c>
      <c r="AA36">
        <v>1</v>
      </c>
    </row>
    <row r="37" spans="1:27" x14ac:dyDescent="0.25">
      <c r="A37" t="s">
        <v>46</v>
      </c>
      <c r="B37" t="s">
        <v>55</v>
      </c>
      <c r="C37" t="s">
        <v>92</v>
      </c>
      <c r="D37">
        <v>129400</v>
      </c>
      <c r="E37" t="s">
        <v>131</v>
      </c>
      <c r="F37" t="s">
        <v>132</v>
      </c>
      <c r="G37" t="s">
        <v>59</v>
      </c>
      <c r="H37" t="s">
        <v>60</v>
      </c>
      <c r="I37" t="s">
        <v>47</v>
      </c>
      <c r="J37" t="s">
        <v>127</v>
      </c>
      <c r="K37" t="s">
        <v>48</v>
      </c>
      <c r="L37" s="10" t="s">
        <v>49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3</v>
      </c>
      <c r="Y37">
        <v>2</v>
      </c>
      <c r="Z37">
        <v>1</v>
      </c>
      <c r="AA37">
        <v>4</v>
      </c>
    </row>
    <row r="38" spans="1:27" x14ac:dyDescent="0.25">
      <c r="A38" t="s">
        <v>46</v>
      </c>
      <c r="B38" t="s">
        <v>55</v>
      </c>
      <c r="C38" t="s">
        <v>92</v>
      </c>
      <c r="D38">
        <v>129401</v>
      </c>
      <c r="E38" t="s">
        <v>133</v>
      </c>
      <c r="F38" t="s">
        <v>134</v>
      </c>
      <c r="G38" t="s">
        <v>59</v>
      </c>
      <c r="H38" t="s">
        <v>60</v>
      </c>
      <c r="I38" t="s">
        <v>47</v>
      </c>
      <c r="J38" t="s">
        <v>101</v>
      </c>
      <c r="K38" t="s">
        <v>48</v>
      </c>
      <c r="L38" s="10" t="s">
        <v>49</v>
      </c>
      <c r="M38">
        <v>1</v>
      </c>
      <c r="N38">
        <v>1</v>
      </c>
      <c r="O38">
        <v>1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2</v>
      </c>
      <c r="Z38">
        <v>0</v>
      </c>
      <c r="AA38">
        <v>0</v>
      </c>
    </row>
    <row r="39" spans="1:27" x14ac:dyDescent="0.25">
      <c r="A39" t="s">
        <v>46</v>
      </c>
      <c r="B39" t="s">
        <v>55</v>
      </c>
      <c r="C39" t="s">
        <v>92</v>
      </c>
      <c r="D39">
        <v>129402</v>
      </c>
      <c r="E39" t="s">
        <v>135</v>
      </c>
      <c r="F39" t="s">
        <v>136</v>
      </c>
      <c r="G39" t="s">
        <v>59</v>
      </c>
      <c r="H39" t="s">
        <v>60</v>
      </c>
      <c r="I39" t="s">
        <v>47</v>
      </c>
      <c r="J39" t="s">
        <v>115</v>
      </c>
      <c r="K39" t="s">
        <v>48</v>
      </c>
      <c r="L39" s="10" t="s">
        <v>49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2</v>
      </c>
      <c r="Y39">
        <v>2</v>
      </c>
      <c r="Z39">
        <v>0</v>
      </c>
      <c r="AA39">
        <v>1</v>
      </c>
    </row>
    <row r="40" spans="1:27" x14ac:dyDescent="0.25">
      <c r="A40" t="s">
        <v>46</v>
      </c>
      <c r="B40" t="s">
        <v>55</v>
      </c>
      <c r="C40" t="s">
        <v>92</v>
      </c>
      <c r="D40">
        <v>129403</v>
      </c>
      <c r="E40" t="s">
        <v>137</v>
      </c>
      <c r="F40" t="s">
        <v>138</v>
      </c>
      <c r="G40" t="s">
        <v>59</v>
      </c>
      <c r="H40" t="s">
        <v>60</v>
      </c>
      <c r="I40" t="s">
        <v>47</v>
      </c>
      <c r="J40" t="s">
        <v>95</v>
      </c>
      <c r="K40" t="s">
        <v>48</v>
      </c>
      <c r="L40" s="10" t="s">
        <v>49</v>
      </c>
      <c r="M40">
        <v>0</v>
      </c>
      <c r="N40">
        <v>1</v>
      </c>
      <c r="O40">
        <v>0</v>
      </c>
      <c r="P40">
        <v>0</v>
      </c>
      <c r="Q40" t="s">
        <v>54</v>
      </c>
      <c r="R40">
        <v>1</v>
      </c>
      <c r="S40">
        <v>0</v>
      </c>
      <c r="T40">
        <v>0</v>
      </c>
      <c r="U40">
        <v>0</v>
      </c>
      <c r="V40">
        <v>1</v>
      </c>
      <c r="W40" t="s">
        <v>139</v>
      </c>
      <c r="X40">
        <v>1</v>
      </c>
      <c r="Y40">
        <v>0</v>
      </c>
      <c r="Z40">
        <v>0</v>
      </c>
      <c r="AA40">
        <v>0</v>
      </c>
    </row>
    <row r="41" spans="1:27" x14ac:dyDescent="0.25">
      <c r="A41" t="s">
        <v>46</v>
      </c>
      <c r="B41" t="s">
        <v>55</v>
      </c>
      <c r="C41" t="s">
        <v>92</v>
      </c>
      <c r="D41">
        <v>129404</v>
      </c>
      <c r="E41" t="s">
        <v>140</v>
      </c>
      <c r="F41" t="s">
        <v>141</v>
      </c>
      <c r="G41" t="s">
        <v>59</v>
      </c>
      <c r="H41" t="s">
        <v>60</v>
      </c>
      <c r="I41" t="s">
        <v>47</v>
      </c>
      <c r="J41" t="s">
        <v>142</v>
      </c>
      <c r="K41" t="s">
        <v>48</v>
      </c>
      <c r="L41" s="10" t="s">
        <v>49</v>
      </c>
      <c r="M41">
        <v>1</v>
      </c>
      <c r="N41">
        <v>2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9</v>
      </c>
      <c r="Y41">
        <v>1</v>
      </c>
      <c r="Z41">
        <v>0</v>
      </c>
      <c r="AA41">
        <v>1</v>
      </c>
    </row>
    <row r="42" spans="1:27" x14ac:dyDescent="0.25">
      <c r="A42" t="s">
        <v>46</v>
      </c>
      <c r="B42" t="s">
        <v>55</v>
      </c>
      <c r="C42" t="s">
        <v>92</v>
      </c>
      <c r="D42">
        <v>129405</v>
      </c>
      <c r="E42" t="s">
        <v>143</v>
      </c>
      <c r="F42" t="s">
        <v>144</v>
      </c>
      <c r="G42" t="s">
        <v>59</v>
      </c>
      <c r="H42" t="s">
        <v>60</v>
      </c>
      <c r="I42" t="s">
        <v>47</v>
      </c>
      <c r="J42" t="s">
        <v>145</v>
      </c>
      <c r="K42" t="s">
        <v>48</v>
      </c>
      <c r="L42" s="10" t="s">
        <v>49</v>
      </c>
      <c r="M42">
        <v>1</v>
      </c>
      <c r="N42">
        <v>2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12</v>
      </c>
      <c r="Y42">
        <v>0</v>
      </c>
      <c r="Z42">
        <v>1</v>
      </c>
      <c r="AA42">
        <v>0</v>
      </c>
    </row>
    <row r="43" spans="1:27" x14ac:dyDescent="0.25">
      <c r="A43" t="s">
        <v>46</v>
      </c>
      <c r="B43" t="s">
        <v>55</v>
      </c>
      <c r="C43" t="s">
        <v>92</v>
      </c>
      <c r="D43">
        <v>129406</v>
      </c>
      <c r="E43" t="s">
        <v>146</v>
      </c>
      <c r="F43" t="s">
        <v>147</v>
      </c>
      <c r="G43" t="s">
        <v>59</v>
      </c>
      <c r="H43" t="s">
        <v>60</v>
      </c>
      <c r="I43" t="s">
        <v>47</v>
      </c>
      <c r="J43" t="s">
        <v>112</v>
      </c>
      <c r="K43" t="s">
        <v>48</v>
      </c>
      <c r="L43" s="10" t="s">
        <v>49</v>
      </c>
      <c r="M43">
        <v>1</v>
      </c>
      <c r="N43">
        <v>2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3</v>
      </c>
      <c r="Y43">
        <v>2</v>
      </c>
      <c r="Z43">
        <v>0</v>
      </c>
      <c r="AA43">
        <v>0</v>
      </c>
    </row>
    <row r="44" spans="1:27" x14ac:dyDescent="0.25">
      <c r="A44" t="s">
        <v>46</v>
      </c>
      <c r="B44" t="s">
        <v>55</v>
      </c>
      <c r="C44" t="s">
        <v>92</v>
      </c>
      <c r="D44">
        <v>129407</v>
      </c>
      <c r="E44" t="s">
        <v>148</v>
      </c>
      <c r="F44" t="s">
        <v>149</v>
      </c>
      <c r="G44" t="s">
        <v>59</v>
      </c>
      <c r="H44" t="s">
        <v>60</v>
      </c>
      <c r="I44" t="s">
        <v>47</v>
      </c>
      <c r="J44" t="s">
        <v>124</v>
      </c>
      <c r="K44" t="s">
        <v>48</v>
      </c>
      <c r="L44" s="10" t="s">
        <v>49</v>
      </c>
      <c r="M44">
        <v>1</v>
      </c>
      <c r="N44">
        <v>2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2</v>
      </c>
      <c r="Z44">
        <v>1</v>
      </c>
      <c r="AA44">
        <v>0</v>
      </c>
    </row>
    <row r="45" spans="1:27" x14ac:dyDescent="0.25">
      <c r="A45" t="s">
        <v>46</v>
      </c>
      <c r="B45" t="s">
        <v>55</v>
      </c>
      <c r="C45" t="s">
        <v>92</v>
      </c>
      <c r="D45">
        <v>129408</v>
      </c>
      <c r="E45" t="s">
        <v>150</v>
      </c>
      <c r="F45" t="s">
        <v>151</v>
      </c>
      <c r="G45" t="s">
        <v>59</v>
      </c>
      <c r="H45" t="s">
        <v>60</v>
      </c>
      <c r="I45" t="s">
        <v>47</v>
      </c>
      <c r="J45" t="s">
        <v>127</v>
      </c>
      <c r="K45" t="s">
        <v>48</v>
      </c>
      <c r="L45" s="10" t="s">
        <v>49</v>
      </c>
      <c r="M45">
        <v>1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9</v>
      </c>
      <c r="Y45">
        <v>1</v>
      </c>
      <c r="Z45">
        <v>0</v>
      </c>
      <c r="AA45">
        <v>0</v>
      </c>
    </row>
    <row r="46" spans="1:27" x14ac:dyDescent="0.25">
      <c r="A46" t="s">
        <v>46</v>
      </c>
      <c r="B46" t="s">
        <v>55</v>
      </c>
      <c r="C46" t="s">
        <v>92</v>
      </c>
      <c r="D46">
        <v>129409</v>
      </c>
      <c r="E46" t="s">
        <v>152</v>
      </c>
      <c r="F46" t="s">
        <v>153</v>
      </c>
      <c r="G46" t="s">
        <v>59</v>
      </c>
      <c r="H46" t="s">
        <v>60</v>
      </c>
      <c r="I46" t="s">
        <v>47</v>
      </c>
      <c r="J46" t="s">
        <v>154</v>
      </c>
      <c r="K46" t="s">
        <v>48</v>
      </c>
      <c r="L46" s="10" t="s">
        <v>49</v>
      </c>
      <c r="M46">
        <v>1</v>
      </c>
      <c r="N46">
        <v>2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16</v>
      </c>
      <c r="Y46">
        <v>3</v>
      </c>
      <c r="Z46">
        <v>1</v>
      </c>
      <c r="AA46">
        <v>2</v>
      </c>
    </row>
    <row r="47" spans="1:27" x14ac:dyDescent="0.25">
      <c r="A47" t="s">
        <v>46</v>
      </c>
      <c r="B47" t="s">
        <v>55</v>
      </c>
      <c r="C47" t="s">
        <v>92</v>
      </c>
      <c r="D47">
        <v>257001</v>
      </c>
      <c r="E47" t="s">
        <v>155</v>
      </c>
      <c r="F47" t="s">
        <v>156</v>
      </c>
      <c r="G47" t="s">
        <v>59</v>
      </c>
      <c r="H47" t="s">
        <v>60</v>
      </c>
      <c r="I47" t="s">
        <v>47</v>
      </c>
      <c r="J47" t="s">
        <v>104</v>
      </c>
      <c r="K47" t="s">
        <v>48</v>
      </c>
      <c r="L47" s="10" t="s">
        <v>49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</row>
    <row r="48" spans="1:27" x14ac:dyDescent="0.25">
      <c r="A48" t="s">
        <v>46</v>
      </c>
      <c r="B48" t="s">
        <v>55</v>
      </c>
      <c r="C48" t="s">
        <v>157</v>
      </c>
      <c r="D48">
        <v>102157</v>
      </c>
      <c r="E48" t="s">
        <v>158</v>
      </c>
      <c r="F48" t="s">
        <v>159</v>
      </c>
      <c r="G48" t="s">
        <v>59</v>
      </c>
      <c r="H48" t="s">
        <v>60</v>
      </c>
      <c r="I48" t="s">
        <v>47</v>
      </c>
      <c r="J48" t="s">
        <v>160</v>
      </c>
      <c r="K48" t="s">
        <v>48</v>
      </c>
      <c r="L48" s="10" t="s">
        <v>49</v>
      </c>
      <c r="M48">
        <v>0</v>
      </c>
      <c r="N48">
        <v>6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5</v>
      </c>
      <c r="Y48">
        <v>5</v>
      </c>
      <c r="Z48">
        <v>0</v>
      </c>
      <c r="AA48">
        <v>2</v>
      </c>
    </row>
    <row r="49" spans="1:27" x14ac:dyDescent="0.25">
      <c r="A49" t="s">
        <v>46</v>
      </c>
      <c r="B49" t="s">
        <v>55</v>
      </c>
      <c r="C49" t="s">
        <v>157</v>
      </c>
      <c r="D49">
        <v>102164</v>
      </c>
      <c r="E49" t="s">
        <v>161</v>
      </c>
      <c r="F49" t="s">
        <v>162</v>
      </c>
      <c r="G49" t="s">
        <v>59</v>
      </c>
      <c r="H49" t="s">
        <v>60</v>
      </c>
      <c r="I49" t="s">
        <v>47</v>
      </c>
      <c r="J49" t="s">
        <v>163</v>
      </c>
      <c r="K49" t="s">
        <v>48</v>
      </c>
      <c r="L49" s="10" t="s">
        <v>49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</row>
    <row r="50" spans="1:27" x14ac:dyDescent="0.25">
      <c r="A50" t="s">
        <v>46</v>
      </c>
      <c r="B50" t="s">
        <v>55</v>
      </c>
      <c r="C50" t="s">
        <v>157</v>
      </c>
      <c r="D50">
        <v>129410</v>
      </c>
      <c r="E50" t="s">
        <v>164</v>
      </c>
      <c r="F50" t="s">
        <v>165</v>
      </c>
      <c r="G50" t="s">
        <v>59</v>
      </c>
      <c r="H50" t="s">
        <v>60</v>
      </c>
      <c r="I50" t="s">
        <v>47</v>
      </c>
      <c r="J50" t="s">
        <v>166</v>
      </c>
      <c r="K50" t="s">
        <v>48</v>
      </c>
      <c r="L50" s="10" t="s">
        <v>49</v>
      </c>
      <c r="M50">
        <v>1</v>
      </c>
      <c r="N50">
        <v>2</v>
      </c>
      <c r="O50">
        <v>0</v>
      </c>
      <c r="P50">
        <v>1</v>
      </c>
      <c r="Q50" t="s">
        <v>167</v>
      </c>
      <c r="R50">
        <v>0</v>
      </c>
      <c r="S50">
        <v>0</v>
      </c>
      <c r="T50">
        <v>0</v>
      </c>
      <c r="U50">
        <v>0</v>
      </c>
      <c r="V50">
        <v>1</v>
      </c>
      <c r="W50" t="s">
        <v>51</v>
      </c>
      <c r="X50">
        <v>2</v>
      </c>
      <c r="Y50">
        <v>1</v>
      </c>
      <c r="Z50">
        <v>0</v>
      </c>
      <c r="AA50">
        <v>1</v>
      </c>
    </row>
    <row r="51" spans="1:27" x14ac:dyDescent="0.25">
      <c r="A51" t="s">
        <v>46</v>
      </c>
      <c r="B51" t="s">
        <v>55</v>
      </c>
      <c r="C51" t="s">
        <v>157</v>
      </c>
      <c r="D51">
        <v>129412</v>
      </c>
      <c r="E51" t="s">
        <v>168</v>
      </c>
      <c r="F51" t="s">
        <v>169</v>
      </c>
      <c r="G51" t="s">
        <v>59</v>
      </c>
      <c r="H51" t="s">
        <v>60</v>
      </c>
      <c r="I51" t="s">
        <v>47</v>
      </c>
      <c r="J51" t="s">
        <v>170</v>
      </c>
      <c r="K51" t="s">
        <v>48</v>
      </c>
      <c r="L51" s="10" t="s">
        <v>49</v>
      </c>
      <c r="M51">
        <v>1</v>
      </c>
      <c r="N51">
        <v>3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1</v>
      </c>
      <c r="Z51">
        <v>0</v>
      </c>
      <c r="AA51">
        <v>2</v>
      </c>
    </row>
    <row r="52" spans="1:27" x14ac:dyDescent="0.25">
      <c r="A52" t="s">
        <v>46</v>
      </c>
      <c r="B52" t="s">
        <v>55</v>
      </c>
      <c r="C52" t="s">
        <v>157</v>
      </c>
      <c r="D52">
        <v>129413</v>
      </c>
      <c r="E52" t="s">
        <v>171</v>
      </c>
      <c r="F52" t="s">
        <v>172</v>
      </c>
      <c r="G52" t="s">
        <v>59</v>
      </c>
      <c r="H52" t="s">
        <v>60</v>
      </c>
      <c r="I52" t="s">
        <v>47</v>
      </c>
      <c r="J52" t="s">
        <v>166</v>
      </c>
      <c r="K52" t="s">
        <v>48</v>
      </c>
      <c r="L52" s="10" t="s">
        <v>49</v>
      </c>
      <c r="M52">
        <v>1</v>
      </c>
      <c r="N52">
        <v>0</v>
      </c>
      <c r="O52">
        <v>0</v>
      </c>
      <c r="P52">
        <v>1</v>
      </c>
      <c r="Q52" t="s">
        <v>173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3</v>
      </c>
      <c r="Y52">
        <v>2</v>
      </c>
      <c r="Z52">
        <v>0</v>
      </c>
      <c r="AA52">
        <v>0</v>
      </c>
    </row>
    <row r="53" spans="1:27" x14ac:dyDescent="0.25">
      <c r="A53" t="s">
        <v>46</v>
      </c>
      <c r="B53" t="s">
        <v>55</v>
      </c>
      <c r="C53" t="s">
        <v>157</v>
      </c>
      <c r="D53">
        <v>129414</v>
      </c>
      <c r="E53" t="s">
        <v>174</v>
      </c>
      <c r="F53" t="s">
        <v>175</v>
      </c>
      <c r="G53" t="s">
        <v>59</v>
      </c>
      <c r="H53" t="s">
        <v>60</v>
      </c>
      <c r="I53" t="s">
        <v>47</v>
      </c>
      <c r="J53" t="s">
        <v>176</v>
      </c>
      <c r="K53" t="s">
        <v>48</v>
      </c>
      <c r="L53" s="10" t="s">
        <v>49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2</v>
      </c>
      <c r="Y53">
        <v>1</v>
      </c>
      <c r="Z53">
        <v>0</v>
      </c>
      <c r="AA53">
        <v>0</v>
      </c>
    </row>
    <row r="54" spans="1:27" x14ac:dyDescent="0.25">
      <c r="A54" t="s">
        <v>46</v>
      </c>
      <c r="B54" t="s">
        <v>55</v>
      </c>
      <c r="C54" t="s">
        <v>157</v>
      </c>
      <c r="D54">
        <v>129417</v>
      </c>
      <c r="E54" t="s">
        <v>177</v>
      </c>
      <c r="F54" t="s">
        <v>178</v>
      </c>
      <c r="G54" t="s">
        <v>59</v>
      </c>
      <c r="H54" t="s">
        <v>60</v>
      </c>
      <c r="I54" t="s">
        <v>47</v>
      </c>
      <c r="J54" t="s">
        <v>160</v>
      </c>
      <c r="K54" t="s">
        <v>48</v>
      </c>
      <c r="L54" s="10" t="s">
        <v>49</v>
      </c>
      <c r="M54">
        <v>1</v>
      </c>
      <c r="N54">
        <v>0</v>
      </c>
      <c r="O54">
        <v>0</v>
      </c>
      <c r="P54">
        <v>1</v>
      </c>
      <c r="Q54" t="s">
        <v>179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2</v>
      </c>
      <c r="Y54">
        <v>2</v>
      </c>
      <c r="Z54">
        <v>0</v>
      </c>
      <c r="AA54">
        <v>0</v>
      </c>
    </row>
    <row r="55" spans="1:27" x14ac:dyDescent="0.25">
      <c r="A55" t="s">
        <v>46</v>
      </c>
      <c r="B55" t="s">
        <v>55</v>
      </c>
      <c r="C55" t="s">
        <v>157</v>
      </c>
      <c r="D55">
        <v>129418</v>
      </c>
      <c r="E55" t="s">
        <v>180</v>
      </c>
      <c r="F55" t="s">
        <v>181</v>
      </c>
      <c r="G55" t="s">
        <v>59</v>
      </c>
      <c r="H55" t="s">
        <v>60</v>
      </c>
      <c r="I55" t="s">
        <v>47</v>
      </c>
      <c r="J55" t="s">
        <v>160</v>
      </c>
      <c r="K55" t="s">
        <v>48</v>
      </c>
      <c r="L55" s="10" t="s">
        <v>49</v>
      </c>
      <c r="M55">
        <v>1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2</v>
      </c>
      <c r="Z55">
        <v>0</v>
      </c>
      <c r="AA55">
        <v>3</v>
      </c>
    </row>
    <row r="56" spans="1:27" x14ac:dyDescent="0.25">
      <c r="A56" t="s">
        <v>46</v>
      </c>
      <c r="B56" t="s">
        <v>55</v>
      </c>
      <c r="C56" t="s">
        <v>157</v>
      </c>
      <c r="D56">
        <v>129419</v>
      </c>
      <c r="E56" t="s">
        <v>182</v>
      </c>
      <c r="F56" t="s">
        <v>183</v>
      </c>
      <c r="G56" t="s">
        <v>59</v>
      </c>
      <c r="H56" t="s">
        <v>60</v>
      </c>
      <c r="I56" t="s">
        <v>47</v>
      </c>
      <c r="J56" t="s">
        <v>184</v>
      </c>
      <c r="K56" t="s">
        <v>48</v>
      </c>
      <c r="L56" s="10" t="s">
        <v>49</v>
      </c>
      <c r="M56">
        <v>1</v>
      </c>
      <c r="N56">
        <v>3</v>
      </c>
      <c r="O56">
        <v>0</v>
      </c>
      <c r="P56">
        <v>0</v>
      </c>
      <c r="Q56" t="s">
        <v>185</v>
      </c>
      <c r="R56">
        <v>0</v>
      </c>
      <c r="S56">
        <v>0</v>
      </c>
      <c r="T56">
        <v>0</v>
      </c>
      <c r="U56">
        <v>0</v>
      </c>
      <c r="V56">
        <v>1</v>
      </c>
      <c r="W56" t="s">
        <v>185</v>
      </c>
      <c r="X56">
        <v>2</v>
      </c>
      <c r="Y56">
        <v>2</v>
      </c>
      <c r="Z56">
        <v>0</v>
      </c>
      <c r="AA56">
        <v>1</v>
      </c>
    </row>
    <row r="57" spans="1:27" x14ac:dyDescent="0.25">
      <c r="A57" t="s">
        <v>46</v>
      </c>
      <c r="B57" t="s">
        <v>55</v>
      </c>
      <c r="C57" t="s">
        <v>157</v>
      </c>
      <c r="D57">
        <v>129420</v>
      </c>
      <c r="E57" t="s">
        <v>186</v>
      </c>
      <c r="F57" t="s">
        <v>187</v>
      </c>
      <c r="G57" t="s">
        <v>59</v>
      </c>
      <c r="H57" t="s">
        <v>60</v>
      </c>
      <c r="I57" t="s">
        <v>47</v>
      </c>
      <c r="J57" t="s">
        <v>187</v>
      </c>
      <c r="K57" t="s">
        <v>48</v>
      </c>
      <c r="L57" s="10" t="s">
        <v>49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</row>
    <row r="58" spans="1:27" x14ac:dyDescent="0.25">
      <c r="A58" t="s">
        <v>46</v>
      </c>
      <c r="B58" t="s">
        <v>55</v>
      </c>
      <c r="C58" t="s">
        <v>157</v>
      </c>
      <c r="D58">
        <v>129421</v>
      </c>
      <c r="E58" t="s">
        <v>188</v>
      </c>
      <c r="F58" t="s">
        <v>189</v>
      </c>
      <c r="G58" t="s">
        <v>59</v>
      </c>
      <c r="H58" t="s">
        <v>60</v>
      </c>
      <c r="I58" t="s">
        <v>47</v>
      </c>
      <c r="J58" t="s">
        <v>166</v>
      </c>
      <c r="K58" t="s">
        <v>48</v>
      </c>
      <c r="L58" s="10" t="s">
        <v>49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</row>
    <row r="59" spans="1:27" x14ac:dyDescent="0.25">
      <c r="A59" t="s">
        <v>46</v>
      </c>
      <c r="B59" t="s">
        <v>55</v>
      </c>
      <c r="C59" t="s">
        <v>157</v>
      </c>
      <c r="D59">
        <v>129422</v>
      </c>
      <c r="E59" t="s">
        <v>190</v>
      </c>
      <c r="F59" t="s">
        <v>191</v>
      </c>
      <c r="G59" t="s">
        <v>59</v>
      </c>
      <c r="H59" t="s">
        <v>60</v>
      </c>
      <c r="I59" t="s">
        <v>47</v>
      </c>
      <c r="J59" t="s">
        <v>160</v>
      </c>
      <c r="K59" t="s">
        <v>48</v>
      </c>
      <c r="L59" s="10" t="s">
        <v>49</v>
      </c>
      <c r="M59">
        <v>0</v>
      </c>
      <c r="N59">
        <v>0</v>
      </c>
      <c r="O59">
        <v>0</v>
      </c>
      <c r="P59">
        <v>1</v>
      </c>
      <c r="Q59" t="s">
        <v>192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9</v>
      </c>
      <c r="Y59">
        <v>3</v>
      </c>
      <c r="Z59">
        <v>0</v>
      </c>
      <c r="AA59">
        <v>0</v>
      </c>
    </row>
    <row r="60" spans="1:27" x14ac:dyDescent="0.25">
      <c r="A60" t="s">
        <v>46</v>
      </c>
      <c r="B60" t="s">
        <v>55</v>
      </c>
      <c r="C60" t="s">
        <v>157</v>
      </c>
      <c r="D60">
        <v>501085</v>
      </c>
      <c r="E60" t="s">
        <v>193</v>
      </c>
      <c r="F60" t="s">
        <v>194</v>
      </c>
      <c r="G60" t="s">
        <v>59</v>
      </c>
      <c r="H60" t="s">
        <v>60</v>
      </c>
      <c r="I60" t="s">
        <v>47</v>
      </c>
      <c r="J60" t="s">
        <v>195</v>
      </c>
      <c r="K60" t="s">
        <v>52</v>
      </c>
      <c r="L60" s="10" t="s">
        <v>53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2</v>
      </c>
      <c r="Y60">
        <v>1</v>
      </c>
      <c r="Z60">
        <v>1</v>
      </c>
      <c r="AA60">
        <v>2</v>
      </c>
    </row>
    <row r="61" spans="1:27" x14ac:dyDescent="0.25">
      <c r="A61" t="s">
        <v>46</v>
      </c>
      <c r="B61" t="s">
        <v>55</v>
      </c>
      <c r="C61" t="s">
        <v>157</v>
      </c>
      <c r="D61">
        <v>501086</v>
      </c>
      <c r="E61" t="s">
        <v>196</v>
      </c>
      <c r="F61" t="s">
        <v>197</v>
      </c>
      <c r="G61" t="s">
        <v>59</v>
      </c>
      <c r="H61" t="s">
        <v>60</v>
      </c>
      <c r="I61" t="s">
        <v>47</v>
      </c>
      <c r="J61" t="s">
        <v>198</v>
      </c>
      <c r="K61" t="s">
        <v>52</v>
      </c>
      <c r="L61" s="10" t="s">
        <v>53</v>
      </c>
      <c r="M61">
        <v>1</v>
      </c>
      <c r="N61">
        <v>8</v>
      </c>
      <c r="O61">
        <v>0</v>
      </c>
      <c r="P61">
        <v>0</v>
      </c>
      <c r="Q61" t="s">
        <v>179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</row>
    <row r="62" spans="1:27" x14ac:dyDescent="0.25">
      <c r="A62" t="s">
        <v>46</v>
      </c>
      <c r="B62" t="s">
        <v>55</v>
      </c>
      <c r="C62" t="s">
        <v>157</v>
      </c>
      <c r="D62">
        <v>501087</v>
      </c>
      <c r="E62" t="s">
        <v>199</v>
      </c>
      <c r="F62" t="s">
        <v>200</v>
      </c>
      <c r="G62" t="s">
        <v>59</v>
      </c>
      <c r="H62" t="s">
        <v>60</v>
      </c>
      <c r="I62" t="s">
        <v>47</v>
      </c>
      <c r="J62" t="s">
        <v>163</v>
      </c>
      <c r="K62" t="s">
        <v>52</v>
      </c>
      <c r="L62" s="10" t="s">
        <v>53</v>
      </c>
      <c r="M62">
        <v>1</v>
      </c>
      <c r="N62">
        <v>4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 t="s">
        <v>50</v>
      </c>
      <c r="X62">
        <v>3</v>
      </c>
      <c r="Y62">
        <v>2</v>
      </c>
      <c r="Z62">
        <v>0</v>
      </c>
      <c r="AA62">
        <v>1</v>
      </c>
    </row>
  </sheetData>
  <autoFilter ref="A8:AA62" xr:uid="{00000000-0009-0000-0000-000000000000}"/>
  <mergeCells count="7">
    <mergeCell ref="AA5:AA6"/>
    <mergeCell ref="M5:M6"/>
    <mergeCell ref="N5:P5"/>
    <mergeCell ref="R5:V5"/>
    <mergeCell ref="X5:X6"/>
    <mergeCell ref="Y5:Y6"/>
    <mergeCell ref="Z5:Z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AEEF-0EC0-47A1-B8DE-9D3619E1E60F}">
  <sheetPr codeName="Sheet2"/>
  <dimension ref="A1:AB29"/>
  <sheetViews>
    <sheetView zoomScale="85" zoomScaleNormal="85" workbookViewId="0">
      <pane xSplit="4" ySplit="7" topLeftCell="E10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0" sqref="A30:XFD75"/>
    </sheetView>
  </sheetViews>
  <sheetFormatPr defaultRowHeight="15" x14ac:dyDescent="0.25"/>
  <cols>
    <col min="2" max="2" width="27.140625" bestFit="1" customWidth="1"/>
    <col min="13" max="13" width="18.42578125" customWidth="1"/>
    <col min="14" max="27" width="16.140625" customWidth="1"/>
  </cols>
  <sheetData>
    <row r="1" spans="1:28" x14ac:dyDescent="0.25">
      <c r="A1" s="1" t="s">
        <v>204</v>
      </c>
    </row>
    <row r="2" spans="1:28" x14ac:dyDescent="0.25">
      <c r="A2" s="1" t="s">
        <v>1</v>
      </c>
      <c r="L2" s="2"/>
    </row>
    <row r="3" spans="1:28" x14ac:dyDescent="0.25">
      <c r="A3" s="1" t="s">
        <v>205</v>
      </c>
      <c r="L3" s="2"/>
    </row>
    <row r="5" spans="1:28" x14ac:dyDescent="0.25">
      <c r="M5" s="3" t="s">
        <v>3</v>
      </c>
      <c r="N5" s="3" t="s">
        <v>4</v>
      </c>
      <c r="O5" s="3"/>
      <c r="P5" s="3"/>
      <c r="Q5" s="4"/>
      <c r="R5" s="3" t="s">
        <v>5</v>
      </c>
      <c r="S5" s="3"/>
      <c r="T5" s="3"/>
      <c r="U5" s="3"/>
      <c r="V5" s="3"/>
      <c r="W5" s="4"/>
      <c r="X5" s="3" t="s">
        <v>6</v>
      </c>
      <c r="Y5" s="3" t="s">
        <v>7</v>
      </c>
      <c r="Z5" s="3" t="s">
        <v>8</v>
      </c>
      <c r="AA5" s="3" t="s">
        <v>9</v>
      </c>
    </row>
    <row r="6" spans="1:28" ht="60.6" customHeight="1" x14ac:dyDescent="0.25">
      <c r="M6" s="3"/>
      <c r="N6" s="4" t="s">
        <v>10</v>
      </c>
      <c r="O6" s="4" t="s">
        <v>11</v>
      </c>
      <c r="P6" s="4" t="s">
        <v>12</v>
      </c>
      <c r="Q6" s="4" t="s">
        <v>13</v>
      </c>
      <c r="R6" s="4" t="s">
        <v>14</v>
      </c>
      <c r="S6" s="4" t="s">
        <v>15</v>
      </c>
      <c r="T6" s="4" t="s">
        <v>16</v>
      </c>
      <c r="U6" s="4" t="s">
        <v>17</v>
      </c>
      <c r="V6" s="4" t="s">
        <v>12</v>
      </c>
      <c r="W6" s="4" t="s">
        <v>13</v>
      </c>
      <c r="X6" s="3"/>
      <c r="Y6" s="3"/>
      <c r="Z6" s="3"/>
      <c r="AA6" s="3"/>
    </row>
    <row r="7" spans="1:28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27</v>
      </c>
      <c r="K7" s="6" t="s">
        <v>28</v>
      </c>
      <c r="L7" s="7" t="s">
        <v>29</v>
      </c>
      <c r="M7" s="11" t="s">
        <v>30</v>
      </c>
      <c r="N7" s="11" t="s">
        <v>206</v>
      </c>
      <c r="O7" s="11" t="s">
        <v>207</v>
      </c>
      <c r="P7" s="11" t="s">
        <v>208</v>
      </c>
      <c r="Q7" s="11" t="s">
        <v>209</v>
      </c>
      <c r="R7" s="11" t="s">
        <v>210</v>
      </c>
      <c r="S7" s="11" t="s">
        <v>211</v>
      </c>
      <c r="T7" s="11" t="s">
        <v>212</v>
      </c>
      <c r="U7" s="11" t="s">
        <v>213</v>
      </c>
      <c r="V7" s="11" t="s">
        <v>214</v>
      </c>
      <c r="W7" s="11" t="s">
        <v>215</v>
      </c>
      <c r="X7" s="11" t="s">
        <v>216</v>
      </c>
      <c r="Y7" s="11" t="s">
        <v>217</v>
      </c>
      <c r="Z7" s="11" t="s">
        <v>218</v>
      </c>
      <c r="AA7" s="11" t="s">
        <v>219</v>
      </c>
      <c r="AB7" s="11" t="s">
        <v>45</v>
      </c>
    </row>
    <row r="8" spans="1:28" x14ac:dyDescent="0.25">
      <c r="A8" t="s">
        <v>46</v>
      </c>
      <c r="B8" t="s">
        <v>55</v>
      </c>
      <c r="C8" t="s">
        <v>56</v>
      </c>
      <c r="D8">
        <v>304325</v>
      </c>
      <c r="E8" t="s">
        <v>224</v>
      </c>
      <c r="F8" t="s">
        <v>225</v>
      </c>
      <c r="G8" t="s">
        <v>59</v>
      </c>
      <c r="H8" t="s">
        <v>60</v>
      </c>
      <c r="I8" t="s">
        <v>47</v>
      </c>
      <c r="J8" t="s">
        <v>69</v>
      </c>
      <c r="K8" t="s">
        <v>220</v>
      </c>
      <c r="L8" s="10" t="s">
        <v>221</v>
      </c>
      <c r="M8">
        <v>1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 t="s">
        <v>226</v>
      </c>
      <c r="X8">
        <v>2</v>
      </c>
      <c r="Y8">
        <v>3</v>
      </c>
      <c r="Z8">
        <v>2</v>
      </c>
      <c r="AA8">
        <v>2</v>
      </c>
    </row>
    <row r="9" spans="1:28" x14ac:dyDescent="0.25">
      <c r="A9" t="s">
        <v>46</v>
      </c>
      <c r="B9" t="s">
        <v>55</v>
      </c>
      <c r="C9" t="s">
        <v>56</v>
      </c>
      <c r="D9">
        <v>304326</v>
      </c>
      <c r="E9" t="s">
        <v>227</v>
      </c>
      <c r="F9" t="s">
        <v>228</v>
      </c>
      <c r="G9" t="s">
        <v>59</v>
      </c>
      <c r="H9" t="s">
        <v>60</v>
      </c>
      <c r="I9" t="s">
        <v>47</v>
      </c>
      <c r="J9" t="s">
        <v>69</v>
      </c>
      <c r="K9" t="s">
        <v>220</v>
      </c>
      <c r="L9" s="10" t="s">
        <v>221</v>
      </c>
      <c r="M9">
        <v>1</v>
      </c>
      <c r="N9">
        <v>4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2</v>
      </c>
      <c r="Z9">
        <v>2</v>
      </c>
      <c r="AA9">
        <v>10</v>
      </c>
    </row>
    <row r="10" spans="1:28" x14ac:dyDescent="0.25">
      <c r="A10" t="s">
        <v>46</v>
      </c>
      <c r="B10" t="s">
        <v>55</v>
      </c>
      <c r="C10" t="s">
        <v>56</v>
      </c>
      <c r="D10">
        <v>305680</v>
      </c>
      <c r="E10" t="s">
        <v>229</v>
      </c>
      <c r="F10" t="s">
        <v>230</v>
      </c>
      <c r="G10" t="s">
        <v>59</v>
      </c>
      <c r="H10" t="s">
        <v>60</v>
      </c>
      <c r="I10" t="s">
        <v>47</v>
      </c>
      <c r="J10" t="s">
        <v>104</v>
      </c>
      <c r="K10" t="s">
        <v>222</v>
      </c>
      <c r="L10" s="10" t="s">
        <v>223</v>
      </c>
      <c r="M10">
        <v>1</v>
      </c>
      <c r="N10">
        <v>6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</row>
    <row r="11" spans="1:28" x14ac:dyDescent="0.25">
      <c r="A11" t="s">
        <v>46</v>
      </c>
      <c r="B11" t="s">
        <v>55</v>
      </c>
      <c r="C11" t="s">
        <v>56</v>
      </c>
      <c r="D11">
        <v>325104</v>
      </c>
      <c r="E11" t="s">
        <v>231</v>
      </c>
      <c r="F11" t="s">
        <v>232</v>
      </c>
      <c r="G11" t="s">
        <v>59</v>
      </c>
      <c r="H11" t="s">
        <v>60</v>
      </c>
      <c r="I11" t="s">
        <v>47</v>
      </c>
      <c r="J11" t="s">
        <v>61</v>
      </c>
      <c r="K11" t="s">
        <v>220</v>
      </c>
      <c r="L11" s="10" t="s">
        <v>221</v>
      </c>
      <c r="M11">
        <v>1</v>
      </c>
      <c r="N11">
        <v>0</v>
      </c>
      <c r="O11">
        <v>0</v>
      </c>
      <c r="P11">
        <v>1</v>
      </c>
      <c r="Q11" t="s">
        <v>233</v>
      </c>
      <c r="R11">
        <v>0</v>
      </c>
      <c r="S11">
        <v>0</v>
      </c>
      <c r="T11">
        <v>0</v>
      </c>
      <c r="U11">
        <v>0</v>
      </c>
      <c r="V11">
        <v>1</v>
      </c>
      <c r="W11" t="s">
        <v>233</v>
      </c>
      <c r="X11">
        <v>14</v>
      </c>
      <c r="Y11">
        <v>2</v>
      </c>
      <c r="Z11">
        <v>1</v>
      </c>
      <c r="AA11">
        <v>2</v>
      </c>
    </row>
    <row r="12" spans="1:28" x14ac:dyDescent="0.25">
      <c r="A12" t="s">
        <v>46</v>
      </c>
      <c r="B12" t="s">
        <v>55</v>
      </c>
      <c r="C12" t="s">
        <v>56</v>
      </c>
      <c r="D12">
        <v>500454</v>
      </c>
      <c r="E12" t="s">
        <v>85</v>
      </c>
      <c r="F12" t="s">
        <v>86</v>
      </c>
      <c r="G12" t="s">
        <v>59</v>
      </c>
      <c r="H12" t="s">
        <v>60</v>
      </c>
      <c r="I12" t="s">
        <v>47</v>
      </c>
      <c r="J12" t="s">
        <v>69</v>
      </c>
      <c r="K12" t="s">
        <v>87</v>
      </c>
      <c r="L12" s="10" t="s">
        <v>88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2</v>
      </c>
      <c r="Z12">
        <v>1</v>
      </c>
      <c r="AA12">
        <v>2</v>
      </c>
    </row>
    <row r="13" spans="1:28" x14ac:dyDescent="0.25">
      <c r="A13" t="s">
        <v>46</v>
      </c>
      <c r="B13" t="s">
        <v>55</v>
      </c>
      <c r="C13" t="s">
        <v>56</v>
      </c>
      <c r="D13">
        <v>501424</v>
      </c>
      <c r="E13" t="s">
        <v>89</v>
      </c>
      <c r="F13" t="s">
        <v>90</v>
      </c>
      <c r="G13" t="s">
        <v>59</v>
      </c>
      <c r="H13" t="s">
        <v>60</v>
      </c>
      <c r="I13" t="s">
        <v>47</v>
      </c>
      <c r="J13" t="s">
        <v>91</v>
      </c>
      <c r="K13" t="s">
        <v>52</v>
      </c>
      <c r="L13" s="10" t="s">
        <v>53</v>
      </c>
      <c r="M13">
        <v>1</v>
      </c>
      <c r="N13">
        <v>2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2</v>
      </c>
      <c r="Y13">
        <v>3</v>
      </c>
      <c r="Z13">
        <v>0</v>
      </c>
      <c r="AA13">
        <v>0</v>
      </c>
    </row>
    <row r="14" spans="1:28" x14ac:dyDescent="0.25">
      <c r="A14" t="s">
        <v>46</v>
      </c>
      <c r="B14" t="s">
        <v>55</v>
      </c>
      <c r="C14" t="s">
        <v>92</v>
      </c>
      <c r="D14">
        <v>304303</v>
      </c>
      <c r="E14" t="s">
        <v>234</v>
      </c>
      <c r="F14" t="s">
        <v>235</v>
      </c>
      <c r="G14" t="s">
        <v>59</v>
      </c>
      <c r="H14" t="s">
        <v>60</v>
      </c>
      <c r="I14" t="s">
        <v>47</v>
      </c>
      <c r="J14" t="s">
        <v>98</v>
      </c>
      <c r="K14" t="s">
        <v>220</v>
      </c>
      <c r="L14" s="10" t="s">
        <v>221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10</v>
      </c>
      <c r="Y14">
        <v>5</v>
      </c>
      <c r="Z14">
        <v>0</v>
      </c>
      <c r="AA14">
        <v>3</v>
      </c>
    </row>
    <row r="15" spans="1:28" x14ac:dyDescent="0.25">
      <c r="A15" t="s">
        <v>46</v>
      </c>
      <c r="B15" t="s">
        <v>55</v>
      </c>
      <c r="C15" t="s">
        <v>92</v>
      </c>
      <c r="D15">
        <v>304305</v>
      </c>
      <c r="E15" t="s">
        <v>236</v>
      </c>
      <c r="F15" t="s">
        <v>237</v>
      </c>
      <c r="G15" t="s">
        <v>59</v>
      </c>
      <c r="H15" t="s">
        <v>60</v>
      </c>
      <c r="I15" t="s">
        <v>47</v>
      </c>
      <c r="J15" t="s">
        <v>109</v>
      </c>
      <c r="K15" t="s">
        <v>220</v>
      </c>
      <c r="L15" s="10" t="s">
        <v>221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 t="s">
        <v>50</v>
      </c>
      <c r="X15">
        <v>4</v>
      </c>
      <c r="Y15">
        <v>5</v>
      </c>
      <c r="Z15">
        <v>0</v>
      </c>
      <c r="AA15">
        <v>3</v>
      </c>
    </row>
    <row r="16" spans="1:28" x14ac:dyDescent="0.25">
      <c r="A16" t="s">
        <v>46</v>
      </c>
      <c r="B16" t="s">
        <v>55</v>
      </c>
      <c r="C16" t="s">
        <v>92</v>
      </c>
      <c r="D16">
        <v>304314</v>
      </c>
      <c r="E16" t="s">
        <v>238</v>
      </c>
      <c r="F16" t="s">
        <v>129</v>
      </c>
      <c r="G16" t="s">
        <v>59</v>
      </c>
      <c r="H16" t="s">
        <v>60</v>
      </c>
      <c r="I16" t="s">
        <v>47</v>
      </c>
      <c r="J16" t="s">
        <v>130</v>
      </c>
      <c r="K16" t="s">
        <v>220</v>
      </c>
      <c r="L16" s="10" t="s">
        <v>221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10</v>
      </c>
      <c r="Y16">
        <v>1</v>
      </c>
      <c r="Z16">
        <v>0</v>
      </c>
      <c r="AA16">
        <v>1</v>
      </c>
    </row>
    <row r="17" spans="1:27" x14ac:dyDescent="0.25">
      <c r="A17" t="s">
        <v>46</v>
      </c>
      <c r="B17" t="s">
        <v>55</v>
      </c>
      <c r="C17" t="s">
        <v>92</v>
      </c>
      <c r="D17">
        <v>304327</v>
      </c>
      <c r="E17" t="s">
        <v>239</v>
      </c>
      <c r="F17" t="s">
        <v>240</v>
      </c>
      <c r="G17" t="s">
        <v>59</v>
      </c>
      <c r="H17" t="s">
        <v>60</v>
      </c>
      <c r="I17" t="s">
        <v>47</v>
      </c>
      <c r="J17" t="s">
        <v>127</v>
      </c>
      <c r="K17" t="s">
        <v>220</v>
      </c>
      <c r="L17" s="10" t="s">
        <v>221</v>
      </c>
      <c r="M17">
        <v>1</v>
      </c>
      <c r="N17">
        <v>2</v>
      </c>
      <c r="O17">
        <v>0</v>
      </c>
      <c r="P17">
        <v>1</v>
      </c>
      <c r="Q17" t="s">
        <v>241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28</v>
      </c>
      <c r="Y17">
        <v>3</v>
      </c>
      <c r="Z17">
        <v>2</v>
      </c>
      <c r="AA17">
        <v>2</v>
      </c>
    </row>
    <row r="18" spans="1:27" x14ac:dyDescent="0.25">
      <c r="A18" t="s">
        <v>46</v>
      </c>
      <c r="B18" t="s">
        <v>55</v>
      </c>
      <c r="C18" t="s">
        <v>92</v>
      </c>
      <c r="D18">
        <v>304328</v>
      </c>
      <c r="E18" t="s">
        <v>242</v>
      </c>
      <c r="F18" t="s">
        <v>243</v>
      </c>
      <c r="G18" t="s">
        <v>59</v>
      </c>
      <c r="H18" t="s">
        <v>60</v>
      </c>
      <c r="I18" t="s">
        <v>47</v>
      </c>
      <c r="J18" t="s">
        <v>104</v>
      </c>
      <c r="K18" t="s">
        <v>220</v>
      </c>
      <c r="L18" s="10" t="s">
        <v>221</v>
      </c>
      <c r="M18">
        <v>1</v>
      </c>
      <c r="N18">
        <v>1</v>
      </c>
      <c r="O18">
        <v>0</v>
      </c>
      <c r="P18">
        <v>1</v>
      </c>
      <c r="Q18" t="s">
        <v>201</v>
      </c>
      <c r="R18">
        <v>1</v>
      </c>
      <c r="S18">
        <v>0</v>
      </c>
      <c r="T18">
        <v>0</v>
      </c>
      <c r="U18">
        <v>0</v>
      </c>
      <c r="V18">
        <v>1</v>
      </c>
      <c r="W18" t="s">
        <v>244</v>
      </c>
      <c r="X18">
        <v>26</v>
      </c>
      <c r="Y18">
        <v>2</v>
      </c>
      <c r="Z18">
        <v>1</v>
      </c>
      <c r="AA18">
        <v>30</v>
      </c>
    </row>
    <row r="19" spans="1:27" x14ac:dyDescent="0.25">
      <c r="A19" t="s">
        <v>46</v>
      </c>
      <c r="B19" t="s">
        <v>55</v>
      </c>
      <c r="C19" t="s">
        <v>92</v>
      </c>
      <c r="D19">
        <v>304338</v>
      </c>
      <c r="E19" t="s">
        <v>245</v>
      </c>
      <c r="F19" t="s">
        <v>246</v>
      </c>
      <c r="G19" t="s">
        <v>59</v>
      </c>
      <c r="H19" t="s">
        <v>60</v>
      </c>
      <c r="I19" t="s">
        <v>47</v>
      </c>
      <c r="J19" t="s">
        <v>145</v>
      </c>
      <c r="K19" t="s">
        <v>220</v>
      </c>
      <c r="L19" s="10" t="s">
        <v>221</v>
      </c>
      <c r="M19">
        <v>1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</row>
    <row r="20" spans="1:27" x14ac:dyDescent="0.25">
      <c r="A20" t="s">
        <v>46</v>
      </c>
      <c r="B20" t="s">
        <v>55</v>
      </c>
      <c r="C20" t="s">
        <v>92</v>
      </c>
      <c r="D20">
        <v>316104</v>
      </c>
      <c r="E20" t="s">
        <v>247</v>
      </c>
      <c r="F20" t="s">
        <v>203</v>
      </c>
      <c r="G20" t="s">
        <v>59</v>
      </c>
      <c r="H20" t="s">
        <v>60</v>
      </c>
      <c r="I20" t="s">
        <v>47</v>
      </c>
      <c r="J20" t="s">
        <v>115</v>
      </c>
      <c r="K20" t="s">
        <v>220</v>
      </c>
      <c r="L20" s="10" t="s">
        <v>221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3</v>
      </c>
      <c r="Y20">
        <v>2</v>
      </c>
      <c r="Z20">
        <v>1</v>
      </c>
      <c r="AA20">
        <v>2</v>
      </c>
    </row>
    <row r="21" spans="1:27" x14ac:dyDescent="0.25">
      <c r="A21" t="s">
        <v>46</v>
      </c>
      <c r="B21" t="s">
        <v>55</v>
      </c>
      <c r="C21" t="s">
        <v>92</v>
      </c>
      <c r="D21">
        <v>325101</v>
      </c>
      <c r="E21" t="s">
        <v>248</v>
      </c>
      <c r="F21" t="s">
        <v>249</v>
      </c>
      <c r="G21" t="s">
        <v>59</v>
      </c>
      <c r="H21" t="s">
        <v>60</v>
      </c>
      <c r="I21" t="s">
        <v>47</v>
      </c>
      <c r="J21" t="s">
        <v>104</v>
      </c>
      <c r="K21" t="s">
        <v>222</v>
      </c>
      <c r="L21" s="10" t="s">
        <v>223</v>
      </c>
      <c r="M21">
        <v>1</v>
      </c>
      <c r="N21">
        <v>1</v>
      </c>
      <c r="O21">
        <v>0</v>
      </c>
      <c r="P21">
        <v>0</v>
      </c>
      <c r="Q21" t="s">
        <v>250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9</v>
      </c>
      <c r="Y21">
        <v>3</v>
      </c>
      <c r="Z21">
        <v>1</v>
      </c>
      <c r="AA21">
        <v>1</v>
      </c>
    </row>
    <row r="22" spans="1:27" x14ac:dyDescent="0.25">
      <c r="A22" t="s">
        <v>46</v>
      </c>
      <c r="B22" t="s">
        <v>55</v>
      </c>
      <c r="C22" t="s">
        <v>92</v>
      </c>
      <c r="D22">
        <v>325102</v>
      </c>
      <c r="E22" t="s">
        <v>251</v>
      </c>
      <c r="F22" t="s">
        <v>252</v>
      </c>
      <c r="G22" t="s">
        <v>59</v>
      </c>
      <c r="H22" t="s">
        <v>60</v>
      </c>
      <c r="I22" t="s">
        <v>47</v>
      </c>
      <c r="J22" t="s">
        <v>101</v>
      </c>
      <c r="K22" t="s">
        <v>220</v>
      </c>
      <c r="L22" s="10" t="s">
        <v>221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2</v>
      </c>
      <c r="Y22">
        <v>1</v>
      </c>
      <c r="Z22">
        <v>1</v>
      </c>
      <c r="AA22">
        <v>1</v>
      </c>
    </row>
    <row r="23" spans="1:27" x14ac:dyDescent="0.25">
      <c r="A23" t="s">
        <v>46</v>
      </c>
      <c r="B23" t="s">
        <v>55</v>
      </c>
      <c r="C23" t="s">
        <v>92</v>
      </c>
      <c r="D23">
        <v>325106</v>
      </c>
      <c r="E23" t="s">
        <v>253</v>
      </c>
      <c r="F23" t="s">
        <v>183</v>
      </c>
      <c r="G23" t="s">
        <v>59</v>
      </c>
      <c r="H23" t="s">
        <v>60</v>
      </c>
      <c r="I23" t="s">
        <v>47</v>
      </c>
      <c r="J23" t="s">
        <v>154</v>
      </c>
      <c r="K23" t="s">
        <v>220</v>
      </c>
      <c r="L23" s="10" t="s">
        <v>221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</row>
    <row r="24" spans="1:27" x14ac:dyDescent="0.25">
      <c r="A24" t="s">
        <v>46</v>
      </c>
      <c r="B24" t="s">
        <v>55</v>
      </c>
      <c r="C24" t="s">
        <v>157</v>
      </c>
      <c r="D24">
        <v>304313</v>
      </c>
      <c r="E24" t="s">
        <v>254</v>
      </c>
      <c r="F24" t="s">
        <v>255</v>
      </c>
      <c r="G24" t="s">
        <v>59</v>
      </c>
      <c r="H24" t="s">
        <v>60</v>
      </c>
      <c r="I24" t="s">
        <v>47</v>
      </c>
      <c r="J24" t="s">
        <v>166</v>
      </c>
      <c r="K24" t="s">
        <v>220</v>
      </c>
      <c r="L24" s="10" t="s">
        <v>221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1</v>
      </c>
      <c r="Z24">
        <v>0</v>
      </c>
      <c r="AA24">
        <v>5</v>
      </c>
    </row>
    <row r="25" spans="1:27" x14ac:dyDescent="0.25">
      <c r="A25" t="s">
        <v>46</v>
      </c>
      <c r="B25" t="s">
        <v>55</v>
      </c>
      <c r="C25" t="s">
        <v>157</v>
      </c>
      <c r="D25">
        <v>304318</v>
      </c>
      <c r="E25" t="s">
        <v>256</v>
      </c>
      <c r="F25" t="s">
        <v>257</v>
      </c>
      <c r="G25" t="s">
        <v>59</v>
      </c>
      <c r="H25" t="s">
        <v>60</v>
      </c>
      <c r="I25" t="s">
        <v>47</v>
      </c>
      <c r="J25" t="s">
        <v>176</v>
      </c>
      <c r="K25" t="s">
        <v>220</v>
      </c>
      <c r="L25" s="10" t="s">
        <v>221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 t="s">
        <v>202</v>
      </c>
      <c r="X25">
        <v>1</v>
      </c>
      <c r="Y25">
        <v>1</v>
      </c>
      <c r="Z25">
        <v>1</v>
      </c>
      <c r="AA25">
        <v>1</v>
      </c>
    </row>
    <row r="26" spans="1:27" x14ac:dyDescent="0.25">
      <c r="A26" t="s">
        <v>46</v>
      </c>
      <c r="B26" t="s">
        <v>55</v>
      </c>
      <c r="C26" t="s">
        <v>157</v>
      </c>
      <c r="D26">
        <v>325105</v>
      </c>
      <c r="E26" t="s">
        <v>258</v>
      </c>
      <c r="F26" t="s">
        <v>178</v>
      </c>
      <c r="G26" t="s">
        <v>59</v>
      </c>
      <c r="H26" t="s">
        <v>60</v>
      </c>
      <c r="I26" t="s">
        <v>47</v>
      </c>
      <c r="J26" t="s">
        <v>160</v>
      </c>
      <c r="K26" t="s">
        <v>220</v>
      </c>
      <c r="L26" s="10" t="s">
        <v>221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2</v>
      </c>
      <c r="Z26">
        <v>0</v>
      </c>
      <c r="AA26">
        <v>2</v>
      </c>
    </row>
    <row r="27" spans="1:27" x14ac:dyDescent="0.25">
      <c r="A27" t="s">
        <v>46</v>
      </c>
      <c r="B27" t="s">
        <v>55</v>
      </c>
      <c r="C27" t="s">
        <v>157</v>
      </c>
      <c r="D27">
        <v>501085</v>
      </c>
      <c r="E27" t="s">
        <v>193</v>
      </c>
      <c r="F27" t="s">
        <v>194</v>
      </c>
      <c r="G27" t="s">
        <v>59</v>
      </c>
      <c r="H27" t="s">
        <v>60</v>
      </c>
      <c r="I27" t="s">
        <v>47</v>
      </c>
      <c r="J27" t="s">
        <v>195</v>
      </c>
      <c r="K27" t="s">
        <v>52</v>
      </c>
      <c r="L27" s="10" t="s">
        <v>53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46</v>
      </c>
      <c r="B28" t="s">
        <v>55</v>
      </c>
      <c r="C28" t="s">
        <v>157</v>
      </c>
      <c r="D28">
        <v>501086</v>
      </c>
      <c r="E28" t="s">
        <v>196</v>
      </c>
      <c r="F28" t="s">
        <v>197</v>
      </c>
      <c r="G28" t="s">
        <v>59</v>
      </c>
      <c r="H28" t="s">
        <v>60</v>
      </c>
      <c r="I28" t="s">
        <v>47</v>
      </c>
      <c r="J28" t="s">
        <v>198</v>
      </c>
      <c r="K28" t="s">
        <v>52</v>
      </c>
      <c r="L28" s="10" t="s">
        <v>53</v>
      </c>
      <c r="M28">
        <v>0</v>
      </c>
      <c r="N28">
        <v>8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0</v>
      </c>
      <c r="Z28">
        <v>0</v>
      </c>
      <c r="AA28">
        <v>0</v>
      </c>
    </row>
    <row r="29" spans="1:27" x14ac:dyDescent="0.25">
      <c r="A29" t="s">
        <v>46</v>
      </c>
      <c r="B29" t="s">
        <v>55</v>
      </c>
      <c r="C29" t="s">
        <v>157</v>
      </c>
      <c r="D29">
        <v>501087</v>
      </c>
      <c r="E29" t="s">
        <v>199</v>
      </c>
      <c r="F29" t="s">
        <v>200</v>
      </c>
      <c r="G29" t="s">
        <v>59</v>
      </c>
      <c r="H29" t="s">
        <v>60</v>
      </c>
      <c r="I29" t="s">
        <v>47</v>
      </c>
      <c r="J29" t="s">
        <v>163</v>
      </c>
      <c r="K29" t="s">
        <v>52</v>
      </c>
      <c r="L29" s="10" t="s">
        <v>53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 t="s">
        <v>50</v>
      </c>
      <c r="X29">
        <v>0</v>
      </c>
      <c r="Y29">
        <v>0</v>
      </c>
      <c r="Z29">
        <v>0</v>
      </c>
      <c r="AA29">
        <v>0</v>
      </c>
    </row>
  </sheetData>
  <autoFilter ref="A7:AA29" xr:uid="{00000000-0009-0000-0000-000001000000}"/>
  <mergeCells count="7">
    <mergeCell ref="AA5:AA6"/>
    <mergeCell ref="M5:M6"/>
    <mergeCell ref="N5:P5"/>
    <mergeCell ref="R5:V5"/>
    <mergeCell ref="X5:X6"/>
    <mergeCell ref="Y5:Y6"/>
    <mergeCell ref="Z5:Z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8C91-C094-4B44-9491-4A6ED9EAFA60}">
  <sheetPr codeName="Sheet3"/>
  <dimension ref="A1:AB24"/>
  <sheetViews>
    <sheetView tabSelected="1" zoomScale="85" zoomScaleNormal="85" workbookViewId="0">
      <pane xSplit="4" ySplit="8" topLeftCell="E12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H37" sqref="H37"/>
    </sheetView>
  </sheetViews>
  <sheetFormatPr defaultRowHeight="15" x14ac:dyDescent="0.25"/>
  <cols>
    <col min="2" max="2" width="25.5703125" bestFit="1" customWidth="1"/>
    <col min="13" max="27" width="16.42578125" customWidth="1"/>
  </cols>
  <sheetData>
    <row r="1" spans="1:28" x14ac:dyDescent="0.25">
      <c r="A1" s="1" t="s">
        <v>259</v>
      </c>
    </row>
    <row r="2" spans="1:28" x14ac:dyDescent="0.25">
      <c r="A2" s="1" t="s">
        <v>1</v>
      </c>
      <c r="L2" s="2"/>
    </row>
    <row r="3" spans="1:28" x14ac:dyDescent="0.25">
      <c r="A3" s="1" t="s">
        <v>2</v>
      </c>
      <c r="L3" s="2"/>
    </row>
    <row r="5" spans="1:28" x14ac:dyDescent="0.25">
      <c r="M5" s="3" t="s">
        <v>3</v>
      </c>
      <c r="N5" s="3" t="s">
        <v>4</v>
      </c>
      <c r="O5" s="3"/>
      <c r="P5" s="3"/>
      <c r="Q5" s="4"/>
      <c r="R5" s="3" t="s">
        <v>5</v>
      </c>
      <c r="S5" s="3"/>
      <c r="T5" s="3"/>
      <c r="U5" s="3"/>
      <c r="V5" s="3"/>
      <c r="W5" s="4"/>
      <c r="X5" s="3" t="s">
        <v>6</v>
      </c>
      <c r="Y5" s="3" t="s">
        <v>7</v>
      </c>
      <c r="Z5" s="3" t="s">
        <v>8</v>
      </c>
      <c r="AA5" s="3" t="s">
        <v>9</v>
      </c>
    </row>
    <row r="6" spans="1:28" ht="74.45" customHeight="1" x14ac:dyDescent="0.25">
      <c r="M6" s="3"/>
      <c r="N6" s="4" t="s">
        <v>10</v>
      </c>
      <c r="O6" s="4" t="s">
        <v>11</v>
      </c>
      <c r="P6" s="4" t="s">
        <v>12</v>
      </c>
      <c r="Q6" s="4" t="s">
        <v>13</v>
      </c>
      <c r="R6" s="4" t="s">
        <v>14</v>
      </c>
      <c r="S6" s="4" t="s">
        <v>15</v>
      </c>
      <c r="T6" s="4" t="s">
        <v>16</v>
      </c>
      <c r="U6" s="4" t="s">
        <v>17</v>
      </c>
      <c r="V6" s="4" t="s">
        <v>12</v>
      </c>
      <c r="W6" s="4" t="s">
        <v>13</v>
      </c>
      <c r="X6" s="3"/>
      <c r="Y6" s="3"/>
      <c r="Z6" s="3"/>
      <c r="AA6" s="3"/>
    </row>
    <row r="7" spans="1:28" x14ac:dyDescent="0.25">
      <c r="M7" s="5">
        <f>SUM(M9:M24)</f>
        <v>10</v>
      </c>
      <c r="N7" s="5">
        <f>SUM(N9:N24)</f>
        <v>20</v>
      </c>
      <c r="O7" s="5">
        <f>SUM(O9:O24)</f>
        <v>1</v>
      </c>
      <c r="P7" s="5">
        <f>SUM(P9:P24)</f>
        <v>2</v>
      </c>
      <c r="Q7" s="5"/>
      <c r="R7" s="5">
        <f>SUM(R9:R24)</f>
        <v>6</v>
      </c>
      <c r="S7" s="5">
        <f>SUM(S9:S24)</f>
        <v>4</v>
      </c>
      <c r="T7" s="5">
        <f>SUM(T9:T24)</f>
        <v>0</v>
      </c>
      <c r="U7" s="5">
        <f>SUM(U9:U24)</f>
        <v>0</v>
      </c>
      <c r="V7" s="5">
        <f>SUM(V9:V24)</f>
        <v>3</v>
      </c>
      <c r="W7" s="5"/>
      <c r="X7" s="5">
        <f>SUM(X9:X24)</f>
        <v>33</v>
      </c>
      <c r="Y7" s="5">
        <f>SUM(Y9:Y24)</f>
        <v>18</v>
      </c>
      <c r="Z7" s="5">
        <f>SUM(Z9:Z24)</f>
        <v>10</v>
      </c>
      <c r="AA7" s="5">
        <f>SUM(AA9:AA24)</f>
        <v>31</v>
      </c>
    </row>
    <row r="8" spans="1:28" x14ac:dyDescent="0.25">
      <c r="A8" s="6" t="s">
        <v>18</v>
      </c>
      <c r="B8" s="6" t="s">
        <v>19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26</v>
      </c>
      <c r="J8" s="6" t="s">
        <v>27</v>
      </c>
      <c r="K8" s="6" t="s">
        <v>28</v>
      </c>
      <c r="L8" s="7" t="s">
        <v>29</v>
      </c>
      <c r="M8" s="11" t="s">
        <v>260</v>
      </c>
      <c r="N8" s="11" t="s">
        <v>206</v>
      </c>
      <c r="O8" s="11" t="s">
        <v>207</v>
      </c>
      <c r="P8" s="11" t="s">
        <v>208</v>
      </c>
      <c r="Q8" s="11" t="s">
        <v>261</v>
      </c>
      <c r="R8" s="11" t="s">
        <v>262</v>
      </c>
      <c r="S8" s="11" t="s">
        <v>263</v>
      </c>
      <c r="T8" s="11" t="s">
        <v>264</v>
      </c>
      <c r="U8" s="11" t="s">
        <v>265</v>
      </c>
      <c r="V8" s="11" t="s">
        <v>266</v>
      </c>
      <c r="W8" s="11" t="s">
        <v>266</v>
      </c>
      <c r="X8" s="11" t="s">
        <v>216</v>
      </c>
      <c r="Y8" s="11" t="s">
        <v>217</v>
      </c>
      <c r="Z8" s="11" t="s">
        <v>218</v>
      </c>
      <c r="AA8" s="11" t="s">
        <v>267</v>
      </c>
      <c r="AB8" s="11" t="s">
        <v>45</v>
      </c>
    </row>
    <row r="9" spans="1:28" x14ac:dyDescent="0.25">
      <c r="A9" t="s">
        <v>46</v>
      </c>
      <c r="B9" t="s">
        <v>55</v>
      </c>
      <c r="C9" t="s">
        <v>56</v>
      </c>
      <c r="D9">
        <v>304325</v>
      </c>
      <c r="E9" t="s">
        <v>224</v>
      </c>
      <c r="F9" t="s">
        <v>225</v>
      </c>
      <c r="G9" t="s">
        <v>59</v>
      </c>
      <c r="H9" t="s">
        <v>60</v>
      </c>
      <c r="I9" t="s">
        <v>47</v>
      </c>
      <c r="J9" t="s">
        <v>69</v>
      </c>
      <c r="K9" t="s">
        <v>220</v>
      </c>
      <c r="L9" s="10" t="s">
        <v>221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5</v>
      </c>
      <c r="Y9">
        <v>2</v>
      </c>
      <c r="Z9">
        <v>2</v>
      </c>
      <c r="AA9">
        <v>4</v>
      </c>
    </row>
    <row r="10" spans="1:28" x14ac:dyDescent="0.25">
      <c r="A10" t="s">
        <v>46</v>
      </c>
      <c r="B10" t="s">
        <v>55</v>
      </c>
      <c r="C10" t="s">
        <v>56</v>
      </c>
      <c r="D10">
        <v>304326</v>
      </c>
      <c r="E10" t="s">
        <v>227</v>
      </c>
      <c r="F10" t="s">
        <v>228</v>
      </c>
      <c r="G10" t="s">
        <v>59</v>
      </c>
      <c r="H10" t="s">
        <v>60</v>
      </c>
      <c r="I10" t="s">
        <v>47</v>
      </c>
      <c r="J10" t="s">
        <v>69</v>
      </c>
      <c r="K10" t="s">
        <v>220</v>
      </c>
      <c r="L10" s="10" t="s">
        <v>221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2</v>
      </c>
      <c r="Z10">
        <v>2</v>
      </c>
      <c r="AA10">
        <v>10</v>
      </c>
    </row>
    <row r="11" spans="1:28" x14ac:dyDescent="0.25">
      <c r="A11" t="s">
        <v>46</v>
      </c>
      <c r="B11" t="s">
        <v>55</v>
      </c>
      <c r="C11" t="s">
        <v>56</v>
      </c>
      <c r="D11">
        <v>325104</v>
      </c>
      <c r="E11" t="s">
        <v>231</v>
      </c>
      <c r="F11" t="s">
        <v>232</v>
      </c>
      <c r="G11" t="s">
        <v>59</v>
      </c>
      <c r="H11" t="s">
        <v>60</v>
      </c>
      <c r="I11" t="s">
        <v>47</v>
      </c>
      <c r="J11" t="s">
        <v>61</v>
      </c>
      <c r="K11" t="s">
        <v>220</v>
      </c>
      <c r="L11" s="10" t="s">
        <v>221</v>
      </c>
      <c r="M11">
        <v>1</v>
      </c>
      <c r="N11">
        <v>0</v>
      </c>
      <c r="O11">
        <v>0</v>
      </c>
      <c r="P11">
        <v>1</v>
      </c>
      <c r="Q11" t="s">
        <v>268</v>
      </c>
      <c r="R11">
        <v>0</v>
      </c>
      <c r="S11">
        <v>0</v>
      </c>
      <c r="T11">
        <v>0</v>
      </c>
      <c r="U11">
        <v>0</v>
      </c>
      <c r="V11">
        <v>1</v>
      </c>
      <c r="W11" t="s">
        <v>269</v>
      </c>
      <c r="X11">
        <v>4</v>
      </c>
      <c r="Y11">
        <v>2</v>
      </c>
      <c r="Z11">
        <v>1</v>
      </c>
      <c r="AA11">
        <v>2</v>
      </c>
    </row>
    <row r="12" spans="1:28" x14ac:dyDescent="0.25">
      <c r="A12" t="s">
        <v>46</v>
      </c>
      <c r="B12" t="s">
        <v>55</v>
      </c>
      <c r="C12" t="s">
        <v>56</v>
      </c>
      <c r="D12">
        <v>500454</v>
      </c>
      <c r="E12" t="s">
        <v>85</v>
      </c>
      <c r="F12" t="s">
        <v>86</v>
      </c>
      <c r="G12" t="s">
        <v>59</v>
      </c>
      <c r="H12" t="s">
        <v>60</v>
      </c>
      <c r="I12" t="s">
        <v>47</v>
      </c>
      <c r="J12" t="s">
        <v>69</v>
      </c>
      <c r="K12" t="s">
        <v>87</v>
      </c>
      <c r="L12" s="10" t="s">
        <v>88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2</v>
      </c>
      <c r="Z12">
        <v>1</v>
      </c>
      <c r="AA12">
        <v>2</v>
      </c>
    </row>
    <row r="13" spans="1:28" x14ac:dyDescent="0.25">
      <c r="A13" t="s">
        <v>46</v>
      </c>
      <c r="B13" t="s">
        <v>55</v>
      </c>
      <c r="C13" t="s">
        <v>92</v>
      </c>
      <c r="D13">
        <v>304303</v>
      </c>
      <c r="E13" t="s">
        <v>234</v>
      </c>
      <c r="F13" t="s">
        <v>235</v>
      </c>
      <c r="G13" t="s">
        <v>59</v>
      </c>
      <c r="H13" t="s">
        <v>60</v>
      </c>
      <c r="I13" t="s">
        <v>47</v>
      </c>
      <c r="J13" t="s">
        <v>98</v>
      </c>
      <c r="K13" t="s">
        <v>220</v>
      </c>
      <c r="L13" s="10" t="s">
        <v>221</v>
      </c>
      <c r="M13">
        <v>0</v>
      </c>
      <c r="N13">
        <v>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</v>
      </c>
      <c r="Y13">
        <v>0</v>
      </c>
      <c r="Z13">
        <v>0</v>
      </c>
      <c r="AA13">
        <v>1</v>
      </c>
    </row>
    <row r="14" spans="1:28" x14ac:dyDescent="0.25">
      <c r="A14" t="s">
        <v>46</v>
      </c>
      <c r="B14" t="s">
        <v>55</v>
      </c>
      <c r="C14" t="s">
        <v>92</v>
      </c>
      <c r="D14">
        <v>304305</v>
      </c>
      <c r="E14" t="s">
        <v>236</v>
      </c>
      <c r="F14" t="s">
        <v>237</v>
      </c>
      <c r="G14" t="s">
        <v>59</v>
      </c>
      <c r="H14" t="s">
        <v>60</v>
      </c>
      <c r="I14" t="s">
        <v>47</v>
      </c>
      <c r="J14" t="s">
        <v>109</v>
      </c>
      <c r="K14" t="s">
        <v>220</v>
      </c>
      <c r="L14" s="10" t="s">
        <v>221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1</v>
      </c>
    </row>
    <row r="15" spans="1:28" x14ac:dyDescent="0.25">
      <c r="A15" t="s">
        <v>46</v>
      </c>
      <c r="B15" t="s">
        <v>55</v>
      </c>
      <c r="C15" t="s">
        <v>92</v>
      </c>
      <c r="D15">
        <v>304314</v>
      </c>
      <c r="E15" t="s">
        <v>238</v>
      </c>
      <c r="F15" t="s">
        <v>129</v>
      </c>
      <c r="G15" t="s">
        <v>59</v>
      </c>
      <c r="H15" t="s">
        <v>60</v>
      </c>
      <c r="I15" t="s">
        <v>47</v>
      </c>
      <c r="J15" t="s">
        <v>130</v>
      </c>
      <c r="K15" t="s">
        <v>220</v>
      </c>
      <c r="L15" s="10" t="s">
        <v>221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1</v>
      </c>
    </row>
    <row r="16" spans="1:28" x14ac:dyDescent="0.25">
      <c r="A16" t="s">
        <v>46</v>
      </c>
      <c r="B16" t="s">
        <v>55</v>
      </c>
      <c r="C16" t="s">
        <v>92</v>
      </c>
      <c r="D16">
        <v>304327</v>
      </c>
      <c r="E16" t="s">
        <v>239</v>
      </c>
      <c r="F16" t="s">
        <v>240</v>
      </c>
      <c r="G16" t="s">
        <v>59</v>
      </c>
      <c r="H16" t="s">
        <v>60</v>
      </c>
      <c r="I16" t="s">
        <v>47</v>
      </c>
      <c r="J16" t="s">
        <v>127</v>
      </c>
      <c r="K16" t="s">
        <v>220</v>
      </c>
      <c r="L16" s="10" t="s">
        <v>221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46</v>
      </c>
      <c r="B17" t="s">
        <v>55</v>
      </c>
      <c r="C17" t="s">
        <v>92</v>
      </c>
      <c r="D17">
        <v>304328</v>
      </c>
      <c r="E17" t="s">
        <v>242</v>
      </c>
      <c r="F17" t="s">
        <v>243</v>
      </c>
      <c r="G17" t="s">
        <v>59</v>
      </c>
      <c r="H17" t="s">
        <v>60</v>
      </c>
      <c r="I17" t="s">
        <v>47</v>
      </c>
      <c r="J17" t="s">
        <v>104</v>
      </c>
      <c r="K17" t="s">
        <v>220</v>
      </c>
      <c r="L17" s="10" t="s">
        <v>221</v>
      </c>
      <c r="M17">
        <v>1</v>
      </c>
      <c r="N17">
        <v>1</v>
      </c>
      <c r="O17">
        <v>0</v>
      </c>
      <c r="P17">
        <v>1</v>
      </c>
      <c r="Q17" t="s">
        <v>201</v>
      </c>
      <c r="R17">
        <v>1</v>
      </c>
      <c r="S17">
        <v>0</v>
      </c>
      <c r="T17">
        <v>0</v>
      </c>
      <c r="U17">
        <v>0</v>
      </c>
      <c r="V17">
        <v>1</v>
      </c>
      <c r="W17" t="s">
        <v>244</v>
      </c>
      <c r="X17">
        <v>4</v>
      </c>
      <c r="Y17">
        <v>0</v>
      </c>
      <c r="Z17">
        <v>0</v>
      </c>
      <c r="AA17">
        <v>1</v>
      </c>
    </row>
    <row r="18" spans="1:27" x14ac:dyDescent="0.25">
      <c r="A18" t="s">
        <v>46</v>
      </c>
      <c r="B18" t="s">
        <v>55</v>
      </c>
      <c r="C18" t="s">
        <v>92</v>
      </c>
      <c r="D18">
        <v>304338</v>
      </c>
      <c r="E18" t="s">
        <v>245</v>
      </c>
      <c r="F18" t="s">
        <v>246</v>
      </c>
      <c r="G18" t="s">
        <v>59</v>
      </c>
      <c r="H18" t="s">
        <v>60</v>
      </c>
      <c r="I18" t="s">
        <v>47</v>
      </c>
      <c r="J18" t="s">
        <v>145</v>
      </c>
      <c r="K18" t="s">
        <v>220</v>
      </c>
      <c r="L18" s="10" t="s">
        <v>221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46</v>
      </c>
      <c r="B19" t="s">
        <v>55</v>
      </c>
      <c r="C19" t="s">
        <v>92</v>
      </c>
      <c r="D19">
        <v>316104</v>
      </c>
      <c r="E19" t="s">
        <v>247</v>
      </c>
      <c r="F19" t="s">
        <v>203</v>
      </c>
      <c r="G19" t="s">
        <v>59</v>
      </c>
      <c r="H19" t="s">
        <v>60</v>
      </c>
      <c r="I19" t="s">
        <v>47</v>
      </c>
      <c r="J19" t="s">
        <v>115</v>
      </c>
      <c r="K19" t="s">
        <v>220</v>
      </c>
      <c r="L19" s="10" t="s">
        <v>221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3</v>
      </c>
      <c r="Y19">
        <v>2</v>
      </c>
      <c r="Z19">
        <v>1</v>
      </c>
      <c r="AA19">
        <v>2</v>
      </c>
    </row>
    <row r="20" spans="1:27" x14ac:dyDescent="0.25">
      <c r="A20" t="s">
        <v>46</v>
      </c>
      <c r="B20" t="s">
        <v>55</v>
      </c>
      <c r="C20" t="s">
        <v>92</v>
      </c>
      <c r="D20">
        <v>325102</v>
      </c>
      <c r="E20" t="s">
        <v>251</v>
      </c>
      <c r="F20" t="s">
        <v>252</v>
      </c>
      <c r="G20" t="s">
        <v>59</v>
      </c>
      <c r="H20" t="s">
        <v>60</v>
      </c>
      <c r="I20" t="s">
        <v>47</v>
      </c>
      <c r="J20" t="s">
        <v>101</v>
      </c>
      <c r="K20" t="s">
        <v>220</v>
      </c>
      <c r="L20" s="10" t="s">
        <v>221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2</v>
      </c>
      <c r="Y20">
        <v>1</v>
      </c>
      <c r="Z20">
        <v>1</v>
      </c>
      <c r="AA20">
        <v>1</v>
      </c>
    </row>
    <row r="21" spans="1:27" x14ac:dyDescent="0.25">
      <c r="A21" t="s">
        <v>46</v>
      </c>
      <c r="B21" t="s">
        <v>55</v>
      </c>
      <c r="C21" t="s">
        <v>92</v>
      </c>
      <c r="D21">
        <v>325106</v>
      </c>
      <c r="E21" t="s">
        <v>253</v>
      </c>
      <c r="F21" t="s">
        <v>183</v>
      </c>
      <c r="G21" t="s">
        <v>59</v>
      </c>
      <c r="H21" t="s">
        <v>60</v>
      </c>
      <c r="I21" t="s">
        <v>47</v>
      </c>
      <c r="J21" t="s">
        <v>154</v>
      </c>
      <c r="K21" t="s">
        <v>220</v>
      </c>
      <c r="L21" s="10" t="s">
        <v>221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1</v>
      </c>
    </row>
    <row r="22" spans="1:27" x14ac:dyDescent="0.25">
      <c r="A22" t="s">
        <v>46</v>
      </c>
      <c r="B22" t="s">
        <v>55</v>
      </c>
      <c r="C22" t="s">
        <v>157</v>
      </c>
      <c r="D22">
        <v>304313</v>
      </c>
      <c r="E22" t="s">
        <v>254</v>
      </c>
      <c r="F22" t="s">
        <v>255</v>
      </c>
      <c r="G22" t="s">
        <v>59</v>
      </c>
      <c r="H22" t="s">
        <v>60</v>
      </c>
      <c r="I22" t="s">
        <v>47</v>
      </c>
      <c r="J22" t="s">
        <v>166</v>
      </c>
      <c r="K22" t="s">
        <v>220</v>
      </c>
      <c r="L22" s="10" t="s">
        <v>221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1</v>
      </c>
    </row>
    <row r="23" spans="1:27" x14ac:dyDescent="0.25">
      <c r="A23" t="s">
        <v>46</v>
      </c>
      <c r="B23" t="s">
        <v>55</v>
      </c>
      <c r="C23" t="s">
        <v>157</v>
      </c>
      <c r="D23">
        <v>304318</v>
      </c>
      <c r="E23" t="s">
        <v>256</v>
      </c>
      <c r="F23" t="s">
        <v>257</v>
      </c>
      <c r="G23" t="s">
        <v>59</v>
      </c>
      <c r="H23" t="s">
        <v>60</v>
      </c>
      <c r="I23" t="s">
        <v>47</v>
      </c>
      <c r="J23" t="s">
        <v>176</v>
      </c>
      <c r="K23" t="s">
        <v>220</v>
      </c>
      <c r="L23" s="10" t="s">
        <v>221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 t="s">
        <v>270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46</v>
      </c>
      <c r="B24" t="s">
        <v>55</v>
      </c>
      <c r="C24" t="s">
        <v>157</v>
      </c>
      <c r="D24">
        <v>325105</v>
      </c>
      <c r="E24" t="s">
        <v>258</v>
      </c>
      <c r="F24" t="s">
        <v>178</v>
      </c>
      <c r="G24" t="s">
        <v>59</v>
      </c>
      <c r="H24" t="s">
        <v>60</v>
      </c>
      <c r="I24" t="s">
        <v>47</v>
      </c>
      <c r="J24" t="s">
        <v>160</v>
      </c>
      <c r="K24" t="s">
        <v>220</v>
      </c>
      <c r="L24" s="10" t="s">
        <v>221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2</v>
      </c>
      <c r="Y24">
        <v>2</v>
      </c>
      <c r="Z24">
        <v>0</v>
      </c>
      <c r="AA24">
        <v>2</v>
      </c>
    </row>
  </sheetData>
  <autoFilter ref="A8:AA24" xr:uid="{00000000-0009-0000-0000-000002000000}"/>
  <mergeCells count="7">
    <mergeCell ref="AA5:AA6"/>
    <mergeCell ref="M5:M6"/>
    <mergeCell ref="N5:P5"/>
    <mergeCell ref="R5:V5"/>
    <mergeCell ref="X5:X6"/>
    <mergeCell ref="Y5:Y6"/>
    <mergeCell ref="Z5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2023-08-01T06:26:46Z</dcterms:created>
  <dcterms:modified xsi:type="dcterms:W3CDTF">2023-08-01T06:27:55Z</dcterms:modified>
</cp:coreProperties>
</file>