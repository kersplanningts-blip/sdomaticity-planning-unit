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19-2020/BEIS Data/"/>
    </mc:Choice>
  </mc:AlternateContent>
  <xr:revisionPtr revIDLastSave="0" documentId="8_{8CAB6A64-C0FB-4237-8828-FD693CFB866D}" xr6:coauthVersionLast="47" xr6:coauthVersionMax="47" xr10:uidLastSave="{00000000-0000-0000-0000-000000000000}"/>
  <bookViews>
    <workbookView xWindow="-120" yWindow="-120" windowWidth="29040" windowHeight="15720" activeTab="2" xr2:uid="{1F10EFCE-5A5F-4D5E-A903-96BDA5C4B8CE}"/>
  </bookViews>
  <sheets>
    <sheet name="ES" sheetId="1" r:id="rId1"/>
    <sheet name="JHS" sheetId="2" r:id="rId2"/>
    <sheet name="SHS" sheetId="3" r:id="rId3"/>
  </sheets>
  <definedNames>
    <definedName name="_xlnm._FilterDatabase" localSheetId="0" hidden="1">ES!$A$8:$AO$62</definedName>
    <definedName name="_xlnm._FilterDatabase" localSheetId="1" hidden="1">JHS!$A$8:$AA$30</definedName>
    <definedName name="_xlnm._FilterDatabase" localSheetId="2" hidden="1">SHS!$A$8:$AA$24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7" i="3" l="1"/>
  <c r="Y7" i="3"/>
  <c r="X7" i="3"/>
  <c r="W7" i="3"/>
  <c r="V7" i="3"/>
  <c r="U7" i="3"/>
  <c r="T7" i="3"/>
  <c r="S7" i="3"/>
  <c r="R7" i="3"/>
  <c r="Q7" i="3"/>
  <c r="P7" i="3"/>
  <c r="O7" i="3"/>
  <c r="N7" i="3"/>
  <c r="M7" i="3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</calcChain>
</file>

<file path=xl/sharedStrings.xml><?xml version="1.0" encoding="utf-8"?>
<sst xmlns="http://schemas.openxmlformats.org/spreadsheetml/2006/main" count="1179" uniqueCount="267">
  <si>
    <t>School Level Data on Number of Teachers who received training on PEDADOGY (Elementary Level)</t>
  </si>
  <si>
    <t>SY 2019-2020</t>
  </si>
  <si>
    <t>Based on BEIS, generated as of April 15, 2020</t>
  </si>
  <si>
    <t>Contructivist</t>
  </si>
  <si>
    <t xml:space="preserve">Inquiry based </t>
  </si>
  <si>
    <t xml:space="preserve">Reflective </t>
  </si>
  <si>
    <t>Collaborative</t>
  </si>
  <si>
    <t>Integrative</t>
  </si>
  <si>
    <t>Inclusive Education</t>
  </si>
  <si>
    <t>Others</t>
  </si>
  <si>
    <t>Kindergarten</t>
  </si>
  <si>
    <t>Grade 1 to 6</t>
  </si>
  <si>
    <t>Region</t>
  </si>
  <si>
    <t>Division</t>
  </si>
  <si>
    <t>District</t>
  </si>
  <si>
    <t>School_id</t>
  </si>
  <si>
    <t>School_name</t>
  </si>
  <si>
    <t>street_address</t>
  </si>
  <si>
    <t>Province</t>
  </si>
  <si>
    <t>Municipality</t>
  </si>
  <si>
    <t>Leg_district</t>
  </si>
  <si>
    <t>Barangay</t>
  </si>
  <si>
    <t>Curricular_offering_classification</t>
  </si>
  <si>
    <t>Modified Curricular Offering</t>
  </si>
  <si>
    <t>teach_received_trainings_pedagogy_constructivist_k_m</t>
  </si>
  <si>
    <t>teach_received_trainings_pedagogy_constructivist_k_f</t>
  </si>
  <si>
    <t>teach_received_trainings_pedagogy_constructivist_gr1to6_m</t>
  </si>
  <si>
    <t>teach_received_trainings_pedagogy_constructivist_gr1to6_f</t>
  </si>
  <si>
    <t>teach_received_trainings_pedagogy_inquirybased_k_m</t>
  </si>
  <si>
    <t>teach_received_trainings_pedagogy_inquirybased_k_f</t>
  </si>
  <si>
    <t>teach_received_trainings_pedagogy_inquirybased_gr1to6_m</t>
  </si>
  <si>
    <t>teach_received_trainings_pedagogy_inquirybased_gr1to6_f</t>
  </si>
  <si>
    <t>teach_received_trainings_pedagogy_reflective_k_m</t>
  </si>
  <si>
    <t>teach_received_trainings_pedagogy_reflective_k_f</t>
  </si>
  <si>
    <t>teach_received_trainings_pedagogy_reflective_gr1to6_m</t>
  </si>
  <si>
    <t>teach_received_trainings_pedagogy_reflective_gr1to6_f</t>
  </si>
  <si>
    <t>teach_received_trainings_pedagogy_collaborative_k_m</t>
  </si>
  <si>
    <t>teach_received_trainings_pedagogy_collaborative_k_f</t>
  </si>
  <si>
    <t>teach_received_trainings_pedagogy_collaborative_gr1to6_m</t>
  </si>
  <si>
    <t>teach_received_trainings_pedagogy_collaborative_gr1to6_f</t>
  </si>
  <si>
    <t>teach_received_trainings_pedagogy_integrative_k_m</t>
  </si>
  <si>
    <t>teach_received_trainings_pedagogy_integrative_k_f</t>
  </si>
  <si>
    <t>teach_received_trainings_pedagogy_integrative_gr1to6_m</t>
  </si>
  <si>
    <t>teach_received_trainings_pedagogy_integrative_gr1to6_f</t>
  </si>
  <si>
    <t>teach_received_trainings_pedagogy_inclusiveeduc_k_m</t>
  </si>
  <si>
    <t>teach_received_trainings_pedagogy_inclusiveeduc_k_f</t>
  </si>
  <si>
    <t>teach_received_trainings_pedagogy_inclusiveeduc_gr1to6_m</t>
  </si>
  <si>
    <t>teach_received_trainings_pedagogy_inclusiveeduc_gr1to6_f</t>
  </si>
  <si>
    <t>teach_received_trainings_pedagogy_others_k_m</t>
  </si>
  <si>
    <t>teach_received_trainings_pedagogy_others_k_f</t>
  </si>
  <si>
    <t>teach_received_trainings_pedagogy_others_gr1to6_m</t>
  </si>
  <si>
    <t>teach_received_trainings_pedagogy_others_gr1to6_f</t>
  </si>
  <si>
    <t>Remarks</t>
  </si>
  <si>
    <t>Region XI</t>
  </si>
  <si>
    <t>2nd District</t>
  </si>
  <si>
    <t>Kinder &amp; Grade 1-6</t>
  </si>
  <si>
    <t>Purely ES</t>
  </si>
  <si>
    <t>Kinder, Grade 1-6, Grade 7-10</t>
  </si>
  <si>
    <t>ES and JHS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</si>
  <si>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</si>
  <si>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</si>
  <si>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</si>
  <si>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</si>
  <si>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</si>
  <si>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</si>
  <si>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</si>
  <si>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</si>
  <si>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</si>
  <si>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</si>
  <si>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</si>
  <si>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</si>
  <si>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</si>
  <si>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</si>
  <si>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</si>
  <si>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</si>
  <si>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</si>
  <si>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</si>
  <si>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</si>
  <si>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</si>
  <si>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</si>
  <si>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</si>
  <si>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</si>
  <si>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</si>
  <si>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</si>
  <si>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</si>
  <si>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</si>
  <si>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</si>
  <si>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</si>
  <si>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</si>
  <si>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</si>
  <si>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</si>
  <si>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Kinder, Grade 1-6, Grade 7-10 &amp; Grade 11-12</t>
  </si>
  <si>
    <t>All Offering</t>
  </si>
  <si>
    <t>Culian Integrated School</t>
  </si>
  <si>
    <t>Brgy. Culian, Mati City</t>
  </si>
  <si>
    <t>CULIAN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</si>
  <si>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</si>
  <si>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</si>
  <si>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</si>
  <si>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</si>
  <si>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</si>
  <si>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</si>
  <si>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</si>
  <si>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</si>
  <si>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</si>
  <si>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</si>
  <si>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</si>
  <si>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</si>
  <si>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</si>
  <si>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</si>
  <si>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</si>
  <si>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</si>
  <si>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</si>
  <si>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</si>
  <si>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</si>
  <si>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</si>
  <si>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</si>
  <si>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</si>
  <si>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</si>
  <si>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</si>
  <si>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</si>
  <si>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</si>
  <si>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</si>
  <si>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</si>
  <si>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</si>
  <si>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</si>
  <si>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</si>
  <si>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</si>
  <si>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</si>
  <si>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</si>
  <si>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</si>
  <si>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</si>
  <si>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</si>
  <si>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</si>
  <si>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</si>
  <si>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</si>
  <si>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</si>
  <si>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</si>
  <si>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</si>
  <si>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</si>
  <si>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</si>
  <si>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</si>
  <si>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</si>
  <si>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</si>
  <si>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</si>
  <si>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</si>
  <si>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</si>
  <si>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</si>
  <si>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</si>
  <si>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</si>
  <si>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</si>
  <si>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</si>
  <si>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</si>
  <si>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</si>
  <si>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</si>
  <si>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</si>
  <si>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</si>
  <si>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</si>
  <si>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</si>
  <si>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</si>
  <si>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</si>
  <si>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</si>
  <si>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</si>
  <si>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</si>
  <si>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</si>
  <si>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</si>
  <si>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</si>
  <si>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</si>
  <si>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</si>
  <si>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</si>
  <si>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</si>
  <si>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</si>
  <si>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</si>
  <si>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</si>
  <si>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</si>
  <si>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</si>
  <si>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</si>
  <si>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</si>
  <si>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</si>
  <si>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</si>
  <si>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</si>
  <si>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</si>
  <si>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</si>
  <si>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</si>
  <si>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</si>
  <si>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</si>
  <si>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</si>
  <si>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</si>
  <si>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</si>
  <si>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</si>
  <si>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</si>
  <si>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</si>
  <si>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</si>
  <si>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</si>
  <si>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</si>
  <si>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</si>
  <si>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</si>
  <si>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</si>
  <si>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</si>
  <si>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Centro</t>
  </si>
  <si>
    <t>School Level Data on Number of Teachers who received training on PEDADOGY (Junior High School)</t>
  </si>
  <si>
    <t>Male</t>
  </si>
  <si>
    <t>Female</t>
  </si>
  <si>
    <t>teachers_trained_constructivist_female</t>
  </si>
  <si>
    <t>teachers_trained_constructivist_male</t>
  </si>
  <si>
    <t>teachers_trained_inquirybased_female</t>
  </si>
  <si>
    <t>teachers_trained_inquirybased_male</t>
  </si>
  <si>
    <t>teachers_trained_reflective_female</t>
  </si>
  <si>
    <t>teachers_trained_reflective_male</t>
  </si>
  <si>
    <t>teachers_trained_collaborative_female</t>
  </si>
  <si>
    <t>teachers_trained_collaborative_male</t>
  </si>
  <si>
    <t>teachers_trained_integrative_female</t>
  </si>
  <si>
    <t>teachers_trained_integrative_male</t>
  </si>
  <si>
    <t>teachers_trained_inclusiveeduc_female</t>
  </si>
  <si>
    <t>teachers_trained_inclusiveeduc_male</t>
  </si>
  <si>
    <t>teachers_trained_pedagogy_others_female</t>
  </si>
  <si>
    <t>teachers_trained_pedagogy_others_male</t>
  </si>
  <si>
    <t>Grade 7-10 &amp; Grade 11-12</t>
  </si>
  <si>
    <t>JHS with SHS</t>
  </si>
  <si>
    <t>Grade 7-10</t>
  </si>
  <si>
    <t>Purely JHS</t>
  </si>
  <si>
    <t>Mati National Comprehensive High School</t>
  </si>
  <si>
    <t>Mangga</t>
  </si>
  <si>
    <t>Mati SAT</t>
  </si>
  <si>
    <t>Garcia Avenue</t>
  </si>
  <si>
    <t>City of Mati National High School</t>
  </si>
  <si>
    <t>Brgy. Dahican, Mati City</t>
  </si>
  <si>
    <t>Badas NHS</t>
  </si>
  <si>
    <t>Camansi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</si>
  <si>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</si>
  <si>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</si>
  <si>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</si>
  <si>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</si>
  <si>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</si>
  <si>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</si>
  <si>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</si>
  <si>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</si>
  <si>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</si>
  <si>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</si>
  <si>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</si>
  <si>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Don Salvador Lopez NHS</t>
  </si>
  <si>
    <t>Doña Rosa G. Rabat MHS</t>
  </si>
  <si>
    <t>Purok 30</t>
  </si>
  <si>
    <t>Lawigan National High School</t>
  </si>
  <si>
    <t>Batiano, Lawigan</t>
  </si>
  <si>
    <t>Mayo NHS</t>
  </si>
  <si>
    <t>Dawan NHS</t>
  </si>
  <si>
    <t>Purok Santan</t>
  </si>
  <si>
    <t>Libudon NHS</t>
  </si>
  <si>
    <t>Purok 5- San Francisco</t>
  </si>
  <si>
    <t>Macambol NHS</t>
  </si>
  <si>
    <t>School Level Data on Number of Teachers who received training on PEDADOGY (Senior High School)</t>
  </si>
  <si>
    <t>teach_train_ped_const_m</t>
  </si>
  <si>
    <t>teach_train_ped_const_f</t>
  </si>
  <si>
    <t>teach_train_ped_inq_based_m</t>
  </si>
  <si>
    <t>teach_train_ped_inq_based_f</t>
  </si>
  <si>
    <t>teach_train_ped_ref_m</t>
  </si>
  <si>
    <t>teach_train_ped_ref_f</t>
  </si>
  <si>
    <t>teach_train_ped_collab_m</t>
  </si>
  <si>
    <t>teach_train_ped_collab_f</t>
  </si>
  <si>
    <t>teach_train_ped_integ_m</t>
  </si>
  <si>
    <t>teach_train_ped_integ_f</t>
  </si>
  <si>
    <t>teach_train_ped_inc_educ_m</t>
  </si>
  <si>
    <t>teach_train_ped_inc_educ_f</t>
  </si>
  <si>
    <t>teach_train_ped_others_m</t>
  </si>
  <si>
    <t>teach_train_ped_others_f</t>
  </si>
  <si>
    <t>Remakrs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</si>
</sst>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4" x14ac:knownFonts="1">
    <font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165" fontId="0" fillId="0" borderId="0" xfId="1" applyNumberFormat="1" applyFont="1"/>
    <xf numFmtId="0" fontId="3" fillId="0" borderId="1" xfId="0" applyFont="1" applyBorder="1" applyAlignment="1">
      <alignment horizontal="center"/>
    </xf>
    <xf numFmtId="165" fontId="3" fillId="0" borderId="0" xfId="1" applyNumberFormat="1" applyFont="1" applyFill="1" applyAlignment="1">
      <alignment horizontal="center"/>
    </xf>
    <xf numFmtId="0" fontId="2" fillId="2" borderId="0" xfId="0" applyFont="1" applyFill="1"/>
    <xf numFmtId="0" fontId="2" fillId="3" borderId="0" xfId="0" applyFont="1" applyFill="1"/>
    <xf numFmtId="0" fontId="3" fillId="0" borderId="0" xfId="0" applyFont="1"/>
    <xf numFmtId="0" fontId="1" fillId="0" borderId="0" xfId="0" applyFont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4BF59-6FA2-4F99-B690-9866E7BB6900}">
  <dimension ref="A1:AO62"/>
  <sheetViews>
    <sheetView zoomScale="85" zoomScaleNormal="85" workbookViewId="0">
      <pane xSplit="4" ySplit="8" topLeftCell="E42" activePane="bottomRight" state="frozen"/>
      <selection activeCell="B27" sqref="A9:XFD27"/>
      <selection pane="topRight" activeCell="B27" sqref="A9:XFD27"/>
      <selection pane="bottomLeft" activeCell="B27" sqref="A9:XFD27"/>
      <selection pane="bottomRight" activeCell="B63" sqref="A63:XFD232"/>
    </sheetView>
  </sheetViews>
  <sheetFormatPr defaultRowHeight="15" x14ac:dyDescent="0.25"/>
  <cols>
    <col min="2" max="2" width="27.42578125" bestFit="1" customWidth="1"/>
    <col min="13" max="13" width="9" bestFit="1" customWidth="1"/>
    <col min="14" max="15" width="11.140625" bestFit="1" customWidth="1"/>
    <col min="16" max="16" width="12.28515625" bestFit="1" customWidth="1"/>
    <col min="17" max="17" width="9" bestFit="1" customWidth="1"/>
    <col min="18" max="19" width="11.140625" bestFit="1" customWidth="1"/>
    <col min="20" max="20" width="12.28515625" bestFit="1" customWidth="1"/>
    <col min="21" max="21" width="9" bestFit="1" customWidth="1"/>
    <col min="22" max="23" width="11.140625" bestFit="1" customWidth="1"/>
    <col min="24" max="24" width="12.28515625" bestFit="1" customWidth="1"/>
    <col min="25" max="25" width="9" bestFit="1" customWidth="1"/>
    <col min="26" max="27" width="11.140625" bestFit="1" customWidth="1"/>
    <col min="28" max="28" width="12.28515625" bestFit="1" customWidth="1"/>
    <col min="29" max="29" width="9" bestFit="1" customWidth="1"/>
    <col min="30" max="31" width="11.140625" bestFit="1" customWidth="1"/>
    <col min="32" max="32" width="12.28515625" bestFit="1" customWidth="1"/>
    <col min="33" max="33" width="9" bestFit="1" customWidth="1"/>
    <col min="34" max="35" width="11.140625" bestFit="1" customWidth="1"/>
    <col min="36" max="36" width="12.28515625" bestFit="1" customWidth="1"/>
    <col min="37" max="37" width="9" bestFit="1" customWidth="1"/>
    <col min="38" max="39" width="11.140625" bestFit="1" customWidth="1"/>
    <col min="40" max="40" width="12.28515625" bestFit="1" customWidth="1"/>
  </cols>
  <sheetData>
    <row r="1" spans="1:41" x14ac:dyDescent="0.25">
      <c r="A1" s="1" t="s">
        <v>0</v>
      </c>
    </row>
    <row r="2" spans="1:41" x14ac:dyDescent="0.25">
      <c r="A2" s="1" t="s">
        <v>1</v>
      </c>
      <c r="L2" s="2"/>
    </row>
    <row r="3" spans="1:41" x14ac:dyDescent="0.25">
      <c r="A3" s="1" t="s">
        <v>2</v>
      </c>
      <c r="L3" s="2"/>
    </row>
    <row r="4" spans="1:41" x14ac:dyDescent="0.25">
      <c r="A4" s="1"/>
      <c r="L4" s="2"/>
    </row>
    <row r="5" spans="1:41" x14ac:dyDescent="0.25">
      <c r="A5" s="1"/>
      <c r="L5" s="2"/>
      <c r="M5" s="3" t="s">
        <v>3</v>
      </c>
      <c r="N5" s="3"/>
      <c r="O5" s="3"/>
      <c r="P5" s="3"/>
      <c r="Q5" s="3" t="s">
        <v>4</v>
      </c>
      <c r="R5" s="3"/>
      <c r="S5" s="3"/>
      <c r="T5" s="3"/>
      <c r="U5" s="3" t="s">
        <v>5</v>
      </c>
      <c r="V5" s="3"/>
      <c r="W5" s="3"/>
      <c r="X5" s="3"/>
      <c r="Y5" s="3" t="s">
        <v>6</v>
      </c>
      <c r="Z5" s="3"/>
      <c r="AA5" s="3"/>
      <c r="AB5" s="3"/>
      <c r="AC5" s="3" t="s">
        <v>7</v>
      </c>
      <c r="AD5" s="3"/>
      <c r="AE5" s="3"/>
      <c r="AF5" s="3"/>
      <c r="AG5" s="3" t="s">
        <v>8</v>
      </c>
      <c r="AH5" s="3"/>
      <c r="AI5" s="3"/>
      <c r="AJ5" s="3"/>
      <c r="AK5" s="3" t="s">
        <v>9</v>
      </c>
      <c r="AL5" s="3"/>
      <c r="AM5" s="3"/>
      <c r="AN5" s="3"/>
    </row>
    <row r="6" spans="1:41" x14ac:dyDescent="0.25">
      <c r="M6" s="3" t="s">
        <v>10</v>
      </c>
      <c r="N6" s="3"/>
      <c r="O6" s="3" t="s">
        <v>11</v>
      </c>
      <c r="P6" s="3"/>
      <c r="Q6" s="3" t="s">
        <v>10</v>
      </c>
      <c r="R6" s="3"/>
      <c r="S6" s="3" t="s">
        <v>11</v>
      </c>
      <c r="T6" s="3"/>
      <c r="U6" s="3" t="s">
        <v>10</v>
      </c>
      <c r="V6" s="3"/>
      <c r="W6" s="3" t="s">
        <v>11</v>
      </c>
      <c r="X6" s="3"/>
      <c r="Y6" s="3" t="s">
        <v>10</v>
      </c>
      <c r="Z6" s="3"/>
      <c r="AA6" s="3" t="s">
        <v>11</v>
      </c>
      <c r="AB6" s="3"/>
      <c r="AC6" s="3" t="s">
        <v>10</v>
      </c>
      <c r="AD6" s="3"/>
      <c r="AE6" s="3" t="s">
        <v>11</v>
      </c>
      <c r="AF6" s="3"/>
      <c r="AG6" s="3" t="s">
        <v>10</v>
      </c>
      <c r="AH6" s="3"/>
      <c r="AI6" s="3" t="s">
        <v>11</v>
      </c>
      <c r="AJ6" s="3"/>
      <c r="AK6" s="3" t="s">
        <v>10</v>
      </c>
      <c r="AL6" s="3"/>
      <c r="AM6" s="3" t="s">
        <v>11</v>
      </c>
      <c r="AN6" s="3"/>
    </row>
    <row r="7" spans="1:41" x14ac:dyDescent="0.25">
      <c r="M7" s="4">
        <f>SUM(M9:M62)</f>
        <v>0</v>
      </c>
      <c r="N7" s="4">
        <f>SUM(N9:N62)</f>
        <v>20</v>
      </c>
      <c r="O7" s="4">
        <f>SUM(O9:O62)</f>
        <v>33</v>
      </c>
      <c r="P7" s="4">
        <f>SUM(P9:P62)</f>
        <v>172</v>
      </c>
      <c r="Q7" s="4">
        <f>SUM(Q9:Q62)</f>
        <v>0</v>
      </c>
      <c r="R7" s="4">
        <f>SUM(R9:R62)</f>
        <v>12</v>
      </c>
      <c r="S7" s="4">
        <f>SUM(S9:S62)</f>
        <v>25</v>
      </c>
      <c r="T7" s="4">
        <f>SUM(T9:T62)</f>
        <v>148</v>
      </c>
      <c r="U7" s="4">
        <f>SUM(U9:U62)</f>
        <v>0</v>
      </c>
      <c r="V7" s="4">
        <f>SUM(V9:V62)</f>
        <v>11</v>
      </c>
      <c r="W7" s="4">
        <f>SUM(W9:W62)</f>
        <v>25</v>
      </c>
      <c r="X7" s="4">
        <f>SUM(X9:X62)</f>
        <v>134</v>
      </c>
      <c r="Y7" s="4">
        <f>SUM(Y9:Y62)</f>
        <v>0</v>
      </c>
      <c r="Z7" s="4">
        <f>SUM(Z9:Z62)</f>
        <v>16</v>
      </c>
      <c r="AA7" s="4">
        <f>SUM(AA9:AA62)</f>
        <v>28</v>
      </c>
      <c r="AB7" s="4">
        <f>SUM(AB9:AB62)</f>
        <v>161</v>
      </c>
      <c r="AC7" s="4">
        <f>SUM(AC9:AC62)</f>
        <v>1</v>
      </c>
      <c r="AD7" s="4">
        <f>SUM(AD9:AD62)</f>
        <v>17</v>
      </c>
      <c r="AE7" s="4">
        <f>SUM(AE9:AE62)</f>
        <v>37</v>
      </c>
      <c r="AF7" s="4">
        <f>SUM(AF9:AF62)</f>
        <v>210</v>
      </c>
      <c r="AG7" s="4">
        <f>SUM(AG9:AG62)</f>
        <v>1</v>
      </c>
      <c r="AH7" s="4">
        <f>SUM(AH9:AH62)</f>
        <v>27</v>
      </c>
      <c r="AI7" s="4">
        <f>SUM(AI9:AI62)</f>
        <v>34</v>
      </c>
      <c r="AJ7" s="4">
        <f>SUM(AJ9:AJ62)</f>
        <v>195</v>
      </c>
      <c r="AK7" s="4">
        <f>SUM(AK9:AK62)</f>
        <v>0</v>
      </c>
      <c r="AL7" s="4">
        <f>SUM(AL9:AL62)</f>
        <v>14</v>
      </c>
      <c r="AM7" s="4">
        <f>SUM(AM9:AM62)</f>
        <v>29</v>
      </c>
      <c r="AN7" s="4">
        <f>SUM(AN9:AN62)</f>
        <v>169</v>
      </c>
    </row>
    <row r="8" spans="1:41" x14ac:dyDescent="0.25">
      <c r="A8" s="5" t="s">
        <v>12</v>
      </c>
      <c r="B8" s="5" t="s">
        <v>13</v>
      </c>
      <c r="C8" s="5" t="s">
        <v>14</v>
      </c>
      <c r="D8" s="5" t="s">
        <v>15</v>
      </c>
      <c r="E8" s="5" t="s">
        <v>16</v>
      </c>
      <c r="F8" s="5" t="s">
        <v>17</v>
      </c>
      <c r="G8" s="5" t="s">
        <v>18</v>
      </c>
      <c r="H8" s="5" t="s">
        <v>19</v>
      </c>
      <c r="I8" s="5" t="s">
        <v>20</v>
      </c>
      <c r="J8" s="5" t="s">
        <v>21</v>
      </c>
      <c r="K8" s="5" t="s">
        <v>22</v>
      </c>
      <c r="L8" s="6" t="s">
        <v>23</v>
      </c>
      <c r="M8" s="7" t="s">
        <v>24</v>
      </c>
      <c r="N8" s="7" t="s">
        <v>25</v>
      </c>
      <c r="O8" s="7" t="s">
        <v>26</v>
      </c>
      <c r="P8" s="7" t="s">
        <v>27</v>
      </c>
      <c r="Q8" s="7" t="s">
        <v>28</v>
      </c>
      <c r="R8" s="7" t="s">
        <v>29</v>
      </c>
      <c r="S8" s="7" t="s">
        <v>30</v>
      </c>
      <c r="T8" s="7" t="s">
        <v>31</v>
      </c>
      <c r="U8" s="7" t="s">
        <v>32</v>
      </c>
      <c r="V8" s="7" t="s">
        <v>33</v>
      </c>
      <c r="W8" s="7" t="s">
        <v>34</v>
      </c>
      <c r="X8" s="7" t="s">
        <v>35</v>
      </c>
      <c r="Y8" s="7" t="s">
        <v>36</v>
      </c>
      <c r="Z8" s="7" t="s">
        <v>37</v>
      </c>
      <c r="AA8" s="7" t="s">
        <v>38</v>
      </c>
      <c r="AB8" s="7" t="s">
        <v>39</v>
      </c>
      <c r="AC8" s="7" t="s">
        <v>40</v>
      </c>
      <c r="AD8" s="7" t="s">
        <v>41</v>
      </c>
      <c r="AE8" s="7" t="s">
        <v>42</v>
      </c>
      <c r="AF8" s="7" t="s">
        <v>43</v>
      </c>
      <c r="AG8" s="7" t="s">
        <v>44</v>
      </c>
      <c r="AH8" s="7" t="s">
        <v>45</v>
      </c>
      <c r="AI8" s="7" t="s">
        <v>46</v>
      </c>
      <c r="AJ8" s="7" t="s">
        <v>47</v>
      </c>
      <c r="AK8" s="7" t="s">
        <v>48</v>
      </c>
      <c r="AL8" s="7" t="s">
        <v>49</v>
      </c>
      <c r="AM8" s="7" t="s">
        <v>50</v>
      </c>
      <c r="AN8" s="7" t="s">
        <v>51</v>
      </c>
      <c r="AO8" s="7" t="s">
        <v>52</v>
      </c>
    </row>
    <row r="9" spans="1:41" x14ac:dyDescent="0.25">
      <c r="A9" t="s">
        <v>53</v>
      </c>
      <c r="B9" t="s">
        <v>59</v>
      </c>
      <c r="C9" t="s">
        <v>60</v>
      </c>
      <c r="D9">
        <v>129374</v>
      </c>
      <c r="E9" t="s">
        <v>61</v>
      </c>
      <c r="F9" t="s">
        <v>62</v>
      </c>
      <c r="G9" t="s">
        <v>63</v>
      </c>
      <c r="H9" t="s">
        <v>64</v>
      </c>
      <c r="I9" t="s">
        <v>54</v>
      </c>
      <c r="J9" t="s">
        <v>65</v>
      </c>
      <c r="K9" t="s">
        <v>55</v>
      </c>
      <c r="L9" s="8" t="s">
        <v>56</v>
      </c>
      <c r="M9">
        <v>0</v>
      </c>
      <c r="N9">
        <v>1</v>
      </c>
      <c r="O9">
        <v>3</v>
      </c>
      <c r="P9">
        <v>13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</row>
    <row r="10" spans="1:41" x14ac:dyDescent="0.25">
      <c r="A10" t="s">
        <v>53</v>
      </c>
      <c r="B10" t="s">
        <v>59</v>
      </c>
      <c r="C10" t="s">
        <v>60</v>
      </c>
      <c r="D10">
        <v>129375</v>
      </c>
      <c r="E10" t="s">
        <v>66</v>
      </c>
      <c r="F10" t="s">
        <v>67</v>
      </c>
      <c r="G10" t="s">
        <v>63</v>
      </c>
      <c r="H10" t="s">
        <v>64</v>
      </c>
      <c r="I10" t="s">
        <v>54</v>
      </c>
      <c r="J10" t="s">
        <v>65</v>
      </c>
      <c r="K10" t="s">
        <v>55</v>
      </c>
      <c r="L10" s="8" t="s">
        <v>56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3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  <c r="AB10">
        <v>2</v>
      </c>
      <c r="AC10">
        <v>0</v>
      </c>
      <c r="AD10">
        <v>0</v>
      </c>
      <c r="AE10">
        <v>1</v>
      </c>
      <c r="AF10">
        <v>3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4</v>
      </c>
    </row>
    <row r="11" spans="1:41" x14ac:dyDescent="0.25">
      <c r="A11" t="s">
        <v>53</v>
      </c>
      <c r="B11" t="s">
        <v>59</v>
      </c>
      <c r="C11" t="s">
        <v>60</v>
      </c>
      <c r="D11">
        <v>129376</v>
      </c>
      <c r="E11" t="s">
        <v>68</v>
      </c>
      <c r="F11" t="s">
        <v>69</v>
      </c>
      <c r="G11" t="s">
        <v>63</v>
      </c>
      <c r="H11" t="s">
        <v>64</v>
      </c>
      <c r="I11" t="s">
        <v>54</v>
      </c>
      <c r="J11" t="s">
        <v>70</v>
      </c>
      <c r="K11" t="s">
        <v>55</v>
      </c>
      <c r="L11" s="8" t="s">
        <v>56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1</v>
      </c>
      <c r="AJ11">
        <v>8</v>
      </c>
      <c r="AK11">
        <v>0</v>
      </c>
      <c r="AL11">
        <v>0</v>
      </c>
      <c r="AM11">
        <v>0</v>
      </c>
      <c r="AN11">
        <v>0</v>
      </c>
    </row>
    <row r="12" spans="1:41" x14ac:dyDescent="0.25">
      <c r="A12" t="s">
        <v>53</v>
      </c>
      <c r="B12" t="s">
        <v>59</v>
      </c>
      <c r="C12" t="s">
        <v>60</v>
      </c>
      <c r="D12">
        <v>129377</v>
      </c>
      <c r="E12" t="s">
        <v>71</v>
      </c>
      <c r="F12" t="s">
        <v>72</v>
      </c>
      <c r="G12" t="s">
        <v>63</v>
      </c>
      <c r="H12" t="s">
        <v>64</v>
      </c>
      <c r="I12" t="s">
        <v>54</v>
      </c>
      <c r="J12" t="s">
        <v>73</v>
      </c>
      <c r="K12" t="s">
        <v>55</v>
      </c>
      <c r="L12" s="8" t="s">
        <v>56</v>
      </c>
      <c r="M12">
        <v>0</v>
      </c>
      <c r="N12">
        <v>1</v>
      </c>
      <c r="O12">
        <v>4</v>
      </c>
      <c r="P12">
        <v>12</v>
      </c>
      <c r="Q12">
        <v>0</v>
      </c>
      <c r="R12">
        <v>1</v>
      </c>
      <c r="S12">
        <v>4</v>
      </c>
      <c r="T12">
        <v>12</v>
      </c>
      <c r="U12">
        <v>0</v>
      </c>
      <c r="V12">
        <v>1</v>
      </c>
      <c r="W12">
        <v>4</v>
      </c>
      <c r="X12">
        <v>12</v>
      </c>
      <c r="Y12">
        <v>0</v>
      </c>
      <c r="Z12">
        <v>1</v>
      </c>
      <c r="AA12">
        <v>4</v>
      </c>
      <c r="AB12">
        <v>12</v>
      </c>
      <c r="AC12">
        <v>0</v>
      </c>
      <c r="AD12">
        <v>1</v>
      </c>
      <c r="AE12">
        <v>4</v>
      </c>
      <c r="AF12">
        <v>12</v>
      </c>
      <c r="AG12">
        <v>0</v>
      </c>
      <c r="AH12">
        <v>1</v>
      </c>
      <c r="AI12">
        <v>4</v>
      </c>
      <c r="AJ12">
        <v>12</v>
      </c>
      <c r="AK12">
        <v>0</v>
      </c>
      <c r="AL12">
        <v>1</v>
      </c>
      <c r="AM12">
        <v>4</v>
      </c>
      <c r="AN12">
        <v>12</v>
      </c>
    </row>
    <row r="13" spans="1:41" x14ac:dyDescent="0.25">
      <c r="A13" t="s">
        <v>53</v>
      </c>
      <c r="B13" t="s">
        <v>59</v>
      </c>
      <c r="C13" t="s">
        <v>60</v>
      </c>
      <c r="D13">
        <v>129380</v>
      </c>
      <c r="E13" t="s">
        <v>74</v>
      </c>
      <c r="F13" t="s">
        <v>75</v>
      </c>
      <c r="G13" t="s">
        <v>63</v>
      </c>
      <c r="H13" t="s">
        <v>64</v>
      </c>
      <c r="I13" t="s">
        <v>54</v>
      </c>
      <c r="J13" t="s">
        <v>70</v>
      </c>
      <c r="K13" t="s">
        <v>55</v>
      </c>
      <c r="L13" s="8" t="s">
        <v>56</v>
      </c>
      <c r="M13">
        <v>0</v>
      </c>
      <c r="N13">
        <v>3</v>
      </c>
      <c r="O13">
        <v>4</v>
      </c>
      <c r="P13">
        <v>40</v>
      </c>
      <c r="Q13">
        <v>0</v>
      </c>
      <c r="R13">
        <v>3</v>
      </c>
      <c r="S13">
        <v>4</v>
      </c>
      <c r="T13">
        <v>40</v>
      </c>
      <c r="U13">
        <v>0</v>
      </c>
      <c r="V13">
        <v>3</v>
      </c>
      <c r="W13">
        <v>4</v>
      </c>
      <c r="X13">
        <v>40</v>
      </c>
      <c r="Y13">
        <v>0</v>
      </c>
      <c r="Z13">
        <v>3</v>
      </c>
      <c r="AA13">
        <v>4</v>
      </c>
      <c r="AB13">
        <v>40</v>
      </c>
      <c r="AC13">
        <v>0</v>
      </c>
      <c r="AD13">
        <v>3</v>
      </c>
      <c r="AE13">
        <v>4</v>
      </c>
      <c r="AF13">
        <v>40</v>
      </c>
      <c r="AG13">
        <v>0</v>
      </c>
      <c r="AH13">
        <v>3</v>
      </c>
      <c r="AI13">
        <v>4</v>
      </c>
      <c r="AJ13">
        <v>40</v>
      </c>
      <c r="AK13">
        <v>0</v>
      </c>
      <c r="AL13">
        <v>3</v>
      </c>
      <c r="AM13">
        <v>4</v>
      </c>
      <c r="AN13">
        <v>40</v>
      </c>
    </row>
    <row r="14" spans="1:41" x14ac:dyDescent="0.25">
      <c r="A14" t="s">
        <v>53</v>
      </c>
      <c r="B14" t="s">
        <v>59</v>
      </c>
      <c r="C14" t="s">
        <v>60</v>
      </c>
      <c r="D14">
        <v>129381</v>
      </c>
      <c r="E14" t="s">
        <v>76</v>
      </c>
      <c r="F14" t="s">
        <v>77</v>
      </c>
      <c r="G14" t="s">
        <v>63</v>
      </c>
      <c r="H14" t="s">
        <v>64</v>
      </c>
      <c r="I14" t="s">
        <v>54</v>
      </c>
      <c r="J14" t="s">
        <v>70</v>
      </c>
      <c r="K14" t="s">
        <v>55</v>
      </c>
      <c r="L14" s="8" t="s">
        <v>56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</v>
      </c>
      <c r="AD14">
        <v>1</v>
      </c>
      <c r="AE14">
        <v>6</v>
      </c>
      <c r="AF14">
        <v>36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</row>
    <row r="15" spans="1:41" x14ac:dyDescent="0.25">
      <c r="A15" t="s">
        <v>53</v>
      </c>
      <c r="B15" t="s">
        <v>59</v>
      </c>
      <c r="C15" t="s">
        <v>60</v>
      </c>
      <c r="D15">
        <v>129382</v>
      </c>
      <c r="E15" t="s">
        <v>78</v>
      </c>
      <c r="F15" t="s">
        <v>79</v>
      </c>
      <c r="G15" t="s">
        <v>63</v>
      </c>
      <c r="H15" t="s">
        <v>64</v>
      </c>
      <c r="I15" t="s">
        <v>54</v>
      </c>
      <c r="J15" t="s">
        <v>70</v>
      </c>
      <c r="K15" t="s">
        <v>55</v>
      </c>
      <c r="L15" s="8" t="s">
        <v>56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</row>
    <row r="16" spans="1:41" x14ac:dyDescent="0.25">
      <c r="A16" t="s">
        <v>53</v>
      </c>
      <c r="B16" t="s">
        <v>59</v>
      </c>
      <c r="C16" t="s">
        <v>60</v>
      </c>
      <c r="D16">
        <v>129383</v>
      </c>
      <c r="E16" t="s">
        <v>80</v>
      </c>
      <c r="F16" t="s">
        <v>81</v>
      </c>
      <c r="G16" t="s">
        <v>63</v>
      </c>
      <c r="H16" t="s">
        <v>64</v>
      </c>
      <c r="I16" t="s">
        <v>54</v>
      </c>
      <c r="J16" t="s">
        <v>70</v>
      </c>
      <c r="K16" t="s">
        <v>55</v>
      </c>
      <c r="L16" s="8" t="s">
        <v>56</v>
      </c>
      <c r="M16">
        <v>0</v>
      </c>
      <c r="N16">
        <v>2</v>
      </c>
      <c r="O16">
        <v>4</v>
      </c>
      <c r="P16">
        <v>19</v>
      </c>
      <c r="Q16">
        <v>0</v>
      </c>
      <c r="R16">
        <v>2</v>
      </c>
      <c r="S16">
        <v>4</v>
      </c>
      <c r="T16">
        <v>19</v>
      </c>
      <c r="U16">
        <v>0</v>
      </c>
      <c r="V16">
        <v>2</v>
      </c>
      <c r="W16">
        <v>4</v>
      </c>
      <c r="X16">
        <v>19</v>
      </c>
      <c r="Y16">
        <v>0</v>
      </c>
      <c r="Z16">
        <v>2</v>
      </c>
      <c r="AA16">
        <v>4</v>
      </c>
      <c r="AB16">
        <v>19</v>
      </c>
      <c r="AC16">
        <v>0</v>
      </c>
      <c r="AD16">
        <v>2</v>
      </c>
      <c r="AE16">
        <v>4</v>
      </c>
      <c r="AF16">
        <v>19</v>
      </c>
      <c r="AG16">
        <v>0</v>
      </c>
      <c r="AH16">
        <v>2</v>
      </c>
      <c r="AI16">
        <v>4</v>
      </c>
      <c r="AJ16">
        <v>19</v>
      </c>
      <c r="AK16">
        <v>0</v>
      </c>
      <c r="AL16">
        <v>2</v>
      </c>
      <c r="AM16">
        <v>4</v>
      </c>
      <c r="AN16">
        <v>19</v>
      </c>
    </row>
    <row r="17" spans="1:40" x14ac:dyDescent="0.25">
      <c r="A17" t="s">
        <v>53</v>
      </c>
      <c r="B17" t="s">
        <v>59</v>
      </c>
      <c r="C17" t="s">
        <v>60</v>
      </c>
      <c r="D17">
        <v>129384</v>
      </c>
      <c r="E17" t="s">
        <v>82</v>
      </c>
      <c r="F17" t="s">
        <v>83</v>
      </c>
      <c r="G17" t="s">
        <v>63</v>
      </c>
      <c r="H17" t="s">
        <v>64</v>
      </c>
      <c r="I17" t="s">
        <v>54</v>
      </c>
      <c r="J17" t="s">
        <v>70</v>
      </c>
      <c r="K17" t="s">
        <v>55</v>
      </c>
      <c r="L17" s="8" t="s">
        <v>56</v>
      </c>
      <c r="M17">
        <v>0</v>
      </c>
      <c r="N17">
        <v>0</v>
      </c>
      <c r="O17">
        <v>1</v>
      </c>
      <c r="P17">
        <v>6</v>
      </c>
      <c r="Q17">
        <v>0</v>
      </c>
      <c r="R17">
        <v>0</v>
      </c>
      <c r="S17">
        <v>1</v>
      </c>
      <c r="T17">
        <v>6</v>
      </c>
      <c r="U17">
        <v>0</v>
      </c>
      <c r="V17">
        <v>0</v>
      </c>
      <c r="W17">
        <v>1</v>
      </c>
      <c r="X17">
        <v>6</v>
      </c>
      <c r="Y17">
        <v>0</v>
      </c>
      <c r="Z17">
        <v>0</v>
      </c>
      <c r="AA17">
        <v>1</v>
      </c>
      <c r="AB17">
        <v>6</v>
      </c>
      <c r="AC17">
        <v>0</v>
      </c>
      <c r="AD17">
        <v>0</v>
      </c>
      <c r="AE17">
        <v>1</v>
      </c>
      <c r="AF17">
        <v>6</v>
      </c>
      <c r="AG17">
        <v>0</v>
      </c>
      <c r="AH17">
        <v>0</v>
      </c>
      <c r="AI17">
        <v>1</v>
      </c>
      <c r="AJ17">
        <v>6</v>
      </c>
      <c r="AK17">
        <v>0</v>
      </c>
      <c r="AL17">
        <v>0</v>
      </c>
      <c r="AM17">
        <v>1</v>
      </c>
      <c r="AN17">
        <v>6</v>
      </c>
    </row>
    <row r="18" spans="1:40" x14ac:dyDescent="0.25">
      <c r="A18" t="s">
        <v>53</v>
      </c>
      <c r="B18" t="s">
        <v>59</v>
      </c>
      <c r="C18" t="s">
        <v>60</v>
      </c>
      <c r="D18">
        <v>129385</v>
      </c>
      <c r="E18" t="s">
        <v>84</v>
      </c>
      <c r="F18" t="s">
        <v>85</v>
      </c>
      <c r="G18" t="s">
        <v>63</v>
      </c>
      <c r="H18" t="s">
        <v>64</v>
      </c>
      <c r="I18" t="s">
        <v>54</v>
      </c>
      <c r="J18" t="s">
        <v>65</v>
      </c>
      <c r="K18" t="s">
        <v>55</v>
      </c>
      <c r="L18" s="8" t="s">
        <v>56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2</v>
      </c>
      <c r="AI18">
        <v>2</v>
      </c>
      <c r="AJ18">
        <v>19</v>
      </c>
      <c r="AK18">
        <v>0</v>
      </c>
      <c r="AL18">
        <v>0</v>
      </c>
      <c r="AM18">
        <v>0</v>
      </c>
      <c r="AN18">
        <v>0</v>
      </c>
    </row>
    <row r="19" spans="1:40" x14ac:dyDescent="0.25">
      <c r="A19" t="s">
        <v>53</v>
      </c>
      <c r="B19" t="s">
        <v>59</v>
      </c>
      <c r="C19" t="s">
        <v>60</v>
      </c>
      <c r="D19">
        <v>129386</v>
      </c>
      <c r="E19" t="s">
        <v>86</v>
      </c>
      <c r="F19" t="s">
        <v>87</v>
      </c>
      <c r="G19" t="s">
        <v>63</v>
      </c>
      <c r="H19" t="s">
        <v>64</v>
      </c>
      <c r="I19" t="s">
        <v>54</v>
      </c>
      <c r="J19" t="s">
        <v>73</v>
      </c>
      <c r="K19" t="s">
        <v>55</v>
      </c>
      <c r="L19" s="8" t="s">
        <v>56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</row>
    <row r="20" spans="1:40" x14ac:dyDescent="0.25">
      <c r="A20" t="s">
        <v>53</v>
      </c>
      <c r="B20" t="s">
        <v>59</v>
      </c>
      <c r="C20" t="s">
        <v>60</v>
      </c>
      <c r="D20">
        <v>205504</v>
      </c>
      <c r="E20" t="s">
        <v>88</v>
      </c>
      <c r="F20" t="s">
        <v>77</v>
      </c>
      <c r="G20" t="s">
        <v>63</v>
      </c>
      <c r="H20" t="s">
        <v>64</v>
      </c>
      <c r="I20" t="s">
        <v>54</v>
      </c>
      <c r="J20" t="s">
        <v>70</v>
      </c>
      <c r="K20" t="s">
        <v>55</v>
      </c>
      <c r="L20" s="8" t="s">
        <v>56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2</v>
      </c>
      <c r="AI20">
        <v>7</v>
      </c>
      <c r="AJ20">
        <v>31</v>
      </c>
      <c r="AK20">
        <v>0</v>
      </c>
      <c r="AL20">
        <v>0</v>
      </c>
      <c r="AM20">
        <v>0</v>
      </c>
      <c r="AN20">
        <v>0</v>
      </c>
    </row>
    <row r="21" spans="1:40" x14ac:dyDescent="0.25">
      <c r="A21" t="s">
        <v>53</v>
      </c>
      <c r="B21" t="s">
        <v>59</v>
      </c>
      <c r="C21" t="s">
        <v>60</v>
      </c>
      <c r="D21">
        <v>500454</v>
      </c>
      <c r="E21" t="s">
        <v>89</v>
      </c>
      <c r="F21" t="s">
        <v>90</v>
      </c>
      <c r="G21" t="s">
        <v>63</v>
      </c>
      <c r="H21" t="s">
        <v>64</v>
      </c>
      <c r="I21" t="s">
        <v>54</v>
      </c>
      <c r="J21" t="s">
        <v>73</v>
      </c>
      <c r="K21" t="s">
        <v>91</v>
      </c>
      <c r="L21" s="8" t="s">
        <v>92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</row>
    <row r="22" spans="1:40" x14ac:dyDescent="0.25">
      <c r="A22" t="s">
        <v>53</v>
      </c>
      <c r="B22" t="s">
        <v>59</v>
      </c>
      <c r="C22" t="s">
        <v>60</v>
      </c>
      <c r="D22">
        <v>501424</v>
      </c>
      <c r="E22" t="s">
        <v>93</v>
      </c>
      <c r="F22" t="s">
        <v>94</v>
      </c>
      <c r="G22" t="s">
        <v>63</v>
      </c>
      <c r="H22" t="s">
        <v>64</v>
      </c>
      <c r="I22" t="s">
        <v>54</v>
      </c>
      <c r="J22" t="s">
        <v>95</v>
      </c>
      <c r="K22" t="s">
        <v>57</v>
      </c>
      <c r="L22" s="8" t="s">
        <v>58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3</v>
      </c>
      <c r="AF22">
        <v>9</v>
      </c>
      <c r="AG22">
        <v>0</v>
      </c>
      <c r="AH22">
        <v>1</v>
      </c>
      <c r="AI22">
        <v>3</v>
      </c>
      <c r="AJ22">
        <v>9</v>
      </c>
      <c r="AK22">
        <v>0</v>
      </c>
      <c r="AL22">
        <v>1</v>
      </c>
      <c r="AM22">
        <v>3</v>
      </c>
      <c r="AN22">
        <v>9</v>
      </c>
    </row>
    <row r="23" spans="1:40" x14ac:dyDescent="0.25">
      <c r="A23" t="s">
        <v>53</v>
      </c>
      <c r="B23" t="s">
        <v>59</v>
      </c>
      <c r="C23" t="s">
        <v>96</v>
      </c>
      <c r="D23">
        <v>101813</v>
      </c>
      <c r="E23" t="s">
        <v>97</v>
      </c>
      <c r="F23" t="s">
        <v>98</v>
      </c>
      <c r="G23" t="s">
        <v>63</v>
      </c>
      <c r="H23" t="s">
        <v>64</v>
      </c>
      <c r="I23" t="s">
        <v>54</v>
      </c>
      <c r="J23" t="s">
        <v>99</v>
      </c>
      <c r="K23" t="s">
        <v>55</v>
      </c>
      <c r="L23" s="8" t="s">
        <v>56</v>
      </c>
      <c r="M23">
        <v>0</v>
      </c>
      <c r="N23">
        <v>1</v>
      </c>
      <c r="O23">
        <v>1</v>
      </c>
      <c r="P23">
        <v>3</v>
      </c>
      <c r="Q23">
        <v>0</v>
      </c>
      <c r="R23">
        <v>1</v>
      </c>
      <c r="S23">
        <v>1</v>
      </c>
      <c r="T23">
        <v>3</v>
      </c>
      <c r="U23">
        <v>0</v>
      </c>
      <c r="V23">
        <v>1</v>
      </c>
      <c r="W23">
        <v>1</v>
      </c>
      <c r="X23">
        <v>3</v>
      </c>
      <c r="Y23">
        <v>0</v>
      </c>
      <c r="Z23">
        <v>1</v>
      </c>
      <c r="AA23">
        <v>1</v>
      </c>
      <c r="AB23">
        <v>3</v>
      </c>
      <c r="AC23">
        <v>0</v>
      </c>
      <c r="AD23">
        <v>1</v>
      </c>
      <c r="AE23">
        <v>1</v>
      </c>
      <c r="AF23">
        <v>3</v>
      </c>
      <c r="AG23">
        <v>0</v>
      </c>
      <c r="AH23">
        <v>1</v>
      </c>
      <c r="AI23">
        <v>1</v>
      </c>
      <c r="AJ23">
        <v>3</v>
      </c>
      <c r="AK23">
        <v>0</v>
      </c>
      <c r="AL23">
        <v>1</v>
      </c>
      <c r="AM23">
        <v>1</v>
      </c>
      <c r="AN23">
        <v>3</v>
      </c>
    </row>
    <row r="24" spans="1:40" x14ac:dyDescent="0.25">
      <c r="A24" t="s">
        <v>53</v>
      </c>
      <c r="B24" t="s">
        <v>59</v>
      </c>
      <c r="C24" t="s">
        <v>96</v>
      </c>
      <c r="D24">
        <v>129387</v>
      </c>
      <c r="E24" t="s">
        <v>100</v>
      </c>
      <c r="F24" t="s">
        <v>101</v>
      </c>
      <c r="G24" t="s">
        <v>63</v>
      </c>
      <c r="H24" t="s">
        <v>64</v>
      </c>
      <c r="I24" t="s">
        <v>54</v>
      </c>
      <c r="J24" t="s">
        <v>102</v>
      </c>
      <c r="K24" t="s">
        <v>55</v>
      </c>
      <c r="L24" s="8" t="s">
        <v>56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  <c r="AA24">
        <v>0</v>
      </c>
      <c r="AB24">
        <v>6</v>
      </c>
      <c r="AC24">
        <v>0</v>
      </c>
      <c r="AD24">
        <v>1</v>
      </c>
      <c r="AE24">
        <v>0</v>
      </c>
      <c r="AF24">
        <v>6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</row>
    <row r="25" spans="1:40" x14ac:dyDescent="0.25">
      <c r="A25" t="s">
        <v>53</v>
      </c>
      <c r="B25" t="s">
        <v>59</v>
      </c>
      <c r="C25" t="s">
        <v>96</v>
      </c>
      <c r="D25">
        <v>129388</v>
      </c>
      <c r="E25" t="s">
        <v>103</v>
      </c>
      <c r="F25" t="s">
        <v>104</v>
      </c>
      <c r="G25" t="s">
        <v>63</v>
      </c>
      <c r="H25" t="s">
        <v>64</v>
      </c>
      <c r="I25" t="s">
        <v>54</v>
      </c>
      <c r="J25" t="s">
        <v>105</v>
      </c>
      <c r="K25" t="s">
        <v>55</v>
      </c>
      <c r="L25" s="8" t="s">
        <v>56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</row>
    <row r="26" spans="1:40" x14ac:dyDescent="0.25">
      <c r="A26" t="s">
        <v>53</v>
      </c>
      <c r="B26" t="s">
        <v>59</v>
      </c>
      <c r="C26" t="s">
        <v>96</v>
      </c>
      <c r="D26">
        <v>129389</v>
      </c>
      <c r="E26" t="s">
        <v>106</v>
      </c>
      <c r="F26" t="s">
        <v>107</v>
      </c>
      <c r="G26" t="s">
        <v>63</v>
      </c>
      <c r="H26" t="s">
        <v>64</v>
      </c>
      <c r="I26" t="s">
        <v>54</v>
      </c>
      <c r="J26" t="s">
        <v>108</v>
      </c>
      <c r="K26" t="s">
        <v>55</v>
      </c>
      <c r="L26" s="8" t="s">
        <v>56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2</v>
      </c>
      <c r="AB26">
        <v>10</v>
      </c>
      <c r="AC26">
        <v>0</v>
      </c>
      <c r="AD26">
        <v>0</v>
      </c>
      <c r="AE26">
        <v>0</v>
      </c>
      <c r="AF26">
        <v>4</v>
      </c>
      <c r="AG26">
        <v>0</v>
      </c>
      <c r="AH26">
        <v>0</v>
      </c>
      <c r="AI26">
        <v>0</v>
      </c>
      <c r="AJ26">
        <v>2</v>
      </c>
      <c r="AK26">
        <v>0</v>
      </c>
      <c r="AL26">
        <v>0</v>
      </c>
      <c r="AM26">
        <v>0</v>
      </c>
      <c r="AN26">
        <v>0</v>
      </c>
    </row>
    <row r="27" spans="1:40" x14ac:dyDescent="0.25">
      <c r="A27" t="s">
        <v>53</v>
      </c>
      <c r="B27" t="s">
        <v>59</v>
      </c>
      <c r="C27" t="s">
        <v>96</v>
      </c>
      <c r="D27">
        <v>129390</v>
      </c>
      <c r="E27" t="s">
        <v>109</v>
      </c>
      <c r="F27" t="s">
        <v>110</v>
      </c>
      <c r="G27" t="s">
        <v>63</v>
      </c>
      <c r="H27" t="s">
        <v>64</v>
      </c>
      <c r="I27" t="s">
        <v>54</v>
      </c>
      <c r="J27" t="s">
        <v>102</v>
      </c>
      <c r="K27" t="s">
        <v>55</v>
      </c>
      <c r="L27" s="8" t="s">
        <v>56</v>
      </c>
      <c r="M27">
        <v>0</v>
      </c>
      <c r="N27">
        <v>0</v>
      </c>
      <c r="O27">
        <v>2</v>
      </c>
      <c r="P27">
        <v>4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3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</v>
      </c>
      <c r="AI27">
        <v>1</v>
      </c>
      <c r="AJ27">
        <v>0</v>
      </c>
      <c r="AK27">
        <v>0</v>
      </c>
      <c r="AL27">
        <v>0</v>
      </c>
      <c r="AM27">
        <v>0</v>
      </c>
      <c r="AN27">
        <v>0</v>
      </c>
    </row>
    <row r="28" spans="1:40" x14ac:dyDescent="0.25">
      <c r="A28" t="s">
        <v>53</v>
      </c>
      <c r="B28" t="s">
        <v>59</v>
      </c>
      <c r="C28" t="s">
        <v>96</v>
      </c>
      <c r="D28">
        <v>129391</v>
      </c>
      <c r="E28" t="s">
        <v>111</v>
      </c>
      <c r="F28" t="s">
        <v>112</v>
      </c>
      <c r="G28" t="s">
        <v>63</v>
      </c>
      <c r="H28" t="s">
        <v>64</v>
      </c>
      <c r="I28" t="s">
        <v>54</v>
      </c>
      <c r="J28" t="s">
        <v>113</v>
      </c>
      <c r="K28" t="s">
        <v>55</v>
      </c>
      <c r="L28" s="8" t="s">
        <v>56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</v>
      </c>
      <c r="AI28">
        <v>2</v>
      </c>
      <c r="AJ28">
        <v>0</v>
      </c>
      <c r="AK28">
        <v>0</v>
      </c>
      <c r="AL28">
        <v>0</v>
      </c>
      <c r="AM28">
        <v>0</v>
      </c>
      <c r="AN28">
        <v>0</v>
      </c>
    </row>
    <row r="29" spans="1:40" x14ac:dyDescent="0.25">
      <c r="A29" t="s">
        <v>53</v>
      </c>
      <c r="B29" t="s">
        <v>59</v>
      </c>
      <c r="C29" t="s">
        <v>96</v>
      </c>
      <c r="D29">
        <v>129392</v>
      </c>
      <c r="E29" t="s">
        <v>114</v>
      </c>
      <c r="F29" t="s">
        <v>115</v>
      </c>
      <c r="G29" t="s">
        <v>63</v>
      </c>
      <c r="H29" t="s">
        <v>64</v>
      </c>
      <c r="I29" t="s">
        <v>54</v>
      </c>
      <c r="J29" t="s">
        <v>116</v>
      </c>
      <c r="K29" t="s">
        <v>55</v>
      </c>
      <c r="L29" s="8" t="s">
        <v>56</v>
      </c>
      <c r="M29">
        <v>0</v>
      </c>
      <c r="N29">
        <v>1</v>
      </c>
      <c r="O29">
        <v>1</v>
      </c>
      <c r="P29">
        <v>11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</row>
    <row r="30" spans="1:40" x14ac:dyDescent="0.25">
      <c r="A30" t="s">
        <v>53</v>
      </c>
      <c r="B30" t="s">
        <v>59</v>
      </c>
      <c r="C30" t="s">
        <v>96</v>
      </c>
      <c r="D30">
        <v>129393</v>
      </c>
      <c r="E30" t="s">
        <v>117</v>
      </c>
      <c r="F30" t="s">
        <v>118</v>
      </c>
      <c r="G30" t="s">
        <v>63</v>
      </c>
      <c r="H30" t="s">
        <v>64</v>
      </c>
      <c r="I30" t="s">
        <v>54</v>
      </c>
      <c r="J30" t="s">
        <v>119</v>
      </c>
      <c r="K30" t="s">
        <v>55</v>
      </c>
      <c r="L30" s="8" t="s">
        <v>56</v>
      </c>
      <c r="M30">
        <v>0</v>
      </c>
      <c r="N30">
        <v>0</v>
      </c>
      <c r="O30">
        <v>1</v>
      </c>
      <c r="P30">
        <v>1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2</v>
      </c>
      <c r="AB30">
        <v>2</v>
      </c>
      <c r="AC30">
        <v>0</v>
      </c>
      <c r="AD30">
        <v>0</v>
      </c>
      <c r="AE30">
        <v>0</v>
      </c>
      <c r="AF30">
        <v>0</v>
      </c>
      <c r="AG30">
        <v>1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</row>
    <row r="31" spans="1:40" x14ac:dyDescent="0.25">
      <c r="A31" t="s">
        <v>53</v>
      </c>
      <c r="B31" t="s">
        <v>59</v>
      </c>
      <c r="C31" t="s">
        <v>96</v>
      </c>
      <c r="D31">
        <v>129394</v>
      </c>
      <c r="E31" t="s">
        <v>120</v>
      </c>
      <c r="F31" t="s">
        <v>121</v>
      </c>
      <c r="G31" t="s">
        <v>63</v>
      </c>
      <c r="H31" t="s">
        <v>64</v>
      </c>
      <c r="I31" t="s">
        <v>54</v>
      </c>
      <c r="J31" t="s">
        <v>113</v>
      </c>
      <c r="K31" t="s">
        <v>55</v>
      </c>
      <c r="L31" s="8" t="s">
        <v>56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  <c r="AA31">
        <v>0</v>
      </c>
      <c r="AB31">
        <v>2</v>
      </c>
      <c r="AC31">
        <v>0</v>
      </c>
      <c r="AD31">
        <v>0</v>
      </c>
      <c r="AE31">
        <v>0</v>
      </c>
      <c r="AF31">
        <v>2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</row>
    <row r="32" spans="1:40" x14ac:dyDescent="0.25">
      <c r="A32" t="s">
        <v>53</v>
      </c>
      <c r="B32" t="s">
        <v>59</v>
      </c>
      <c r="C32" t="s">
        <v>96</v>
      </c>
      <c r="D32">
        <v>129395</v>
      </c>
      <c r="E32" t="s">
        <v>122</v>
      </c>
      <c r="F32" t="s">
        <v>123</v>
      </c>
      <c r="G32" t="s">
        <v>63</v>
      </c>
      <c r="H32" t="s">
        <v>64</v>
      </c>
      <c r="I32" t="s">
        <v>54</v>
      </c>
      <c r="J32" t="s">
        <v>108</v>
      </c>
      <c r="K32" t="s">
        <v>55</v>
      </c>
      <c r="L32" s="8" t="s">
        <v>56</v>
      </c>
      <c r="M32">
        <v>0</v>
      </c>
      <c r="N32">
        <v>0</v>
      </c>
      <c r="O32">
        <v>1</v>
      </c>
      <c r="P32">
        <v>2</v>
      </c>
      <c r="Q32">
        <v>0</v>
      </c>
      <c r="R32">
        <v>0</v>
      </c>
      <c r="S32">
        <v>1</v>
      </c>
      <c r="T32">
        <v>1</v>
      </c>
      <c r="U32">
        <v>0</v>
      </c>
      <c r="V32">
        <v>0</v>
      </c>
      <c r="W32">
        <v>0</v>
      </c>
      <c r="X32">
        <v>2</v>
      </c>
      <c r="Y32">
        <v>0</v>
      </c>
      <c r="Z32">
        <v>0</v>
      </c>
      <c r="AA32">
        <v>2</v>
      </c>
      <c r="AB32">
        <v>3</v>
      </c>
      <c r="AC32">
        <v>0</v>
      </c>
      <c r="AD32">
        <v>0</v>
      </c>
      <c r="AE32">
        <v>3</v>
      </c>
      <c r="AF32">
        <v>4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</row>
    <row r="33" spans="1:40" x14ac:dyDescent="0.25">
      <c r="A33" t="s">
        <v>53</v>
      </c>
      <c r="B33" t="s">
        <v>59</v>
      </c>
      <c r="C33" t="s">
        <v>96</v>
      </c>
      <c r="D33">
        <v>129396</v>
      </c>
      <c r="E33" t="s">
        <v>124</v>
      </c>
      <c r="F33" t="s">
        <v>125</v>
      </c>
      <c r="G33" t="s">
        <v>63</v>
      </c>
      <c r="H33" t="s">
        <v>64</v>
      </c>
      <c r="I33" t="s">
        <v>54</v>
      </c>
      <c r="J33" t="s">
        <v>119</v>
      </c>
      <c r="K33" t="s">
        <v>55</v>
      </c>
      <c r="L33" s="8" t="s">
        <v>56</v>
      </c>
      <c r="M33">
        <v>0</v>
      </c>
      <c r="N33">
        <v>2</v>
      </c>
      <c r="O33">
        <v>0</v>
      </c>
      <c r="P33">
        <v>0</v>
      </c>
      <c r="Q33">
        <v>0</v>
      </c>
      <c r="R33">
        <v>0</v>
      </c>
      <c r="S33">
        <v>0</v>
      </c>
      <c r="T33">
        <v>6</v>
      </c>
      <c r="U33">
        <v>0</v>
      </c>
      <c r="V33">
        <v>0</v>
      </c>
      <c r="W33">
        <v>0</v>
      </c>
      <c r="X33">
        <v>6</v>
      </c>
      <c r="Y33">
        <v>0</v>
      </c>
      <c r="Z33">
        <v>0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1</v>
      </c>
      <c r="AG33">
        <v>0</v>
      </c>
      <c r="AH33">
        <v>0</v>
      </c>
      <c r="AI33">
        <v>0</v>
      </c>
      <c r="AJ33">
        <v>2</v>
      </c>
      <c r="AK33">
        <v>0</v>
      </c>
      <c r="AL33">
        <v>0</v>
      </c>
      <c r="AM33">
        <v>1</v>
      </c>
      <c r="AN33">
        <v>0</v>
      </c>
    </row>
    <row r="34" spans="1:40" x14ac:dyDescent="0.25">
      <c r="A34" t="s">
        <v>53</v>
      </c>
      <c r="B34" t="s">
        <v>59</v>
      </c>
      <c r="C34" t="s">
        <v>96</v>
      </c>
      <c r="D34">
        <v>129397</v>
      </c>
      <c r="E34" t="s">
        <v>126</v>
      </c>
      <c r="F34" t="s">
        <v>127</v>
      </c>
      <c r="G34" t="s">
        <v>63</v>
      </c>
      <c r="H34" t="s">
        <v>64</v>
      </c>
      <c r="I34" t="s">
        <v>54</v>
      </c>
      <c r="J34" t="s">
        <v>128</v>
      </c>
      <c r="K34" t="s">
        <v>55</v>
      </c>
      <c r="L34" s="8" t="s">
        <v>56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1</v>
      </c>
      <c r="AM34">
        <v>0</v>
      </c>
      <c r="AN34">
        <v>7</v>
      </c>
    </row>
    <row r="35" spans="1:40" x14ac:dyDescent="0.25">
      <c r="A35" t="s">
        <v>53</v>
      </c>
      <c r="B35" t="s">
        <v>59</v>
      </c>
      <c r="C35" t="s">
        <v>96</v>
      </c>
      <c r="D35">
        <v>129398</v>
      </c>
      <c r="E35" t="s">
        <v>129</v>
      </c>
      <c r="F35" t="s">
        <v>130</v>
      </c>
      <c r="G35" t="s">
        <v>63</v>
      </c>
      <c r="H35" t="s">
        <v>64</v>
      </c>
      <c r="I35" t="s">
        <v>54</v>
      </c>
      <c r="J35" t="s">
        <v>131</v>
      </c>
      <c r="K35" t="s">
        <v>55</v>
      </c>
      <c r="L35" s="8" t="s">
        <v>56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3</v>
      </c>
      <c r="X35">
        <v>7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2</v>
      </c>
      <c r="AN35">
        <v>14</v>
      </c>
    </row>
    <row r="36" spans="1:40" x14ac:dyDescent="0.25">
      <c r="A36" t="s">
        <v>53</v>
      </c>
      <c r="B36" t="s">
        <v>59</v>
      </c>
      <c r="C36" t="s">
        <v>96</v>
      </c>
      <c r="D36">
        <v>129399</v>
      </c>
      <c r="E36" t="s">
        <v>132</v>
      </c>
      <c r="F36" t="s">
        <v>133</v>
      </c>
      <c r="G36" t="s">
        <v>63</v>
      </c>
      <c r="H36" t="s">
        <v>64</v>
      </c>
      <c r="I36" t="s">
        <v>54</v>
      </c>
      <c r="J36" t="s">
        <v>134</v>
      </c>
      <c r="K36" t="s">
        <v>55</v>
      </c>
      <c r="L36" s="8" t="s">
        <v>56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1</v>
      </c>
      <c r="AF36">
        <v>17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</row>
    <row r="37" spans="1:40" x14ac:dyDescent="0.25">
      <c r="A37" t="s">
        <v>53</v>
      </c>
      <c r="B37" t="s">
        <v>59</v>
      </c>
      <c r="C37" t="s">
        <v>96</v>
      </c>
      <c r="D37">
        <v>129400</v>
      </c>
      <c r="E37" t="s">
        <v>135</v>
      </c>
      <c r="F37" t="s">
        <v>136</v>
      </c>
      <c r="G37" t="s">
        <v>63</v>
      </c>
      <c r="H37" t="s">
        <v>64</v>
      </c>
      <c r="I37" t="s">
        <v>54</v>
      </c>
      <c r="J37" t="s">
        <v>131</v>
      </c>
      <c r="K37" t="s">
        <v>55</v>
      </c>
      <c r="L37" s="8" t="s">
        <v>56</v>
      </c>
      <c r="M37">
        <v>0</v>
      </c>
      <c r="N37">
        <v>0</v>
      </c>
      <c r="O37">
        <v>1</v>
      </c>
      <c r="P37">
        <v>4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  <c r="W37">
        <v>2</v>
      </c>
      <c r="X37">
        <v>1</v>
      </c>
      <c r="Y37">
        <v>0</v>
      </c>
      <c r="Z37">
        <v>0</v>
      </c>
      <c r="AA37">
        <v>0</v>
      </c>
      <c r="AB37">
        <v>6</v>
      </c>
      <c r="AC37">
        <v>0</v>
      </c>
      <c r="AD37">
        <v>0</v>
      </c>
      <c r="AE37">
        <v>0</v>
      </c>
      <c r="AF37">
        <v>1</v>
      </c>
      <c r="AG37">
        <v>0</v>
      </c>
      <c r="AH37">
        <v>3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5</v>
      </c>
    </row>
    <row r="38" spans="1:40" x14ac:dyDescent="0.25">
      <c r="A38" t="s">
        <v>53</v>
      </c>
      <c r="B38" t="s">
        <v>59</v>
      </c>
      <c r="C38" t="s">
        <v>96</v>
      </c>
      <c r="D38">
        <v>129401</v>
      </c>
      <c r="E38" t="s">
        <v>137</v>
      </c>
      <c r="F38" t="s">
        <v>138</v>
      </c>
      <c r="G38" t="s">
        <v>63</v>
      </c>
      <c r="H38" t="s">
        <v>64</v>
      </c>
      <c r="I38" t="s">
        <v>54</v>
      </c>
      <c r="J38" t="s">
        <v>105</v>
      </c>
      <c r="K38" t="s">
        <v>55</v>
      </c>
      <c r="L38" s="8" t="s">
        <v>56</v>
      </c>
      <c r="M38">
        <v>0</v>
      </c>
      <c r="N38">
        <v>1</v>
      </c>
      <c r="O38">
        <v>1</v>
      </c>
      <c r="P38">
        <v>7</v>
      </c>
      <c r="Q38">
        <v>0</v>
      </c>
      <c r="R38">
        <v>1</v>
      </c>
      <c r="S38">
        <v>1</v>
      </c>
      <c r="T38">
        <v>7</v>
      </c>
      <c r="U38">
        <v>0</v>
      </c>
      <c r="V38">
        <v>1</v>
      </c>
      <c r="W38">
        <v>1</v>
      </c>
      <c r="X38">
        <v>7</v>
      </c>
      <c r="Y38">
        <v>0</v>
      </c>
      <c r="Z38">
        <v>1</v>
      </c>
      <c r="AA38">
        <v>1</v>
      </c>
      <c r="AB38">
        <v>7</v>
      </c>
      <c r="AC38">
        <v>0</v>
      </c>
      <c r="AD38">
        <v>1</v>
      </c>
      <c r="AE38">
        <v>1</v>
      </c>
      <c r="AF38">
        <v>7</v>
      </c>
      <c r="AG38">
        <v>0</v>
      </c>
      <c r="AH38">
        <v>1</v>
      </c>
      <c r="AI38">
        <v>1</v>
      </c>
      <c r="AJ38">
        <v>7</v>
      </c>
      <c r="AK38">
        <v>0</v>
      </c>
      <c r="AL38">
        <v>0</v>
      </c>
      <c r="AM38">
        <v>0</v>
      </c>
      <c r="AN38">
        <v>0</v>
      </c>
    </row>
    <row r="39" spans="1:40" x14ac:dyDescent="0.25">
      <c r="A39" t="s">
        <v>53</v>
      </c>
      <c r="B39" t="s">
        <v>59</v>
      </c>
      <c r="C39" t="s">
        <v>96</v>
      </c>
      <c r="D39">
        <v>129402</v>
      </c>
      <c r="E39" t="s">
        <v>139</v>
      </c>
      <c r="F39" t="s">
        <v>140</v>
      </c>
      <c r="G39" t="s">
        <v>63</v>
      </c>
      <c r="H39" t="s">
        <v>64</v>
      </c>
      <c r="I39" t="s">
        <v>54</v>
      </c>
      <c r="J39" t="s">
        <v>119</v>
      </c>
      <c r="K39" t="s">
        <v>55</v>
      </c>
      <c r="L39" s="8" t="s">
        <v>56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  <c r="AA39">
        <v>0</v>
      </c>
      <c r="AB39">
        <v>3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2</v>
      </c>
      <c r="AK39">
        <v>0</v>
      </c>
      <c r="AL39">
        <v>0</v>
      </c>
      <c r="AM39">
        <v>0</v>
      </c>
      <c r="AN39">
        <v>0</v>
      </c>
    </row>
    <row r="40" spans="1:40" x14ac:dyDescent="0.25">
      <c r="A40" t="s">
        <v>53</v>
      </c>
      <c r="B40" t="s">
        <v>59</v>
      </c>
      <c r="C40" t="s">
        <v>96</v>
      </c>
      <c r="D40">
        <v>129403</v>
      </c>
      <c r="E40" t="s">
        <v>141</v>
      </c>
      <c r="F40" t="s">
        <v>142</v>
      </c>
      <c r="G40" t="s">
        <v>63</v>
      </c>
      <c r="H40" t="s">
        <v>64</v>
      </c>
      <c r="I40" t="s">
        <v>54</v>
      </c>
      <c r="J40" t="s">
        <v>99</v>
      </c>
      <c r="K40" t="s">
        <v>55</v>
      </c>
      <c r="L40" s="8" t="s">
        <v>56</v>
      </c>
      <c r="M40">
        <v>0</v>
      </c>
      <c r="N40">
        <v>1</v>
      </c>
      <c r="O40">
        <v>0</v>
      </c>
      <c r="P40">
        <v>1</v>
      </c>
      <c r="Q40">
        <v>0</v>
      </c>
      <c r="R40">
        <v>1</v>
      </c>
      <c r="S40">
        <v>0</v>
      </c>
      <c r="T40">
        <v>1</v>
      </c>
      <c r="U40">
        <v>0</v>
      </c>
      <c r="V40">
        <v>1</v>
      </c>
      <c r="W40">
        <v>0</v>
      </c>
      <c r="X40">
        <v>1</v>
      </c>
      <c r="Y40">
        <v>0</v>
      </c>
      <c r="Z40">
        <v>1</v>
      </c>
      <c r="AA40">
        <v>0</v>
      </c>
      <c r="AB40">
        <v>1</v>
      </c>
      <c r="AC40">
        <v>0</v>
      </c>
      <c r="AD40">
        <v>1</v>
      </c>
      <c r="AE40">
        <v>0</v>
      </c>
      <c r="AF40">
        <v>1</v>
      </c>
      <c r="AG40">
        <v>0</v>
      </c>
      <c r="AH40">
        <v>1</v>
      </c>
      <c r="AI40">
        <v>0</v>
      </c>
      <c r="AJ40">
        <v>1</v>
      </c>
      <c r="AK40">
        <v>0</v>
      </c>
      <c r="AL40">
        <v>0</v>
      </c>
      <c r="AM40">
        <v>0</v>
      </c>
      <c r="AN40">
        <v>0</v>
      </c>
    </row>
    <row r="41" spans="1:40" x14ac:dyDescent="0.25">
      <c r="A41" t="s">
        <v>53</v>
      </c>
      <c r="B41" t="s">
        <v>59</v>
      </c>
      <c r="C41" t="s">
        <v>96</v>
      </c>
      <c r="D41">
        <v>129404</v>
      </c>
      <c r="E41" t="s">
        <v>143</v>
      </c>
      <c r="F41" t="s">
        <v>144</v>
      </c>
      <c r="G41" t="s">
        <v>63</v>
      </c>
      <c r="H41" t="s">
        <v>64</v>
      </c>
      <c r="I41" t="s">
        <v>54</v>
      </c>
      <c r="J41" t="s">
        <v>145</v>
      </c>
      <c r="K41" t="s">
        <v>55</v>
      </c>
      <c r="L41" s="8" t="s">
        <v>56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1</v>
      </c>
      <c r="Y41">
        <v>0</v>
      </c>
      <c r="Z41">
        <v>0</v>
      </c>
      <c r="AA41">
        <v>0</v>
      </c>
      <c r="AB41">
        <v>1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1</v>
      </c>
      <c r="AK41">
        <v>0</v>
      </c>
      <c r="AL41">
        <v>0</v>
      </c>
      <c r="AM41">
        <v>0</v>
      </c>
      <c r="AN41">
        <v>0</v>
      </c>
    </row>
    <row r="42" spans="1:40" x14ac:dyDescent="0.25">
      <c r="A42" t="s">
        <v>53</v>
      </c>
      <c r="B42" t="s">
        <v>59</v>
      </c>
      <c r="C42" t="s">
        <v>96</v>
      </c>
      <c r="D42">
        <v>129405</v>
      </c>
      <c r="E42" t="s">
        <v>146</v>
      </c>
      <c r="F42" t="s">
        <v>147</v>
      </c>
      <c r="G42" t="s">
        <v>63</v>
      </c>
      <c r="H42" t="s">
        <v>64</v>
      </c>
      <c r="I42" t="s">
        <v>54</v>
      </c>
      <c r="J42" t="s">
        <v>148</v>
      </c>
      <c r="K42" t="s">
        <v>55</v>
      </c>
      <c r="L42" s="8" t="s">
        <v>56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1</v>
      </c>
      <c r="AM42">
        <v>2</v>
      </c>
      <c r="AN42">
        <v>14</v>
      </c>
    </row>
    <row r="43" spans="1:40" x14ac:dyDescent="0.25">
      <c r="A43" t="s">
        <v>53</v>
      </c>
      <c r="B43" t="s">
        <v>59</v>
      </c>
      <c r="C43" t="s">
        <v>96</v>
      </c>
      <c r="D43">
        <v>129406</v>
      </c>
      <c r="E43" t="s">
        <v>149</v>
      </c>
      <c r="F43" t="s">
        <v>150</v>
      </c>
      <c r="G43" t="s">
        <v>63</v>
      </c>
      <c r="H43" t="s">
        <v>64</v>
      </c>
      <c r="I43" t="s">
        <v>54</v>
      </c>
      <c r="J43" t="s">
        <v>116</v>
      </c>
      <c r="K43" t="s">
        <v>55</v>
      </c>
      <c r="L43" s="8" t="s">
        <v>56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4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</row>
    <row r="44" spans="1:40" x14ac:dyDescent="0.25">
      <c r="A44" t="s">
        <v>53</v>
      </c>
      <c r="B44" t="s">
        <v>59</v>
      </c>
      <c r="C44" t="s">
        <v>96</v>
      </c>
      <c r="D44">
        <v>129407</v>
      </c>
      <c r="E44" t="s">
        <v>151</v>
      </c>
      <c r="F44" t="s">
        <v>152</v>
      </c>
      <c r="G44" t="s">
        <v>63</v>
      </c>
      <c r="H44" t="s">
        <v>64</v>
      </c>
      <c r="I44" t="s">
        <v>54</v>
      </c>
      <c r="J44" t="s">
        <v>128</v>
      </c>
      <c r="K44" t="s">
        <v>55</v>
      </c>
      <c r="L44" s="8" t="s">
        <v>56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  <c r="AA44">
        <v>4</v>
      </c>
      <c r="AB44">
        <v>7</v>
      </c>
      <c r="AC44">
        <v>0</v>
      </c>
      <c r="AD44">
        <v>0</v>
      </c>
      <c r="AE44">
        <v>0</v>
      </c>
      <c r="AF44">
        <v>2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</row>
    <row r="45" spans="1:40" x14ac:dyDescent="0.25">
      <c r="A45" t="s">
        <v>53</v>
      </c>
      <c r="B45" t="s">
        <v>59</v>
      </c>
      <c r="C45" t="s">
        <v>96</v>
      </c>
      <c r="D45">
        <v>129408</v>
      </c>
      <c r="E45" t="s">
        <v>153</v>
      </c>
      <c r="F45" t="s">
        <v>154</v>
      </c>
      <c r="G45" t="s">
        <v>63</v>
      </c>
      <c r="H45" t="s">
        <v>64</v>
      </c>
      <c r="I45" t="s">
        <v>54</v>
      </c>
      <c r="J45" t="s">
        <v>131</v>
      </c>
      <c r="K45" t="s">
        <v>55</v>
      </c>
      <c r="L45" s="8" t="s">
        <v>56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1</v>
      </c>
      <c r="AF45">
        <v>2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</row>
    <row r="46" spans="1:40" x14ac:dyDescent="0.25">
      <c r="A46" t="s">
        <v>53</v>
      </c>
      <c r="B46" t="s">
        <v>59</v>
      </c>
      <c r="C46" t="s">
        <v>96</v>
      </c>
      <c r="D46">
        <v>129409</v>
      </c>
      <c r="E46" t="s">
        <v>155</v>
      </c>
      <c r="F46" t="s">
        <v>156</v>
      </c>
      <c r="G46" t="s">
        <v>63</v>
      </c>
      <c r="H46" t="s">
        <v>64</v>
      </c>
      <c r="I46" t="s">
        <v>54</v>
      </c>
      <c r="J46" t="s">
        <v>157</v>
      </c>
      <c r="K46" t="s">
        <v>55</v>
      </c>
      <c r="L46" s="8" t="s">
        <v>56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2</v>
      </c>
      <c r="AE46">
        <v>0</v>
      </c>
      <c r="AF46">
        <v>0</v>
      </c>
      <c r="AG46">
        <v>0</v>
      </c>
      <c r="AH46">
        <v>2</v>
      </c>
      <c r="AI46">
        <v>2</v>
      </c>
      <c r="AJ46">
        <v>18</v>
      </c>
      <c r="AK46">
        <v>0</v>
      </c>
      <c r="AL46">
        <v>1</v>
      </c>
      <c r="AM46">
        <v>0</v>
      </c>
      <c r="AN46">
        <v>0</v>
      </c>
    </row>
    <row r="47" spans="1:40" x14ac:dyDescent="0.25">
      <c r="A47" t="s">
        <v>53</v>
      </c>
      <c r="B47" t="s">
        <v>59</v>
      </c>
      <c r="C47" t="s">
        <v>96</v>
      </c>
      <c r="D47">
        <v>257001</v>
      </c>
      <c r="E47" t="s">
        <v>158</v>
      </c>
      <c r="F47" t="s">
        <v>159</v>
      </c>
      <c r="G47" t="s">
        <v>63</v>
      </c>
      <c r="H47" t="s">
        <v>64</v>
      </c>
      <c r="I47" t="s">
        <v>54</v>
      </c>
      <c r="J47" t="s">
        <v>108</v>
      </c>
      <c r="K47" t="s">
        <v>55</v>
      </c>
      <c r="L47" s="8" t="s">
        <v>56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1</v>
      </c>
      <c r="AM47">
        <v>0</v>
      </c>
      <c r="AN47">
        <v>14</v>
      </c>
    </row>
    <row r="48" spans="1:40" x14ac:dyDescent="0.25">
      <c r="A48" t="s">
        <v>53</v>
      </c>
      <c r="B48" t="s">
        <v>59</v>
      </c>
      <c r="C48" t="s">
        <v>160</v>
      </c>
      <c r="D48">
        <v>102157</v>
      </c>
      <c r="E48" t="s">
        <v>161</v>
      </c>
      <c r="F48" t="s">
        <v>162</v>
      </c>
      <c r="G48" t="s">
        <v>63</v>
      </c>
      <c r="H48" t="s">
        <v>64</v>
      </c>
      <c r="I48" t="s">
        <v>54</v>
      </c>
      <c r="J48" t="s">
        <v>163</v>
      </c>
      <c r="K48" t="s">
        <v>55</v>
      </c>
      <c r="L48" s="8" t="s">
        <v>56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</row>
    <row r="49" spans="1:40" x14ac:dyDescent="0.25">
      <c r="A49" t="s">
        <v>53</v>
      </c>
      <c r="B49" t="s">
        <v>59</v>
      </c>
      <c r="C49" t="s">
        <v>160</v>
      </c>
      <c r="D49">
        <v>102164</v>
      </c>
      <c r="E49" t="s">
        <v>164</v>
      </c>
      <c r="F49" t="s">
        <v>165</v>
      </c>
      <c r="G49" t="s">
        <v>63</v>
      </c>
      <c r="H49" t="s">
        <v>64</v>
      </c>
      <c r="I49" t="s">
        <v>54</v>
      </c>
      <c r="J49" t="s">
        <v>166</v>
      </c>
      <c r="K49" t="s">
        <v>55</v>
      </c>
      <c r="L49" s="8" t="s">
        <v>56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1</v>
      </c>
      <c r="AF49">
        <v>2</v>
      </c>
      <c r="AG49">
        <v>0</v>
      </c>
      <c r="AH49">
        <v>0</v>
      </c>
      <c r="AI49">
        <v>0</v>
      </c>
      <c r="AJ49">
        <v>1</v>
      </c>
      <c r="AK49">
        <v>0</v>
      </c>
      <c r="AL49">
        <v>0</v>
      </c>
      <c r="AM49">
        <v>0</v>
      </c>
      <c r="AN49">
        <v>0</v>
      </c>
    </row>
    <row r="50" spans="1:40" x14ac:dyDescent="0.25">
      <c r="A50" t="s">
        <v>53</v>
      </c>
      <c r="B50" t="s">
        <v>59</v>
      </c>
      <c r="C50" t="s">
        <v>160</v>
      </c>
      <c r="D50">
        <v>129410</v>
      </c>
      <c r="E50" t="s">
        <v>167</v>
      </c>
      <c r="F50" t="s">
        <v>168</v>
      </c>
      <c r="G50" t="s">
        <v>63</v>
      </c>
      <c r="H50" t="s">
        <v>64</v>
      </c>
      <c r="I50" t="s">
        <v>54</v>
      </c>
      <c r="J50" t="s">
        <v>169</v>
      </c>
      <c r="K50" t="s">
        <v>55</v>
      </c>
      <c r="L50" s="8" t="s">
        <v>56</v>
      </c>
      <c r="M50">
        <v>0</v>
      </c>
      <c r="N50">
        <v>1</v>
      </c>
      <c r="O50">
        <v>1</v>
      </c>
      <c r="P50">
        <v>9</v>
      </c>
      <c r="Q50">
        <v>0</v>
      </c>
      <c r="R50">
        <v>1</v>
      </c>
      <c r="S50">
        <v>1</v>
      </c>
      <c r="T50">
        <v>9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</row>
    <row r="51" spans="1:40" x14ac:dyDescent="0.25">
      <c r="A51" t="s">
        <v>53</v>
      </c>
      <c r="B51" t="s">
        <v>59</v>
      </c>
      <c r="C51" t="s">
        <v>160</v>
      </c>
      <c r="D51">
        <v>129412</v>
      </c>
      <c r="E51" t="s">
        <v>170</v>
      </c>
      <c r="F51" t="s">
        <v>171</v>
      </c>
      <c r="G51" t="s">
        <v>63</v>
      </c>
      <c r="H51" t="s">
        <v>64</v>
      </c>
      <c r="I51" t="s">
        <v>54</v>
      </c>
      <c r="J51" t="s">
        <v>172</v>
      </c>
      <c r="K51" t="s">
        <v>55</v>
      </c>
      <c r="L51" s="8" t="s">
        <v>56</v>
      </c>
      <c r="M51">
        <v>0</v>
      </c>
      <c r="N51">
        <v>1</v>
      </c>
      <c r="O51">
        <v>1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  <c r="V51">
        <v>0</v>
      </c>
      <c r="W51">
        <v>0</v>
      </c>
      <c r="X51">
        <v>1</v>
      </c>
      <c r="Y51">
        <v>0</v>
      </c>
      <c r="Z51">
        <v>0</v>
      </c>
      <c r="AA51">
        <v>0</v>
      </c>
      <c r="AB51">
        <v>1</v>
      </c>
      <c r="AC51">
        <v>0</v>
      </c>
      <c r="AD51">
        <v>0</v>
      </c>
      <c r="AE51">
        <v>0</v>
      </c>
      <c r="AF51">
        <v>1</v>
      </c>
      <c r="AG51">
        <v>0</v>
      </c>
      <c r="AH51">
        <v>0</v>
      </c>
      <c r="AI51">
        <v>0</v>
      </c>
      <c r="AJ51">
        <v>1</v>
      </c>
      <c r="AK51">
        <v>0</v>
      </c>
      <c r="AL51">
        <v>0</v>
      </c>
      <c r="AM51">
        <v>0</v>
      </c>
      <c r="AN51">
        <v>0</v>
      </c>
    </row>
    <row r="52" spans="1:40" x14ac:dyDescent="0.25">
      <c r="A52" t="s">
        <v>53</v>
      </c>
      <c r="B52" t="s">
        <v>59</v>
      </c>
      <c r="C52" t="s">
        <v>160</v>
      </c>
      <c r="D52">
        <v>129413</v>
      </c>
      <c r="E52" t="s">
        <v>173</v>
      </c>
      <c r="F52" t="s">
        <v>174</v>
      </c>
      <c r="G52" t="s">
        <v>63</v>
      </c>
      <c r="H52" t="s">
        <v>64</v>
      </c>
      <c r="I52" t="s">
        <v>54</v>
      </c>
      <c r="J52" t="s">
        <v>169</v>
      </c>
      <c r="K52" t="s">
        <v>55</v>
      </c>
      <c r="L52" s="8" t="s">
        <v>56</v>
      </c>
      <c r="M52">
        <v>0</v>
      </c>
      <c r="N52">
        <v>1</v>
      </c>
      <c r="O52">
        <v>0</v>
      </c>
      <c r="P52">
        <v>6</v>
      </c>
      <c r="Q52">
        <v>0</v>
      </c>
      <c r="R52">
        <v>0</v>
      </c>
      <c r="S52">
        <v>0</v>
      </c>
      <c r="T52">
        <v>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4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</row>
    <row r="53" spans="1:40" x14ac:dyDescent="0.25">
      <c r="A53" t="s">
        <v>53</v>
      </c>
      <c r="B53" t="s">
        <v>59</v>
      </c>
      <c r="C53" t="s">
        <v>160</v>
      </c>
      <c r="D53">
        <v>129414</v>
      </c>
      <c r="E53" t="s">
        <v>175</v>
      </c>
      <c r="F53" t="s">
        <v>176</v>
      </c>
      <c r="G53" t="s">
        <v>63</v>
      </c>
      <c r="H53" t="s">
        <v>64</v>
      </c>
      <c r="I53" t="s">
        <v>54</v>
      </c>
      <c r="J53" t="s">
        <v>177</v>
      </c>
      <c r="K53" t="s">
        <v>55</v>
      </c>
      <c r="L53" s="8" t="s">
        <v>56</v>
      </c>
      <c r="M53">
        <v>0</v>
      </c>
      <c r="N53">
        <v>0</v>
      </c>
      <c r="O53">
        <v>0</v>
      </c>
      <c r="P53">
        <v>4</v>
      </c>
      <c r="Q53">
        <v>0</v>
      </c>
      <c r="R53">
        <v>0</v>
      </c>
      <c r="S53">
        <v>0</v>
      </c>
      <c r="T53">
        <v>4</v>
      </c>
      <c r="U53">
        <v>0</v>
      </c>
      <c r="V53">
        <v>0</v>
      </c>
      <c r="W53">
        <v>0</v>
      </c>
      <c r="X53">
        <v>4</v>
      </c>
      <c r="Y53">
        <v>0</v>
      </c>
      <c r="Z53">
        <v>0</v>
      </c>
      <c r="AA53">
        <v>0</v>
      </c>
      <c r="AB53">
        <v>4</v>
      </c>
      <c r="AC53">
        <v>0</v>
      </c>
      <c r="AD53">
        <v>0</v>
      </c>
      <c r="AE53">
        <v>0</v>
      </c>
      <c r="AF53">
        <v>4</v>
      </c>
      <c r="AG53">
        <v>0</v>
      </c>
      <c r="AH53">
        <v>0</v>
      </c>
      <c r="AI53">
        <v>0</v>
      </c>
      <c r="AJ53">
        <v>2</v>
      </c>
      <c r="AK53">
        <v>0</v>
      </c>
      <c r="AL53">
        <v>0</v>
      </c>
      <c r="AM53">
        <v>1</v>
      </c>
      <c r="AN53">
        <v>14</v>
      </c>
    </row>
    <row r="54" spans="1:40" x14ac:dyDescent="0.25">
      <c r="A54" t="s">
        <v>53</v>
      </c>
      <c r="B54" t="s">
        <v>59</v>
      </c>
      <c r="C54" t="s">
        <v>160</v>
      </c>
      <c r="D54">
        <v>129417</v>
      </c>
      <c r="E54" t="s">
        <v>178</v>
      </c>
      <c r="F54" t="s">
        <v>179</v>
      </c>
      <c r="G54" t="s">
        <v>63</v>
      </c>
      <c r="H54" t="s">
        <v>64</v>
      </c>
      <c r="I54" t="s">
        <v>54</v>
      </c>
      <c r="J54" t="s">
        <v>163</v>
      </c>
      <c r="K54" t="s">
        <v>55</v>
      </c>
      <c r="L54" s="8" t="s">
        <v>56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</row>
    <row r="55" spans="1:40" x14ac:dyDescent="0.25">
      <c r="A55" t="s">
        <v>53</v>
      </c>
      <c r="B55" t="s">
        <v>59</v>
      </c>
      <c r="C55" t="s">
        <v>160</v>
      </c>
      <c r="D55">
        <v>129418</v>
      </c>
      <c r="E55" t="s">
        <v>180</v>
      </c>
      <c r="F55" t="s">
        <v>181</v>
      </c>
      <c r="G55" t="s">
        <v>63</v>
      </c>
      <c r="H55" t="s">
        <v>64</v>
      </c>
      <c r="I55" t="s">
        <v>54</v>
      </c>
      <c r="J55" t="s">
        <v>163</v>
      </c>
      <c r="K55" t="s">
        <v>55</v>
      </c>
      <c r="L55" s="8" t="s">
        <v>56</v>
      </c>
      <c r="M55">
        <v>0</v>
      </c>
      <c r="N55">
        <v>1</v>
      </c>
      <c r="O55">
        <v>2</v>
      </c>
      <c r="P55">
        <v>0</v>
      </c>
      <c r="Q55">
        <v>0</v>
      </c>
      <c r="R55">
        <v>0</v>
      </c>
      <c r="S55">
        <v>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</row>
    <row r="56" spans="1:40" x14ac:dyDescent="0.25">
      <c r="A56" t="s">
        <v>53</v>
      </c>
      <c r="B56" t="s">
        <v>59</v>
      </c>
      <c r="C56" t="s">
        <v>160</v>
      </c>
      <c r="D56">
        <v>129419</v>
      </c>
      <c r="E56" t="s">
        <v>182</v>
      </c>
      <c r="F56" t="s">
        <v>183</v>
      </c>
      <c r="G56" t="s">
        <v>63</v>
      </c>
      <c r="H56" t="s">
        <v>64</v>
      </c>
      <c r="I56" t="s">
        <v>54</v>
      </c>
      <c r="J56" t="s">
        <v>184</v>
      </c>
      <c r="K56" t="s">
        <v>55</v>
      </c>
      <c r="L56" s="8" t="s">
        <v>56</v>
      </c>
      <c r="M56">
        <v>0</v>
      </c>
      <c r="N56">
        <v>0</v>
      </c>
      <c r="O56">
        <v>1</v>
      </c>
      <c r="P56">
        <v>12</v>
      </c>
      <c r="Q56">
        <v>0</v>
      </c>
      <c r="R56">
        <v>0</v>
      </c>
      <c r="S56">
        <v>1</v>
      </c>
      <c r="T56">
        <v>12</v>
      </c>
      <c r="U56">
        <v>0</v>
      </c>
      <c r="V56">
        <v>0</v>
      </c>
      <c r="W56">
        <v>1</v>
      </c>
      <c r="X56">
        <v>12</v>
      </c>
      <c r="Y56">
        <v>0</v>
      </c>
      <c r="Z56">
        <v>0</v>
      </c>
      <c r="AA56">
        <v>1</v>
      </c>
      <c r="AB56">
        <v>12</v>
      </c>
      <c r="AC56">
        <v>0</v>
      </c>
      <c r="AD56">
        <v>0</v>
      </c>
      <c r="AE56">
        <v>1</v>
      </c>
      <c r="AF56">
        <v>12</v>
      </c>
      <c r="AG56">
        <v>0</v>
      </c>
      <c r="AH56">
        <v>0</v>
      </c>
      <c r="AI56">
        <v>0</v>
      </c>
      <c r="AJ56">
        <v>1</v>
      </c>
      <c r="AK56">
        <v>0</v>
      </c>
      <c r="AL56">
        <v>0</v>
      </c>
      <c r="AM56">
        <v>0</v>
      </c>
      <c r="AN56">
        <v>0</v>
      </c>
    </row>
    <row r="57" spans="1:40" x14ac:dyDescent="0.25">
      <c r="A57" t="s">
        <v>53</v>
      </c>
      <c r="B57" t="s">
        <v>59</v>
      </c>
      <c r="C57" t="s">
        <v>160</v>
      </c>
      <c r="D57">
        <v>129420</v>
      </c>
      <c r="E57" t="s">
        <v>185</v>
      </c>
      <c r="F57" t="s">
        <v>186</v>
      </c>
      <c r="G57" t="s">
        <v>63</v>
      </c>
      <c r="H57" t="s">
        <v>64</v>
      </c>
      <c r="I57" t="s">
        <v>54</v>
      </c>
      <c r="J57" t="s">
        <v>186</v>
      </c>
      <c r="K57" t="s">
        <v>55</v>
      </c>
      <c r="L57" s="8" t="s">
        <v>56</v>
      </c>
      <c r="M57">
        <v>0</v>
      </c>
      <c r="N57">
        <v>0</v>
      </c>
      <c r="O57">
        <v>0</v>
      </c>
      <c r="P57">
        <v>3</v>
      </c>
      <c r="Q57">
        <v>0</v>
      </c>
      <c r="R57">
        <v>0</v>
      </c>
      <c r="S57">
        <v>0</v>
      </c>
      <c r="T57">
        <v>3</v>
      </c>
      <c r="U57">
        <v>0</v>
      </c>
      <c r="V57">
        <v>0</v>
      </c>
      <c r="W57">
        <v>0</v>
      </c>
      <c r="X57">
        <v>3</v>
      </c>
      <c r="Y57">
        <v>0</v>
      </c>
      <c r="Z57">
        <v>0</v>
      </c>
      <c r="AA57">
        <v>0</v>
      </c>
      <c r="AB57">
        <v>3</v>
      </c>
      <c r="AC57">
        <v>0</v>
      </c>
      <c r="AD57">
        <v>0</v>
      </c>
      <c r="AE57">
        <v>0</v>
      </c>
      <c r="AF57">
        <v>3</v>
      </c>
      <c r="AG57">
        <v>0</v>
      </c>
      <c r="AH57">
        <v>1</v>
      </c>
      <c r="AI57">
        <v>0</v>
      </c>
      <c r="AJ57">
        <v>3</v>
      </c>
      <c r="AK57">
        <v>0</v>
      </c>
      <c r="AL57">
        <v>0</v>
      </c>
      <c r="AM57">
        <v>0</v>
      </c>
      <c r="AN57">
        <v>0</v>
      </c>
    </row>
    <row r="58" spans="1:40" x14ac:dyDescent="0.25">
      <c r="A58" t="s">
        <v>53</v>
      </c>
      <c r="B58" t="s">
        <v>59</v>
      </c>
      <c r="C58" t="s">
        <v>160</v>
      </c>
      <c r="D58">
        <v>129421</v>
      </c>
      <c r="E58" t="s">
        <v>187</v>
      </c>
      <c r="F58" t="s">
        <v>188</v>
      </c>
      <c r="G58" t="s">
        <v>63</v>
      </c>
      <c r="H58" t="s">
        <v>64</v>
      </c>
      <c r="I58" t="s">
        <v>54</v>
      </c>
      <c r="J58" t="s">
        <v>169</v>
      </c>
      <c r="K58" t="s">
        <v>55</v>
      </c>
      <c r="L58" s="8" t="s">
        <v>56</v>
      </c>
      <c r="M58">
        <v>0</v>
      </c>
      <c r="N58">
        <v>1</v>
      </c>
      <c r="O58">
        <v>3</v>
      </c>
      <c r="P58">
        <v>3</v>
      </c>
      <c r="Q58">
        <v>0</v>
      </c>
      <c r="R58">
        <v>1</v>
      </c>
      <c r="S58">
        <v>3</v>
      </c>
      <c r="T58">
        <v>3</v>
      </c>
      <c r="U58">
        <v>0</v>
      </c>
      <c r="V58">
        <v>1</v>
      </c>
      <c r="W58">
        <v>3</v>
      </c>
      <c r="X58">
        <v>3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  <c r="AE58">
        <v>3</v>
      </c>
      <c r="AF58">
        <v>3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</row>
    <row r="59" spans="1:40" x14ac:dyDescent="0.25">
      <c r="A59" t="s">
        <v>53</v>
      </c>
      <c r="B59" t="s">
        <v>59</v>
      </c>
      <c r="C59" t="s">
        <v>160</v>
      </c>
      <c r="D59">
        <v>129422</v>
      </c>
      <c r="E59" t="s">
        <v>189</v>
      </c>
      <c r="F59" t="s">
        <v>190</v>
      </c>
      <c r="G59" t="s">
        <v>63</v>
      </c>
      <c r="H59" t="s">
        <v>64</v>
      </c>
      <c r="I59" t="s">
        <v>54</v>
      </c>
      <c r="J59" t="s">
        <v>163</v>
      </c>
      <c r="K59" t="s">
        <v>55</v>
      </c>
      <c r="L59" s="8" t="s">
        <v>56</v>
      </c>
      <c r="M59">
        <v>0</v>
      </c>
      <c r="N59">
        <v>1</v>
      </c>
      <c r="O59">
        <v>0</v>
      </c>
      <c r="P59">
        <v>5</v>
      </c>
      <c r="Q59">
        <v>0</v>
      </c>
      <c r="R59">
        <v>0</v>
      </c>
      <c r="S59">
        <v>0</v>
      </c>
      <c r="T59">
        <v>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</row>
    <row r="60" spans="1:40" x14ac:dyDescent="0.25">
      <c r="A60" t="s">
        <v>53</v>
      </c>
      <c r="B60" t="s">
        <v>59</v>
      </c>
      <c r="C60" t="s">
        <v>160</v>
      </c>
      <c r="D60">
        <v>501085</v>
      </c>
      <c r="E60" t="s">
        <v>191</v>
      </c>
      <c r="F60" t="s">
        <v>192</v>
      </c>
      <c r="G60" t="s">
        <v>63</v>
      </c>
      <c r="H60" t="s">
        <v>64</v>
      </c>
      <c r="I60" t="s">
        <v>54</v>
      </c>
      <c r="J60" t="s">
        <v>193</v>
      </c>
      <c r="K60" t="s">
        <v>57</v>
      </c>
      <c r="L60" s="8" t="s">
        <v>58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1</v>
      </c>
      <c r="AK60">
        <v>0</v>
      </c>
      <c r="AL60">
        <v>0</v>
      </c>
      <c r="AM60">
        <v>1</v>
      </c>
      <c r="AN60">
        <v>0</v>
      </c>
    </row>
    <row r="61" spans="1:40" x14ac:dyDescent="0.25">
      <c r="A61" t="s">
        <v>53</v>
      </c>
      <c r="B61" t="s">
        <v>59</v>
      </c>
      <c r="C61" t="s">
        <v>160</v>
      </c>
      <c r="D61">
        <v>501086</v>
      </c>
      <c r="E61" t="s">
        <v>194</v>
      </c>
      <c r="F61" t="s">
        <v>195</v>
      </c>
      <c r="G61" t="s">
        <v>63</v>
      </c>
      <c r="H61" t="s">
        <v>64</v>
      </c>
      <c r="I61" t="s">
        <v>54</v>
      </c>
      <c r="J61" t="s">
        <v>196</v>
      </c>
      <c r="K61" t="s">
        <v>57</v>
      </c>
      <c r="L61" s="8" t="s">
        <v>58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1</v>
      </c>
      <c r="AM61">
        <v>3</v>
      </c>
      <c r="AN61">
        <v>2</v>
      </c>
    </row>
    <row r="62" spans="1:40" x14ac:dyDescent="0.25">
      <c r="A62" t="s">
        <v>53</v>
      </c>
      <c r="B62" t="s">
        <v>59</v>
      </c>
      <c r="C62" t="s">
        <v>160</v>
      </c>
      <c r="D62">
        <v>501087</v>
      </c>
      <c r="E62" t="s">
        <v>197</v>
      </c>
      <c r="F62" t="s">
        <v>198</v>
      </c>
      <c r="G62" t="s">
        <v>63</v>
      </c>
      <c r="H62" t="s">
        <v>64</v>
      </c>
      <c r="I62" t="s">
        <v>54</v>
      </c>
      <c r="J62" t="s">
        <v>166</v>
      </c>
      <c r="K62" t="s">
        <v>57</v>
      </c>
      <c r="L62" s="8" t="s">
        <v>58</v>
      </c>
      <c r="M62">
        <v>0</v>
      </c>
      <c r="N62">
        <v>1</v>
      </c>
      <c r="O62">
        <v>1</v>
      </c>
      <c r="P62">
        <v>6</v>
      </c>
      <c r="Q62">
        <v>0</v>
      </c>
      <c r="R62">
        <v>1</v>
      </c>
      <c r="S62">
        <v>1</v>
      </c>
      <c r="T62">
        <v>6</v>
      </c>
      <c r="U62">
        <v>0</v>
      </c>
      <c r="V62">
        <v>1</v>
      </c>
      <c r="W62">
        <v>1</v>
      </c>
      <c r="X62">
        <v>6</v>
      </c>
      <c r="Y62">
        <v>0</v>
      </c>
      <c r="Z62">
        <v>1</v>
      </c>
      <c r="AA62">
        <v>1</v>
      </c>
      <c r="AB62">
        <v>6</v>
      </c>
      <c r="AC62">
        <v>0</v>
      </c>
      <c r="AD62">
        <v>1</v>
      </c>
      <c r="AE62">
        <v>1</v>
      </c>
      <c r="AF62">
        <v>6</v>
      </c>
      <c r="AG62">
        <v>0</v>
      </c>
      <c r="AH62">
        <v>1</v>
      </c>
      <c r="AI62">
        <v>1</v>
      </c>
      <c r="AJ62">
        <v>6</v>
      </c>
      <c r="AK62">
        <v>0</v>
      </c>
      <c r="AL62">
        <v>1</v>
      </c>
      <c r="AM62">
        <v>1</v>
      </c>
      <c r="AN62">
        <v>6</v>
      </c>
    </row>
  </sheetData>
  <autoFilter ref="A8:AO62" xr:uid="{00000000-0009-0000-0000-000000000000}"/>
  <mergeCells count="21">
    <mergeCell ref="AE6:AF6"/>
    <mergeCell ref="AG6:AH6"/>
    <mergeCell ref="AI6:AJ6"/>
    <mergeCell ref="AK6:AL6"/>
    <mergeCell ref="AM6:AN6"/>
    <mergeCell ref="AK5:AN5"/>
    <mergeCell ref="M6:N6"/>
    <mergeCell ref="O6:P6"/>
    <mergeCell ref="Q6:R6"/>
    <mergeCell ref="S6:T6"/>
    <mergeCell ref="U6:V6"/>
    <mergeCell ref="W6:X6"/>
    <mergeCell ref="Y6:Z6"/>
    <mergeCell ref="AA6:AB6"/>
    <mergeCell ref="AC6:AD6"/>
    <mergeCell ref="M5:P5"/>
    <mergeCell ref="Q5:T5"/>
    <mergeCell ref="U5:X5"/>
    <mergeCell ref="Y5:AB5"/>
    <mergeCell ref="AC5:AF5"/>
    <mergeCell ref="AG5:AJ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3E892-C6A0-4867-A946-43AD0DD3B383}">
  <dimension ref="A1:AA30"/>
  <sheetViews>
    <sheetView zoomScale="85" zoomScaleNormal="85" workbookViewId="0">
      <pane xSplit="4" ySplit="8" topLeftCell="E10" activePane="bottomRight" state="frozen"/>
      <selection activeCell="B27" sqref="A9:XFD27"/>
      <selection pane="topRight" activeCell="B27" sqref="A9:XFD27"/>
      <selection pane="bottomLeft" activeCell="B27" sqref="A9:XFD27"/>
      <selection pane="bottomRight" activeCell="B31" sqref="A31:XFD76"/>
    </sheetView>
  </sheetViews>
  <sheetFormatPr defaultRowHeight="15" x14ac:dyDescent="0.25"/>
  <cols>
    <col min="2" max="2" width="27.140625" bestFit="1" customWidth="1"/>
  </cols>
  <sheetData>
    <row r="1" spans="1:27" x14ac:dyDescent="0.25">
      <c r="A1" s="1" t="s">
        <v>200</v>
      </c>
    </row>
    <row r="2" spans="1:27" x14ac:dyDescent="0.25">
      <c r="A2" s="1" t="s">
        <v>1</v>
      </c>
      <c r="L2" s="2"/>
    </row>
    <row r="3" spans="1:27" x14ac:dyDescent="0.25">
      <c r="A3" s="1" t="s">
        <v>2</v>
      </c>
      <c r="L3" s="2"/>
    </row>
    <row r="4" spans="1:27" x14ac:dyDescent="0.25">
      <c r="A4" s="1"/>
      <c r="L4" s="2"/>
    </row>
    <row r="5" spans="1:27" x14ac:dyDescent="0.25">
      <c r="A5" s="1"/>
      <c r="L5" s="2"/>
      <c r="M5" s="3" t="s">
        <v>3</v>
      </c>
      <c r="N5" s="3"/>
      <c r="O5" s="3" t="s">
        <v>4</v>
      </c>
      <c r="P5" s="3"/>
      <c r="Q5" s="3" t="s">
        <v>5</v>
      </c>
      <c r="R5" s="3"/>
      <c r="S5" s="3" t="s">
        <v>6</v>
      </c>
      <c r="T5" s="3"/>
      <c r="U5" s="3" t="s">
        <v>7</v>
      </c>
      <c r="V5" s="3"/>
      <c r="W5" s="3" t="s">
        <v>8</v>
      </c>
      <c r="X5" s="3"/>
      <c r="Y5" s="3" t="s">
        <v>9</v>
      </c>
      <c r="Z5" s="3"/>
    </row>
    <row r="6" spans="1:27" x14ac:dyDescent="0.25">
      <c r="M6" s="9" t="s">
        <v>201</v>
      </c>
      <c r="N6" s="9" t="s">
        <v>202</v>
      </c>
      <c r="O6" s="9" t="s">
        <v>201</v>
      </c>
      <c r="P6" s="9" t="s">
        <v>202</v>
      </c>
      <c r="Q6" s="9" t="s">
        <v>201</v>
      </c>
      <c r="R6" s="9" t="s">
        <v>202</v>
      </c>
      <c r="S6" s="9" t="s">
        <v>201</v>
      </c>
      <c r="T6" s="9" t="s">
        <v>202</v>
      </c>
      <c r="U6" s="9" t="s">
        <v>201</v>
      </c>
      <c r="V6" s="9" t="s">
        <v>202</v>
      </c>
      <c r="W6" s="9" t="s">
        <v>201</v>
      </c>
      <c r="X6" s="9" t="s">
        <v>202</v>
      </c>
      <c r="Y6" s="9" t="s">
        <v>201</v>
      </c>
      <c r="Z6" s="9" t="s">
        <v>202</v>
      </c>
    </row>
    <row r="7" spans="1:27" x14ac:dyDescent="0.25">
      <c r="M7" s="10">
        <f>SUM(M9:M30)</f>
        <v>30</v>
      </c>
      <c r="N7" s="10">
        <f>SUM(N9:N30)</f>
        <v>10</v>
      </c>
      <c r="O7" s="10">
        <f>SUM(O9:O30)</f>
        <v>20</v>
      </c>
      <c r="P7" s="10">
        <f>SUM(P9:P30)</f>
        <v>8</v>
      </c>
      <c r="Q7" s="10">
        <f>SUM(Q9:Q30)</f>
        <v>31</v>
      </c>
      <c r="R7" s="10">
        <f>SUM(R9:R30)</f>
        <v>20</v>
      </c>
      <c r="S7" s="10">
        <f>SUM(S9:S30)</f>
        <v>27</v>
      </c>
      <c r="T7" s="10">
        <f>SUM(T9:T30)</f>
        <v>15</v>
      </c>
      <c r="U7" s="10">
        <f>SUM(U9:U30)</f>
        <v>36</v>
      </c>
      <c r="V7" s="10">
        <f>SUM(V9:V30)</f>
        <v>20</v>
      </c>
      <c r="W7" s="10">
        <f>SUM(W9:W30)</f>
        <v>22</v>
      </c>
      <c r="X7" s="10">
        <f>SUM(X9:X30)</f>
        <v>8</v>
      </c>
      <c r="Y7" s="10">
        <f>SUM(Y9:Y30)</f>
        <v>5</v>
      </c>
      <c r="Z7" s="10">
        <f>SUM(Z9:Z30)</f>
        <v>0</v>
      </c>
    </row>
    <row r="8" spans="1:27" x14ac:dyDescent="0.25">
      <c r="A8" s="5" t="s">
        <v>12</v>
      </c>
      <c r="B8" s="5" t="s">
        <v>13</v>
      </c>
      <c r="C8" s="5" t="s">
        <v>14</v>
      </c>
      <c r="D8" s="5" t="s">
        <v>15</v>
      </c>
      <c r="E8" s="5" t="s">
        <v>16</v>
      </c>
      <c r="F8" s="5" t="s">
        <v>17</v>
      </c>
      <c r="G8" s="5" t="s">
        <v>18</v>
      </c>
      <c r="H8" s="5" t="s">
        <v>19</v>
      </c>
      <c r="I8" s="5" t="s">
        <v>20</v>
      </c>
      <c r="J8" s="5" t="s">
        <v>21</v>
      </c>
      <c r="K8" s="5" t="s">
        <v>22</v>
      </c>
      <c r="L8" s="6" t="s">
        <v>23</v>
      </c>
      <c r="M8" s="7" t="s">
        <v>203</v>
      </c>
      <c r="N8" s="7" t="s">
        <v>204</v>
      </c>
      <c r="O8" s="7" t="s">
        <v>205</v>
      </c>
      <c r="P8" s="7" t="s">
        <v>206</v>
      </c>
      <c r="Q8" s="7" t="s">
        <v>207</v>
      </c>
      <c r="R8" s="7" t="s">
        <v>208</v>
      </c>
      <c r="S8" s="7" t="s">
        <v>209</v>
      </c>
      <c r="T8" s="7" t="s">
        <v>210</v>
      </c>
      <c r="U8" s="7" t="s">
        <v>211</v>
      </c>
      <c r="V8" s="7" t="s">
        <v>212</v>
      </c>
      <c r="W8" s="7" t="s">
        <v>213</v>
      </c>
      <c r="X8" s="7" t="s">
        <v>214</v>
      </c>
      <c r="Y8" s="7" t="s">
        <v>215</v>
      </c>
      <c r="Z8" s="7" t="s">
        <v>216</v>
      </c>
      <c r="AA8" s="7" t="s">
        <v>52</v>
      </c>
    </row>
    <row r="9" spans="1:27" x14ac:dyDescent="0.25">
      <c r="A9" t="s">
        <v>53</v>
      </c>
      <c r="B9" t="s">
        <v>59</v>
      </c>
      <c r="C9" t="s">
        <v>60</v>
      </c>
      <c r="D9">
        <v>304325</v>
      </c>
      <c r="E9" t="s">
        <v>221</v>
      </c>
      <c r="F9" t="s">
        <v>222</v>
      </c>
      <c r="G9" t="s">
        <v>63</v>
      </c>
      <c r="H9" t="s">
        <v>64</v>
      </c>
      <c r="I9" t="s">
        <v>54</v>
      </c>
      <c r="J9" t="s">
        <v>73</v>
      </c>
      <c r="K9" t="s">
        <v>217</v>
      </c>
      <c r="L9" s="8" t="s">
        <v>218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7" x14ac:dyDescent="0.25">
      <c r="A10" t="s">
        <v>53</v>
      </c>
      <c r="B10" t="s">
        <v>59</v>
      </c>
      <c r="C10" t="s">
        <v>60</v>
      </c>
      <c r="D10">
        <v>304326</v>
      </c>
      <c r="E10" t="s">
        <v>223</v>
      </c>
      <c r="F10" t="s">
        <v>224</v>
      </c>
      <c r="G10" t="s">
        <v>63</v>
      </c>
      <c r="H10" t="s">
        <v>64</v>
      </c>
      <c r="I10" t="s">
        <v>54</v>
      </c>
      <c r="J10" t="s">
        <v>73</v>
      </c>
      <c r="K10" t="s">
        <v>217</v>
      </c>
      <c r="L10" s="8" t="s">
        <v>218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7" x14ac:dyDescent="0.25">
      <c r="A11" t="s">
        <v>53</v>
      </c>
      <c r="B11" t="s">
        <v>59</v>
      </c>
      <c r="C11" t="s">
        <v>60</v>
      </c>
      <c r="D11">
        <v>305680</v>
      </c>
      <c r="E11" t="s">
        <v>225</v>
      </c>
      <c r="F11" t="s">
        <v>226</v>
      </c>
      <c r="G11" t="s">
        <v>63</v>
      </c>
      <c r="H11" t="s">
        <v>64</v>
      </c>
      <c r="I11" t="s">
        <v>54</v>
      </c>
      <c r="J11" t="s">
        <v>108</v>
      </c>
      <c r="K11" t="s">
        <v>219</v>
      </c>
      <c r="L11" s="8" t="s">
        <v>220</v>
      </c>
      <c r="M11">
        <v>0</v>
      </c>
      <c r="N11">
        <v>0</v>
      </c>
      <c r="O11">
        <v>0</v>
      </c>
      <c r="P11">
        <v>0</v>
      </c>
      <c r="Q11">
        <v>6</v>
      </c>
      <c r="R11">
        <v>7</v>
      </c>
      <c r="S11">
        <v>6</v>
      </c>
      <c r="T11">
        <v>7</v>
      </c>
      <c r="U11">
        <v>6</v>
      </c>
      <c r="V11">
        <v>7</v>
      </c>
      <c r="W11">
        <v>1</v>
      </c>
      <c r="X11">
        <v>0</v>
      </c>
      <c r="Y11">
        <v>0</v>
      </c>
      <c r="Z11">
        <v>0</v>
      </c>
    </row>
    <row r="12" spans="1:27" x14ac:dyDescent="0.25">
      <c r="A12" t="s">
        <v>53</v>
      </c>
      <c r="B12" t="s">
        <v>59</v>
      </c>
      <c r="C12" t="s">
        <v>60</v>
      </c>
      <c r="D12">
        <v>325104</v>
      </c>
      <c r="E12" t="s">
        <v>227</v>
      </c>
      <c r="F12" t="s">
        <v>228</v>
      </c>
      <c r="G12" t="s">
        <v>63</v>
      </c>
      <c r="H12" t="s">
        <v>64</v>
      </c>
      <c r="I12" t="s">
        <v>54</v>
      </c>
      <c r="J12" t="s">
        <v>65</v>
      </c>
      <c r="K12" t="s">
        <v>217</v>
      </c>
      <c r="L12" s="8" t="s">
        <v>218</v>
      </c>
      <c r="M12">
        <v>19</v>
      </c>
      <c r="N12">
        <v>7</v>
      </c>
      <c r="O12">
        <v>19</v>
      </c>
      <c r="P12">
        <v>7</v>
      </c>
      <c r="Q12">
        <v>19</v>
      </c>
      <c r="R12">
        <v>7</v>
      </c>
      <c r="S12">
        <v>19</v>
      </c>
      <c r="T12">
        <v>7</v>
      </c>
      <c r="U12">
        <v>19</v>
      </c>
      <c r="V12">
        <v>7</v>
      </c>
      <c r="W12">
        <v>19</v>
      </c>
      <c r="X12">
        <v>7</v>
      </c>
      <c r="Y12">
        <v>0</v>
      </c>
      <c r="Z12">
        <v>0</v>
      </c>
    </row>
    <row r="13" spans="1:27" x14ac:dyDescent="0.25">
      <c r="A13" t="s">
        <v>53</v>
      </c>
      <c r="B13" t="s">
        <v>59</v>
      </c>
      <c r="C13" t="s">
        <v>60</v>
      </c>
      <c r="D13">
        <v>500454</v>
      </c>
      <c r="E13" t="s">
        <v>89</v>
      </c>
      <c r="F13" t="s">
        <v>90</v>
      </c>
      <c r="G13" t="s">
        <v>63</v>
      </c>
      <c r="H13" t="s">
        <v>64</v>
      </c>
      <c r="I13" t="s">
        <v>54</v>
      </c>
      <c r="J13" t="s">
        <v>73</v>
      </c>
      <c r="K13" t="s">
        <v>91</v>
      </c>
      <c r="L13" s="8" t="s">
        <v>92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7" x14ac:dyDescent="0.25">
      <c r="A14" t="s">
        <v>53</v>
      </c>
      <c r="B14" t="s">
        <v>59</v>
      </c>
      <c r="C14" t="s">
        <v>60</v>
      </c>
      <c r="D14">
        <v>501424</v>
      </c>
      <c r="E14" t="s">
        <v>93</v>
      </c>
      <c r="F14" t="s">
        <v>94</v>
      </c>
      <c r="G14" t="s">
        <v>63</v>
      </c>
      <c r="H14" t="s">
        <v>64</v>
      </c>
      <c r="I14" t="s">
        <v>54</v>
      </c>
      <c r="J14" t="s">
        <v>95</v>
      </c>
      <c r="K14" t="s">
        <v>57</v>
      </c>
      <c r="L14" s="8" t="s">
        <v>58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7" x14ac:dyDescent="0.25">
      <c r="A15" t="s">
        <v>53</v>
      </c>
      <c r="B15" t="s">
        <v>59</v>
      </c>
      <c r="C15" t="s">
        <v>96</v>
      </c>
      <c r="D15">
        <v>304303</v>
      </c>
      <c r="E15" t="s">
        <v>229</v>
      </c>
      <c r="F15" t="s">
        <v>230</v>
      </c>
      <c r="G15" t="s">
        <v>63</v>
      </c>
      <c r="H15" t="s">
        <v>64</v>
      </c>
      <c r="I15" t="s">
        <v>54</v>
      </c>
      <c r="J15" t="s">
        <v>102</v>
      </c>
      <c r="K15" t="s">
        <v>217</v>
      </c>
      <c r="L15" s="8" t="s">
        <v>218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7" x14ac:dyDescent="0.25">
      <c r="A16" t="s">
        <v>53</v>
      </c>
      <c r="B16" t="s">
        <v>59</v>
      </c>
      <c r="C16" t="s">
        <v>96</v>
      </c>
      <c r="D16">
        <v>304305</v>
      </c>
      <c r="E16" t="s">
        <v>231</v>
      </c>
      <c r="F16" t="s">
        <v>232</v>
      </c>
      <c r="G16" t="s">
        <v>63</v>
      </c>
      <c r="H16" t="s">
        <v>64</v>
      </c>
      <c r="I16" t="s">
        <v>54</v>
      </c>
      <c r="J16" t="s">
        <v>113</v>
      </c>
      <c r="K16" t="s">
        <v>217</v>
      </c>
      <c r="L16" s="8" t="s">
        <v>218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 x14ac:dyDescent="0.25">
      <c r="A17" t="s">
        <v>53</v>
      </c>
      <c r="B17" t="s">
        <v>59</v>
      </c>
      <c r="C17" t="s">
        <v>96</v>
      </c>
      <c r="D17">
        <v>304314</v>
      </c>
      <c r="E17" t="s">
        <v>233</v>
      </c>
      <c r="F17" t="s">
        <v>133</v>
      </c>
      <c r="G17" t="s">
        <v>63</v>
      </c>
      <c r="H17" t="s">
        <v>64</v>
      </c>
      <c r="I17" t="s">
        <v>54</v>
      </c>
      <c r="J17" t="s">
        <v>134</v>
      </c>
      <c r="K17" t="s">
        <v>217</v>
      </c>
      <c r="L17" s="8" t="s">
        <v>218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 x14ac:dyDescent="0.25">
      <c r="A18" t="s">
        <v>53</v>
      </c>
      <c r="B18" t="s">
        <v>59</v>
      </c>
      <c r="C18" t="s">
        <v>96</v>
      </c>
      <c r="D18">
        <v>304327</v>
      </c>
      <c r="E18" t="s">
        <v>234</v>
      </c>
      <c r="F18" t="s">
        <v>235</v>
      </c>
      <c r="G18" t="s">
        <v>63</v>
      </c>
      <c r="H18" t="s">
        <v>64</v>
      </c>
      <c r="I18" t="s">
        <v>54</v>
      </c>
      <c r="J18" t="s">
        <v>131</v>
      </c>
      <c r="K18" t="s">
        <v>217</v>
      </c>
      <c r="L18" s="8" t="s">
        <v>218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0</v>
      </c>
      <c r="Z18">
        <v>0</v>
      </c>
    </row>
    <row r="19" spans="1:26" x14ac:dyDescent="0.25">
      <c r="A19" t="s">
        <v>53</v>
      </c>
      <c r="B19" t="s">
        <v>59</v>
      </c>
      <c r="C19" t="s">
        <v>96</v>
      </c>
      <c r="D19">
        <v>304328</v>
      </c>
      <c r="E19" t="s">
        <v>236</v>
      </c>
      <c r="F19" t="s">
        <v>237</v>
      </c>
      <c r="G19" t="s">
        <v>63</v>
      </c>
      <c r="H19" t="s">
        <v>64</v>
      </c>
      <c r="I19" t="s">
        <v>54</v>
      </c>
      <c r="J19" t="s">
        <v>108</v>
      </c>
      <c r="K19" t="s">
        <v>217</v>
      </c>
      <c r="L19" s="8" t="s">
        <v>218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4</v>
      </c>
      <c r="V19">
        <v>2</v>
      </c>
      <c r="W19">
        <v>0</v>
      </c>
      <c r="X19">
        <v>0</v>
      </c>
      <c r="Y19">
        <v>0</v>
      </c>
      <c r="Z19">
        <v>0</v>
      </c>
    </row>
    <row r="20" spans="1:26" x14ac:dyDescent="0.25">
      <c r="A20" t="s">
        <v>53</v>
      </c>
      <c r="B20" t="s">
        <v>59</v>
      </c>
      <c r="C20" t="s">
        <v>96</v>
      </c>
      <c r="D20">
        <v>304338</v>
      </c>
      <c r="E20" t="s">
        <v>238</v>
      </c>
      <c r="F20" t="s">
        <v>239</v>
      </c>
      <c r="G20" t="s">
        <v>63</v>
      </c>
      <c r="H20" t="s">
        <v>64</v>
      </c>
      <c r="I20" t="s">
        <v>54</v>
      </c>
      <c r="J20" t="s">
        <v>148</v>
      </c>
      <c r="K20" t="s">
        <v>217</v>
      </c>
      <c r="L20" s="8" t="s">
        <v>218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 x14ac:dyDescent="0.25">
      <c r="A21" t="s">
        <v>53</v>
      </c>
      <c r="B21" t="s">
        <v>59</v>
      </c>
      <c r="C21" t="s">
        <v>96</v>
      </c>
      <c r="D21">
        <v>316104</v>
      </c>
      <c r="E21" t="s">
        <v>240</v>
      </c>
      <c r="F21" t="s">
        <v>199</v>
      </c>
      <c r="G21" t="s">
        <v>63</v>
      </c>
      <c r="H21" t="s">
        <v>64</v>
      </c>
      <c r="I21" t="s">
        <v>54</v>
      </c>
      <c r="J21" t="s">
        <v>119</v>
      </c>
      <c r="K21" t="s">
        <v>217</v>
      </c>
      <c r="L21" s="8" t="s">
        <v>218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 x14ac:dyDescent="0.25">
      <c r="A22" t="s">
        <v>53</v>
      </c>
      <c r="B22" t="s">
        <v>59</v>
      </c>
      <c r="C22" t="s">
        <v>96</v>
      </c>
      <c r="D22">
        <v>325101</v>
      </c>
      <c r="E22" t="s">
        <v>241</v>
      </c>
      <c r="F22" t="s">
        <v>242</v>
      </c>
      <c r="G22" t="s">
        <v>63</v>
      </c>
      <c r="H22" t="s">
        <v>64</v>
      </c>
      <c r="I22" t="s">
        <v>54</v>
      </c>
      <c r="J22" t="s">
        <v>108</v>
      </c>
      <c r="K22" t="s">
        <v>219</v>
      </c>
      <c r="L22" s="8" t="s">
        <v>220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 x14ac:dyDescent="0.25">
      <c r="A23" t="s">
        <v>53</v>
      </c>
      <c r="B23" t="s">
        <v>59</v>
      </c>
      <c r="C23" t="s">
        <v>96</v>
      </c>
      <c r="D23">
        <v>325102</v>
      </c>
      <c r="E23" t="s">
        <v>243</v>
      </c>
      <c r="F23" t="s">
        <v>244</v>
      </c>
      <c r="G23" t="s">
        <v>63</v>
      </c>
      <c r="H23" t="s">
        <v>64</v>
      </c>
      <c r="I23" t="s">
        <v>54</v>
      </c>
      <c r="J23" t="s">
        <v>105</v>
      </c>
      <c r="K23" t="s">
        <v>217</v>
      </c>
      <c r="L23" s="8" t="s">
        <v>218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5</v>
      </c>
      <c r="Z23">
        <v>0</v>
      </c>
    </row>
    <row r="24" spans="1:26" x14ac:dyDescent="0.25">
      <c r="A24" t="s">
        <v>53</v>
      </c>
      <c r="B24" t="s">
        <v>59</v>
      </c>
      <c r="C24" t="s">
        <v>96</v>
      </c>
      <c r="D24">
        <v>325106</v>
      </c>
      <c r="E24" t="s">
        <v>245</v>
      </c>
      <c r="F24" t="s">
        <v>183</v>
      </c>
      <c r="G24" t="s">
        <v>63</v>
      </c>
      <c r="H24" t="s">
        <v>64</v>
      </c>
      <c r="I24" t="s">
        <v>54</v>
      </c>
      <c r="J24" t="s">
        <v>157</v>
      </c>
      <c r="K24" t="s">
        <v>217</v>
      </c>
      <c r="L24" s="8" t="s">
        <v>218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 x14ac:dyDescent="0.25">
      <c r="A25" t="s">
        <v>53</v>
      </c>
      <c r="B25" t="s">
        <v>59</v>
      </c>
      <c r="C25" t="s">
        <v>160</v>
      </c>
      <c r="D25">
        <v>304313</v>
      </c>
      <c r="E25" t="s">
        <v>246</v>
      </c>
      <c r="F25" t="s">
        <v>247</v>
      </c>
      <c r="G25" t="s">
        <v>63</v>
      </c>
      <c r="H25" t="s">
        <v>64</v>
      </c>
      <c r="I25" t="s">
        <v>54</v>
      </c>
      <c r="J25" t="s">
        <v>169</v>
      </c>
      <c r="K25" t="s">
        <v>217</v>
      </c>
      <c r="L25" s="8" t="s">
        <v>218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 x14ac:dyDescent="0.25">
      <c r="A26" t="s">
        <v>53</v>
      </c>
      <c r="B26" t="s">
        <v>59</v>
      </c>
      <c r="C26" t="s">
        <v>160</v>
      </c>
      <c r="D26">
        <v>304318</v>
      </c>
      <c r="E26" t="s">
        <v>248</v>
      </c>
      <c r="F26" t="s">
        <v>249</v>
      </c>
      <c r="G26" t="s">
        <v>63</v>
      </c>
      <c r="H26" t="s">
        <v>64</v>
      </c>
      <c r="I26" t="s">
        <v>54</v>
      </c>
      <c r="J26" t="s">
        <v>177</v>
      </c>
      <c r="K26" t="s">
        <v>217</v>
      </c>
      <c r="L26" s="8" t="s">
        <v>218</v>
      </c>
      <c r="M26">
        <v>10</v>
      </c>
      <c r="N26">
        <v>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6</v>
      </c>
      <c r="V26">
        <v>3</v>
      </c>
      <c r="W26">
        <v>0</v>
      </c>
      <c r="X26">
        <v>0</v>
      </c>
      <c r="Y26">
        <v>0</v>
      </c>
      <c r="Z26">
        <v>0</v>
      </c>
    </row>
    <row r="27" spans="1:26" x14ac:dyDescent="0.25">
      <c r="A27" t="s">
        <v>53</v>
      </c>
      <c r="B27" t="s">
        <v>59</v>
      </c>
      <c r="C27" t="s">
        <v>160</v>
      </c>
      <c r="D27">
        <v>325105</v>
      </c>
      <c r="E27" t="s">
        <v>250</v>
      </c>
      <c r="F27" t="s">
        <v>179</v>
      </c>
      <c r="G27" t="s">
        <v>63</v>
      </c>
      <c r="H27" t="s">
        <v>64</v>
      </c>
      <c r="I27" t="s">
        <v>54</v>
      </c>
      <c r="J27" t="s">
        <v>163</v>
      </c>
      <c r="K27" t="s">
        <v>217</v>
      </c>
      <c r="L27" s="8" t="s">
        <v>218</v>
      </c>
      <c r="M27">
        <v>0</v>
      </c>
      <c r="N27">
        <v>0</v>
      </c>
      <c r="O27">
        <v>0</v>
      </c>
      <c r="P27">
        <v>0</v>
      </c>
      <c r="Q27">
        <v>5</v>
      </c>
      <c r="R27">
        <v>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 x14ac:dyDescent="0.25">
      <c r="A28" t="s">
        <v>53</v>
      </c>
      <c r="B28" t="s">
        <v>59</v>
      </c>
      <c r="C28" t="s">
        <v>160</v>
      </c>
      <c r="D28">
        <v>501085</v>
      </c>
      <c r="E28" t="s">
        <v>191</v>
      </c>
      <c r="F28" t="s">
        <v>192</v>
      </c>
      <c r="G28" t="s">
        <v>63</v>
      </c>
      <c r="H28" t="s">
        <v>64</v>
      </c>
      <c r="I28" t="s">
        <v>54</v>
      </c>
      <c r="J28" t="s">
        <v>193</v>
      </c>
      <c r="K28" t="s">
        <v>57</v>
      </c>
      <c r="L28" s="8" t="s">
        <v>58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</v>
      </c>
      <c r="X28">
        <v>0</v>
      </c>
      <c r="Y28">
        <v>0</v>
      </c>
      <c r="Z28">
        <v>0</v>
      </c>
    </row>
    <row r="29" spans="1:26" x14ac:dyDescent="0.25">
      <c r="A29" t="s">
        <v>53</v>
      </c>
      <c r="B29" t="s">
        <v>59</v>
      </c>
      <c r="C29" t="s">
        <v>160</v>
      </c>
      <c r="D29">
        <v>501086</v>
      </c>
      <c r="E29" t="s">
        <v>194</v>
      </c>
      <c r="F29" t="s">
        <v>195</v>
      </c>
      <c r="G29" t="s">
        <v>63</v>
      </c>
      <c r="H29" t="s">
        <v>64</v>
      </c>
      <c r="I29" t="s">
        <v>54</v>
      </c>
      <c r="J29" t="s">
        <v>196</v>
      </c>
      <c r="K29" t="s">
        <v>57</v>
      </c>
      <c r="L29" s="8" t="s">
        <v>58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 x14ac:dyDescent="0.25">
      <c r="A30" t="s">
        <v>53</v>
      </c>
      <c r="B30" t="s">
        <v>59</v>
      </c>
      <c r="C30" t="s">
        <v>160</v>
      </c>
      <c r="D30">
        <v>501087</v>
      </c>
      <c r="E30" t="s">
        <v>197</v>
      </c>
      <c r="F30" t="s">
        <v>198</v>
      </c>
      <c r="G30" t="s">
        <v>63</v>
      </c>
      <c r="H30" t="s">
        <v>64</v>
      </c>
      <c r="I30" t="s">
        <v>54</v>
      </c>
      <c r="J30" t="s">
        <v>166</v>
      </c>
      <c r="K30" t="s">
        <v>57</v>
      </c>
      <c r="L30" s="8" t="s">
        <v>58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</sheetData>
  <autoFilter ref="A8:AA30" xr:uid="{00000000-0009-0000-0000-000001000000}"/>
  <mergeCells count="7">
    <mergeCell ref="Y5:Z5"/>
    <mergeCell ref="M5:N5"/>
    <mergeCell ref="O5:P5"/>
    <mergeCell ref="Q5:R5"/>
    <mergeCell ref="S5:T5"/>
    <mergeCell ref="U5:V5"/>
    <mergeCell ref="W5:X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C3657-A6A0-449E-9BDF-6EC7E5A1ADB7}">
  <dimension ref="A1:AA24"/>
  <sheetViews>
    <sheetView tabSelected="1" workbookViewId="0">
      <pane xSplit="4" ySplit="8" topLeftCell="E9" activePane="bottomRight" state="frozen"/>
      <selection activeCell="B27" sqref="A9:XFD27"/>
      <selection pane="topRight" activeCell="B27" sqref="A9:XFD27"/>
      <selection pane="bottomLeft" activeCell="B27" sqref="A9:XFD27"/>
      <selection pane="bottomRight" activeCell="F31" sqref="F31"/>
    </sheetView>
  </sheetViews>
  <sheetFormatPr defaultRowHeight="15" x14ac:dyDescent="0.25"/>
  <cols>
    <col min="2" max="2" width="25.5703125" bestFit="1" customWidth="1"/>
  </cols>
  <sheetData>
    <row r="1" spans="1:27" x14ac:dyDescent="0.25">
      <c r="A1" s="1" t="s">
        <v>251</v>
      </c>
    </row>
    <row r="2" spans="1:27" x14ac:dyDescent="0.25">
      <c r="A2" s="1" t="s">
        <v>1</v>
      </c>
      <c r="L2" s="2"/>
    </row>
    <row r="3" spans="1:27" x14ac:dyDescent="0.25">
      <c r="A3" s="1" t="s">
        <v>2</v>
      </c>
      <c r="L3" s="2"/>
    </row>
    <row r="4" spans="1:27" x14ac:dyDescent="0.25">
      <c r="A4" s="1"/>
      <c r="L4" s="2"/>
    </row>
    <row r="5" spans="1:27" x14ac:dyDescent="0.25">
      <c r="A5" s="1"/>
      <c r="L5" s="2"/>
      <c r="M5" s="3" t="s">
        <v>3</v>
      </c>
      <c r="N5" s="3"/>
      <c r="O5" s="3" t="s">
        <v>4</v>
      </c>
      <c r="P5" s="3"/>
      <c r="Q5" s="3" t="s">
        <v>5</v>
      </c>
      <c r="R5" s="3"/>
      <c r="S5" s="3" t="s">
        <v>6</v>
      </c>
      <c r="T5" s="3"/>
      <c r="U5" s="3" t="s">
        <v>7</v>
      </c>
      <c r="V5" s="3"/>
      <c r="W5" s="3" t="s">
        <v>8</v>
      </c>
      <c r="X5" s="3"/>
      <c r="Y5" s="3" t="s">
        <v>9</v>
      </c>
      <c r="Z5" s="3"/>
    </row>
    <row r="6" spans="1:27" x14ac:dyDescent="0.25">
      <c r="M6" s="9" t="s">
        <v>201</v>
      </c>
      <c r="N6" s="9" t="s">
        <v>202</v>
      </c>
      <c r="O6" s="9" t="s">
        <v>201</v>
      </c>
      <c r="P6" s="9" t="s">
        <v>202</v>
      </c>
      <c r="Q6" s="9" t="s">
        <v>201</v>
      </c>
      <c r="R6" s="9" t="s">
        <v>202</v>
      </c>
      <c r="S6" s="9" t="s">
        <v>201</v>
      </c>
      <c r="T6" s="9" t="s">
        <v>202</v>
      </c>
      <c r="U6" s="9" t="s">
        <v>201</v>
      </c>
      <c r="V6" s="9" t="s">
        <v>202</v>
      </c>
      <c r="W6" s="9" t="s">
        <v>201</v>
      </c>
      <c r="X6" s="9" t="s">
        <v>202</v>
      </c>
      <c r="Y6" s="9" t="s">
        <v>201</v>
      </c>
      <c r="Z6" s="9" t="s">
        <v>202</v>
      </c>
    </row>
    <row r="7" spans="1:27" x14ac:dyDescent="0.25">
      <c r="M7" s="10">
        <f>SUM(M9:M24)</f>
        <v>2</v>
      </c>
      <c r="N7" s="10">
        <f>SUM(N9:N24)</f>
        <v>2</v>
      </c>
      <c r="O7" s="10">
        <f>SUM(O9:O24)</f>
        <v>1</v>
      </c>
      <c r="P7" s="10">
        <f>SUM(P9:P24)</f>
        <v>1</v>
      </c>
      <c r="Q7" s="10">
        <f>SUM(Q9:Q24)</f>
        <v>10</v>
      </c>
      <c r="R7" s="10">
        <f>SUM(R9:R24)</f>
        <v>10</v>
      </c>
      <c r="S7" s="10">
        <f>SUM(S9:S24)</f>
        <v>1</v>
      </c>
      <c r="T7" s="10">
        <f>SUM(T9:T24)</f>
        <v>0</v>
      </c>
      <c r="U7" s="10">
        <f>SUM(U9:U24)</f>
        <v>7</v>
      </c>
      <c r="V7" s="10">
        <f>SUM(V9:V24)</f>
        <v>7</v>
      </c>
      <c r="W7" s="10">
        <f>SUM(W9:W24)</f>
        <v>1</v>
      </c>
      <c r="X7" s="10">
        <f>SUM(X9:X24)</f>
        <v>0</v>
      </c>
      <c r="Y7" s="10">
        <f>SUM(Y9:Y24)</f>
        <v>2</v>
      </c>
      <c r="Z7" s="10">
        <f>SUM(Z9:Z24)</f>
        <v>5</v>
      </c>
    </row>
    <row r="8" spans="1:27" x14ac:dyDescent="0.25">
      <c r="A8" s="5" t="s">
        <v>12</v>
      </c>
      <c r="B8" s="5" t="s">
        <v>13</v>
      </c>
      <c r="C8" s="5" t="s">
        <v>14</v>
      </c>
      <c r="D8" s="5" t="s">
        <v>15</v>
      </c>
      <c r="E8" s="5" t="s">
        <v>16</v>
      </c>
      <c r="F8" s="5" t="s">
        <v>17</v>
      </c>
      <c r="G8" s="5" t="s">
        <v>18</v>
      </c>
      <c r="H8" s="5" t="s">
        <v>19</v>
      </c>
      <c r="I8" s="5" t="s">
        <v>20</v>
      </c>
      <c r="J8" s="5" t="s">
        <v>21</v>
      </c>
      <c r="K8" s="5" t="s">
        <v>22</v>
      </c>
      <c r="L8" s="6" t="s">
        <v>23</v>
      </c>
      <c r="M8" s="7" t="s">
        <v>252</v>
      </c>
      <c r="N8" s="7" t="s">
        <v>253</v>
      </c>
      <c r="O8" s="7" t="s">
        <v>254</v>
      </c>
      <c r="P8" s="7" t="s">
        <v>255</v>
      </c>
      <c r="Q8" s="7" t="s">
        <v>256</v>
      </c>
      <c r="R8" s="7" t="s">
        <v>257</v>
      </c>
      <c r="S8" s="7" t="s">
        <v>258</v>
      </c>
      <c r="T8" s="7" t="s">
        <v>259</v>
      </c>
      <c r="U8" s="7" t="s">
        <v>260</v>
      </c>
      <c r="V8" s="7" t="s">
        <v>261</v>
      </c>
      <c r="W8" s="7" t="s">
        <v>262</v>
      </c>
      <c r="X8" s="7" t="s">
        <v>263</v>
      </c>
      <c r="Y8" s="7" t="s">
        <v>264</v>
      </c>
      <c r="Z8" s="7" t="s">
        <v>265</v>
      </c>
      <c r="AA8" s="7" t="s">
        <v>266</v>
      </c>
    </row>
    <row r="9" spans="1:27" x14ac:dyDescent="0.25">
      <c r="A9" t="s">
        <v>53</v>
      </c>
      <c r="B9" t="s">
        <v>59</v>
      </c>
      <c r="C9" t="s">
        <v>60</v>
      </c>
      <c r="D9">
        <v>304325</v>
      </c>
      <c r="E9" t="s">
        <v>221</v>
      </c>
      <c r="F9" t="s">
        <v>222</v>
      </c>
      <c r="G9" t="s">
        <v>63</v>
      </c>
      <c r="H9" t="s">
        <v>64</v>
      </c>
      <c r="I9" t="s">
        <v>54</v>
      </c>
      <c r="J9" t="s">
        <v>73</v>
      </c>
      <c r="K9" t="s">
        <v>217</v>
      </c>
      <c r="L9" s="8" t="s">
        <v>218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7" x14ac:dyDescent="0.25">
      <c r="A10" t="s">
        <v>53</v>
      </c>
      <c r="B10" t="s">
        <v>59</v>
      </c>
      <c r="C10" t="s">
        <v>60</v>
      </c>
      <c r="D10">
        <v>304326</v>
      </c>
      <c r="E10" t="s">
        <v>223</v>
      </c>
      <c r="F10" t="s">
        <v>224</v>
      </c>
      <c r="G10" t="s">
        <v>63</v>
      </c>
      <c r="H10" t="s">
        <v>64</v>
      </c>
      <c r="I10" t="s">
        <v>54</v>
      </c>
      <c r="J10" t="s">
        <v>73</v>
      </c>
      <c r="K10" t="s">
        <v>217</v>
      </c>
      <c r="L10" s="8" t="s">
        <v>218</v>
      </c>
      <c r="M10">
        <v>0</v>
      </c>
      <c r="N10">
        <v>0</v>
      </c>
      <c r="O10">
        <v>0</v>
      </c>
      <c r="P10">
        <v>0</v>
      </c>
      <c r="Q10">
        <v>9</v>
      </c>
      <c r="R10">
        <v>10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7" x14ac:dyDescent="0.25">
      <c r="A11" t="s">
        <v>53</v>
      </c>
      <c r="B11" t="s">
        <v>59</v>
      </c>
      <c r="C11" t="s">
        <v>60</v>
      </c>
      <c r="D11">
        <v>325104</v>
      </c>
      <c r="E11" t="s">
        <v>227</v>
      </c>
      <c r="F11" t="s">
        <v>228</v>
      </c>
      <c r="G11" t="s">
        <v>63</v>
      </c>
      <c r="H11" t="s">
        <v>64</v>
      </c>
      <c r="I11" t="s">
        <v>54</v>
      </c>
      <c r="J11" t="s">
        <v>65</v>
      </c>
      <c r="K11" t="s">
        <v>217</v>
      </c>
      <c r="L11" s="8" t="s">
        <v>218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7" x14ac:dyDescent="0.25">
      <c r="A12" t="s">
        <v>53</v>
      </c>
      <c r="B12" t="s">
        <v>59</v>
      </c>
      <c r="C12" t="s">
        <v>60</v>
      </c>
      <c r="D12">
        <v>500454</v>
      </c>
      <c r="E12" t="s">
        <v>89</v>
      </c>
      <c r="F12" t="s">
        <v>90</v>
      </c>
      <c r="G12" t="s">
        <v>63</v>
      </c>
      <c r="H12" t="s">
        <v>64</v>
      </c>
      <c r="I12" t="s">
        <v>54</v>
      </c>
      <c r="J12" t="s">
        <v>73</v>
      </c>
      <c r="K12" t="s">
        <v>91</v>
      </c>
      <c r="L12" s="8" t="s">
        <v>92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7" x14ac:dyDescent="0.25">
      <c r="A13" t="s">
        <v>53</v>
      </c>
      <c r="B13" t="s">
        <v>59</v>
      </c>
      <c r="C13" t="s">
        <v>96</v>
      </c>
      <c r="D13">
        <v>304303</v>
      </c>
      <c r="E13" t="s">
        <v>229</v>
      </c>
      <c r="F13" t="s">
        <v>230</v>
      </c>
      <c r="G13" t="s">
        <v>63</v>
      </c>
      <c r="H13" t="s">
        <v>64</v>
      </c>
      <c r="I13" t="s">
        <v>54</v>
      </c>
      <c r="J13" t="s">
        <v>102</v>
      </c>
      <c r="K13" t="s">
        <v>217</v>
      </c>
      <c r="L13" s="8" t="s">
        <v>218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7" x14ac:dyDescent="0.25">
      <c r="A14" t="s">
        <v>53</v>
      </c>
      <c r="B14" t="s">
        <v>59</v>
      </c>
      <c r="C14" t="s">
        <v>96</v>
      </c>
      <c r="D14">
        <v>304305</v>
      </c>
      <c r="E14" t="s">
        <v>231</v>
      </c>
      <c r="F14" t="s">
        <v>232</v>
      </c>
      <c r="G14" t="s">
        <v>63</v>
      </c>
      <c r="H14" t="s">
        <v>64</v>
      </c>
      <c r="I14" t="s">
        <v>54</v>
      </c>
      <c r="J14" t="s">
        <v>113</v>
      </c>
      <c r="K14" t="s">
        <v>217</v>
      </c>
      <c r="L14" s="8" t="s">
        <v>218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2</v>
      </c>
      <c r="Z14">
        <v>2</v>
      </c>
    </row>
    <row r="15" spans="1:27" x14ac:dyDescent="0.25">
      <c r="A15" t="s">
        <v>53</v>
      </c>
      <c r="B15" t="s">
        <v>59</v>
      </c>
      <c r="C15" t="s">
        <v>96</v>
      </c>
      <c r="D15">
        <v>304314</v>
      </c>
      <c r="E15" t="s">
        <v>233</v>
      </c>
      <c r="F15" t="s">
        <v>133</v>
      </c>
      <c r="G15" t="s">
        <v>63</v>
      </c>
      <c r="H15" t="s">
        <v>64</v>
      </c>
      <c r="I15" t="s">
        <v>54</v>
      </c>
      <c r="J15" t="s">
        <v>134</v>
      </c>
      <c r="K15" t="s">
        <v>217</v>
      </c>
      <c r="L15" s="8" t="s">
        <v>218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7" x14ac:dyDescent="0.25">
      <c r="A16" t="s">
        <v>53</v>
      </c>
      <c r="B16" t="s">
        <v>59</v>
      </c>
      <c r="C16" t="s">
        <v>96</v>
      </c>
      <c r="D16">
        <v>304327</v>
      </c>
      <c r="E16" t="s">
        <v>234</v>
      </c>
      <c r="F16" t="s">
        <v>235</v>
      </c>
      <c r="G16" t="s">
        <v>63</v>
      </c>
      <c r="H16" t="s">
        <v>64</v>
      </c>
      <c r="I16" t="s">
        <v>54</v>
      </c>
      <c r="J16" t="s">
        <v>131</v>
      </c>
      <c r="K16" t="s">
        <v>217</v>
      </c>
      <c r="L16" s="8" t="s">
        <v>218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 x14ac:dyDescent="0.25">
      <c r="A17" t="s">
        <v>53</v>
      </c>
      <c r="B17" t="s">
        <v>59</v>
      </c>
      <c r="C17" t="s">
        <v>96</v>
      </c>
      <c r="D17">
        <v>304328</v>
      </c>
      <c r="E17" t="s">
        <v>236</v>
      </c>
      <c r="F17" t="s">
        <v>237</v>
      </c>
      <c r="G17" t="s">
        <v>63</v>
      </c>
      <c r="H17" t="s">
        <v>64</v>
      </c>
      <c r="I17" t="s">
        <v>54</v>
      </c>
      <c r="J17" t="s">
        <v>108</v>
      </c>
      <c r="K17" t="s">
        <v>217</v>
      </c>
      <c r="L17" s="8" t="s">
        <v>218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2</v>
      </c>
      <c r="V17">
        <v>1</v>
      </c>
      <c r="W17">
        <v>0</v>
      </c>
      <c r="X17">
        <v>0</v>
      </c>
      <c r="Y17">
        <v>0</v>
      </c>
      <c r="Z17">
        <v>0</v>
      </c>
    </row>
    <row r="18" spans="1:26" x14ac:dyDescent="0.25">
      <c r="A18" t="s">
        <v>53</v>
      </c>
      <c r="B18" t="s">
        <v>59</v>
      </c>
      <c r="C18" t="s">
        <v>96</v>
      </c>
      <c r="D18">
        <v>304338</v>
      </c>
      <c r="E18" t="s">
        <v>238</v>
      </c>
      <c r="F18" t="s">
        <v>239</v>
      </c>
      <c r="G18" t="s">
        <v>63</v>
      </c>
      <c r="H18" t="s">
        <v>64</v>
      </c>
      <c r="I18" t="s">
        <v>54</v>
      </c>
      <c r="J18" t="s">
        <v>148</v>
      </c>
      <c r="K18" t="s">
        <v>217</v>
      </c>
      <c r="L18" s="8" t="s">
        <v>218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 x14ac:dyDescent="0.25">
      <c r="A19" t="s">
        <v>53</v>
      </c>
      <c r="B19" t="s">
        <v>59</v>
      </c>
      <c r="C19" t="s">
        <v>96</v>
      </c>
      <c r="D19">
        <v>316104</v>
      </c>
      <c r="E19" t="s">
        <v>240</v>
      </c>
      <c r="F19" t="s">
        <v>199</v>
      </c>
      <c r="G19" t="s">
        <v>63</v>
      </c>
      <c r="H19" t="s">
        <v>64</v>
      </c>
      <c r="I19" t="s">
        <v>54</v>
      </c>
      <c r="J19" t="s">
        <v>119</v>
      </c>
      <c r="K19" t="s">
        <v>217</v>
      </c>
      <c r="L19" s="8" t="s">
        <v>218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 x14ac:dyDescent="0.25">
      <c r="A20" t="s">
        <v>53</v>
      </c>
      <c r="B20" t="s">
        <v>59</v>
      </c>
      <c r="C20" t="s">
        <v>96</v>
      </c>
      <c r="D20">
        <v>325102</v>
      </c>
      <c r="E20" t="s">
        <v>243</v>
      </c>
      <c r="F20" t="s">
        <v>244</v>
      </c>
      <c r="G20" t="s">
        <v>63</v>
      </c>
      <c r="H20" t="s">
        <v>64</v>
      </c>
      <c r="I20" t="s">
        <v>54</v>
      </c>
      <c r="J20" t="s">
        <v>105</v>
      </c>
      <c r="K20" t="s">
        <v>217</v>
      </c>
      <c r="L20" s="8" t="s">
        <v>218</v>
      </c>
      <c r="M20">
        <v>0</v>
      </c>
      <c r="N20">
        <v>0</v>
      </c>
      <c r="O20">
        <v>0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 x14ac:dyDescent="0.25">
      <c r="A21" t="s">
        <v>53</v>
      </c>
      <c r="B21" t="s">
        <v>59</v>
      </c>
      <c r="C21" t="s">
        <v>96</v>
      </c>
      <c r="D21">
        <v>325106</v>
      </c>
      <c r="E21" t="s">
        <v>245</v>
      </c>
      <c r="F21" t="s">
        <v>183</v>
      </c>
      <c r="G21" t="s">
        <v>63</v>
      </c>
      <c r="H21" t="s">
        <v>64</v>
      </c>
      <c r="I21" t="s">
        <v>54</v>
      </c>
      <c r="J21" t="s">
        <v>157</v>
      </c>
      <c r="K21" t="s">
        <v>217</v>
      </c>
      <c r="L21" s="8" t="s">
        <v>218</v>
      </c>
      <c r="M21">
        <v>1</v>
      </c>
      <c r="N21">
        <v>0</v>
      </c>
      <c r="O21">
        <v>1</v>
      </c>
      <c r="P21">
        <v>0</v>
      </c>
      <c r="Q21">
        <v>1</v>
      </c>
      <c r="R21">
        <v>0</v>
      </c>
      <c r="S21">
        <v>1</v>
      </c>
      <c r="T21">
        <v>0</v>
      </c>
      <c r="U21">
        <v>1</v>
      </c>
      <c r="V21">
        <v>0</v>
      </c>
      <c r="W21">
        <v>1</v>
      </c>
      <c r="X21">
        <v>0</v>
      </c>
      <c r="Y21">
        <v>0</v>
      </c>
      <c r="Z21">
        <v>2</v>
      </c>
    </row>
    <row r="22" spans="1:26" x14ac:dyDescent="0.25">
      <c r="A22" t="s">
        <v>53</v>
      </c>
      <c r="B22" t="s">
        <v>59</v>
      </c>
      <c r="C22" t="s">
        <v>160</v>
      </c>
      <c r="D22">
        <v>304313</v>
      </c>
      <c r="E22" t="s">
        <v>246</v>
      </c>
      <c r="F22" t="s">
        <v>247</v>
      </c>
      <c r="G22" t="s">
        <v>63</v>
      </c>
      <c r="H22" t="s">
        <v>64</v>
      </c>
      <c r="I22" t="s">
        <v>54</v>
      </c>
      <c r="J22" t="s">
        <v>169</v>
      </c>
      <c r="K22" t="s">
        <v>217</v>
      </c>
      <c r="L22" s="8" t="s">
        <v>218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3</v>
      </c>
      <c r="V22">
        <v>4</v>
      </c>
      <c r="W22">
        <v>0</v>
      </c>
      <c r="X22">
        <v>0</v>
      </c>
      <c r="Y22">
        <v>0</v>
      </c>
      <c r="Z22">
        <v>0</v>
      </c>
    </row>
    <row r="23" spans="1:26" x14ac:dyDescent="0.25">
      <c r="A23" t="s">
        <v>53</v>
      </c>
      <c r="B23" t="s">
        <v>59</v>
      </c>
      <c r="C23" t="s">
        <v>160</v>
      </c>
      <c r="D23">
        <v>304318</v>
      </c>
      <c r="E23" t="s">
        <v>248</v>
      </c>
      <c r="F23" t="s">
        <v>249</v>
      </c>
      <c r="G23" t="s">
        <v>63</v>
      </c>
      <c r="H23" t="s">
        <v>64</v>
      </c>
      <c r="I23" t="s">
        <v>54</v>
      </c>
      <c r="J23" t="s">
        <v>177</v>
      </c>
      <c r="K23" t="s">
        <v>217</v>
      </c>
      <c r="L23" s="8" t="s">
        <v>218</v>
      </c>
      <c r="M23">
        <v>1</v>
      </c>
      <c r="N23">
        <v>2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</v>
      </c>
      <c r="V23">
        <v>2</v>
      </c>
      <c r="W23">
        <v>0</v>
      </c>
      <c r="X23">
        <v>0</v>
      </c>
      <c r="Y23">
        <v>0</v>
      </c>
      <c r="Z23">
        <v>0</v>
      </c>
    </row>
    <row r="24" spans="1:26" x14ac:dyDescent="0.25">
      <c r="A24" t="s">
        <v>53</v>
      </c>
      <c r="B24" t="s">
        <v>59</v>
      </c>
      <c r="C24" t="s">
        <v>160</v>
      </c>
      <c r="D24">
        <v>325105</v>
      </c>
      <c r="E24" t="s">
        <v>250</v>
      </c>
      <c r="F24" t="s">
        <v>179</v>
      </c>
      <c r="G24" t="s">
        <v>63</v>
      </c>
      <c r="H24" t="s">
        <v>64</v>
      </c>
      <c r="I24" t="s">
        <v>54</v>
      </c>
      <c r="J24" t="s">
        <v>163</v>
      </c>
      <c r="K24" t="s">
        <v>217</v>
      </c>
      <c r="L24" s="8" t="s">
        <v>218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</sheetData>
  <autoFilter ref="A8:AA24" xr:uid="{00000000-0009-0000-0000-000002000000}"/>
  <mergeCells count="7">
    <mergeCell ref="Y5:Z5"/>
    <mergeCell ref="M5:N5"/>
    <mergeCell ref="O5:P5"/>
    <mergeCell ref="Q5:R5"/>
    <mergeCell ref="S5:T5"/>
    <mergeCell ref="U5:V5"/>
    <mergeCell ref="W5:X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2023-07-31T07:55:00Z</dcterms:created>
  <dcterms:modified xsi:type="dcterms:W3CDTF">2023-07-31T07:56:26Z</dcterms:modified>
</cp:coreProperties>
</file>