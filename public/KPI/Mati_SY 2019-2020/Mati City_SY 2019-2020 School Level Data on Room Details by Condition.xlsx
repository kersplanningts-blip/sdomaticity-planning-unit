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NSBI Database/"/>
    </mc:Choice>
  </mc:AlternateContent>
  <xr:revisionPtr revIDLastSave="0" documentId="8_{62073251-D32A-4032-970F-A5C2F2DFE37C}" xr6:coauthVersionLast="47" xr6:coauthVersionMax="47" xr10:uidLastSave="{00000000-0000-0000-0000-000000000000}"/>
  <bookViews>
    <workbookView xWindow="-120" yWindow="-120" windowWidth="29040" windowHeight="15720" xr2:uid="{A12F2A62-9CBA-4464-B738-250C2699F995}"/>
  </bookViews>
  <sheets>
    <sheet name="DB" sheetId="1" r:id="rId1"/>
  </sheets>
  <definedNames>
    <definedName name="_xlnm._FilterDatabase" localSheetId="0" hidden="1">DB!$A$7:$DU$79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U6" i="1" l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</calcChain>
</file>

<file path=xl/sharedStrings.xml><?xml version="1.0" encoding="utf-8"?>
<sst xmlns="http://schemas.openxmlformats.org/spreadsheetml/2006/main" count="919" uniqueCount="236">
  <si>
    <t>School Level Data on Number of Classroom by Room Condition and Actual Usage</t>
  </si>
  <si>
    <t>SY 2019-2020</t>
  </si>
  <si>
    <t>Based on NSBI, generated as of May 5, 2020</t>
  </si>
  <si>
    <t>ROOM CONDITION (GOOD)</t>
  </si>
  <si>
    <t>ROOM CONDITION (MINOR REPAIR)</t>
  </si>
  <si>
    <t>ROOM CONDITION (MAJOR REPAIR)</t>
  </si>
  <si>
    <t>INSTRUCTIONAL ROOMS</t>
  </si>
  <si>
    <t>NON-INSTRUCTIONAL ROOMS</t>
  </si>
  <si>
    <t>Grand Total</t>
  </si>
  <si>
    <t>Region</t>
  </si>
  <si>
    <t>Division</t>
  </si>
  <si>
    <t>District</t>
  </si>
  <si>
    <t>School_id (LIS)</t>
  </si>
  <si>
    <t>School_name</t>
  </si>
  <si>
    <t>street_address</t>
  </si>
  <si>
    <t>mother_school_id</t>
  </si>
  <si>
    <t>Province</t>
  </si>
  <si>
    <t>Municipality</t>
  </si>
  <si>
    <t>Legislative District</t>
  </si>
  <si>
    <t>Barangay</t>
  </si>
  <si>
    <t>School_subclassification</t>
  </si>
  <si>
    <t>Modified Curricular Offering</t>
  </si>
  <si>
    <t>Kindergarten Classroom</t>
  </si>
  <si>
    <t>Grade 1 Classroom</t>
  </si>
  <si>
    <t>Grade 2 Classroom</t>
  </si>
  <si>
    <t>Grade 3 Classroom</t>
  </si>
  <si>
    <t>Grade 4 Classroom</t>
  </si>
  <si>
    <t>Grade 5 Classroom</t>
  </si>
  <si>
    <t>Grade 6 Classroom</t>
  </si>
  <si>
    <t>Grade 7 Classroom</t>
  </si>
  <si>
    <t>Grade 8 Classroom</t>
  </si>
  <si>
    <t>Grade 9 Classroom</t>
  </si>
  <si>
    <t>Grade 10 Classroom</t>
  </si>
  <si>
    <t>Grade 11 Classroom</t>
  </si>
  <si>
    <t>Grade 12 Classroom</t>
  </si>
  <si>
    <t>SPED Classroom</t>
  </si>
  <si>
    <t>ALS Room</t>
  </si>
  <si>
    <t>Audio-Visual (Instructional)</t>
  </si>
  <si>
    <t>Computer Room</t>
  </si>
  <si>
    <t>Home Economics Room</t>
  </si>
  <si>
    <t>Industrial Arts Room</t>
  </si>
  <si>
    <t>Science Laboratory</t>
  </si>
  <si>
    <t>Speech Laboratory</t>
  </si>
  <si>
    <t>Research Laboratory</t>
  </si>
  <si>
    <t>Other (Instructional)</t>
  </si>
  <si>
    <t>Library/Learning Resource Center</t>
  </si>
  <si>
    <t>Canteen</t>
  </si>
  <si>
    <t>Clinic</t>
  </si>
  <si>
    <t>Conference Room</t>
  </si>
  <si>
    <t>Offices</t>
  </si>
  <si>
    <t>Faculty Room</t>
  </si>
  <si>
    <t>Museum</t>
  </si>
  <si>
    <t>Supply Room</t>
  </si>
  <si>
    <t>Other (Non-Instructional)</t>
  </si>
  <si>
    <t>Data File Room/Records Room</t>
  </si>
  <si>
    <t>Audio-Visual (Non-instructional)</t>
  </si>
  <si>
    <t>Students Co-Curricular Center</t>
  </si>
  <si>
    <t>Not Currently Used</t>
  </si>
  <si>
    <t>Youth Development Center</t>
  </si>
  <si>
    <t>Region XI</t>
  </si>
  <si>
    <t>2nd District</t>
  </si>
  <si>
    <t>DepED Managed</t>
  </si>
  <si>
    <t>Purely ES</t>
  </si>
  <si>
    <t>JHS with SHS</t>
  </si>
  <si>
    <t>Purely JHS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</si>
  <si>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</si>
  <si>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</si>
  <si>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</si>
  <si>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</si>
  <si>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</si>
  <si>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</si>
  <si>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</si>
  <si>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</si>
  <si>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</si>
  <si>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</si>
  <si>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</si>
  <si>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</si>
  <si>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</si>
  <si>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</si>
  <si>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</si>
  <si>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</si>
  <si>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</si>
  <si>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</si>
  <si>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</si>
  <si>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</si>
  <si>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</si>
  <si>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</si>
  <si>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</si>
  <si>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</si>
  <si>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</si>
  <si>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</si>
  <si>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</si>
  <si>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</si>
  <si>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</si>
  <si>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</si>
  <si>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</si>
  <si>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</si>
  <si>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</si>
  <si>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</si>
  <si>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</si>
  <si>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</si>
  <si>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</si>
  <si>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</si>
  <si>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</si>
  <si>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</si>
  <si>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Licop Integrated School</t>
  </si>
  <si>
    <t>Sitio Licop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</si>
  <si>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</si>
  <si>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</si>
  <si>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</si>
  <si>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</si>
  <si>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</si>
  <si>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</si>
  <si>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</si>
  <si>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</si>
  <si>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</si>
  <si>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</si>
  <si>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</si>
  <si>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</si>
  <si>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</si>
  <si>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</si>
  <si>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</si>
  <si>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</si>
  <si>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</si>
  <si>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</si>
  <si>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</si>
  <si>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</si>
  <si>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</si>
  <si>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</si>
  <si>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</si>
  <si>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</si>
  <si>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</si>
  <si>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</si>
  <si>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</si>
  <si>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</si>
  <si>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</si>
  <si>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</si>
  <si>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</si>
  <si>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</si>
  <si>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</si>
  <si>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</si>
  <si>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</si>
  <si>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</si>
  <si>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</si>
  <si>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</si>
  <si>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</si>
  <si>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</si>
  <si>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</si>
  <si>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</si>
  <si>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</si>
  <si>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</si>
  <si>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</si>
  <si>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</si>
  <si>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</si>
  <si>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</si>
  <si>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</si>
  <si>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</si>
  <si>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</si>
  <si>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</si>
  <si>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</si>
  <si>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</si>
  <si>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</si>
  <si>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</si>
  <si>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</si>
  <si>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</si>
  <si>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</si>
  <si>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</si>
  <si>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</si>
  <si>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</si>
  <si>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</si>
  <si>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</si>
  <si>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</si>
  <si>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</si>
  <si>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</si>
  <si>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</si>
  <si>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</si>
  <si>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</si>
  <si>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</si>
  <si>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</si>
  <si>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</si>
  <si>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</si>
  <si>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</si>
  <si>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</si>
  <si>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</si>
  <si>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</si>
  <si>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</si>
  <si>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Centro</t>
  </si>
  <si>
    <t>Doña Rosa G. Rabat MHS</t>
  </si>
  <si>
    <t>Purok 30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</si>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</sst>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165" fontId="1" fillId="0" borderId="0" xfId="1" applyNumberFormat="1" applyFont="1"/>
    <xf numFmtId="0" fontId="1" fillId="7" borderId="0" xfId="0" applyFont="1" applyFill="1"/>
    <xf numFmtId="0" fontId="1" fillId="8" borderId="0" xfId="0" applyFont="1" applyFill="1"/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8370-988F-452E-9395-C32DABA0EDCA}">
  <dimension ref="A1:DU78"/>
  <sheetViews>
    <sheetView tabSelected="1" zoomScale="85" zoomScaleNormal="85" workbookViewId="0">
      <pane xSplit="4" ySplit="7" topLeftCell="E59" activePane="bottomRight" state="frozen"/>
      <selection pane="topRight" activeCell="E1" sqref="E1"/>
      <selection pane="bottomLeft" activeCell="A6" sqref="A6"/>
      <selection pane="bottomRight" activeCell="B79" sqref="A79:XFD284"/>
    </sheetView>
  </sheetViews>
  <sheetFormatPr defaultRowHeight="15" x14ac:dyDescent="0.25"/>
  <cols>
    <col min="2" max="2" width="21.140625" customWidth="1"/>
    <col min="3" max="13" width="12.7109375" customWidth="1"/>
    <col min="14" max="125" width="13.7109375" customWidth="1"/>
  </cols>
  <sheetData>
    <row r="1" spans="1:125" x14ac:dyDescent="0.25">
      <c r="A1" s="1" t="s">
        <v>0</v>
      </c>
    </row>
    <row r="2" spans="1:125" x14ac:dyDescent="0.25">
      <c r="A2" s="1" t="s">
        <v>1</v>
      </c>
      <c r="M2" s="2"/>
    </row>
    <row r="3" spans="1:125" x14ac:dyDescent="0.25">
      <c r="A3" s="1" t="s">
        <v>2</v>
      </c>
      <c r="M3" s="2"/>
    </row>
    <row r="4" spans="1:125" x14ac:dyDescent="0.25">
      <c r="A4" s="1"/>
      <c r="M4" s="2"/>
      <c r="N4" s="3" t="s">
        <v>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4" t="s">
        <v>4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5" t="s">
        <v>5</v>
      </c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</row>
    <row r="5" spans="1:125" ht="14.45" customHeight="1" x14ac:dyDescent="0.25">
      <c r="A5" s="1"/>
      <c r="M5" s="2"/>
      <c r="N5" s="6" t="s">
        <v>6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7" t="s">
        <v>7</v>
      </c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6" t="s">
        <v>6</v>
      </c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7" t="s">
        <v>7</v>
      </c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6" t="s">
        <v>6</v>
      </c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7" t="s">
        <v>7</v>
      </c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1" t="s">
        <v>8</v>
      </c>
    </row>
    <row r="6" spans="1:125" x14ac:dyDescent="0.25">
      <c r="N6" s="8">
        <f>SUM(N8:N78)</f>
        <v>41</v>
      </c>
      <c r="O6" s="8">
        <f>SUM(O8:O78)</f>
        <v>56</v>
      </c>
      <c r="P6" s="8">
        <f>SUM(P8:P78)</f>
        <v>57</v>
      </c>
      <c r="Q6" s="8">
        <f>SUM(Q8:Q78)</f>
        <v>55</v>
      </c>
      <c r="R6" s="8">
        <f>SUM(R8:R78)</f>
        <v>53</v>
      </c>
      <c r="S6" s="8">
        <f>SUM(S8:S78)</f>
        <v>48</v>
      </c>
      <c r="T6" s="8">
        <f>SUM(T8:T78)</f>
        <v>49</v>
      </c>
      <c r="U6" s="8">
        <f>SUM(U8:U78)</f>
        <v>22</v>
      </c>
      <c r="V6" s="8">
        <f>SUM(V8:V78)</f>
        <v>16</v>
      </c>
      <c r="W6" s="8">
        <f>SUM(W8:W78)</f>
        <v>16</v>
      </c>
      <c r="X6" s="8">
        <f>SUM(X8:X78)</f>
        <v>16</v>
      </c>
      <c r="Y6" s="8">
        <f>SUM(Y8:Y78)</f>
        <v>17</v>
      </c>
      <c r="Z6" s="8">
        <f>SUM(Z8:Z78)</f>
        <v>13</v>
      </c>
      <c r="AA6" s="8">
        <f>SUM(AA8:AA78)</f>
        <v>9</v>
      </c>
      <c r="AB6" s="8">
        <f>SUM(AB8:AB78)</f>
        <v>0</v>
      </c>
      <c r="AC6" s="8">
        <f>SUM(AC8:AC78)</f>
        <v>9</v>
      </c>
      <c r="AD6" s="8">
        <f>SUM(AD8:AD78)</f>
        <v>28</v>
      </c>
      <c r="AE6" s="8">
        <f>SUM(AE8:AE78)</f>
        <v>8</v>
      </c>
      <c r="AF6" s="8">
        <f>SUM(AF8:AF78)</f>
        <v>2</v>
      </c>
      <c r="AG6" s="8">
        <f>SUM(AG8:AG78)</f>
        <v>11</v>
      </c>
      <c r="AH6" s="8">
        <f>SUM(AH8:AH78)</f>
        <v>1</v>
      </c>
      <c r="AI6" s="8">
        <f>SUM(AI8:AI78)</f>
        <v>1</v>
      </c>
      <c r="AJ6" s="8">
        <f>SUM(AJ8:AJ78)</f>
        <v>167</v>
      </c>
      <c r="AK6" s="8">
        <f>SUM(AK8:AK78)</f>
        <v>11</v>
      </c>
      <c r="AL6" s="8">
        <f>SUM(AL8:AL78)</f>
        <v>4</v>
      </c>
      <c r="AM6" s="8">
        <f>SUM(AM8:AM78)</f>
        <v>3</v>
      </c>
      <c r="AN6" s="8">
        <f>SUM(AN8:AN78)</f>
        <v>1</v>
      </c>
      <c r="AO6" s="8">
        <f>SUM(AO8:AO78)</f>
        <v>30</v>
      </c>
      <c r="AP6" s="8">
        <f>SUM(AP8:AP78)</f>
        <v>6</v>
      </c>
      <c r="AQ6" s="8">
        <f>SUM(AQ8:AQ78)</f>
        <v>0</v>
      </c>
      <c r="AR6" s="8">
        <f>SUM(AR8:AR78)</f>
        <v>3</v>
      </c>
      <c r="AS6" s="8">
        <f>SUM(AS8:AS78)</f>
        <v>33</v>
      </c>
      <c r="AT6" s="8">
        <f>SUM(AT8:AT78)</f>
        <v>3</v>
      </c>
      <c r="AU6" s="8">
        <f>SUM(AU8:AU78)</f>
        <v>2</v>
      </c>
      <c r="AV6" s="8">
        <f>SUM(AV8:AV78)</f>
        <v>2</v>
      </c>
      <c r="AW6" s="8">
        <f>SUM(AW8:AW78)</f>
        <v>3</v>
      </c>
      <c r="AX6" s="8">
        <f>SUM(AX8:AX78)</f>
        <v>2</v>
      </c>
      <c r="AY6" s="8">
        <f>SUM(AY8:AY78)</f>
        <v>7</v>
      </c>
      <c r="AZ6" s="8">
        <f>SUM(AZ8:AZ78)</f>
        <v>12</v>
      </c>
      <c r="BA6" s="8">
        <f>SUM(BA8:BA78)</f>
        <v>11</v>
      </c>
      <c r="BB6" s="8">
        <f>SUM(BB8:BB78)</f>
        <v>7</v>
      </c>
      <c r="BC6" s="8">
        <f>SUM(BC8:BC78)</f>
        <v>12</v>
      </c>
      <c r="BD6" s="8">
        <f>SUM(BD8:BD78)</f>
        <v>15</v>
      </c>
      <c r="BE6" s="8">
        <f>SUM(BE8:BE78)</f>
        <v>9</v>
      </c>
      <c r="BF6" s="8">
        <f>SUM(BF8:BF78)</f>
        <v>21</v>
      </c>
      <c r="BG6" s="8">
        <f>SUM(BG8:BG78)</f>
        <v>20</v>
      </c>
      <c r="BH6" s="8">
        <f>SUM(BH8:BH78)</f>
        <v>16</v>
      </c>
      <c r="BI6" s="8">
        <f>SUM(BI8:BI78)</f>
        <v>16</v>
      </c>
      <c r="BJ6" s="8">
        <f>SUM(BJ8:BJ78)</f>
        <v>5</v>
      </c>
      <c r="BK6" s="8">
        <f>SUM(BK8:BK78)</f>
        <v>2</v>
      </c>
      <c r="BL6" s="8">
        <f>SUM(BL8:BL78)</f>
        <v>0</v>
      </c>
      <c r="BM6" s="8">
        <f>SUM(BM8:BM78)</f>
        <v>0</v>
      </c>
      <c r="BN6" s="8">
        <f>SUM(BN8:BN78)</f>
        <v>6</v>
      </c>
      <c r="BO6" s="8">
        <f>SUM(BO8:BO78)</f>
        <v>9</v>
      </c>
      <c r="BP6" s="8">
        <f>SUM(BP8:BP78)</f>
        <v>4</v>
      </c>
      <c r="BQ6" s="8">
        <f>SUM(BQ8:BQ78)</f>
        <v>10</v>
      </c>
      <c r="BR6" s="8">
        <f>SUM(BR8:BR78)</f>
        <v>1</v>
      </c>
      <c r="BS6" s="8">
        <f>SUM(BS8:BS78)</f>
        <v>0</v>
      </c>
      <c r="BT6" s="8">
        <f>SUM(BT8:BT78)</f>
        <v>0</v>
      </c>
      <c r="BU6" s="8">
        <f>SUM(BU8:BU78)</f>
        <v>72</v>
      </c>
      <c r="BV6" s="8">
        <f>SUM(BV8:BV78)</f>
        <v>7</v>
      </c>
      <c r="BW6" s="8">
        <f>SUM(BW8:BW78)</f>
        <v>0</v>
      </c>
      <c r="BX6" s="8">
        <f>SUM(BX8:BX78)</f>
        <v>2</v>
      </c>
      <c r="BY6" s="8">
        <f>SUM(BY8:BY78)</f>
        <v>1</v>
      </c>
      <c r="BZ6" s="8">
        <f>SUM(BZ8:BZ78)</f>
        <v>8</v>
      </c>
      <c r="CA6" s="8">
        <f>SUM(CA8:CA78)</f>
        <v>3</v>
      </c>
      <c r="CB6" s="8">
        <f>SUM(CB8:CB78)</f>
        <v>0</v>
      </c>
      <c r="CC6" s="8">
        <f>SUM(CC8:CC78)</f>
        <v>2</v>
      </c>
      <c r="CD6" s="8">
        <f>SUM(CD8:CD78)</f>
        <v>16</v>
      </c>
      <c r="CE6" s="8">
        <f>SUM(CE8:CE78)</f>
        <v>3</v>
      </c>
      <c r="CF6" s="8">
        <f>SUM(CF8:CF78)</f>
        <v>1</v>
      </c>
      <c r="CG6" s="8">
        <f>SUM(CG8:CG78)</f>
        <v>1</v>
      </c>
      <c r="CH6" s="8">
        <f>SUM(CH8:CH78)</f>
        <v>0</v>
      </c>
      <c r="CI6" s="8">
        <f>SUM(CI8:CI78)</f>
        <v>0</v>
      </c>
      <c r="CJ6" s="8">
        <f>SUM(CJ8:CJ78)</f>
        <v>9</v>
      </c>
      <c r="CK6" s="8">
        <f>SUM(CK8:CK78)</f>
        <v>21</v>
      </c>
      <c r="CL6" s="8">
        <f>SUM(CL8:CL78)</f>
        <v>24</v>
      </c>
      <c r="CM6" s="8">
        <f>SUM(CM8:CM78)</f>
        <v>16</v>
      </c>
      <c r="CN6" s="8">
        <f>SUM(CN8:CN78)</f>
        <v>16</v>
      </c>
      <c r="CO6" s="8">
        <f>SUM(CO8:CO78)</f>
        <v>23</v>
      </c>
      <c r="CP6" s="8">
        <f>SUM(CP8:CP78)</f>
        <v>27</v>
      </c>
      <c r="CQ6" s="8">
        <f>SUM(CQ8:CQ78)</f>
        <v>9</v>
      </c>
      <c r="CR6" s="8">
        <f>SUM(CR8:CR78)</f>
        <v>13</v>
      </c>
      <c r="CS6" s="8">
        <f>SUM(CS8:CS78)</f>
        <v>11</v>
      </c>
      <c r="CT6" s="8">
        <f>SUM(CT8:CT78)</f>
        <v>4</v>
      </c>
      <c r="CU6" s="8">
        <f>SUM(CU8:CU78)</f>
        <v>1</v>
      </c>
      <c r="CV6" s="8">
        <f>SUM(CV8:CV78)</f>
        <v>0</v>
      </c>
      <c r="CW6" s="8">
        <f>SUM(CW8:CW78)</f>
        <v>0</v>
      </c>
      <c r="CX6" s="8">
        <f>SUM(CX8:CX78)</f>
        <v>0</v>
      </c>
      <c r="CY6" s="8">
        <f>SUM(CY8:CY78)</f>
        <v>1</v>
      </c>
      <c r="CZ6" s="8">
        <f>SUM(CZ8:CZ78)</f>
        <v>9</v>
      </c>
      <c r="DA6" s="8">
        <f>SUM(DA8:DA78)</f>
        <v>6</v>
      </c>
      <c r="DB6" s="8">
        <f>SUM(DB8:DB78)</f>
        <v>0</v>
      </c>
      <c r="DC6" s="8">
        <f>SUM(DC8:DC78)</f>
        <v>0</v>
      </c>
      <c r="DD6" s="8">
        <f>SUM(DD8:DD78)</f>
        <v>0</v>
      </c>
      <c r="DE6" s="8">
        <f>SUM(DE8:DE78)</f>
        <v>0</v>
      </c>
      <c r="DF6" s="8">
        <f>SUM(DF8:DF78)</f>
        <v>75</v>
      </c>
      <c r="DG6" s="8">
        <f>SUM(DG8:DG78)</f>
        <v>3</v>
      </c>
      <c r="DH6" s="8">
        <f>SUM(DH8:DH78)</f>
        <v>0</v>
      </c>
      <c r="DI6" s="8">
        <f>SUM(DI8:DI78)</f>
        <v>4</v>
      </c>
      <c r="DJ6" s="8">
        <f>SUM(DJ8:DJ78)</f>
        <v>1</v>
      </c>
      <c r="DK6" s="8">
        <f>SUM(DK8:DK78)</f>
        <v>9</v>
      </c>
      <c r="DL6" s="8">
        <f>SUM(DL8:DL78)</f>
        <v>1</v>
      </c>
      <c r="DM6" s="8">
        <f>SUM(DM8:DM78)</f>
        <v>0</v>
      </c>
      <c r="DN6" s="8">
        <f>SUM(DN8:DN78)</f>
        <v>8</v>
      </c>
      <c r="DO6" s="8">
        <f>SUM(DO8:DO78)</f>
        <v>22</v>
      </c>
      <c r="DP6" s="8">
        <f>SUM(DP8:DP78)</f>
        <v>4</v>
      </c>
      <c r="DQ6" s="8">
        <f>SUM(DQ8:DQ78)</f>
        <v>0</v>
      </c>
      <c r="DR6" s="8">
        <f>SUM(DR8:DR78)</f>
        <v>2</v>
      </c>
      <c r="DS6" s="8">
        <f>SUM(DS8:DS78)</f>
        <v>21</v>
      </c>
      <c r="DT6" s="8">
        <f>SUM(DT8:DT78)</f>
        <v>1</v>
      </c>
      <c r="DU6" s="8">
        <f>SUM(DU8:DU78)</f>
        <v>1438</v>
      </c>
    </row>
    <row r="7" spans="1:125" ht="45" x14ac:dyDescent="0.25">
      <c r="A7" s="9" t="s">
        <v>9</v>
      </c>
      <c r="B7" s="9" t="s">
        <v>10</v>
      </c>
      <c r="C7" s="9" t="s">
        <v>11</v>
      </c>
      <c r="D7" s="9" t="s">
        <v>12</v>
      </c>
      <c r="E7" s="9" t="s">
        <v>13</v>
      </c>
      <c r="F7" s="9" t="s">
        <v>14</v>
      </c>
      <c r="G7" s="9" t="s">
        <v>15</v>
      </c>
      <c r="H7" s="9" t="s">
        <v>16</v>
      </c>
      <c r="I7" s="9" t="s">
        <v>17</v>
      </c>
      <c r="J7" s="9" t="s">
        <v>18</v>
      </c>
      <c r="K7" s="9" t="s">
        <v>19</v>
      </c>
      <c r="L7" s="9" t="s">
        <v>20</v>
      </c>
      <c r="M7" s="10" t="s">
        <v>21</v>
      </c>
      <c r="N7" s="11" t="s">
        <v>22</v>
      </c>
      <c r="O7" s="11" t="s">
        <v>23</v>
      </c>
      <c r="P7" s="11" t="s">
        <v>24</v>
      </c>
      <c r="Q7" s="11" t="s">
        <v>25</v>
      </c>
      <c r="R7" s="11" t="s">
        <v>26</v>
      </c>
      <c r="S7" s="11" t="s">
        <v>27</v>
      </c>
      <c r="T7" s="11" t="s">
        <v>28</v>
      </c>
      <c r="U7" s="11" t="s">
        <v>29</v>
      </c>
      <c r="V7" s="11" t="s">
        <v>30</v>
      </c>
      <c r="W7" s="11" t="s">
        <v>31</v>
      </c>
      <c r="X7" s="11" t="s">
        <v>32</v>
      </c>
      <c r="Y7" s="11" t="s">
        <v>33</v>
      </c>
      <c r="Z7" s="11" t="s">
        <v>34</v>
      </c>
      <c r="AA7" s="11" t="s">
        <v>35</v>
      </c>
      <c r="AB7" s="11" t="s">
        <v>36</v>
      </c>
      <c r="AC7" s="11" t="s">
        <v>37</v>
      </c>
      <c r="AD7" s="11" t="s">
        <v>38</v>
      </c>
      <c r="AE7" s="11" t="s">
        <v>39</v>
      </c>
      <c r="AF7" s="11" t="s">
        <v>40</v>
      </c>
      <c r="AG7" s="11" t="s">
        <v>41</v>
      </c>
      <c r="AH7" s="11" t="s">
        <v>42</v>
      </c>
      <c r="AI7" s="11" t="s">
        <v>43</v>
      </c>
      <c r="AJ7" s="11" t="s">
        <v>44</v>
      </c>
      <c r="AK7" s="12" t="s">
        <v>45</v>
      </c>
      <c r="AL7" s="12" t="s">
        <v>46</v>
      </c>
      <c r="AM7" s="12" t="s">
        <v>47</v>
      </c>
      <c r="AN7" s="12" t="s">
        <v>48</v>
      </c>
      <c r="AO7" s="12" t="s">
        <v>49</v>
      </c>
      <c r="AP7" s="12" t="s">
        <v>50</v>
      </c>
      <c r="AQ7" s="12" t="s">
        <v>51</v>
      </c>
      <c r="AR7" s="12" t="s">
        <v>52</v>
      </c>
      <c r="AS7" s="12" t="s">
        <v>53</v>
      </c>
      <c r="AT7" s="12" t="s">
        <v>54</v>
      </c>
      <c r="AU7" s="12" t="s">
        <v>55</v>
      </c>
      <c r="AV7" s="12" t="s">
        <v>56</v>
      </c>
      <c r="AW7" s="12" t="s">
        <v>57</v>
      </c>
      <c r="AX7" s="12" t="s">
        <v>58</v>
      </c>
      <c r="AY7" s="11" t="s">
        <v>22</v>
      </c>
      <c r="AZ7" s="11" t="s">
        <v>23</v>
      </c>
      <c r="BA7" s="11" t="s">
        <v>24</v>
      </c>
      <c r="BB7" s="11" t="s">
        <v>25</v>
      </c>
      <c r="BC7" s="11" t="s">
        <v>26</v>
      </c>
      <c r="BD7" s="11" t="s">
        <v>27</v>
      </c>
      <c r="BE7" s="11" t="s">
        <v>28</v>
      </c>
      <c r="BF7" s="11" t="s">
        <v>29</v>
      </c>
      <c r="BG7" s="11" t="s">
        <v>30</v>
      </c>
      <c r="BH7" s="11" t="s">
        <v>31</v>
      </c>
      <c r="BI7" s="11" t="s">
        <v>32</v>
      </c>
      <c r="BJ7" s="11" t="s">
        <v>33</v>
      </c>
      <c r="BK7" s="11" t="s">
        <v>34</v>
      </c>
      <c r="BL7" s="11" t="s">
        <v>35</v>
      </c>
      <c r="BM7" s="11" t="s">
        <v>36</v>
      </c>
      <c r="BN7" s="11" t="s">
        <v>37</v>
      </c>
      <c r="BO7" s="11" t="s">
        <v>38</v>
      </c>
      <c r="BP7" s="11" t="s">
        <v>39</v>
      </c>
      <c r="BQ7" s="11" t="s">
        <v>40</v>
      </c>
      <c r="BR7" s="11" t="s">
        <v>41</v>
      </c>
      <c r="BS7" s="11" t="s">
        <v>42</v>
      </c>
      <c r="BT7" s="11" t="s">
        <v>43</v>
      </c>
      <c r="BU7" s="11" t="s">
        <v>44</v>
      </c>
      <c r="BV7" s="12" t="s">
        <v>45</v>
      </c>
      <c r="BW7" s="12" t="s">
        <v>46</v>
      </c>
      <c r="BX7" s="12" t="s">
        <v>47</v>
      </c>
      <c r="BY7" s="12" t="s">
        <v>48</v>
      </c>
      <c r="BZ7" s="12" t="s">
        <v>49</v>
      </c>
      <c r="CA7" s="12" t="s">
        <v>50</v>
      </c>
      <c r="CB7" s="12" t="s">
        <v>51</v>
      </c>
      <c r="CC7" s="12" t="s">
        <v>52</v>
      </c>
      <c r="CD7" s="12" t="s">
        <v>53</v>
      </c>
      <c r="CE7" s="12" t="s">
        <v>54</v>
      </c>
      <c r="CF7" s="12" t="s">
        <v>55</v>
      </c>
      <c r="CG7" s="12" t="s">
        <v>56</v>
      </c>
      <c r="CH7" s="12" t="s">
        <v>57</v>
      </c>
      <c r="CI7" s="12" t="s">
        <v>58</v>
      </c>
      <c r="CJ7" s="11" t="s">
        <v>22</v>
      </c>
      <c r="CK7" s="11" t="s">
        <v>23</v>
      </c>
      <c r="CL7" s="11" t="s">
        <v>24</v>
      </c>
      <c r="CM7" s="11" t="s">
        <v>25</v>
      </c>
      <c r="CN7" s="11" t="s">
        <v>26</v>
      </c>
      <c r="CO7" s="11" t="s">
        <v>27</v>
      </c>
      <c r="CP7" s="11" t="s">
        <v>28</v>
      </c>
      <c r="CQ7" s="11" t="s">
        <v>29</v>
      </c>
      <c r="CR7" s="11" t="s">
        <v>30</v>
      </c>
      <c r="CS7" s="11" t="s">
        <v>31</v>
      </c>
      <c r="CT7" s="11" t="s">
        <v>32</v>
      </c>
      <c r="CU7" s="11" t="s">
        <v>33</v>
      </c>
      <c r="CV7" s="11" t="s">
        <v>34</v>
      </c>
      <c r="CW7" s="11" t="s">
        <v>35</v>
      </c>
      <c r="CX7" s="11" t="s">
        <v>36</v>
      </c>
      <c r="CY7" s="11" t="s">
        <v>37</v>
      </c>
      <c r="CZ7" s="11" t="s">
        <v>38</v>
      </c>
      <c r="DA7" s="11" t="s">
        <v>39</v>
      </c>
      <c r="DB7" s="11" t="s">
        <v>40</v>
      </c>
      <c r="DC7" s="11" t="s">
        <v>41</v>
      </c>
      <c r="DD7" s="11" t="s">
        <v>42</v>
      </c>
      <c r="DE7" s="11" t="s">
        <v>43</v>
      </c>
      <c r="DF7" s="11" t="s">
        <v>44</v>
      </c>
      <c r="DG7" s="12" t="s">
        <v>45</v>
      </c>
      <c r="DH7" s="12" t="s">
        <v>46</v>
      </c>
      <c r="DI7" s="12" t="s">
        <v>47</v>
      </c>
      <c r="DJ7" s="12" t="s">
        <v>48</v>
      </c>
      <c r="DK7" s="12" t="s">
        <v>49</v>
      </c>
      <c r="DL7" s="12" t="s">
        <v>50</v>
      </c>
      <c r="DM7" s="12" t="s">
        <v>51</v>
      </c>
      <c r="DN7" s="12" t="s">
        <v>52</v>
      </c>
      <c r="DO7" s="12" t="s">
        <v>53</v>
      </c>
      <c r="DP7" s="12" t="s">
        <v>54</v>
      </c>
      <c r="DQ7" s="12" t="s">
        <v>55</v>
      </c>
      <c r="DR7" s="12" t="s">
        <v>56</v>
      </c>
      <c r="DS7" s="12" t="s">
        <v>57</v>
      </c>
      <c r="DT7" s="12" t="s">
        <v>58</v>
      </c>
      <c r="DU7" s="11" t="s">
        <v>8</v>
      </c>
    </row>
    <row r="8" spans="1:125" x14ac:dyDescent="0.25">
      <c r="A8" t="s">
        <v>59</v>
      </c>
      <c r="B8" t="s">
        <v>66</v>
      </c>
      <c r="C8" t="s">
        <v>67</v>
      </c>
      <c r="D8">
        <v>129374</v>
      </c>
      <c r="E8" t="s">
        <v>68</v>
      </c>
      <c r="F8" t="s">
        <v>69</v>
      </c>
      <c r="H8" t="s">
        <v>70</v>
      </c>
      <c r="I8" t="s">
        <v>71</v>
      </c>
      <c r="J8" t="s">
        <v>60</v>
      </c>
      <c r="K8" t="s">
        <v>72</v>
      </c>
      <c r="L8" t="s">
        <v>61</v>
      </c>
      <c r="M8" s="13" t="s">
        <v>62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3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3</v>
      </c>
      <c r="DP8">
        <v>0</v>
      </c>
      <c r="DQ8">
        <v>0</v>
      </c>
      <c r="DR8">
        <v>0</v>
      </c>
      <c r="DS8">
        <v>0</v>
      </c>
      <c r="DT8">
        <v>0</v>
      </c>
      <c r="DU8">
        <v>22</v>
      </c>
    </row>
    <row r="9" spans="1:125" x14ac:dyDescent="0.25">
      <c r="A9" t="s">
        <v>59</v>
      </c>
      <c r="B9" t="s">
        <v>66</v>
      </c>
      <c r="C9" t="s">
        <v>67</v>
      </c>
      <c r="D9">
        <v>129375</v>
      </c>
      <c r="E9" t="s">
        <v>73</v>
      </c>
      <c r="F9" t="s">
        <v>74</v>
      </c>
      <c r="H9" t="s">
        <v>70</v>
      </c>
      <c r="I9" t="s">
        <v>71</v>
      </c>
      <c r="J9" t="s">
        <v>60</v>
      </c>
      <c r="K9" t="s">
        <v>72</v>
      </c>
      <c r="L9" t="s">
        <v>61</v>
      </c>
      <c r="M9" s="13" t="s">
        <v>62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0</v>
      </c>
      <c r="CC9">
        <v>0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10</v>
      </c>
    </row>
    <row r="10" spans="1:125" x14ac:dyDescent="0.25">
      <c r="A10" t="s">
        <v>59</v>
      </c>
      <c r="B10" t="s">
        <v>66</v>
      </c>
      <c r="C10" t="s">
        <v>67</v>
      </c>
      <c r="D10">
        <v>129376</v>
      </c>
      <c r="E10" t="s">
        <v>75</v>
      </c>
      <c r="F10" t="s">
        <v>76</v>
      </c>
      <c r="H10" t="s">
        <v>70</v>
      </c>
      <c r="I10" t="s">
        <v>71</v>
      </c>
      <c r="J10" t="s">
        <v>60</v>
      </c>
      <c r="K10" t="s">
        <v>77</v>
      </c>
      <c r="L10" t="s">
        <v>61</v>
      </c>
      <c r="M10" s="13" t="s">
        <v>62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2</v>
      </c>
      <c r="CL10">
        <v>1</v>
      </c>
      <c r="CM10">
        <v>0</v>
      </c>
      <c r="CN10">
        <v>1</v>
      </c>
      <c r="CO10">
        <v>1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11</v>
      </c>
    </row>
    <row r="11" spans="1:125" x14ac:dyDescent="0.25">
      <c r="A11" t="s">
        <v>59</v>
      </c>
      <c r="B11" t="s">
        <v>66</v>
      </c>
      <c r="C11" t="s">
        <v>67</v>
      </c>
      <c r="D11">
        <v>129377</v>
      </c>
      <c r="E11" t="s">
        <v>78</v>
      </c>
      <c r="F11" t="s">
        <v>79</v>
      </c>
      <c r="H11" t="s">
        <v>70</v>
      </c>
      <c r="I11" t="s">
        <v>71</v>
      </c>
      <c r="J11" t="s">
        <v>60</v>
      </c>
      <c r="K11" t="s">
        <v>80</v>
      </c>
      <c r="L11" t="s">
        <v>61</v>
      </c>
      <c r="M11" s="13" t="s">
        <v>62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2</v>
      </c>
      <c r="CM11">
        <v>2</v>
      </c>
      <c r="CN11">
        <v>2</v>
      </c>
      <c r="CO11">
        <v>2</v>
      </c>
      <c r="CP11">
        <v>2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16</v>
      </c>
    </row>
    <row r="12" spans="1:125" x14ac:dyDescent="0.25">
      <c r="A12" t="s">
        <v>59</v>
      </c>
      <c r="B12" t="s">
        <v>66</v>
      </c>
      <c r="C12" t="s">
        <v>67</v>
      </c>
      <c r="D12">
        <v>129380</v>
      </c>
      <c r="E12" t="s">
        <v>81</v>
      </c>
      <c r="F12" t="s">
        <v>82</v>
      </c>
      <c r="H12" t="s">
        <v>70</v>
      </c>
      <c r="I12" t="s">
        <v>71</v>
      </c>
      <c r="J12" t="s">
        <v>60</v>
      </c>
      <c r="K12" t="s">
        <v>77</v>
      </c>
      <c r="L12" t="s">
        <v>61</v>
      </c>
      <c r="M12" s="13" t="s">
        <v>62</v>
      </c>
      <c r="N12">
        <v>4</v>
      </c>
      <c r="O12">
        <v>6</v>
      </c>
      <c r="P12">
        <v>5</v>
      </c>
      <c r="Q12">
        <v>0</v>
      </c>
      <c r="R12">
        <v>2</v>
      </c>
      <c r="S12">
        <v>3</v>
      </c>
      <c r="T12">
        <v>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6</v>
      </c>
      <c r="AK12">
        <v>1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9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1</v>
      </c>
      <c r="DP12">
        <v>0</v>
      </c>
      <c r="DQ12">
        <v>0</v>
      </c>
      <c r="DR12">
        <v>0</v>
      </c>
      <c r="DS12">
        <v>8</v>
      </c>
      <c r="DT12">
        <v>0</v>
      </c>
      <c r="DU12">
        <v>59</v>
      </c>
    </row>
    <row r="13" spans="1:125" x14ac:dyDescent="0.25">
      <c r="A13" t="s">
        <v>59</v>
      </c>
      <c r="B13" t="s">
        <v>66</v>
      </c>
      <c r="C13" t="s">
        <v>67</v>
      </c>
      <c r="D13">
        <v>129381</v>
      </c>
      <c r="E13" t="s">
        <v>83</v>
      </c>
      <c r="F13" t="s">
        <v>84</v>
      </c>
      <c r="H13" t="s">
        <v>70</v>
      </c>
      <c r="I13" t="s">
        <v>71</v>
      </c>
      <c r="J13" t="s">
        <v>60</v>
      </c>
      <c r="K13" t="s">
        <v>77</v>
      </c>
      <c r="L13" t="s">
        <v>61</v>
      </c>
      <c r="M13" s="13" t="s">
        <v>62</v>
      </c>
      <c r="N13">
        <v>2</v>
      </c>
      <c r="O13">
        <v>3</v>
      </c>
      <c r="P13">
        <v>1</v>
      </c>
      <c r="Q13">
        <v>4</v>
      </c>
      <c r="R13">
        <v>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2</v>
      </c>
      <c r="CL13">
        <v>4</v>
      </c>
      <c r="CM13">
        <v>1</v>
      </c>
      <c r="CN13">
        <v>3</v>
      </c>
      <c r="CO13">
        <v>5</v>
      </c>
      <c r="CP13">
        <v>6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2</v>
      </c>
      <c r="DG13">
        <v>1</v>
      </c>
      <c r="DH13">
        <v>0</v>
      </c>
      <c r="DI13">
        <v>0</v>
      </c>
      <c r="DJ13">
        <v>0</v>
      </c>
      <c r="DK13">
        <v>1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1</v>
      </c>
      <c r="DS13">
        <v>5</v>
      </c>
      <c r="DT13">
        <v>0</v>
      </c>
      <c r="DU13">
        <v>51</v>
      </c>
    </row>
    <row r="14" spans="1:125" x14ac:dyDescent="0.25">
      <c r="A14" t="s">
        <v>59</v>
      </c>
      <c r="B14" t="s">
        <v>66</v>
      </c>
      <c r="C14" t="s">
        <v>67</v>
      </c>
      <c r="D14">
        <v>129382</v>
      </c>
      <c r="E14" t="s">
        <v>85</v>
      </c>
      <c r="F14" t="s">
        <v>86</v>
      </c>
      <c r="H14" t="s">
        <v>70</v>
      </c>
      <c r="I14" t="s">
        <v>71</v>
      </c>
      <c r="J14" t="s">
        <v>60</v>
      </c>
      <c r="K14" t="s">
        <v>77</v>
      </c>
      <c r="L14" t="s">
        <v>61</v>
      </c>
      <c r="M14" s="13" t="s">
        <v>62</v>
      </c>
      <c r="N14">
        <v>2</v>
      </c>
      <c r="O14">
        <v>7</v>
      </c>
      <c r="P14">
        <v>7</v>
      </c>
      <c r="Q14">
        <v>6</v>
      </c>
      <c r="R14">
        <v>6</v>
      </c>
      <c r="S14">
        <v>6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2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46</v>
      </c>
    </row>
    <row r="15" spans="1:125" x14ac:dyDescent="0.25">
      <c r="A15" t="s">
        <v>59</v>
      </c>
      <c r="B15" t="s">
        <v>66</v>
      </c>
      <c r="C15" t="s">
        <v>67</v>
      </c>
      <c r="D15">
        <v>129383</v>
      </c>
      <c r="E15" t="s">
        <v>87</v>
      </c>
      <c r="F15" t="s">
        <v>88</v>
      </c>
      <c r="H15" t="s">
        <v>70</v>
      </c>
      <c r="I15" t="s">
        <v>71</v>
      </c>
      <c r="J15" t="s">
        <v>60</v>
      </c>
      <c r="K15" t="s">
        <v>77</v>
      </c>
      <c r="L15" t="s">
        <v>61</v>
      </c>
      <c r="M15" s="13" t="s">
        <v>62</v>
      </c>
      <c r="N15">
        <v>1</v>
      </c>
      <c r="O15">
        <v>4</v>
      </c>
      <c r="P15">
        <v>4</v>
      </c>
      <c r="Q15">
        <v>5</v>
      </c>
      <c r="R15">
        <v>4</v>
      </c>
      <c r="S15">
        <v>4</v>
      </c>
      <c r="T15">
        <v>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18</v>
      </c>
      <c r="AK15">
        <v>1</v>
      </c>
      <c r="AL15">
        <v>0</v>
      </c>
      <c r="AM15">
        <v>1</v>
      </c>
      <c r="AN15">
        <v>0</v>
      </c>
      <c r="AO15">
        <v>2</v>
      </c>
      <c r="AP15">
        <v>0</v>
      </c>
      <c r="AQ15">
        <v>0</v>
      </c>
      <c r="AR15">
        <v>1</v>
      </c>
      <c r="AS15">
        <v>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56</v>
      </c>
    </row>
    <row r="16" spans="1:125" x14ac:dyDescent="0.25">
      <c r="A16" t="s">
        <v>59</v>
      </c>
      <c r="B16" t="s">
        <v>66</v>
      </c>
      <c r="C16" t="s">
        <v>67</v>
      </c>
      <c r="D16">
        <v>129384</v>
      </c>
      <c r="E16" t="s">
        <v>89</v>
      </c>
      <c r="F16" t="s">
        <v>90</v>
      </c>
      <c r="H16" t="s">
        <v>70</v>
      </c>
      <c r="I16" t="s">
        <v>71</v>
      </c>
      <c r="J16" t="s">
        <v>60</v>
      </c>
      <c r="K16" t="s">
        <v>77</v>
      </c>
      <c r="L16" t="s">
        <v>61</v>
      </c>
      <c r="M16" s="13" t="s">
        <v>62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1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9</v>
      </c>
    </row>
    <row r="17" spans="1:125" x14ac:dyDescent="0.25">
      <c r="A17" t="s">
        <v>59</v>
      </c>
      <c r="B17" t="s">
        <v>66</v>
      </c>
      <c r="C17" t="s">
        <v>67</v>
      </c>
      <c r="D17">
        <v>129385</v>
      </c>
      <c r="E17" t="s">
        <v>91</v>
      </c>
      <c r="F17" t="s">
        <v>92</v>
      </c>
      <c r="H17" t="s">
        <v>70</v>
      </c>
      <c r="I17" t="s">
        <v>71</v>
      </c>
      <c r="J17" t="s">
        <v>60</v>
      </c>
      <c r="K17" t="s">
        <v>72</v>
      </c>
      <c r="L17" t="s">
        <v>61</v>
      </c>
      <c r="M17" s="13" t="s">
        <v>62</v>
      </c>
      <c r="N17">
        <v>1</v>
      </c>
      <c r="O17">
        <v>1</v>
      </c>
      <c r="P17">
        <v>1</v>
      </c>
      <c r="Q17">
        <v>1</v>
      </c>
      <c r="R17">
        <v>1</v>
      </c>
      <c r="S17">
        <v>3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2</v>
      </c>
      <c r="CL17">
        <v>2</v>
      </c>
      <c r="CM17">
        <v>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16</v>
      </c>
    </row>
    <row r="18" spans="1:125" x14ac:dyDescent="0.25">
      <c r="A18" t="s">
        <v>59</v>
      </c>
      <c r="B18" t="s">
        <v>66</v>
      </c>
      <c r="C18" t="s">
        <v>67</v>
      </c>
      <c r="D18">
        <v>129386</v>
      </c>
      <c r="E18" t="s">
        <v>93</v>
      </c>
      <c r="F18" t="s">
        <v>94</v>
      </c>
      <c r="H18" t="s">
        <v>70</v>
      </c>
      <c r="I18" t="s">
        <v>71</v>
      </c>
      <c r="J18" t="s">
        <v>60</v>
      </c>
      <c r="K18" t="s">
        <v>80</v>
      </c>
      <c r="L18" t="s">
        <v>61</v>
      </c>
      <c r="M18" s="13" t="s">
        <v>62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7</v>
      </c>
    </row>
    <row r="19" spans="1:125" x14ac:dyDescent="0.25">
      <c r="A19" t="s">
        <v>59</v>
      </c>
      <c r="B19" t="s">
        <v>66</v>
      </c>
      <c r="C19" t="s">
        <v>67</v>
      </c>
      <c r="D19">
        <v>205504</v>
      </c>
      <c r="E19" t="s">
        <v>95</v>
      </c>
      <c r="F19" t="s">
        <v>84</v>
      </c>
      <c r="H19" t="s">
        <v>70</v>
      </c>
      <c r="I19" t="s">
        <v>71</v>
      </c>
      <c r="J19" t="s">
        <v>60</v>
      </c>
      <c r="K19" t="s">
        <v>77</v>
      </c>
      <c r="L19" t="s">
        <v>61</v>
      </c>
      <c r="M19" s="13" t="s">
        <v>62</v>
      </c>
      <c r="N19">
        <v>2</v>
      </c>
      <c r="O19">
        <v>3</v>
      </c>
      <c r="P19">
        <v>3</v>
      </c>
      <c r="Q19">
        <v>2</v>
      </c>
      <c r="R19">
        <v>1</v>
      </c>
      <c r="S19">
        <v>3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9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26</v>
      </c>
    </row>
    <row r="20" spans="1:125" x14ac:dyDescent="0.25">
      <c r="A20" t="s">
        <v>59</v>
      </c>
      <c r="B20" t="s">
        <v>66</v>
      </c>
      <c r="C20" t="s">
        <v>67</v>
      </c>
      <c r="D20">
        <v>304325</v>
      </c>
      <c r="E20" t="s">
        <v>96</v>
      </c>
      <c r="F20" t="s">
        <v>97</v>
      </c>
      <c r="H20" t="s">
        <v>70</v>
      </c>
      <c r="I20" t="s">
        <v>71</v>
      </c>
      <c r="J20" t="s">
        <v>60</v>
      </c>
      <c r="K20" t="s">
        <v>80</v>
      </c>
      <c r="L20" t="s">
        <v>61</v>
      </c>
      <c r="M20" s="13" t="s">
        <v>63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81</v>
      </c>
      <c r="AK20">
        <v>0</v>
      </c>
      <c r="AL20">
        <v>0</v>
      </c>
      <c r="AM20">
        <v>0</v>
      </c>
      <c r="AN20">
        <v>0</v>
      </c>
      <c r="AO20">
        <v>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30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16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2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136</v>
      </c>
    </row>
    <row r="21" spans="1:125" x14ac:dyDescent="0.25">
      <c r="A21" t="s">
        <v>59</v>
      </c>
      <c r="B21" t="s">
        <v>66</v>
      </c>
      <c r="C21" t="s">
        <v>67</v>
      </c>
      <c r="D21">
        <v>304326</v>
      </c>
      <c r="E21" t="s">
        <v>98</v>
      </c>
      <c r="F21" t="s">
        <v>99</v>
      </c>
      <c r="H21" t="s">
        <v>70</v>
      </c>
      <c r="I21" t="s">
        <v>71</v>
      </c>
      <c r="J21" t="s">
        <v>60</v>
      </c>
      <c r="K21" t="s">
        <v>80</v>
      </c>
      <c r="L21" t="s">
        <v>61</v>
      </c>
      <c r="M21" s="13" t="s">
        <v>63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3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12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4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5</v>
      </c>
      <c r="CR21">
        <v>4</v>
      </c>
      <c r="CS21">
        <v>5</v>
      </c>
      <c r="CT21">
        <v>4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2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8</v>
      </c>
      <c r="DG21">
        <v>1</v>
      </c>
      <c r="DH21">
        <v>0</v>
      </c>
      <c r="DI21">
        <v>1</v>
      </c>
      <c r="DJ21">
        <v>0</v>
      </c>
      <c r="DK21">
        <v>0</v>
      </c>
      <c r="DL21">
        <v>1</v>
      </c>
      <c r="DM21">
        <v>0</v>
      </c>
      <c r="DN21">
        <v>4</v>
      </c>
      <c r="DO21">
        <v>2</v>
      </c>
      <c r="DP21">
        <v>3</v>
      </c>
      <c r="DQ21">
        <v>0</v>
      </c>
      <c r="DR21">
        <v>1</v>
      </c>
      <c r="DS21">
        <v>0</v>
      </c>
      <c r="DT21">
        <v>1</v>
      </c>
      <c r="DU21">
        <v>65</v>
      </c>
    </row>
    <row r="22" spans="1:125" x14ac:dyDescent="0.25">
      <c r="A22" t="s">
        <v>59</v>
      </c>
      <c r="B22" t="s">
        <v>66</v>
      </c>
      <c r="C22" t="s">
        <v>67</v>
      </c>
      <c r="D22">
        <v>305680</v>
      </c>
      <c r="E22" t="s">
        <v>100</v>
      </c>
      <c r="F22" t="s">
        <v>101</v>
      </c>
      <c r="H22" t="s">
        <v>70</v>
      </c>
      <c r="I22" t="s">
        <v>71</v>
      </c>
      <c r="J22" t="s">
        <v>60</v>
      </c>
      <c r="K22" t="s">
        <v>102</v>
      </c>
      <c r="L22" t="s">
        <v>61</v>
      </c>
      <c r="M22" s="13" t="s">
        <v>64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2</v>
      </c>
      <c r="BG22">
        <v>2</v>
      </c>
      <c r="BH22">
        <v>2</v>
      </c>
      <c r="BI22">
        <v>2</v>
      </c>
      <c r="BJ22">
        <v>4</v>
      </c>
      <c r="BK22">
        <v>2</v>
      </c>
      <c r="BL22">
        <v>0</v>
      </c>
      <c r="BM22">
        <v>0</v>
      </c>
      <c r="BN22">
        <v>0</v>
      </c>
      <c r="BO22">
        <v>1</v>
      </c>
      <c r="BP22">
        <v>1</v>
      </c>
      <c r="BQ22">
        <v>10</v>
      </c>
      <c r="BR22">
        <v>1</v>
      </c>
      <c r="BS22">
        <v>0</v>
      </c>
      <c r="BT22">
        <v>0</v>
      </c>
      <c r="BU22">
        <v>15</v>
      </c>
      <c r="BV22">
        <v>1</v>
      </c>
      <c r="BW22">
        <v>0</v>
      </c>
      <c r="BX22">
        <v>1</v>
      </c>
      <c r="BY22">
        <v>1</v>
      </c>
      <c r="BZ22">
        <v>0</v>
      </c>
      <c r="CA22">
        <v>1</v>
      </c>
      <c r="CB22">
        <v>0</v>
      </c>
      <c r="CC22">
        <v>2</v>
      </c>
      <c r="CD22">
        <v>0</v>
      </c>
      <c r="CE22">
        <v>2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50</v>
      </c>
    </row>
    <row r="23" spans="1:125" x14ac:dyDescent="0.25">
      <c r="A23" t="s">
        <v>59</v>
      </c>
      <c r="B23" t="s">
        <v>66</v>
      </c>
      <c r="C23" t="s">
        <v>67</v>
      </c>
      <c r="D23">
        <v>325104</v>
      </c>
      <c r="E23" t="s">
        <v>103</v>
      </c>
      <c r="F23" t="s">
        <v>104</v>
      </c>
      <c r="H23" t="s">
        <v>70</v>
      </c>
      <c r="I23" t="s">
        <v>71</v>
      </c>
      <c r="J23" t="s">
        <v>60</v>
      </c>
      <c r="K23" t="s">
        <v>72</v>
      </c>
      <c r="L23" t="s">
        <v>61</v>
      </c>
      <c r="M23" s="13" t="s">
        <v>63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4</v>
      </c>
      <c r="BG23">
        <v>4</v>
      </c>
      <c r="BH23">
        <v>3</v>
      </c>
      <c r="BI23">
        <v>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22</v>
      </c>
    </row>
    <row r="24" spans="1:125" x14ac:dyDescent="0.25">
      <c r="A24" t="s">
        <v>59</v>
      </c>
      <c r="B24" t="s">
        <v>66</v>
      </c>
      <c r="C24" t="s">
        <v>67</v>
      </c>
      <c r="D24">
        <v>500454</v>
      </c>
      <c r="E24" t="s">
        <v>105</v>
      </c>
      <c r="F24" t="s">
        <v>106</v>
      </c>
      <c r="H24" t="s">
        <v>70</v>
      </c>
      <c r="I24" t="s">
        <v>71</v>
      </c>
      <c r="J24" t="s">
        <v>60</v>
      </c>
      <c r="K24" t="s">
        <v>80</v>
      </c>
      <c r="L24" t="s">
        <v>61</v>
      </c>
      <c r="M24" s="13" t="s">
        <v>107</v>
      </c>
      <c r="N24">
        <v>1</v>
      </c>
      <c r="O24">
        <v>2</v>
      </c>
      <c r="P24">
        <v>1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4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3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16</v>
      </c>
    </row>
    <row r="25" spans="1:125" x14ac:dyDescent="0.25">
      <c r="A25" t="s">
        <v>59</v>
      </c>
      <c r="B25" t="s">
        <v>66</v>
      </c>
      <c r="C25" t="s">
        <v>67</v>
      </c>
      <c r="D25">
        <v>501424</v>
      </c>
      <c r="E25" t="s">
        <v>108</v>
      </c>
      <c r="F25" t="s">
        <v>109</v>
      </c>
      <c r="H25" t="s">
        <v>70</v>
      </c>
      <c r="I25" t="s">
        <v>71</v>
      </c>
      <c r="J25" t="s">
        <v>60</v>
      </c>
      <c r="K25" t="s">
        <v>110</v>
      </c>
      <c r="L25" t="s">
        <v>61</v>
      </c>
      <c r="M25" s="13" t="s">
        <v>65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1</v>
      </c>
      <c r="CL25">
        <v>2</v>
      </c>
      <c r="CM25">
        <v>1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8</v>
      </c>
    </row>
    <row r="26" spans="1:125" x14ac:dyDescent="0.25">
      <c r="A26" t="s">
        <v>59</v>
      </c>
      <c r="B26" t="s">
        <v>66</v>
      </c>
      <c r="C26" t="s">
        <v>111</v>
      </c>
      <c r="D26">
        <v>101813</v>
      </c>
      <c r="E26" t="s">
        <v>112</v>
      </c>
      <c r="F26" t="s">
        <v>113</v>
      </c>
      <c r="H26" t="s">
        <v>70</v>
      </c>
      <c r="I26" t="s">
        <v>71</v>
      </c>
      <c r="J26" t="s">
        <v>60</v>
      </c>
      <c r="K26" t="s">
        <v>114</v>
      </c>
      <c r="L26" t="s">
        <v>61</v>
      </c>
      <c r="M26" s="13" t="s">
        <v>62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3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3</v>
      </c>
    </row>
    <row r="27" spans="1:125" x14ac:dyDescent="0.25">
      <c r="A27" t="s">
        <v>59</v>
      </c>
      <c r="B27" t="s">
        <v>66</v>
      </c>
      <c r="C27" t="s">
        <v>111</v>
      </c>
      <c r="D27">
        <v>129387</v>
      </c>
      <c r="E27" t="s">
        <v>115</v>
      </c>
      <c r="F27" t="s">
        <v>116</v>
      </c>
      <c r="H27" t="s">
        <v>70</v>
      </c>
      <c r="I27" t="s">
        <v>71</v>
      </c>
      <c r="J27" t="s">
        <v>60</v>
      </c>
      <c r="K27" t="s">
        <v>117</v>
      </c>
      <c r="L27" t="s">
        <v>61</v>
      </c>
      <c r="M27" s="13" t="s">
        <v>62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9</v>
      </c>
    </row>
    <row r="28" spans="1:125" x14ac:dyDescent="0.25">
      <c r="A28" t="s">
        <v>59</v>
      </c>
      <c r="B28" t="s">
        <v>66</v>
      </c>
      <c r="C28" t="s">
        <v>111</v>
      </c>
      <c r="D28">
        <v>129388</v>
      </c>
      <c r="E28" t="s">
        <v>118</v>
      </c>
      <c r="F28" t="s">
        <v>119</v>
      </c>
      <c r="H28" t="s">
        <v>70</v>
      </c>
      <c r="I28" t="s">
        <v>71</v>
      </c>
      <c r="J28" t="s">
        <v>60</v>
      </c>
      <c r="K28" t="s">
        <v>120</v>
      </c>
      <c r="L28" t="s">
        <v>61</v>
      </c>
      <c r="M28" s="13" t="s">
        <v>62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3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12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2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18</v>
      </c>
    </row>
    <row r="29" spans="1:125" x14ac:dyDescent="0.25">
      <c r="A29" t="s">
        <v>59</v>
      </c>
      <c r="B29" t="s">
        <v>66</v>
      </c>
      <c r="C29" t="s">
        <v>111</v>
      </c>
      <c r="D29">
        <v>129389</v>
      </c>
      <c r="E29" t="s">
        <v>121</v>
      </c>
      <c r="F29" t="s">
        <v>122</v>
      </c>
      <c r="H29" t="s">
        <v>70</v>
      </c>
      <c r="I29" t="s">
        <v>71</v>
      </c>
      <c r="J29" t="s">
        <v>60</v>
      </c>
      <c r="K29" t="s">
        <v>102</v>
      </c>
      <c r="L29" t="s">
        <v>61</v>
      </c>
      <c r="M29" s="13" t="s">
        <v>62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8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4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2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16</v>
      </c>
    </row>
    <row r="30" spans="1:125" x14ac:dyDescent="0.25">
      <c r="A30" t="s">
        <v>59</v>
      </c>
      <c r="B30" t="s">
        <v>66</v>
      </c>
      <c r="C30" t="s">
        <v>111</v>
      </c>
      <c r="D30">
        <v>129390</v>
      </c>
      <c r="E30" t="s">
        <v>123</v>
      </c>
      <c r="F30" t="s">
        <v>124</v>
      </c>
      <c r="H30" t="s">
        <v>70</v>
      </c>
      <c r="I30" t="s">
        <v>71</v>
      </c>
      <c r="J30" t="s">
        <v>60</v>
      </c>
      <c r="K30" t="s">
        <v>117</v>
      </c>
      <c r="L30" t="s">
        <v>61</v>
      </c>
      <c r="M30" s="13" t="s">
        <v>62</v>
      </c>
      <c r="N30">
        <v>1</v>
      </c>
      <c r="O30">
        <v>4</v>
      </c>
      <c r="P30">
        <v>2</v>
      </c>
      <c r="Q30">
        <v>3</v>
      </c>
      <c r="R30">
        <v>3</v>
      </c>
      <c r="S30">
        <v>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3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1</v>
      </c>
      <c r="DO30">
        <v>1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25</v>
      </c>
    </row>
    <row r="31" spans="1:125" x14ac:dyDescent="0.25">
      <c r="A31" t="s">
        <v>59</v>
      </c>
      <c r="B31" t="s">
        <v>66</v>
      </c>
      <c r="C31" t="s">
        <v>111</v>
      </c>
      <c r="D31">
        <v>129391</v>
      </c>
      <c r="E31" t="s">
        <v>125</v>
      </c>
      <c r="F31" t="s">
        <v>126</v>
      </c>
      <c r="H31" t="s">
        <v>70</v>
      </c>
      <c r="I31" t="s">
        <v>71</v>
      </c>
      <c r="J31" t="s">
        <v>60</v>
      </c>
      <c r="K31" t="s">
        <v>127</v>
      </c>
      <c r="L31" t="s">
        <v>61</v>
      </c>
      <c r="M31" s="13" t="s">
        <v>62</v>
      </c>
      <c r="N31">
        <v>2</v>
      </c>
      <c r="O31">
        <v>2</v>
      </c>
      <c r="P31">
        <v>0</v>
      </c>
      <c r="Q31">
        <v>0</v>
      </c>
      <c r="R31">
        <v>2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2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10</v>
      </c>
    </row>
    <row r="32" spans="1:125" x14ac:dyDescent="0.25">
      <c r="A32" t="s">
        <v>59</v>
      </c>
      <c r="B32" t="s">
        <v>66</v>
      </c>
      <c r="C32" t="s">
        <v>111</v>
      </c>
      <c r="D32">
        <v>129392</v>
      </c>
      <c r="E32" t="s">
        <v>128</v>
      </c>
      <c r="F32" t="s">
        <v>129</v>
      </c>
      <c r="H32" t="s">
        <v>70</v>
      </c>
      <c r="I32" t="s">
        <v>71</v>
      </c>
      <c r="J32" t="s">
        <v>60</v>
      </c>
      <c r="K32" t="s">
        <v>130</v>
      </c>
      <c r="L32" t="s">
        <v>61</v>
      </c>
      <c r="M32" s="13" t="s">
        <v>62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2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</v>
      </c>
      <c r="CK32">
        <v>2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1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12</v>
      </c>
    </row>
    <row r="33" spans="1:125" x14ac:dyDescent="0.25">
      <c r="A33" t="s">
        <v>59</v>
      </c>
      <c r="B33" t="s">
        <v>66</v>
      </c>
      <c r="C33" t="s">
        <v>111</v>
      </c>
      <c r="D33">
        <v>129393</v>
      </c>
      <c r="E33" t="s">
        <v>131</v>
      </c>
      <c r="F33" t="s">
        <v>132</v>
      </c>
      <c r="H33" t="s">
        <v>70</v>
      </c>
      <c r="I33" t="s">
        <v>71</v>
      </c>
      <c r="J33" t="s">
        <v>60</v>
      </c>
      <c r="K33" t="s">
        <v>133</v>
      </c>
      <c r="L33" t="s">
        <v>61</v>
      </c>
      <c r="M33" s="13" t="s">
        <v>62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</row>
    <row r="34" spans="1:125" x14ac:dyDescent="0.25">
      <c r="A34" t="s">
        <v>59</v>
      </c>
      <c r="B34" t="s">
        <v>66</v>
      </c>
      <c r="C34" t="s">
        <v>111</v>
      </c>
      <c r="D34">
        <v>129394</v>
      </c>
      <c r="E34" t="s">
        <v>134</v>
      </c>
      <c r="F34" t="s">
        <v>135</v>
      </c>
      <c r="H34" t="s">
        <v>70</v>
      </c>
      <c r="I34" t="s">
        <v>71</v>
      </c>
      <c r="J34" t="s">
        <v>60</v>
      </c>
      <c r="K34" t="s">
        <v>127</v>
      </c>
      <c r="L34" t="s">
        <v>61</v>
      </c>
      <c r="M34" s="13" t="s">
        <v>62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1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</v>
      </c>
      <c r="DK34">
        <v>1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6</v>
      </c>
    </row>
    <row r="35" spans="1:125" x14ac:dyDescent="0.25">
      <c r="A35" t="s">
        <v>59</v>
      </c>
      <c r="B35" t="s">
        <v>66</v>
      </c>
      <c r="C35" t="s">
        <v>111</v>
      </c>
      <c r="D35">
        <v>129395</v>
      </c>
      <c r="E35" t="s">
        <v>136</v>
      </c>
      <c r="F35" t="s">
        <v>137</v>
      </c>
      <c r="H35" t="s">
        <v>70</v>
      </c>
      <c r="I35" t="s">
        <v>71</v>
      </c>
      <c r="J35" t="s">
        <v>60</v>
      </c>
      <c r="K35" t="s">
        <v>102</v>
      </c>
      <c r="L35" t="s">
        <v>61</v>
      </c>
      <c r="M35" s="13" t="s">
        <v>62</v>
      </c>
      <c r="N35">
        <v>1</v>
      </c>
      <c r="O35">
        <v>3</v>
      </c>
      <c r="P35">
        <v>4</v>
      </c>
      <c r="Q35">
        <v>3</v>
      </c>
      <c r="R35">
        <v>3</v>
      </c>
      <c r="S35">
        <v>3</v>
      </c>
      <c r="T35">
        <v>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1</v>
      </c>
      <c r="AH35">
        <v>1</v>
      </c>
      <c r="AI35">
        <v>0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29</v>
      </c>
    </row>
    <row r="36" spans="1:125" x14ac:dyDescent="0.25">
      <c r="A36" t="s">
        <v>59</v>
      </c>
      <c r="B36" t="s">
        <v>66</v>
      </c>
      <c r="C36" t="s">
        <v>111</v>
      </c>
      <c r="D36">
        <v>129396</v>
      </c>
      <c r="E36" t="s">
        <v>138</v>
      </c>
      <c r="F36" t="s">
        <v>139</v>
      </c>
      <c r="H36" t="s">
        <v>70</v>
      </c>
      <c r="I36" t="s">
        <v>71</v>
      </c>
      <c r="J36" t="s">
        <v>60</v>
      </c>
      <c r="K36" t="s">
        <v>133</v>
      </c>
      <c r="L36" t="s">
        <v>61</v>
      </c>
      <c r="M36" s="13" t="s">
        <v>62</v>
      </c>
      <c r="N36">
        <v>3</v>
      </c>
      <c r="O36">
        <v>0</v>
      </c>
      <c r="P36">
        <v>3</v>
      </c>
      <c r="Q36">
        <v>3</v>
      </c>
      <c r="R36">
        <v>3</v>
      </c>
      <c r="S36">
        <v>3</v>
      </c>
      <c r="T36">
        <v>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2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21</v>
      </c>
    </row>
    <row r="37" spans="1:125" x14ac:dyDescent="0.25">
      <c r="A37" t="s">
        <v>59</v>
      </c>
      <c r="B37" t="s">
        <v>66</v>
      </c>
      <c r="C37" t="s">
        <v>111</v>
      </c>
      <c r="D37">
        <v>129397</v>
      </c>
      <c r="E37" t="s">
        <v>140</v>
      </c>
      <c r="F37" t="s">
        <v>141</v>
      </c>
      <c r="H37" t="s">
        <v>70</v>
      </c>
      <c r="I37" t="s">
        <v>71</v>
      </c>
      <c r="J37" t="s">
        <v>60</v>
      </c>
      <c r="K37" t="s">
        <v>142</v>
      </c>
      <c r="L37" t="s">
        <v>61</v>
      </c>
      <c r="M37" s="13" t="s">
        <v>62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1</v>
      </c>
      <c r="BA37">
        <v>1</v>
      </c>
      <c r="BB37">
        <v>0</v>
      </c>
      <c r="BC37">
        <v>1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10</v>
      </c>
    </row>
    <row r="38" spans="1:125" x14ac:dyDescent="0.25">
      <c r="A38" t="s">
        <v>59</v>
      </c>
      <c r="B38" t="s">
        <v>66</v>
      </c>
      <c r="C38" t="s">
        <v>111</v>
      </c>
      <c r="D38">
        <v>129398</v>
      </c>
      <c r="E38" t="s">
        <v>143</v>
      </c>
      <c r="F38" t="s">
        <v>144</v>
      </c>
      <c r="H38" t="s">
        <v>70</v>
      </c>
      <c r="I38" t="s">
        <v>71</v>
      </c>
      <c r="J38" t="s">
        <v>60</v>
      </c>
      <c r="K38" t="s">
        <v>145</v>
      </c>
      <c r="L38" t="s">
        <v>61</v>
      </c>
      <c r="M38" s="13" t="s">
        <v>62</v>
      </c>
      <c r="N38">
        <v>1</v>
      </c>
      <c r="O38">
        <v>2</v>
      </c>
      <c r="P38">
        <v>3</v>
      </c>
      <c r="Q38">
        <v>2</v>
      </c>
      <c r="R38">
        <v>2</v>
      </c>
      <c r="S38">
        <v>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17</v>
      </c>
    </row>
    <row r="39" spans="1:125" x14ac:dyDescent="0.25">
      <c r="A39" t="s">
        <v>59</v>
      </c>
      <c r="B39" t="s">
        <v>66</v>
      </c>
      <c r="C39" t="s">
        <v>111</v>
      </c>
      <c r="D39">
        <v>129399</v>
      </c>
      <c r="E39" t="s">
        <v>146</v>
      </c>
      <c r="F39" t="s">
        <v>147</v>
      </c>
      <c r="H39" t="s">
        <v>70</v>
      </c>
      <c r="I39" t="s">
        <v>71</v>
      </c>
      <c r="J39" t="s">
        <v>60</v>
      </c>
      <c r="K39" t="s">
        <v>148</v>
      </c>
      <c r="L39" t="s">
        <v>61</v>
      </c>
      <c r="M39" s="13" t="s">
        <v>62</v>
      </c>
      <c r="N39">
        <v>1</v>
      </c>
      <c r="O39">
        <v>3</v>
      </c>
      <c r="P39">
        <v>3</v>
      </c>
      <c r="Q39">
        <v>3</v>
      </c>
      <c r="R39">
        <v>2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2</v>
      </c>
      <c r="CP39">
        <v>2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20</v>
      </c>
    </row>
    <row r="40" spans="1:125" x14ac:dyDescent="0.25">
      <c r="A40" t="s">
        <v>59</v>
      </c>
      <c r="B40" t="s">
        <v>66</v>
      </c>
      <c r="C40" t="s">
        <v>111</v>
      </c>
      <c r="D40">
        <v>129400</v>
      </c>
      <c r="E40" t="s">
        <v>149</v>
      </c>
      <c r="F40" t="s">
        <v>150</v>
      </c>
      <c r="H40" t="s">
        <v>70</v>
      </c>
      <c r="I40" t="s">
        <v>71</v>
      </c>
      <c r="J40" t="s">
        <v>60</v>
      </c>
      <c r="K40" t="s">
        <v>145</v>
      </c>
      <c r="L40" t="s">
        <v>61</v>
      </c>
      <c r="M40" s="13" t="s">
        <v>62</v>
      </c>
      <c r="N40">
        <v>3</v>
      </c>
      <c r="O40">
        <v>2</v>
      </c>
      <c r="P40">
        <v>6</v>
      </c>
      <c r="Q40">
        <v>5</v>
      </c>
      <c r="R40">
        <v>4</v>
      </c>
      <c r="S40">
        <v>5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1</v>
      </c>
      <c r="AM40">
        <v>1</v>
      </c>
      <c r="AN40">
        <v>1</v>
      </c>
      <c r="AO40">
        <v>2</v>
      </c>
      <c r="AP40">
        <v>1</v>
      </c>
      <c r="AQ40">
        <v>0</v>
      </c>
      <c r="AR40">
        <v>1</v>
      </c>
      <c r="AS40">
        <v>1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43</v>
      </c>
    </row>
    <row r="41" spans="1:125" x14ac:dyDescent="0.25">
      <c r="A41" t="s">
        <v>59</v>
      </c>
      <c r="B41" t="s">
        <v>66</v>
      </c>
      <c r="C41" t="s">
        <v>111</v>
      </c>
      <c r="D41">
        <v>129401</v>
      </c>
      <c r="E41" t="s">
        <v>151</v>
      </c>
      <c r="F41" t="s">
        <v>152</v>
      </c>
      <c r="H41" t="s">
        <v>70</v>
      </c>
      <c r="I41" t="s">
        <v>71</v>
      </c>
      <c r="J41" t="s">
        <v>60</v>
      </c>
      <c r="K41" t="s">
        <v>120</v>
      </c>
      <c r="L41" t="s">
        <v>61</v>
      </c>
      <c r="M41" s="13" t="s">
        <v>62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9</v>
      </c>
    </row>
    <row r="42" spans="1:125" x14ac:dyDescent="0.25">
      <c r="A42" t="s">
        <v>59</v>
      </c>
      <c r="B42" t="s">
        <v>66</v>
      </c>
      <c r="C42" t="s">
        <v>111</v>
      </c>
      <c r="D42">
        <v>129402</v>
      </c>
      <c r="E42" t="s">
        <v>153</v>
      </c>
      <c r="F42" t="s">
        <v>154</v>
      </c>
      <c r="H42" t="s">
        <v>70</v>
      </c>
      <c r="I42" t="s">
        <v>71</v>
      </c>
      <c r="J42" t="s">
        <v>60</v>
      </c>
      <c r="K42" t="s">
        <v>133</v>
      </c>
      <c r="L42" t="s">
        <v>61</v>
      </c>
      <c r="M42" s="13" t="s">
        <v>62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1</v>
      </c>
      <c r="CN42">
        <v>1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1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5</v>
      </c>
    </row>
    <row r="43" spans="1:125" x14ac:dyDescent="0.25">
      <c r="A43" t="s">
        <v>59</v>
      </c>
      <c r="B43" t="s">
        <v>66</v>
      </c>
      <c r="C43" t="s">
        <v>111</v>
      </c>
      <c r="D43">
        <v>129403</v>
      </c>
      <c r="E43" t="s">
        <v>155</v>
      </c>
      <c r="F43" t="s">
        <v>156</v>
      </c>
      <c r="H43" t="s">
        <v>70</v>
      </c>
      <c r="I43" t="s">
        <v>71</v>
      </c>
      <c r="J43" t="s">
        <v>60</v>
      </c>
      <c r="K43" t="s">
        <v>114</v>
      </c>
      <c r="L43" t="s">
        <v>61</v>
      </c>
      <c r="M43" s="13" t="s">
        <v>62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9</v>
      </c>
    </row>
    <row r="44" spans="1:125" x14ac:dyDescent="0.25">
      <c r="A44" t="s">
        <v>59</v>
      </c>
      <c r="B44" t="s">
        <v>66</v>
      </c>
      <c r="C44" t="s">
        <v>111</v>
      </c>
      <c r="D44">
        <v>129404</v>
      </c>
      <c r="E44" t="s">
        <v>157</v>
      </c>
      <c r="F44" t="s">
        <v>158</v>
      </c>
      <c r="H44" t="s">
        <v>70</v>
      </c>
      <c r="I44" t="s">
        <v>71</v>
      </c>
      <c r="J44" t="s">
        <v>60</v>
      </c>
      <c r="K44" t="s">
        <v>159</v>
      </c>
      <c r="L44" t="s">
        <v>61</v>
      </c>
      <c r="M44" s="13" t="s">
        <v>62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2</v>
      </c>
    </row>
    <row r="45" spans="1:125" x14ac:dyDescent="0.25">
      <c r="A45" t="s">
        <v>59</v>
      </c>
      <c r="B45" t="s">
        <v>66</v>
      </c>
      <c r="C45" t="s">
        <v>111</v>
      </c>
      <c r="D45">
        <v>129405</v>
      </c>
      <c r="E45" t="s">
        <v>160</v>
      </c>
      <c r="F45" t="s">
        <v>161</v>
      </c>
      <c r="H45" t="s">
        <v>70</v>
      </c>
      <c r="I45" t="s">
        <v>71</v>
      </c>
      <c r="J45" t="s">
        <v>60</v>
      </c>
      <c r="K45" t="s">
        <v>162</v>
      </c>
      <c r="L45" t="s">
        <v>61</v>
      </c>
      <c r="M45" s="13" t="s">
        <v>62</v>
      </c>
      <c r="N45">
        <v>0</v>
      </c>
      <c r="O45">
        <v>0</v>
      </c>
      <c r="P45">
        <v>0</v>
      </c>
      <c r="Q45">
        <v>2</v>
      </c>
      <c r="R45">
        <v>1</v>
      </c>
      <c r="S45">
        <v>0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2</v>
      </c>
      <c r="BA45">
        <v>2</v>
      </c>
      <c r="BB45">
        <v>0</v>
      </c>
      <c r="BC45">
        <v>0</v>
      </c>
      <c r="BD45">
        <v>2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16</v>
      </c>
    </row>
    <row r="46" spans="1:125" x14ac:dyDescent="0.25">
      <c r="A46" t="s">
        <v>59</v>
      </c>
      <c r="B46" t="s">
        <v>66</v>
      </c>
      <c r="C46" t="s">
        <v>111</v>
      </c>
      <c r="D46">
        <v>129406</v>
      </c>
      <c r="E46" t="s">
        <v>163</v>
      </c>
      <c r="F46" t="s">
        <v>164</v>
      </c>
      <c r="H46" t="s">
        <v>70</v>
      </c>
      <c r="I46" t="s">
        <v>71</v>
      </c>
      <c r="J46" t="s">
        <v>60</v>
      </c>
      <c r="K46" t="s">
        <v>130</v>
      </c>
      <c r="L46" t="s">
        <v>61</v>
      </c>
      <c r="M46" s="13" t="s">
        <v>62</v>
      </c>
      <c r="N46">
        <v>1</v>
      </c>
      <c r="O46">
        <v>0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2</v>
      </c>
      <c r="CM46">
        <v>0</v>
      </c>
      <c r="CN46">
        <v>0</v>
      </c>
      <c r="CO46">
        <v>1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8</v>
      </c>
    </row>
    <row r="47" spans="1:125" x14ac:dyDescent="0.25">
      <c r="A47" t="s">
        <v>59</v>
      </c>
      <c r="B47" t="s">
        <v>66</v>
      </c>
      <c r="C47" t="s">
        <v>111</v>
      </c>
      <c r="D47">
        <v>129407</v>
      </c>
      <c r="E47" t="s">
        <v>165</v>
      </c>
      <c r="F47" t="s">
        <v>166</v>
      </c>
      <c r="H47" t="s">
        <v>70</v>
      </c>
      <c r="I47" t="s">
        <v>71</v>
      </c>
      <c r="J47" t="s">
        <v>60</v>
      </c>
      <c r="K47" t="s">
        <v>142</v>
      </c>
      <c r="L47" t="s">
        <v>61</v>
      </c>
      <c r="M47" s="13" t="s">
        <v>62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5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5</v>
      </c>
    </row>
    <row r="48" spans="1:125" x14ac:dyDescent="0.25">
      <c r="A48" t="s">
        <v>59</v>
      </c>
      <c r="B48" t="s">
        <v>66</v>
      </c>
      <c r="C48" t="s">
        <v>111</v>
      </c>
      <c r="D48">
        <v>129408</v>
      </c>
      <c r="E48" t="s">
        <v>167</v>
      </c>
      <c r="F48" t="s">
        <v>168</v>
      </c>
      <c r="H48" t="s">
        <v>70</v>
      </c>
      <c r="I48" t="s">
        <v>71</v>
      </c>
      <c r="J48" t="s">
        <v>60</v>
      </c>
      <c r="K48" t="s">
        <v>145</v>
      </c>
      <c r="L48" t="s">
        <v>61</v>
      </c>
      <c r="M48" s="13" t="s">
        <v>62</v>
      </c>
      <c r="N48">
        <v>1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6</v>
      </c>
    </row>
    <row r="49" spans="1:125" x14ac:dyDescent="0.25">
      <c r="A49" t="s">
        <v>59</v>
      </c>
      <c r="B49" t="s">
        <v>66</v>
      </c>
      <c r="C49" t="s">
        <v>111</v>
      </c>
      <c r="D49">
        <v>129409</v>
      </c>
      <c r="E49" t="s">
        <v>169</v>
      </c>
      <c r="F49" t="s">
        <v>170</v>
      </c>
      <c r="H49" t="s">
        <v>70</v>
      </c>
      <c r="I49" t="s">
        <v>71</v>
      </c>
      <c r="J49" t="s">
        <v>60</v>
      </c>
      <c r="K49" t="s">
        <v>171</v>
      </c>
      <c r="L49" t="s">
        <v>61</v>
      </c>
      <c r="M49" s="13" t="s">
        <v>62</v>
      </c>
      <c r="N49">
        <v>3</v>
      </c>
      <c r="O49">
        <v>3</v>
      </c>
      <c r="P49">
        <v>3</v>
      </c>
      <c r="Q49">
        <v>3</v>
      </c>
      <c r="R49">
        <v>2</v>
      </c>
      <c r="S49">
        <v>3</v>
      </c>
      <c r="T49">
        <v>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1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26</v>
      </c>
    </row>
    <row r="50" spans="1:125" x14ac:dyDescent="0.25">
      <c r="A50" t="s">
        <v>59</v>
      </c>
      <c r="B50" t="s">
        <v>66</v>
      </c>
      <c r="C50" t="s">
        <v>111</v>
      </c>
      <c r="D50">
        <v>257001</v>
      </c>
      <c r="E50" t="s">
        <v>172</v>
      </c>
      <c r="F50" t="s">
        <v>173</v>
      </c>
      <c r="H50" t="s">
        <v>70</v>
      </c>
      <c r="I50" t="s">
        <v>71</v>
      </c>
      <c r="J50" t="s">
        <v>60</v>
      </c>
      <c r="K50" t="s">
        <v>102</v>
      </c>
      <c r="L50" t="s">
        <v>61</v>
      </c>
      <c r="M50" s="13" t="s">
        <v>62</v>
      </c>
      <c r="N50">
        <v>1</v>
      </c>
      <c r="O50">
        <v>3</v>
      </c>
      <c r="P50">
        <v>2</v>
      </c>
      <c r="Q50">
        <v>2</v>
      </c>
      <c r="R50">
        <v>2</v>
      </c>
      <c r="S50">
        <v>2</v>
      </c>
      <c r="T50">
        <v>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15</v>
      </c>
    </row>
    <row r="51" spans="1:125" x14ac:dyDescent="0.25">
      <c r="A51" t="s">
        <v>59</v>
      </c>
      <c r="B51" t="s">
        <v>66</v>
      </c>
      <c r="C51" t="s">
        <v>111</v>
      </c>
      <c r="D51">
        <v>304303</v>
      </c>
      <c r="E51" t="s">
        <v>174</v>
      </c>
      <c r="F51" t="s">
        <v>175</v>
      </c>
      <c r="H51" t="s">
        <v>70</v>
      </c>
      <c r="I51" t="s">
        <v>71</v>
      </c>
      <c r="J51" t="s">
        <v>60</v>
      </c>
      <c r="K51" t="s">
        <v>117</v>
      </c>
      <c r="L51" t="s">
        <v>61</v>
      </c>
      <c r="M51" s="13" t="s">
        <v>63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5</v>
      </c>
      <c r="V51">
        <v>4</v>
      </c>
      <c r="W51">
        <v>1</v>
      </c>
      <c r="X51">
        <v>1</v>
      </c>
      <c r="Y51">
        <v>2</v>
      </c>
      <c r="Z51">
        <v>1</v>
      </c>
      <c r="AA51">
        <v>0</v>
      </c>
      <c r="AB51">
        <v>0</v>
      </c>
      <c r="AC51">
        <v>0</v>
      </c>
      <c r="AD51">
        <v>2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2</v>
      </c>
      <c r="AK51">
        <v>1</v>
      </c>
      <c r="AL51">
        <v>0</v>
      </c>
      <c r="AM51">
        <v>0</v>
      </c>
      <c r="AN51">
        <v>0</v>
      </c>
      <c r="AO51">
        <v>2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2</v>
      </c>
      <c r="BI51">
        <v>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29</v>
      </c>
    </row>
    <row r="52" spans="1:125" x14ac:dyDescent="0.25">
      <c r="A52" t="s">
        <v>59</v>
      </c>
      <c r="B52" t="s">
        <v>66</v>
      </c>
      <c r="C52" t="s">
        <v>111</v>
      </c>
      <c r="D52">
        <v>304305</v>
      </c>
      <c r="E52" t="s">
        <v>176</v>
      </c>
      <c r="F52" t="s">
        <v>177</v>
      </c>
      <c r="H52" t="s">
        <v>70</v>
      </c>
      <c r="I52" t="s">
        <v>71</v>
      </c>
      <c r="J52" t="s">
        <v>60</v>
      </c>
      <c r="K52" t="s">
        <v>127</v>
      </c>
      <c r="L52" t="s">
        <v>61</v>
      </c>
      <c r="M52" s="13" t="s">
        <v>63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4</v>
      </c>
      <c r="V52">
        <v>3</v>
      </c>
      <c r="W52">
        <v>1</v>
      </c>
      <c r="X52">
        <v>2</v>
      </c>
      <c r="Y52">
        <v>1</v>
      </c>
      <c r="Z52">
        <v>1</v>
      </c>
      <c r="AA52">
        <v>0</v>
      </c>
      <c r="AB52">
        <v>0</v>
      </c>
      <c r="AC52">
        <v>0</v>
      </c>
      <c r="AD52">
        <v>1</v>
      </c>
      <c r="AE52">
        <v>1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1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24</v>
      </c>
    </row>
    <row r="53" spans="1:125" x14ac:dyDescent="0.25">
      <c r="A53" t="s">
        <v>59</v>
      </c>
      <c r="B53" t="s">
        <v>66</v>
      </c>
      <c r="C53" t="s">
        <v>111</v>
      </c>
      <c r="D53">
        <v>304314</v>
      </c>
      <c r="E53" t="s">
        <v>178</v>
      </c>
      <c r="F53" t="s">
        <v>147</v>
      </c>
      <c r="H53" t="s">
        <v>70</v>
      </c>
      <c r="I53" t="s">
        <v>71</v>
      </c>
      <c r="J53" t="s">
        <v>60</v>
      </c>
      <c r="K53" t="s">
        <v>148</v>
      </c>
      <c r="L53" t="s">
        <v>61</v>
      </c>
      <c r="M53" s="13" t="s">
        <v>63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7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4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19</v>
      </c>
    </row>
    <row r="54" spans="1:125" x14ac:dyDescent="0.25">
      <c r="A54" t="s">
        <v>59</v>
      </c>
      <c r="B54" t="s">
        <v>66</v>
      </c>
      <c r="C54" t="s">
        <v>111</v>
      </c>
      <c r="D54">
        <v>304327</v>
      </c>
      <c r="E54" t="s">
        <v>179</v>
      </c>
      <c r="F54" t="s">
        <v>180</v>
      </c>
      <c r="H54" t="s">
        <v>70</v>
      </c>
      <c r="I54" t="s">
        <v>71</v>
      </c>
      <c r="J54" t="s">
        <v>60</v>
      </c>
      <c r="K54" t="s">
        <v>145</v>
      </c>
      <c r="L54" t="s">
        <v>61</v>
      </c>
      <c r="M54" s="13" t="s">
        <v>63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</v>
      </c>
      <c r="V54">
        <v>2</v>
      </c>
      <c r="W54">
        <v>0</v>
      </c>
      <c r="X54">
        <v>3</v>
      </c>
      <c r="Y54">
        <v>4</v>
      </c>
      <c r="Z54">
        <v>1</v>
      </c>
      <c r="AA54">
        <v>0</v>
      </c>
      <c r="AB54">
        <v>0</v>
      </c>
      <c r="AC54">
        <v>0</v>
      </c>
      <c r="AD54">
        <v>3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4</v>
      </c>
      <c r="AP54">
        <v>1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3</v>
      </c>
      <c r="BH54">
        <v>4</v>
      </c>
      <c r="BI54">
        <v>3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1</v>
      </c>
      <c r="BY54">
        <v>0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2</v>
      </c>
      <c r="CR54">
        <v>3</v>
      </c>
      <c r="CS54">
        <v>2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46</v>
      </c>
    </row>
    <row r="55" spans="1:125" x14ac:dyDescent="0.25">
      <c r="A55" t="s">
        <v>59</v>
      </c>
      <c r="B55" t="s">
        <v>66</v>
      </c>
      <c r="C55" t="s">
        <v>111</v>
      </c>
      <c r="D55">
        <v>304328</v>
      </c>
      <c r="E55" t="s">
        <v>181</v>
      </c>
      <c r="F55" t="s">
        <v>182</v>
      </c>
      <c r="H55" t="s">
        <v>70</v>
      </c>
      <c r="I55" t="s">
        <v>71</v>
      </c>
      <c r="J55" t="s">
        <v>60</v>
      </c>
      <c r="K55" t="s">
        <v>102</v>
      </c>
      <c r="L55" t="s">
        <v>61</v>
      </c>
      <c r="M55" s="13" t="s">
        <v>63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4</v>
      </c>
      <c r="X55">
        <v>3</v>
      </c>
      <c r="Y55">
        <v>3</v>
      </c>
      <c r="Z55">
        <v>2</v>
      </c>
      <c r="AA55">
        <v>0</v>
      </c>
      <c r="AB55">
        <v>0</v>
      </c>
      <c r="AC55">
        <v>0</v>
      </c>
      <c r="AD55">
        <v>2</v>
      </c>
      <c r="AE55">
        <v>0</v>
      </c>
      <c r="AF55">
        <v>0</v>
      </c>
      <c r="AG55">
        <v>1</v>
      </c>
      <c r="AH55">
        <v>0</v>
      </c>
      <c r="AI55">
        <v>1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3</v>
      </c>
      <c r="BG55">
        <v>2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2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29</v>
      </c>
    </row>
    <row r="56" spans="1:125" x14ac:dyDescent="0.25">
      <c r="A56" t="s">
        <v>59</v>
      </c>
      <c r="B56" t="s">
        <v>66</v>
      </c>
      <c r="C56" t="s">
        <v>111</v>
      </c>
      <c r="D56">
        <v>304338</v>
      </c>
      <c r="E56" t="s">
        <v>183</v>
      </c>
      <c r="F56" t="s">
        <v>184</v>
      </c>
      <c r="H56" t="s">
        <v>70</v>
      </c>
      <c r="I56" t="s">
        <v>71</v>
      </c>
      <c r="J56" t="s">
        <v>60</v>
      </c>
      <c r="K56" t="s">
        <v>162</v>
      </c>
      <c r="L56" t="s">
        <v>61</v>
      </c>
      <c r="M56" s="13" t="s">
        <v>63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8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3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3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15</v>
      </c>
    </row>
    <row r="57" spans="1:125" x14ac:dyDescent="0.25">
      <c r="A57" t="s">
        <v>59</v>
      </c>
      <c r="B57" t="s">
        <v>66</v>
      </c>
      <c r="C57" t="s">
        <v>111</v>
      </c>
      <c r="D57">
        <v>316104</v>
      </c>
      <c r="E57" t="s">
        <v>185</v>
      </c>
      <c r="F57" t="s">
        <v>186</v>
      </c>
      <c r="H57" t="s">
        <v>70</v>
      </c>
      <c r="I57" t="s">
        <v>71</v>
      </c>
      <c r="J57" t="s">
        <v>60</v>
      </c>
      <c r="K57" t="s">
        <v>133</v>
      </c>
      <c r="L57" t="s">
        <v>61</v>
      </c>
      <c r="M57" s="13" t="s">
        <v>63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2</v>
      </c>
      <c r="AE57">
        <v>2</v>
      </c>
      <c r="AF57">
        <v>0</v>
      </c>
      <c r="AG57">
        <v>1</v>
      </c>
      <c r="AH57">
        <v>0</v>
      </c>
      <c r="AI57">
        <v>0</v>
      </c>
      <c r="AJ57">
        <v>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3</v>
      </c>
      <c r="BG57">
        <v>0</v>
      </c>
      <c r="BH57">
        <v>3</v>
      </c>
      <c r="BI57">
        <v>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2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</v>
      </c>
      <c r="CR57">
        <v>2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25</v>
      </c>
    </row>
    <row r="58" spans="1:125" x14ac:dyDescent="0.25">
      <c r="A58" t="s">
        <v>59</v>
      </c>
      <c r="B58" t="s">
        <v>66</v>
      </c>
      <c r="C58" t="s">
        <v>111</v>
      </c>
      <c r="D58">
        <v>325101</v>
      </c>
      <c r="E58" t="s">
        <v>187</v>
      </c>
      <c r="F58" t="s">
        <v>188</v>
      </c>
      <c r="H58" t="s">
        <v>70</v>
      </c>
      <c r="I58" t="s">
        <v>71</v>
      </c>
      <c r="J58" t="s">
        <v>60</v>
      </c>
      <c r="K58" t="s">
        <v>102</v>
      </c>
      <c r="L58" t="s">
        <v>61</v>
      </c>
      <c r="M58" s="13" t="s">
        <v>64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2</v>
      </c>
      <c r="BG58">
        <v>3</v>
      </c>
      <c r="BH58">
        <v>0</v>
      </c>
      <c r="BI58">
        <v>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2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13</v>
      </c>
    </row>
    <row r="59" spans="1:125" x14ac:dyDescent="0.25">
      <c r="A59" t="s">
        <v>59</v>
      </c>
      <c r="B59" t="s">
        <v>66</v>
      </c>
      <c r="C59" t="s">
        <v>111</v>
      </c>
      <c r="D59">
        <v>325102</v>
      </c>
      <c r="E59" t="s">
        <v>189</v>
      </c>
      <c r="F59" t="s">
        <v>190</v>
      </c>
      <c r="H59" t="s">
        <v>70</v>
      </c>
      <c r="I59" t="s">
        <v>71</v>
      </c>
      <c r="J59" t="s">
        <v>60</v>
      </c>
      <c r="K59" t="s">
        <v>120</v>
      </c>
      <c r="L59" t="s">
        <v>61</v>
      </c>
      <c r="M59" s="13" t="s">
        <v>63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2</v>
      </c>
      <c r="Y59">
        <v>1</v>
      </c>
      <c r="Z59">
        <v>1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2</v>
      </c>
      <c r="AK59">
        <v>1</v>
      </c>
      <c r="AL59">
        <v>1</v>
      </c>
      <c r="AM59">
        <v>1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2</v>
      </c>
      <c r="AT59">
        <v>0</v>
      </c>
      <c r="AU59">
        <v>0</v>
      </c>
      <c r="AV59">
        <v>0</v>
      </c>
      <c r="AW59">
        <v>2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4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3</v>
      </c>
      <c r="CS59">
        <v>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26</v>
      </c>
    </row>
    <row r="60" spans="1:125" x14ac:dyDescent="0.25">
      <c r="A60" t="s">
        <v>59</v>
      </c>
      <c r="B60" t="s">
        <v>66</v>
      </c>
      <c r="C60" t="s">
        <v>111</v>
      </c>
      <c r="D60">
        <v>325106</v>
      </c>
      <c r="E60" t="s">
        <v>191</v>
      </c>
      <c r="F60" t="s">
        <v>192</v>
      </c>
      <c r="H60" t="s">
        <v>70</v>
      </c>
      <c r="I60" t="s">
        <v>71</v>
      </c>
      <c r="J60" t="s">
        <v>60</v>
      </c>
      <c r="K60" t="s">
        <v>171</v>
      </c>
      <c r="L60" t="s">
        <v>61</v>
      </c>
      <c r="M60" s="13" t="s">
        <v>63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2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1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2</v>
      </c>
      <c r="BG60">
        <v>2</v>
      </c>
      <c r="BH60">
        <v>0</v>
      </c>
      <c r="BI60">
        <v>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18</v>
      </c>
    </row>
    <row r="61" spans="1:125" x14ac:dyDescent="0.25">
      <c r="A61" t="s">
        <v>59</v>
      </c>
      <c r="B61" t="s">
        <v>66</v>
      </c>
      <c r="C61" t="s">
        <v>193</v>
      </c>
      <c r="D61">
        <v>102157</v>
      </c>
      <c r="E61" t="s">
        <v>194</v>
      </c>
      <c r="F61" t="s">
        <v>195</v>
      </c>
      <c r="H61" t="s">
        <v>70</v>
      </c>
      <c r="I61" t="s">
        <v>71</v>
      </c>
      <c r="J61" t="s">
        <v>60</v>
      </c>
      <c r="K61" t="s">
        <v>196</v>
      </c>
      <c r="L61" t="s">
        <v>61</v>
      </c>
      <c r="M61" s="13" t="s">
        <v>62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3</v>
      </c>
    </row>
    <row r="62" spans="1:125" x14ac:dyDescent="0.25">
      <c r="A62" t="s">
        <v>59</v>
      </c>
      <c r="B62" t="s">
        <v>66</v>
      </c>
      <c r="C62" t="s">
        <v>193</v>
      </c>
      <c r="D62">
        <v>102164</v>
      </c>
      <c r="E62" t="s">
        <v>197</v>
      </c>
      <c r="F62" t="s">
        <v>198</v>
      </c>
      <c r="H62" t="s">
        <v>70</v>
      </c>
      <c r="I62" t="s">
        <v>71</v>
      </c>
      <c r="J62" t="s">
        <v>60</v>
      </c>
      <c r="K62" t="s">
        <v>199</v>
      </c>
      <c r="L62" t="s">
        <v>61</v>
      </c>
      <c r="M62" s="13" t="s">
        <v>62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3</v>
      </c>
    </row>
    <row r="63" spans="1:125" x14ac:dyDescent="0.25">
      <c r="A63" t="s">
        <v>59</v>
      </c>
      <c r="B63" t="s">
        <v>66</v>
      </c>
      <c r="C63" t="s">
        <v>193</v>
      </c>
      <c r="D63">
        <v>129410</v>
      </c>
      <c r="E63" t="s">
        <v>200</v>
      </c>
      <c r="F63" t="s">
        <v>201</v>
      </c>
      <c r="H63" t="s">
        <v>70</v>
      </c>
      <c r="I63" t="s">
        <v>71</v>
      </c>
      <c r="J63" t="s">
        <v>60</v>
      </c>
      <c r="K63" t="s">
        <v>202</v>
      </c>
      <c r="L63" t="s">
        <v>61</v>
      </c>
      <c r="M63" s="13" t="s">
        <v>62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1</v>
      </c>
      <c r="CM63">
        <v>1</v>
      </c>
      <c r="CN63">
        <v>0</v>
      </c>
      <c r="CO63">
        <v>1</v>
      </c>
      <c r="CP63">
        <v>1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</v>
      </c>
      <c r="DJ63">
        <v>0</v>
      </c>
      <c r="DK63">
        <v>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10</v>
      </c>
    </row>
    <row r="64" spans="1:125" x14ac:dyDescent="0.25">
      <c r="A64" t="s">
        <v>59</v>
      </c>
      <c r="B64" t="s">
        <v>66</v>
      </c>
      <c r="C64" t="s">
        <v>193</v>
      </c>
      <c r="D64">
        <v>129412</v>
      </c>
      <c r="E64" t="s">
        <v>203</v>
      </c>
      <c r="F64" t="s">
        <v>204</v>
      </c>
      <c r="H64" t="s">
        <v>70</v>
      </c>
      <c r="I64" t="s">
        <v>71</v>
      </c>
      <c r="J64" t="s">
        <v>60</v>
      </c>
      <c r="K64" t="s">
        <v>205</v>
      </c>
      <c r="L64" t="s">
        <v>61</v>
      </c>
      <c r="M64" s="13" t="s">
        <v>62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1</v>
      </c>
      <c r="CK64">
        <v>1</v>
      </c>
      <c r="CL64">
        <v>1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7</v>
      </c>
    </row>
    <row r="65" spans="1:125" x14ac:dyDescent="0.25">
      <c r="A65" t="s">
        <v>59</v>
      </c>
      <c r="B65" t="s">
        <v>66</v>
      </c>
      <c r="C65" t="s">
        <v>193</v>
      </c>
      <c r="D65">
        <v>129413</v>
      </c>
      <c r="E65" t="s">
        <v>206</v>
      </c>
      <c r="F65" t="s">
        <v>207</v>
      </c>
      <c r="H65" t="s">
        <v>70</v>
      </c>
      <c r="I65" t="s">
        <v>71</v>
      </c>
      <c r="J65" t="s">
        <v>60</v>
      </c>
      <c r="K65" t="s">
        <v>202</v>
      </c>
      <c r="L65" t="s">
        <v>61</v>
      </c>
      <c r="M65" s="13" t="s">
        <v>62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2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0</v>
      </c>
      <c r="BB65">
        <v>1</v>
      </c>
      <c r="BC65">
        <v>1</v>
      </c>
      <c r="BD65">
        <v>1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2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2</v>
      </c>
      <c r="CL65">
        <v>2</v>
      </c>
      <c r="CM65">
        <v>1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0</v>
      </c>
      <c r="DS65">
        <v>5</v>
      </c>
      <c r="DT65">
        <v>0</v>
      </c>
      <c r="DU65">
        <v>22</v>
      </c>
    </row>
    <row r="66" spans="1:125" x14ac:dyDescent="0.25">
      <c r="A66" t="s">
        <v>59</v>
      </c>
      <c r="B66" t="s">
        <v>66</v>
      </c>
      <c r="C66" t="s">
        <v>193</v>
      </c>
      <c r="D66">
        <v>129414</v>
      </c>
      <c r="E66" t="s">
        <v>208</v>
      </c>
      <c r="F66" t="s">
        <v>209</v>
      </c>
      <c r="H66" t="s">
        <v>70</v>
      </c>
      <c r="I66" t="s">
        <v>71</v>
      </c>
      <c r="J66" t="s">
        <v>60</v>
      </c>
      <c r="K66" t="s">
        <v>210</v>
      </c>
      <c r="L66" t="s">
        <v>61</v>
      </c>
      <c r="M66" s="13" t="s">
        <v>62</v>
      </c>
      <c r="N66">
        <v>1</v>
      </c>
      <c r="O66">
        <v>1</v>
      </c>
      <c r="P66">
        <v>1</v>
      </c>
      <c r="Q66">
        <v>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1</v>
      </c>
      <c r="CM66">
        <v>0</v>
      </c>
      <c r="CN66">
        <v>0</v>
      </c>
      <c r="CO66">
        <v>0</v>
      </c>
      <c r="CP66">
        <v>2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10</v>
      </c>
    </row>
    <row r="67" spans="1:125" x14ac:dyDescent="0.25">
      <c r="A67" t="s">
        <v>59</v>
      </c>
      <c r="B67" t="s">
        <v>66</v>
      </c>
      <c r="C67" t="s">
        <v>193</v>
      </c>
      <c r="D67">
        <v>129417</v>
      </c>
      <c r="E67" t="s">
        <v>211</v>
      </c>
      <c r="F67" t="s">
        <v>212</v>
      </c>
      <c r="H67" t="s">
        <v>70</v>
      </c>
      <c r="I67" t="s">
        <v>71</v>
      </c>
      <c r="J67" t="s">
        <v>60</v>
      </c>
      <c r="K67" t="s">
        <v>196</v>
      </c>
      <c r="L67" t="s">
        <v>61</v>
      </c>
      <c r="M67" s="13" t="s">
        <v>62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3</v>
      </c>
      <c r="BA67">
        <v>3</v>
      </c>
      <c r="BB67">
        <v>2</v>
      </c>
      <c r="BC67">
        <v>2</v>
      </c>
      <c r="BD67">
        <v>2</v>
      </c>
      <c r="BE67">
        <v>2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20</v>
      </c>
    </row>
    <row r="68" spans="1:125" x14ac:dyDescent="0.25">
      <c r="A68" t="s">
        <v>59</v>
      </c>
      <c r="B68" t="s">
        <v>66</v>
      </c>
      <c r="C68" t="s">
        <v>193</v>
      </c>
      <c r="D68">
        <v>129418</v>
      </c>
      <c r="E68" t="s">
        <v>213</v>
      </c>
      <c r="F68" t="s">
        <v>214</v>
      </c>
      <c r="H68" t="s">
        <v>70</v>
      </c>
      <c r="I68" t="s">
        <v>71</v>
      </c>
      <c r="J68" t="s">
        <v>60</v>
      </c>
      <c r="K68" t="s">
        <v>196</v>
      </c>
      <c r="L68" t="s">
        <v>61</v>
      </c>
      <c r="M68" s="13" t="s">
        <v>62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1</v>
      </c>
      <c r="CL68">
        <v>0</v>
      </c>
      <c r="CM68">
        <v>0</v>
      </c>
      <c r="CN68">
        <v>1</v>
      </c>
      <c r="CO68">
        <v>1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6</v>
      </c>
    </row>
    <row r="69" spans="1:125" x14ac:dyDescent="0.25">
      <c r="A69" t="s">
        <v>59</v>
      </c>
      <c r="B69" t="s">
        <v>66</v>
      </c>
      <c r="C69" t="s">
        <v>193</v>
      </c>
      <c r="D69">
        <v>129419</v>
      </c>
      <c r="E69" t="s">
        <v>215</v>
      </c>
      <c r="F69" t="s">
        <v>192</v>
      </c>
      <c r="H69" t="s">
        <v>70</v>
      </c>
      <c r="I69" t="s">
        <v>71</v>
      </c>
      <c r="J69" t="s">
        <v>60</v>
      </c>
      <c r="K69" t="s">
        <v>216</v>
      </c>
      <c r="L69" t="s">
        <v>61</v>
      </c>
      <c r="M69" s="13" t="s">
        <v>62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</v>
      </c>
      <c r="CM69">
        <v>2</v>
      </c>
      <c r="CN69">
        <v>2</v>
      </c>
      <c r="CO69">
        <v>4</v>
      </c>
      <c r="CP69">
        <v>3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1</v>
      </c>
      <c r="DH69">
        <v>0</v>
      </c>
      <c r="DI69">
        <v>1</v>
      </c>
      <c r="DJ69">
        <v>0</v>
      </c>
      <c r="DK69">
        <v>1</v>
      </c>
      <c r="DL69">
        <v>0</v>
      </c>
      <c r="DM69">
        <v>0</v>
      </c>
      <c r="DN69">
        <v>0</v>
      </c>
      <c r="DO69">
        <v>0</v>
      </c>
      <c r="DP69">
        <v>1</v>
      </c>
      <c r="DQ69">
        <v>0</v>
      </c>
      <c r="DR69">
        <v>0</v>
      </c>
      <c r="DS69">
        <v>0</v>
      </c>
      <c r="DT69">
        <v>0</v>
      </c>
      <c r="DU69">
        <v>19</v>
      </c>
    </row>
    <row r="70" spans="1:125" x14ac:dyDescent="0.25">
      <c r="A70" t="s">
        <v>59</v>
      </c>
      <c r="B70" t="s">
        <v>66</v>
      </c>
      <c r="C70" t="s">
        <v>193</v>
      </c>
      <c r="D70">
        <v>129420</v>
      </c>
      <c r="E70" t="s">
        <v>217</v>
      </c>
      <c r="F70" t="s">
        <v>218</v>
      </c>
      <c r="H70" t="s">
        <v>70</v>
      </c>
      <c r="I70" t="s">
        <v>71</v>
      </c>
      <c r="J70" t="s">
        <v>60</v>
      </c>
      <c r="K70" t="s">
        <v>218</v>
      </c>
      <c r="L70" t="s">
        <v>61</v>
      </c>
      <c r="M70" s="13" t="s">
        <v>62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2</v>
      </c>
      <c r="DT70">
        <v>0</v>
      </c>
      <c r="DU70">
        <v>12</v>
      </c>
    </row>
    <row r="71" spans="1:125" x14ac:dyDescent="0.25">
      <c r="A71" t="s">
        <v>59</v>
      </c>
      <c r="B71" t="s">
        <v>66</v>
      </c>
      <c r="C71" t="s">
        <v>193</v>
      </c>
      <c r="D71">
        <v>129421</v>
      </c>
      <c r="E71" t="s">
        <v>219</v>
      </c>
      <c r="F71" t="s">
        <v>220</v>
      </c>
      <c r="H71" t="s">
        <v>70</v>
      </c>
      <c r="I71" t="s">
        <v>71</v>
      </c>
      <c r="J71" t="s">
        <v>60</v>
      </c>
      <c r="K71" t="s">
        <v>202</v>
      </c>
      <c r="L71" t="s">
        <v>61</v>
      </c>
      <c r="M71" s="13" t="s">
        <v>62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8</v>
      </c>
    </row>
    <row r="72" spans="1:125" x14ac:dyDescent="0.25">
      <c r="A72" t="s">
        <v>59</v>
      </c>
      <c r="B72" t="s">
        <v>66</v>
      </c>
      <c r="C72" t="s">
        <v>193</v>
      </c>
      <c r="D72">
        <v>129422</v>
      </c>
      <c r="E72" t="s">
        <v>221</v>
      </c>
      <c r="F72" t="s">
        <v>222</v>
      </c>
      <c r="H72" t="s">
        <v>70</v>
      </c>
      <c r="I72" t="s">
        <v>71</v>
      </c>
      <c r="J72" t="s">
        <v>60</v>
      </c>
      <c r="K72" t="s">
        <v>196</v>
      </c>
      <c r="L72" t="s">
        <v>61</v>
      </c>
      <c r="M72" s="13" t="s">
        <v>62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7</v>
      </c>
    </row>
    <row r="73" spans="1:125" x14ac:dyDescent="0.25">
      <c r="A73" t="s">
        <v>59</v>
      </c>
      <c r="B73" t="s">
        <v>66</v>
      </c>
      <c r="C73" t="s">
        <v>193</v>
      </c>
      <c r="D73">
        <v>304313</v>
      </c>
      <c r="E73" t="s">
        <v>223</v>
      </c>
      <c r="F73" t="s">
        <v>224</v>
      </c>
      <c r="H73" t="s">
        <v>70</v>
      </c>
      <c r="I73" t="s">
        <v>71</v>
      </c>
      <c r="J73" t="s">
        <v>60</v>
      </c>
      <c r="K73" t="s">
        <v>202</v>
      </c>
      <c r="L73" t="s">
        <v>61</v>
      </c>
      <c r="M73" s="13" t="s">
        <v>63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</v>
      </c>
      <c r="V73">
        <v>2</v>
      </c>
      <c r="W73">
        <v>3</v>
      </c>
      <c r="X73">
        <v>4</v>
      </c>
      <c r="Y73">
        <v>2</v>
      </c>
      <c r="Z73">
        <v>1</v>
      </c>
      <c r="AA73">
        <v>0</v>
      </c>
      <c r="AB73">
        <v>0</v>
      </c>
      <c r="AC73">
        <v>0</v>
      </c>
      <c r="AD73">
        <v>2</v>
      </c>
      <c r="AE73">
        <v>1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2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23</v>
      </c>
    </row>
    <row r="74" spans="1:125" x14ac:dyDescent="0.25">
      <c r="A74" t="s">
        <v>59</v>
      </c>
      <c r="B74" t="s">
        <v>66</v>
      </c>
      <c r="C74" t="s">
        <v>193</v>
      </c>
      <c r="D74">
        <v>304318</v>
      </c>
      <c r="E74" t="s">
        <v>225</v>
      </c>
      <c r="F74" t="s">
        <v>226</v>
      </c>
      <c r="H74" t="s">
        <v>70</v>
      </c>
      <c r="I74" t="s">
        <v>71</v>
      </c>
      <c r="J74" t="s">
        <v>60</v>
      </c>
      <c r="K74" t="s">
        <v>210</v>
      </c>
      <c r="L74" t="s">
        <v>61</v>
      </c>
      <c r="M74" s="13" t="s">
        <v>63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8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3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15</v>
      </c>
    </row>
    <row r="75" spans="1:125" x14ac:dyDescent="0.25">
      <c r="A75" t="s">
        <v>59</v>
      </c>
      <c r="B75" t="s">
        <v>66</v>
      </c>
      <c r="C75" t="s">
        <v>193</v>
      </c>
      <c r="D75">
        <v>325105</v>
      </c>
      <c r="E75" t="s">
        <v>227</v>
      </c>
      <c r="F75" t="s">
        <v>212</v>
      </c>
      <c r="G75">
        <v>304313</v>
      </c>
      <c r="H75" t="s">
        <v>70</v>
      </c>
      <c r="I75" t="s">
        <v>71</v>
      </c>
      <c r="J75" t="s">
        <v>60</v>
      </c>
      <c r="K75" t="s">
        <v>196</v>
      </c>
      <c r="L75" t="s">
        <v>61</v>
      </c>
      <c r="M75" s="13" t="s">
        <v>63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2</v>
      </c>
      <c r="BH75">
        <v>2</v>
      </c>
      <c r="BI75">
        <v>0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9</v>
      </c>
    </row>
    <row r="76" spans="1:125" x14ac:dyDescent="0.25">
      <c r="A76" t="s">
        <v>59</v>
      </c>
      <c r="B76" t="s">
        <v>66</v>
      </c>
      <c r="C76" t="s">
        <v>193</v>
      </c>
      <c r="D76">
        <v>501085</v>
      </c>
      <c r="E76" t="s">
        <v>228</v>
      </c>
      <c r="F76" t="s">
        <v>229</v>
      </c>
      <c r="H76" t="s">
        <v>70</v>
      </c>
      <c r="I76" t="s">
        <v>71</v>
      </c>
      <c r="J76" t="s">
        <v>60</v>
      </c>
      <c r="K76" t="s">
        <v>230</v>
      </c>
      <c r="L76" t="s">
        <v>61</v>
      </c>
      <c r="M76" s="13" t="s">
        <v>65</v>
      </c>
      <c r="N76">
        <v>1</v>
      </c>
      <c r="O76">
        <v>1</v>
      </c>
      <c r="P76">
        <v>2</v>
      </c>
      <c r="Q76">
        <v>1</v>
      </c>
      <c r="R76">
        <v>2</v>
      </c>
      <c r="S76">
        <v>1</v>
      </c>
      <c r="T76">
        <v>2</v>
      </c>
      <c r="U76">
        <v>1</v>
      </c>
      <c r="V76">
        <v>2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2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21</v>
      </c>
    </row>
    <row r="77" spans="1:125" x14ac:dyDescent="0.25">
      <c r="A77" t="s">
        <v>59</v>
      </c>
      <c r="B77" t="s">
        <v>66</v>
      </c>
      <c r="C77" t="s">
        <v>193</v>
      </c>
      <c r="D77">
        <v>501086</v>
      </c>
      <c r="E77" t="s">
        <v>231</v>
      </c>
      <c r="F77" t="s">
        <v>232</v>
      </c>
      <c r="H77" t="s">
        <v>70</v>
      </c>
      <c r="I77" t="s">
        <v>71</v>
      </c>
      <c r="J77" t="s">
        <v>60</v>
      </c>
      <c r="K77" t="s">
        <v>233</v>
      </c>
      <c r="L77" t="s">
        <v>61</v>
      </c>
      <c r="M77" s="13" t="s">
        <v>65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1</v>
      </c>
      <c r="CR77">
        <v>1</v>
      </c>
      <c r="CS77">
        <v>1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1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0</v>
      </c>
      <c r="DM77">
        <v>0</v>
      </c>
      <c r="DN77">
        <v>0</v>
      </c>
      <c r="DO77">
        <v>2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15</v>
      </c>
    </row>
    <row r="78" spans="1:125" x14ac:dyDescent="0.25">
      <c r="A78" t="s">
        <v>59</v>
      </c>
      <c r="B78" t="s">
        <v>66</v>
      </c>
      <c r="C78" t="s">
        <v>193</v>
      </c>
      <c r="D78">
        <v>501087</v>
      </c>
      <c r="E78" t="s">
        <v>234</v>
      </c>
      <c r="F78" t="s">
        <v>235</v>
      </c>
      <c r="H78" t="s">
        <v>70</v>
      </c>
      <c r="I78" t="s">
        <v>71</v>
      </c>
      <c r="J78" t="s">
        <v>60</v>
      </c>
      <c r="K78" t="s">
        <v>199</v>
      </c>
      <c r="L78" t="s">
        <v>61</v>
      </c>
      <c r="M78" s="13" t="s">
        <v>65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  <c r="T78">
        <v>2</v>
      </c>
      <c r="U78">
        <v>0</v>
      </c>
      <c r="V78">
        <v>0</v>
      </c>
      <c r="W78">
        <v>2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18</v>
      </c>
    </row>
  </sheetData>
  <autoFilter ref="A7:DU79" xr:uid="{00000000-0009-0000-0000-000000000000}"/>
  <mergeCells count="9">
    <mergeCell ref="N4:AX4"/>
    <mergeCell ref="AY4:CI4"/>
    <mergeCell ref="CJ4:DT4"/>
    <mergeCell ref="N5:AJ5"/>
    <mergeCell ref="AK5:AX5"/>
    <mergeCell ref="AY5:BU5"/>
    <mergeCell ref="BV5:CI5"/>
    <mergeCell ref="CJ5:DF5"/>
    <mergeCell ref="DG5:DT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2023-08-08T01:22:02Z</dcterms:created>
  <dcterms:modified xsi:type="dcterms:W3CDTF">2023-08-08T01:22:48Z</dcterms:modified>
</cp:coreProperties>
</file>