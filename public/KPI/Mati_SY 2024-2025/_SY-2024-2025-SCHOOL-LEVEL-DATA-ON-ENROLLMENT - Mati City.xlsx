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4-2025/"/>
    </mc:Choice>
  </mc:AlternateContent>
  <xr:revisionPtr revIDLastSave="9" documentId="8_{5CB21387-5252-410E-BB3F-8DCDDFC05BB5}" xr6:coauthVersionLast="47" xr6:coauthVersionMax="47" xr10:uidLastSave="{38B6DBA3-02F4-4656-A57B-D5A0FA9B9B5F}"/>
  <bookViews>
    <workbookView xWindow="2730" yWindow="720" windowWidth="20520" windowHeight="15480" xr2:uid="{4336B7E6-E77D-4DDF-98B3-C3F775576CB6}"/>
  </bookViews>
  <sheets>
    <sheet name="REGION XI" sheetId="1" r:id="rId1"/>
  </sheets>
  <definedNames>
    <definedName name="_xlnm._FilterDatabase" localSheetId="0" hidden="1">'REGION XI'!$A$6:$CO$6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90" i="1" l="1"/>
  <c r="CH90" i="1"/>
  <c r="CG90" i="1"/>
  <c r="CF90" i="1"/>
  <c r="CJ90" i="1" s="1"/>
  <c r="AT90" i="1"/>
  <c r="AS90" i="1"/>
  <c r="AG90" i="1"/>
  <c r="AF90" i="1"/>
  <c r="CI89" i="1"/>
  <c r="CH89" i="1"/>
  <c r="CG89" i="1"/>
  <c r="CF89" i="1"/>
  <c r="AT89" i="1"/>
  <c r="AS89" i="1"/>
  <c r="AG89" i="1"/>
  <c r="AF89" i="1"/>
  <c r="CI88" i="1"/>
  <c r="CH88" i="1"/>
  <c r="CG88" i="1"/>
  <c r="CK88" i="1" s="1"/>
  <c r="CF88" i="1"/>
  <c r="CJ88" i="1" s="1"/>
  <c r="CL88" i="1" s="1"/>
  <c r="AT88" i="1"/>
  <c r="AS88" i="1"/>
  <c r="AG88" i="1"/>
  <c r="AF88" i="1"/>
  <c r="AH88" i="1" s="1"/>
  <c r="CI87" i="1"/>
  <c r="CH87" i="1"/>
  <c r="CG87" i="1"/>
  <c r="CF87" i="1"/>
  <c r="AT87" i="1"/>
  <c r="AS87" i="1"/>
  <c r="AG87" i="1"/>
  <c r="AF87" i="1"/>
  <c r="CK86" i="1"/>
  <c r="CI86" i="1"/>
  <c r="CH86" i="1"/>
  <c r="CG86" i="1"/>
  <c r="CF86" i="1"/>
  <c r="CJ86" i="1" s="1"/>
  <c r="AT86" i="1"/>
  <c r="AS86" i="1"/>
  <c r="AG86" i="1"/>
  <c r="AF86" i="1"/>
  <c r="CI85" i="1"/>
  <c r="CH85" i="1"/>
  <c r="CG85" i="1"/>
  <c r="CK85" i="1" s="1"/>
  <c r="CF85" i="1"/>
  <c r="AT85" i="1"/>
  <c r="AS85" i="1"/>
  <c r="AU85" i="1" s="1"/>
  <c r="AG85" i="1"/>
  <c r="AF85" i="1"/>
  <c r="CI84" i="1"/>
  <c r="CH84" i="1"/>
  <c r="CG84" i="1"/>
  <c r="CK84" i="1" s="1"/>
  <c r="CF84" i="1"/>
  <c r="AT84" i="1"/>
  <c r="AS84" i="1"/>
  <c r="AG84" i="1"/>
  <c r="CN84" i="1" s="1"/>
  <c r="AF84" i="1"/>
  <c r="CI83" i="1"/>
  <c r="CH83" i="1"/>
  <c r="CG83" i="1"/>
  <c r="CF83" i="1"/>
  <c r="AT83" i="1"/>
  <c r="AS83" i="1"/>
  <c r="AU83" i="1" s="1"/>
  <c r="AG83" i="1"/>
  <c r="AF83" i="1"/>
  <c r="CI82" i="1"/>
  <c r="CH82" i="1"/>
  <c r="CG82" i="1"/>
  <c r="CF82" i="1"/>
  <c r="AT82" i="1"/>
  <c r="AS82" i="1"/>
  <c r="AU82" i="1" s="1"/>
  <c r="AG82" i="1"/>
  <c r="AF82" i="1"/>
  <c r="CI81" i="1"/>
  <c r="CH81" i="1"/>
  <c r="CG81" i="1"/>
  <c r="CF81" i="1"/>
  <c r="AT81" i="1"/>
  <c r="AS81" i="1"/>
  <c r="AU81" i="1" s="1"/>
  <c r="AG81" i="1"/>
  <c r="AF81" i="1"/>
  <c r="CI80" i="1"/>
  <c r="CH80" i="1"/>
  <c r="CG80" i="1"/>
  <c r="CF80" i="1"/>
  <c r="CJ80" i="1" s="1"/>
  <c r="AT80" i="1"/>
  <c r="AS80" i="1"/>
  <c r="AG80" i="1"/>
  <c r="AF80" i="1"/>
  <c r="CI79" i="1"/>
  <c r="CH79" i="1"/>
  <c r="CG79" i="1"/>
  <c r="CF79" i="1"/>
  <c r="AT79" i="1"/>
  <c r="AS79" i="1"/>
  <c r="AU79" i="1" s="1"/>
  <c r="AG79" i="1"/>
  <c r="AF79" i="1"/>
  <c r="AH79" i="1" s="1"/>
  <c r="CI78" i="1"/>
  <c r="CH78" i="1"/>
  <c r="CG78" i="1"/>
  <c r="CK78" i="1" s="1"/>
  <c r="CF78" i="1"/>
  <c r="CJ78" i="1" s="1"/>
  <c r="AT78" i="1"/>
  <c r="AS78" i="1"/>
  <c r="AU78" i="1" s="1"/>
  <c r="AG78" i="1"/>
  <c r="AF78" i="1"/>
  <c r="CI77" i="1"/>
  <c r="CH77" i="1"/>
  <c r="CG77" i="1"/>
  <c r="CF77" i="1"/>
  <c r="AT77" i="1"/>
  <c r="AS77" i="1"/>
  <c r="AU77" i="1" s="1"/>
  <c r="AG77" i="1"/>
  <c r="AF77" i="1"/>
  <c r="AH77" i="1" s="1"/>
  <c r="CI76" i="1"/>
  <c r="CH76" i="1"/>
  <c r="CG76" i="1"/>
  <c r="CF76" i="1"/>
  <c r="AT76" i="1"/>
  <c r="AS76" i="1"/>
  <c r="AG76" i="1"/>
  <c r="AF76" i="1"/>
  <c r="CI75" i="1"/>
  <c r="CH75" i="1"/>
  <c r="CG75" i="1"/>
  <c r="CK75" i="1" s="1"/>
  <c r="CF75" i="1"/>
  <c r="CJ75" i="1" s="1"/>
  <c r="CL75" i="1" s="1"/>
  <c r="AT75" i="1"/>
  <c r="AS75" i="1"/>
  <c r="AG75" i="1"/>
  <c r="AF75" i="1"/>
  <c r="CI74" i="1"/>
  <c r="CH74" i="1"/>
  <c r="CG74" i="1"/>
  <c r="CF74" i="1"/>
  <c r="AT74" i="1"/>
  <c r="AS74" i="1"/>
  <c r="AU74" i="1" s="1"/>
  <c r="AG74" i="1"/>
  <c r="AF74" i="1"/>
  <c r="AH74" i="1" s="1"/>
  <c r="CI73" i="1"/>
  <c r="CH73" i="1"/>
  <c r="CG73" i="1"/>
  <c r="CF73" i="1"/>
  <c r="AT73" i="1"/>
  <c r="AS73" i="1"/>
  <c r="AG73" i="1"/>
  <c r="AF73" i="1"/>
  <c r="AH73" i="1" s="1"/>
  <c r="CI72" i="1"/>
  <c r="CH72" i="1"/>
  <c r="CG72" i="1"/>
  <c r="CK72" i="1" s="1"/>
  <c r="CF72" i="1"/>
  <c r="CJ72" i="1" s="1"/>
  <c r="CL72" i="1" s="1"/>
  <c r="AT72" i="1"/>
  <c r="AS72" i="1"/>
  <c r="AU72" i="1" s="1"/>
  <c r="AG72" i="1"/>
  <c r="AF72" i="1"/>
  <c r="CI71" i="1"/>
  <c r="CH71" i="1"/>
  <c r="CG71" i="1"/>
  <c r="CK71" i="1" s="1"/>
  <c r="CN71" i="1" s="1"/>
  <c r="CF71" i="1"/>
  <c r="AT71" i="1"/>
  <c r="AS71" i="1"/>
  <c r="AG71" i="1"/>
  <c r="AF71" i="1"/>
  <c r="CI70" i="1"/>
  <c r="CH70" i="1"/>
  <c r="CG70" i="1"/>
  <c r="CK70" i="1" s="1"/>
  <c r="CF70" i="1"/>
  <c r="AT70" i="1"/>
  <c r="AS70" i="1"/>
  <c r="AG70" i="1"/>
  <c r="AF70" i="1"/>
  <c r="CI69" i="1"/>
  <c r="CH69" i="1"/>
  <c r="CG69" i="1"/>
  <c r="CF69" i="1"/>
  <c r="AT69" i="1"/>
  <c r="AS69" i="1"/>
  <c r="AU69" i="1" s="1"/>
  <c r="AG69" i="1"/>
  <c r="AF69" i="1"/>
  <c r="CI68" i="1"/>
  <c r="CH68" i="1"/>
  <c r="CG68" i="1"/>
  <c r="CK68" i="1" s="1"/>
  <c r="CF68" i="1"/>
  <c r="AT68" i="1"/>
  <c r="AS68" i="1"/>
  <c r="AG68" i="1"/>
  <c r="AF68" i="1"/>
  <c r="CI67" i="1"/>
  <c r="CH67" i="1"/>
  <c r="CG67" i="1"/>
  <c r="CK67" i="1" s="1"/>
  <c r="CF67" i="1"/>
  <c r="AT67" i="1"/>
  <c r="AS67" i="1"/>
  <c r="AG67" i="1"/>
  <c r="AF67" i="1"/>
  <c r="AH67" i="1" s="1"/>
  <c r="CJ66" i="1"/>
  <c r="CM66" i="1" s="1"/>
  <c r="CI66" i="1"/>
  <c r="CH66" i="1"/>
  <c r="CG66" i="1"/>
  <c r="CF66" i="1"/>
  <c r="AT66" i="1"/>
  <c r="AS66" i="1"/>
  <c r="AG66" i="1"/>
  <c r="AF66" i="1"/>
  <c r="CI65" i="1"/>
  <c r="CH65" i="1"/>
  <c r="CG65" i="1"/>
  <c r="CK65" i="1" s="1"/>
  <c r="CF65" i="1"/>
  <c r="AT65" i="1"/>
  <c r="AS65" i="1"/>
  <c r="AG65" i="1"/>
  <c r="AF65" i="1"/>
  <c r="CI64" i="1"/>
  <c r="CH64" i="1"/>
  <c r="CG64" i="1"/>
  <c r="CF64" i="1"/>
  <c r="AT64" i="1"/>
  <c r="AS64" i="1"/>
  <c r="AU64" i="1" s="1"/>
  <c r="AG64" i="1"/>
  <c r="AF64" i="1"/>
  <c r="CI63" i="1"/>
  <c r="CH63" i="1"/>
  <c r="CG63" i="1"/>
  <c r="CF63" i="1"/>
  <c r="AT63" i="1"/>
  <c r="AS63" i="1"/>
  <c r="AG63" i="1"/>
  <c r="AF63" i="1"/>
  <c r="CI62" i="1"/>
  <c r="CH62" i="1"/>
  <c r="CG62" i="1"/>
  <c r="CK62" i="1" s="1"/>
  <c r="CF62" i="1"/>
  <c r="AT62" i="1"/>
  <c r="AS62" i="1"/>
  <c r="AG62" i="1"/>
  <c r="AF62" i="1"/>
  <c r="AH62" i="1" s="1"/>
  <c r="CI61" i="1"/>
  <c r="CH61" i="1"/>
  <c r="CG61" i="1"/>
  <c r="CK61" i="1" s="1"/>
  <c r="CF61" i="1"/>
  <c r="AT61" i="1"/>
  <c r="AS61" i="1"/>
  <c r="AG61" i="1"/>
  <c r="AF61" i="1"/>
  <c r="CI60" i="1"/>
  <c r="CH60" i="1"/>
  <c r="CG60" i="1"/>
  <c r="CF60" i="1"/>
  <c r="AT60" i="1"/>
  <c r="AS60" i="1"/>
  <c r="AG60" i="1"/>
  <c r="AF60" i="1"/>
  <c r="CK59" i="1"/>
  <c r="CI59" i="1"/>
  <c r="CH59" i="1"/>
  <c r="CG59" i="1"/>
  <c r="CF59" i="1"/>
  <c r="AT59" i="1"/>
  <c r="AS59" i="1"/>
  <c r="AG59" i="1"/>
  <c r="AF59" i="1"/>
  <c r="AH59" i="1" s="1"/>
  <c r="CI58" i="1"/>
  <c r="CH58" i="1"/>
  <c r="CG58" i="1"/>
  <c r="CK58" i="1" s="1"/>
  <c r="CF58" i="1"/>
  <c r="CJ58" i="1" s="1"/>
  <c r="AT58" i="1"/>
  <c r="AS58" i="1"/>
  <c r="AG58" i="1"/>
  <c r="AF58" i="1"/>
  <c r="CI57" i="1"/>
  <c r="CH57" i="1"/>
  <c r="CG57" i="1"/>
  <c r="CF57" i="1"/>
  <c r="AT57" i="1"/>
  <c r="AS57" i="1"/>
  <c r="AG57" i="1"/>
  <c r="AF57" i="1"/>
  <c r="CI56" i="1"/>
  <c r="CH56" i="1"/>
  <c r="CG56" i="1"/>
  <c r="CF56" i="1"/>
  <c r="AT56" i="1"/>
  <c r="AS56" i="1"/>
  <c r="AG56" i="1"/>
  <c r="AF56" i="1"/>
  <c r="CI55" i="1"/>
  <c r="CH55" i="1"/>
  <c r="CG55" i="1"/>
  <c r="CF55" i="1"/>
  <c r="AT55" i="1"/>
  <c r="AS55" i="1"/>
  <c r="AG55" i="1"/>
  <c r="AF55" i="1"/>
  <c r="CI54" i="1"/>
  <c r="CH54" i="1"/>
  <c r="CG54" i="1"/>
  <c r="CK54" i="1" s="1"/>
  <c r="CF54" i="1"/>
  <c r="AT54" i="1"/>
  <c r="AS54" i="1"/>
  <c r="AG54" i="1"/>
  <c r="AF54" i="1"/>
  <c r="CI53" i="1"/>
  <c r="CK53" i="1" s="1"/>
  <c r="CH53" i="1"/>
  <c r="CJ53" i="1" s="1"/>
  <c r="CG53" i="1"/>
  <c r="CF53" i="1"/>
  <c r="AT53" i="1"/>
  <c r="AS53" i="1"/>
  <c r="AG53" i="1"/>
  <c r="AF53" i="1"/>
  <c r="AH53" i="1" s="1"/>
  <c r="CI52" i="1"/>
  <c r="CH52" i="1"/>
  <c r="CG52" i="1"/>
  <c r="CF52" i="1"/>
  <c r="CJ52" i="1" s="1"/>
  <c r="AT52" i="1"/>
  <c r="AS52" i="1"/>
  <c r="AG52" i="1"/>
  <c r="AF52" i="1"/>
  <c r="CI51" i="1"/>
  <c r="CH51" i="1"/>
  <c r="CG51" i="1"/>
  <c r="CF51" i="1"/>
  <c r="AT51" i="1"/>
  <c r="AS51" i="1"/>
  <c r="AG51" i="1"/>
  <c r="AF51" i="1"/>
  <c r="CI50" i="1"/>
  <c r="CK50" i="1" s="1"/>
  <c r="CH50" i="1"/>
  <c r="CJ50" i="1" s="1"/>
  <c r="CG50" i="1"/>
  <c r="CF50" i="1"/>
  <c r="AT50" i="1"/>
  <c r="AS50" i="1"/>
  <c r="AG50" i="1"/>
  <c r="AF50" i="1"/>
  <c r="CI49" i="1"/>
  <c r="CH49" i="1"/>
  <c r="CG49" i="1"/>
  <c r="CF49" i="1"/>
  <c r="AT49" i="1"/>
  <c r="AS49" i="1"/>
  <c r="AG49" i="1"/>
  <c r="AF49" i="1"/>
  <c r="CI48" i="1"/>
  <c r="CH48" i="1"/>
  <c r="CG48" i="1"/>
  <c r="CK48" i="1" s="1"/>
  <c r="CF48" i="1"/>
  <c r="AT48" i="1"/>
  <c r="AS48" i="1"/>
  <c r="AU48" i="1" s="1"/>
  <c r="AG48" i="1"/>
  <c r="AF48" i="1"/>
  <c r="CM47" i="1"/>
  <c r="CI47" i="1"/>
  <c r="CH47" i="1"/>
  <c r="CJ47" i="1" s="1"/>
  <c r="CG47" i="1"/>
  <c r="CF47" i="1"/>
  <c r="AT47" i="1"/>
  <c r="AS47" i="1"/>
  <c r="AG47" i="1"/>
  <c r="AF47" i="1"/>
  <c r="AH47" i="1" s="1"/>
  <c r="CI46" i="1"/>
  <c r="CH46" i="1"/>
  <c r="CG46" i="1"/>
  <c r="CK46" i="1" s="1"/>
  <c r="CF46" i="1"/>
  <c r="AT46" i="1"/>
  <c r="AS46" i="1"/>
  <c r="AG46" i="1"/>
  <c r="AF46" i="1"/>
  <c r="CI45" i="1"/>
  <c r="CH45" i="1"/>
  <c r="CG45" i="1"/>
  <c r="CK45" i="1" s="1"/>
  <c r="CF45" i="1"/>
  <c r="AT45" i="1"/>
  <c r="AS45" i="1"/>
  <c r="AG45" i="1"/>
  <c r="AF45" i="1"/>
  <c r="CI44" i="1"/>
  <c r="CK44" i="1" s="1"/>
  <c r="CH44" i="1"/>
  <c r="CG44" i="1"/>
  <c r="CF44" i="1"/>
  <c r="AT44" i="1"/>
  <c r="AS44" i="1"/>
  <c r="AU44" i="1" s="1"/>
  <c r="AG44" i="1"/>
  <c r="AF44" i="1"/>
  <c r="CI43" i="1"/>
  <c r="CH43" i="1"/>
  <c r="CG43" i="1"/>
  <c r="CF43" i="1"/>
  <c r="CJ43" i="1" s="1"/>
  <c r="AT43" i="1"/>
  <c r="AU43" i="1" s="1"/>
  <c r="AS43" i="1"/>
  <c r="AG43" i="1"/>
  <c r="AF43" i="1"/>
  <c r="CI42" i="1"/>
  <c r="CH42" i="1"/>
  <c r="CG42" i="1"/>
  <c r="CK42" i="1" s="1"/>
  <c r="CF42" i="1"/>
  <c r="AT42" i="1"/>
  <c r="AS42" i="1"/>
  <c r="AU42" i="1" s="1"/>
  <c r="AG42" i="1"/>
  <c r="AF42" i="1"/>
  <c r="CI41" i="1"/>
  <c r="CH41" i="1"/>
  <c r="CG41" i="1"/>
  <c r="CF41" i="1"/>
  <c r="AT41" i="1"/>
  <c r="AS41" i="1"/>
  <c r="AU41" i="1" s="1"/>
  <c r="AG41" i="1"/>
  <c r="AF41" i="1"/>
  <c r="CI40" i="1"/>
  <c r="CK40" i="1" s="1"/>
  <c r="CH40" i="1"/>
  <c r="CG40" i="1"/>
  <c r="CF40" i="1"/>
  <c r="AT40" i="1"/>
  <c r="AS40" i="1"/>
  <c r="AU40" i="1" s="1"/>
  <c r="AG40" i="1"/>
  <c r="AF40" i="1"/>
  <c r="CI39" i="1"/>
  <c r="CH39" i="1"/>
  <c r="CG39" i="1"/>
  <c r="CF39" i="1"/>
  <c r="CJ39" i="1" s="1"/>
  <c r="AT39" i="1"/>
  <c r="AS39" i="1"/>
  <c r="AG39" i="1"/>
  <c r="AF39" i="1"/>
  <c r="CI38" i="1"/>
  <c r="CH38" i="1"/>
  <c r="CG38" i="1"/>
  <c r="CK38" i="1" s="1"/>
  <c r="CF38" i="1"/>
  <c r="CJ38" i="1" s="1"/>
  <c r="AT38" i="1"/>
  <c r="AS38" i="1"/>
  <c r="AG38" i="1"/>
  <c r="AF38" i="1"/>
  <c r="AH38" i="1" s="1"/>
  <c r="CI37" i="1"/>
  <c r="CK37" i="1" s="1"/>
  <c r="CH37" i="1"/>
  <c r="CJ37" i="1" s="1"/>
  <c r="CG37" i="1"/>
  <c r="CF37" i="1"/>
  <c r="AT37" i="1"/>
  <c r="AS37" i="1"/>
  <c r="AU37" i="1" s="1"/>
  <c r="AG37" i="1"/>
  <c r="AF37" i="1"/>
  <c r="AH37" i="1" s="1"/>
  <c r="CI36" i="1"/>
  <c r="CH36" i="1"/>
  <c r="CG36" i="1"/>
  <c r="CF36" i="1"/>
  <c r="AT36" i="1"/>
  <c r="AS36" i="1"/>
  <c r="AG36" i="1"/>
  <c r="AF36" i="1"/>
  <c r="CI35" i="1"/>
  <c r="CH35" i="1"/>
  <c r="CG35" i="1"/>
  <c r="CK35" i="1" s="1"/>
  <c r="CF35" i="1"/>
  <c r="AT35" i="1"/>
  <c r="AS35" i="1"/>
  <c r="AU35" i="1" s="1"/>
  <c r="AG35" i="1"/>
  <c r="AF35" i="1"/>
  <c r="CI34" i="1"/>
  <c r="CH34" i="1"/>
  <c r="CG34" i="1"/>
  <c r="CF34" i="1"/>
  <c r="AT34" i="1"/>
  <c r="AS34" i="1"/>
  <c r="AU34" i="1" s="1"/>
  <c r="AG34" i="1"/>
  <c r="AF34" i="1"/>
  <c r="AH34" i="1" s="1"/>
  <c r="CI33" i="1"/>
  <c r="CH33" i="1"/>
  <c r="CG33" i="1"/>
  <c r="CF33" i="1"/>
  <c r="AT33" i="1"/>
  <c r="AS33" i="1"/>
  <c r="AG33" i="1"/>
  <c r="AF33" i="1"/>
  <c r="CI32" i="1"/>
  <c r="CH32" i="1"/>
  <c r="CG32" i="1"/>
  <c r="CK32" i="1" s="1"/>
  <c r="CF32" i="1"/>
  <c r="CJ32" i="1" s="1"/>
  <c r="AT32" i="1"/>
  <c r="AS32" i="1"/>
  <c r="AU32" i="1" s="1"/>
  <c r="AG32" i="1"/>
  <c r="AF32" i="1"/>
  <c r="CI31" i="1"/>
  <c r="CH31" i="1"/>
  <c r="CG31" i="1"/>
  <c r="CF31" i="1"/>
  <c r="AT31" i="1"/>
  <c r="AS31" i="1"/>
  <c r="AU31" i="1" s="1"/>
  <c r="AG31" i="1"/>
  <c r="AF31" i="1"/>
  <c r="AH31" i="1" s="1"/>
  <c r="CI30" i="1"/>
  <c r="CH30" i="1"/>
  <c r="CG30" i="1"/>
  <c r="CK30" i="1" s="1"/>
  <c r="CF30" i="1"/>
  <c r="AT30" i="1"/>
  <c r="AS30" i="1"/>
  <c r="AG30" i="1"/>
  <c r="AF30" i="1"/>
  <c r="AH30" i="1" s="1"/>
  <c r="CI29" i="1"/>
  <c r="CH29" i="1"/>
  <c r="CG29" i="1"/>
  <c r="CF29" i="1"/>
  <c r="AT29" i="1"/>
  <c r="AS29" i="1"/>
  <c r="AG29" i="1"/>
  <c r="AF29" i="1"/>
  <c r="CI28" i="1"/>
  <c r="CH28" i="1"/>
  <c r="CG28" i="1"/>
  <c r="CK28" i="1" s="1"/>
  <c r="CF28" i="1"/>
  <c r="AT28" i="1"/>
  <c r="AS28" i="1"/>
  <c r="AU28" i="1" s="1"/>
  <c r="AG28" i="1"/>
  <c r="AF28" i="1"/>
  <c r="AH28" i="1" s="1"/>
  <c r="CI27" i="1"/>
  <c r="CH27" i="1"/>
  <c r="CG27" i="1"/>
  <c r="CK27" i="1" s="1"/>
  <c r="CF27" i="1"/>
  <c r="AT27" i="1"/>
  <c r="AS27" i="1"/>
  <c r="AU27" i="1" s="1"/>
  <c r="AG27" i="1"/>
  <c r="AF27" i="1"/>
  <c r="CI26" i="1"/>
  <c r="CH26" i="1"/>
  <c r="CG26" i="1"/>
  <c r="CF26" i="1"/>
  <c r="CJ26" i="1" s="1"/>
  <c r="AT26" i="1"/>
  <c r="AS26" i="1"/>
  <c r="AU26" i="1" s="1"/>
  <c r="AG26" i="1"/>
  <c r="AF26" i="1"/>
  <c r="CI25" i="1"/>
  <c r="CH25" i="1"/>
  <c r="CG25" i="1"/>
  <c r="CF25" i="1"/>
  <c r="AT25" i="1"/>
  <c r="AS25" i="1"/>
  <c r="AU25" i="1" s="1"/>
  <c r="AG25" i="1"/>
  <c r="AF25" i="1"/>
  <c r="CI24" i="1"/>
  <c r="CH24" i="1"/>
  <c r="CG24" i="1"/>
  <c r="CK24" i="1" s="1"/>
  <c r="CF24" i="1"/>
  <c r="AT24" i="1"/>
  <c r="AS24" i="1"/>
  <c r="AU24" i="1" s="1"/>
  <c r="AG24" i="1"/>
  <c r="AF24" i="1"/>
  <c r="CI23" i="1"/>
  <c r="CH23" i="1"/>
  <c r="CG23" i="1"/>
  <c r="CF23" i="1"/>
  <c r="AT23" i="1"/>
  <c r="AS23" i="1"/>
  <c r="AU23" i="1" s="1"/>
  <c r="AG23" i="1"/>
  <c r="AF23" i="1"/>
  <c r="CI22" i="1"/>
  <c r="CH22" i="1"/>
  <c r="CG22" i="1"/>
  <c r="CF22" i="1"/>
  <c r="CJ22" i="1" s="1"/>
  <c r="AT22" i="1"/>
  <c r="AS22" i="1"/>
  <c r="AU22" i="1" s="1"/>
  <c r="AG22" i="1"/>
  <c r="AF22" i="1"/>
  <c r="CI21" i="1"/>
  <c r="CH21" i="1"/>
  <c r="CG21" i="1"/>
  <c r="CK21" i="1" s="1"/>
  <c r="CF21" i="1"/>
  <c r="AT21" i="1"/>
  <c r="AS21" i="1"/>
  <c r="AU21" i="1" s="1"/>
  <c r="AG21" i="1"/>
  <c r="AF21" i="1"/>
  <c r="CI20" i="1"/>
  <c r="CH20" i="1"/>
  <c r="CG20" i="1"/>
  <c r="CF20" i="1"/>
  <c r="CJ20" i="1" s="1"/>
  <c r="AT20" i="1"/>
  <c r="AS20" i="1"/>
  <c r="AG20" i="1"/>
  <c r="AF20" i="1"/>
  <c r="CI19" i="1"/>
  <c r="CH19" i="1"/>
  <c r="CG19" i="1"/>
  <c r="CF19" i="1"/>
  <c r="AT19" i="1"/>
  <c r="AS19" i="1"/>
  <c r="AU19" i="1" s="1"/>
  <c r="AG19" i="1"/>
  <c r="AF19" i="1"/>
  <c r="AH19" i="1" s="1"/>
  <c r="CI18" i="1"/>
  <c r="CH18" i="1"/>
  <c r="CG18" i="1"/>
  <c r="CK18" i="1" s="1"/>
  <c r="CF18" i="1"/>
  <c r="AT18" i="1"/>
  <c r="AS18" i="1"/>
  <c r="AU18" i="1" s="1"/>
  <c r="AG18" i="1"/>
  <c r="AF18" i="1"/>
  <c r="CI17" i="1"/>
  <c r="CH17" i="1"/>
  <c r="CG17" i="1"/>
  <c r="CK17" i="1" s="1"/>
  <c r="CF17" i="1"/>
  <c r="CJ17" i="1" s="1"/>
  <c r="CL17" i="1" s="1"/>
  <c r="AT17" i="1"/>
  <c r="AS17" i="1"/>
  <c r="AU17" i="1" s="1"/>
  <c r="AG17" i="1"/>
  <c r="AF17" i="1"/>
  <c r="CI16" i="1"/>
  <c r="CH16" i="1"/>
  <c r="CG16" i="1"/>
  <c r="CF16" i="1"/>
  <c r="AT16" i="1"/>
  <c r="AS16" i="1"/>
  <c r="AU16" i="1" s="1"/>
  <c r="AG16" i="1"/>
  <c r="AF16" i="1"/>
  <c r="AH16" i="1" s="1"/>
  <c r="CI15" i="1"/>
  <c r="CH15" i="1"/>
  <c r="CG15" i="1"/>
  <c r="CK15" i="1" s="1"/>
  <c r="CF15" i="1"/>
  <c r="AT15" i="1"/>
  <c r="AS15" i="1"/>
  <c r="AU15" i="1" s="1"/>
  <c r="AG15" i="1"/>
  <c r="AF15" i="1"/>
  <c r="CI14" i="1"/>
  <c r="CH14" i="1"/>
  <c r="CG14" i="1"/>
  <c r="CK14" i="1" s="1"/>
  <c r="CF14" i="1"/>
  <c r="CJ14" i="1" s="1"/>
  <c r="CL14" i="1" s="1"/>
  <c r="AT14" i="1"/>
  <c r="AS14" i="1"/>
  <c r="AU14" i="1" s="1"/>
  <c r="AG14" i="1"/>
  <c r="AF14" i="1"/>
  <c r="CI13" i="1"/>
  <c r="CH13" i="1"/>
  <c r="CG13" i="1"/>
  <c r="CF13" i="1"/>
  <c r="CJ13" i="1" s="1"/>
  <c r="AT13" i="1"/>
  <c r="AS13" i="1"/>
  <c r="AU13" i="1" s="1"/>
  <c r="AG13" i="1"/>
  <c r="AF13" i="1"/>
  <c r="CI12" i="1"/>
  <c r="CH12" i="1"/>
  <c r="CG12" i="1"/>
  <c r="CF12" i="1"/>
  <c r="AT12" i="1"/>
  <c r="AS12" i="1"/>
  <c r="AU12" i="1" s="1"/>
  <c r="AG12" i="1"/>
  <c r="AF12" i="1"/>
  <c r="AH12" i="1" s="1"/>
  <c r="CI11" i="1"/>
  <c r="CH11" i="1"/>
  <c r="CG11" i="1"/>
  <c r="CF11" i="1"/>
  <c r="CJ11" i="1" s="1"/>
  <c r="AT11" i="1"/>
  <c r="AS11" i="1"/>
  <c r="AG11" i="1"/>
  <c r="AF11" i="1"/>
  <c r="CI10" i="1"/>
  <c r="CH10" i="1"/>
  <c r="CG10" i="1"/>
  <c r="CF10" i="1"/>
  <c r="AT10" i="1"/>
  <c r="AS10" i="1"/>
  <c r="AU10" i="1" s="1"/>
  <c r="AG10" i="1"/>
  <c r="AF10" i="1"/>
  <c r="AH10" i="1" s="1"/>
  <c r="CI9" i="1"/>
  <c r="CH9" i="1"/>
  <c r="CG9" i="1"/>
  <c r="CF9" i="1"/>
  <c r="AT9" i="1"/>
  <c r="AS9" i="1"/>
  <c r="AU9" i="1" s="1"/>
  <c r="AG9" i="1"/>
  <c r="AF9" i="1"/>
  <c r="CI8" i="1"/>
  <c r="CH8" i="1"/>
  <c r="CG8" i="1"/>
  <c r="CK8" i="1" s="1"/>
  <c r="CF8" i="1"/>
  <c r="CJ8" i="1" s="1"/>
  <c r="CL8" i="1" s="1"/>
  <c r="AT8" i="1"/>
  <c r="AS8" i="1"/>
  <c r="AU8" i="1" s="1"/>
  <c r="AG8" i="1"/>
  <c r="AF8" i="1"/>
  <c r="CI7" i="1"/>
  <c r="CH7" i="1"/>
  <c r="CG7" i="1"/>
  <c r="CF7" i="1"/>
  <c r="AT7" i="1"/>
  <c r="AS7" i="1"/>
  <c r="AU7" i="1" s="1"/>
  <c r="AG7" i="1"/>
  <c r="AF7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R5" i="1"/>
  <c r="AQ5" i="1"/>
  <c r="AP5" i="1"/>
  <c r="AO5" i="1"/>
  <c r="AN5" i="1"/>
  <c r="AM5" i="1"/>
  <c r="AL5" i="1"/>
  <c r="AK5" i="1"/>
  <c r="AJ5" i="1"/>
  <c r="AI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AU75" i="1" l="1"/>
  <c r="AU29" i="1"/>
  <c r="AH51" i="1"/>
  <c r="CK9" i="1"/>
  <c r="CN9" i="1" s="1"/>
  <c r="AH11" i="1"/>
  <c r="CJ12" i="1"/>
  <c r="CJ15" i="1"/>
  <c r="CL15" i="1" s="1"/>
  <c r="AH17" i="1"/>
  <c r="CO17" i="1" s="1"/>
  <c r="AH20" i="1"/>
  <c r="CJ21" i="1"/>
  <c r="CL21" i="1" s="1"/>
  <c r="AH23" i="1"/>
  <c r="CJ24" i="1"/>
  <c r="CL24" i="1" s="1"/>
  <c r="AH26" i="1"/>
  <c r="AH29" i="1"/>
  <c r="AH32" i="1"/>
  <c r="CN58" i="1"/>
  <c r="AU62" i="1"/>
  <c r="CK69" i="1"/>
  <c r="CJ79" i="1"/>
  <c r="AH81" i="1"/>
  <c r="CJ82" i="1"/>
  <c r="CJ85" i="1"/>
  <c r="CL85" i="1" s="1"/>
  <c r="AU11" i="1"/>
  <c r="CL78" i="1"/>
  <c r="CO78" i="1" s="1"/>
  <c r="CK43" i="1"/>
  <c r="CJ71" i="1"/>
  <c r="CL71" i="1" s="1"/>
  <c r="AU51" i="1"/>
  <c r="AU54" i="1"/>
  <c r="AU57" i="1"/>
  <c r="CJ81" i="1"/>
  <c r="CN37" i="1"/>
  <c r="AU80" i="1"/>
  <c r="CJ87" i="1"/>
  <c r="CM87" i="1" s="1"/>
  <c r="CN40" i="1"/>
  <c r="AH56" i="1"/>
  <c r="CM86" i="1"/>
  <c r="CK90" i="1"/>
  <c r="CN24" i="1"/>
  <c r="CN27" i="1"/>
  <c r="CJ48" i="1"/>
  <c r="CL48" i="1" s="1"/>
  <c r="CJ54" i="1"/>
  <c r="CJ57" i="1"/>
  <c r="AU66" i="1"/>
  <c r="CJ77" i="1"/>
  <c r="CM77" i="1" s="1"/>
  <c r="CJ19" i="1"/>
  <c r="CL19" i="1" s="1"/>
  <c r="CO19" i="1" s="1"/>
  <c r="CJ31" i="1"/>
  <c r="CM31" i="1" s="1"/>
  <c r="CJ41" i="1"/>
  <c r="CM41" i="1" s="1"/>
  <c r="AU56" i="1"/>
  <c r="CJ63" i="1"/>
  <c r="CM63" i="1" s="1"/>
  <c r="CK74" i="1"/>
  <c r="CN74" i="1" s="1"/>
  <c r="CK77" i="1"/>
  <c r="CK89" i="1"/>
  <c r="CN89" i="1" s="1"/>
  <c r="AH8" i="1"/>
  <c r="CK16" i="1"/>
  <c r="CN18" i="1"/>
  <c r="AU33" i="1"/>
  <c r="AH49" i="1"/>
  <c r="CN59" i="1"/>
  <c r="CJ60" i="1"/>
  <c r="CM60" i="1" s="1"/>
  <c r="AH65" i="1"/>
  <c r="CK66" i="1"/>
  <c r="AH68" i="1"/>
  <c r="CJ69" i="1"/>
  <c r="CL69" i="1" s="1"/>
  <c r="AH78" i="1"/>
  <c r="CK80" i="1"/>
  <c r="CL82" i="1"/>
  <c r="AU45" i="1"/>
  <c r="CO74" i="1"/>
  <c r="CK26" i="1"/>
  <c r="CK36" i="1"/>
  <c r="CK64" i="1"/>
  <c r="CN75" i="1"/>
  <c r="CM78" i="1"/>
  <c r="AU20" i="1"/>
  <c r="CK29" i="1"/>
  <c r="CN29" i="1" s="1"/>
  <c r="CL32" i="1"/>
  <c r="CO32" i="1" s="1"/>
  <c r="CN35" i="1"/>
  <c r="CK39" i="1"/>
  <c r="CL39" i="1" s="1"/>
  <c r="AU59" i="1"/>
  <c r="CO59" i="1" s="1"/>
  <c r="CK60" i="1"/>
  <c r="CN60" i="1" s="1"/>
  <c r="AU63" i="1"/>
  <c r="CN66" i="1"/>
  <c r="CM74" i="1"/>
  <c r="CJ76" i="1"/>
  <c r="CM76" i="1" s="1"/>
  <c r="CL80" i="1"/>
  <c r="CK25" i="1"/>
  <c r="CN25" i="1" s="1"/>
  <c r="AU88" i="1"/>
  <c r="CO88" i="1" s="1"/>
  <c r="CM71" i="1"/>
  <c r="AH71" i="1"/>
  <c r="CJ7" i="1"/>
  <c r="CM7" i="1" s="1"/>
  <c r="CJ51" i="1"/>
  <c r="CM51" i="1" s="1"/>
  <c r="CN68" i="1"/>
  <c r="CL53" i="1"/>
  <c r="CJ25" i="1"/>
  <c r="CM25" i="1" s="1"/>
  <c r="CN21" i="1"/>
  <c r="CL86" i="1"/>
  <c r="CN64" i="1"/>
  <c r="CK7" i="1"/>
  <c r="CN7" i="1" s="1"/>
  <c r="CJ10" i="1"/>
  <c r="CM10" i="1" s="1"/>
  <c r="AH42" i="1"/>
  <c r="CJ44" i="1"/>
  <c r="CM44" i="1" s="1"/>
  <c r="CN46" i="1"/>
  <c r="CK47" i="1"/>
  <c r="CL47" i="1" s="1"/>
  <c r="CN50" i="1"/>
  <c r="AU68" i="1"/>
  <c r="CK81" i="1"/>
  <c r="CL81" i="1" s="1"/>
  <c r="AH83" i="1"/>
  <c r="CJ84" i="1"/>
  <c r="CL84" i="1" s="1"/>
  <c r="CK22" i="1"/>
  <c r="CN22" i="1" s="1"/>
  <c r="CJ28" i="1"/>
  <c r="CM28" i="1" s="1"/>
  <c r="CO26" i="1"/>
  <c r="CG5" i="1"/>
  <c r="CO8" i="1"/>
  <c r="CL26" i="1"/>
  <c r="CJ36" i="1"/>
  <c r="CL36" i="1" s="1"/>
  <c r="CL43" i="1"/>
  <c r="AU46" i="1"/>
  <c r="CJ64" i="1"/>
  <c r="AU67" i="1"/>
  <c r="CO67" i="1" s="1"/>
  <c r="CK13" i="1"/>
  <c r="CL13" i="1" s="1"/>
  <c r="CO13" i="1" s="1"/>
  <c r="CN15" i="1"/>
  <c r="CK31" i="1"/>
  <c r="CN31" i="1" s="1"/>
  <c r="CJ42" i="1"/>
  <c r="CL42" i="1" s="1"/>
  <c r="CJ74" i="1"/>
  <c r="CL74" i="1" s="1"/>
  <c r="CN86" i="1"/>
  <c r="CK12" i="1"/>
  <c r="CJ23" i="1"/>
  <c r="CJ30" i="1"/>
  <c r="CL30" i="1" s="1"/>
  <c r="CJ45" i="1"/>
  <c r="CL45" i="1" s="1"/>
  <c r="CK55" i="1"/>
  <c r="CN55" i="1" s="1"/>
  <c r="CK56" i="1"/>
  <c r="CN56" i="1" s="1"/>
  <c r="CJ59" i="1"/>
  <c r="CL59" i="1" s="1"/>
  <c r="CN61" i="1"/>
  <c r="CJ73" i="1"/>
  <c r="AU90" i="1"/>
  <c r="AH7" i="1"/>
  <c r="AH14" i="1"/>
  <c r="CO14" i="1" s="1"/>
  <c r="CJ16" i="1"/>
  <c r="CL16" i="1" s="1"/>
  <c r="CO16" i="1" s="1"/>
  <c r="AH21" i="1"/>
  <c r="CK23" i="1"/>
  <c r="AH25" i="1"/>
  <c r="CN30" i="1"/>
  <c r="CJ34" i="1"/>
  <c r="CM34" i="1" s="1"/>
  <c r="CN36" i="1"/>
  <c r="CL58" i="1"/>
  <c r="AU61" i="1"/>
  <c r="AH70" i="1"/>
  <c r="AU71" i="1"/>
  <c r="AU86" i="1"/>
  <c r="AH89" i="1"/>
  <c r="CK11" i="1"/>
  <c r="CL11" i="1" s="1"/>
  <c r="AH13" i="1"/>
  <c r="CN17" i="1"/>
  <c r="CK33" i="1"/>
  <c r="CN33" i="1" s="1"/>
  <c r="AH35" i="1"/>
  <c r="CO35" i="1" s="1"/>
  <c r="AH46" i="1"/>
  <c r="AU50" i="1"/>
  <c r="CK51" i="1"/>
  <c r="CJ61" i="1"/>
  <c r="CL61" i="1" s="1"/>
  <c r="CJ62" i="1"/>
  <c r="CM62" i="1" s="1"/>
  <c r="AH64" i="1"/>
  <c r="CN65" i="1"/>
  <c r="CN69" i="1"/>
  <c r="AU70" i="1"/>
  <c r="AH75" i="1"/>
  <c r="CO75" i="1" s="1"/>
  <c r="AH76" i="1"/>
  <c r="CN77" i="1"/>
  <c r="AH84" i="1"/>
  <c r="CN85" i="1"/>
  <c r="AU89" i="1"/>
  <c r="CN8" i="1"/>
  <c r="CJ9" i="1"/>
  <c r="CK10" i="1"/>
  <c r="CK20" i="1"/>
  <c r="CN20" i="1" s="1"/>
  <c r="AH22" i="1"/>
  <c r="CN26" i="1"/>
  <c r="CJ27" i="1"/>
  <c r="CL27" i="1" s="1"/>
  <c r="CJ35" i="1"/>
  <c r="CL35" i="1" s="1"/>
  <c r="AH41" i="1"/>
  <c r="CN45" i="1"/>
  <c r="CK57" i="1"/>
  <c r="CN57" i="1" s="1"/>
  <c r="AU60" i="1"/>
  <c r="CJ65" i="1"/>
  <c r="CL65" i="1" s="1"/>
  <c r="AU76" i="1"/>
  <c r="AH80" i="1"/>
  <c r="CK82" i="1"/>
  <c r="AU84" i="1"/>
  <c r="CJ18" i="1"/>
  <c r="CL18" i="1" s="1"/>
  <c r="CK19" i="1"/>
  <c r="CN28" i="1"/>
  <c r="CJ29" i="1"/>
  <c r="CL29" i="1" s="1"/>
  <c r="CO29" i="1" s="1"/>
  <c r="CJ33" i="1"/>
  <c r="CL33" i="1" s="1"/>
  <c r="CK34" i="1"/>
  <c r="CN34" i="1" s="1"/>
  <c r="AU36" i="1"/>
  <c r="AH39" i="1"/>
  <c r="CK41" i="1"/>
  <c r="CN41" i="1" s="1"/>
  <c r="AH43" i="1"/>
  <c r="AU47" i="1"/>
  <c r="CO47" i="1" s="1"/>
  <c r="CK52" i="1"/>
  <c r="CN52" i="1" s="1"/>
  <c r="AH54" i="1"/>
  <c r="CJ55" i="1"/>
  <c r="CJ56" i="1"/>
  <c r="CM56" i="1" s="1"/>
  <c r="AU58" i="1"/>
  <c r="CN62" i="1"/>
  <c r="CK63" i="1"/>
  <c r="CN63" i="1" s="1"/>
  <c r="CJ67" i="1"/>
  <c r="CL67" i="1" s="1"/>
  <c r="CJ68" i="1"/>
  <c r="CL68" i="1" s="1"/>
  <c r="AU73" i="1"/>
  <c r="CN78" i="1"/>
  <c r="AH82" i="1"/>
  <c r="AH86" i="1"/>
  <c r="AU87" i="1"/>
  <c r="AH36" i="1"/>
  <c r="CM45" i="1"/>
  <c r="AH57" i="1"/>
  <c r="CM57" i="1"/>
  <c r="CI5" i="1"/>
  <c r="CH5" i="1"/>
  <c r="AH15" i="1"/>
  <c r="CO15" i="1" s="1"/>
  <c r="CM15" i="1"/>
  <c r="CM75" i="1"/>
  <c r="AH85" i="1"/>
  <c r="CO85" i="1" s="1"/>
  <c r="CM85" i="1"/>
  <c r="CM27" i="1"/>
  <c r="AH27" i="1"/>
  <c r="CF5" i="1"/>
  <c r="CM37" i="1"/>
  <c r="CL37" i="1"/>
  <c r="CO37" i="1" s="1"/>
  <c r="AG5" i="1"/>
  <c r="AU30" i="1"/>
  <c r="CO30" i="1" s="1"/>
  <c r="CM30" i="1"/>
  <c r="CM52" i="1"/>
  <c r="AU55" i="1"/>
  <c r="CM55" i="1"/>
  <c r="AH58" i="1"/>
  <c r="CM58" i="1"/>
  <c r="CN44" i="1"/>
  <c r="AH44" i="1"/>
  <c r="CM18" i="1"/>
  <c r="AH18" i="1"/>
  <c r="CO18" i="1" s="1"/>
  <c r="AH33" i="1"/>
  <c r="AT5" i="1"/>
  <c r="AH9" i="1"/>
  <c r="AS5" i="1"/>
  <c r="CL7" i="1"/>
  <c r="CO7" i="1" s="1"/>
  <c r="AH24" i="1"/>
  <c r="CL38" i="1"/>
  <c r="CM39" i="1"/>
  <c r="CN81" i="1"/>
  <c r="CN10" i="1"/>
  <c r="CN19" i="1"/>
  <c r="CN38" i="1"/>
  <c r="AU38" i="1"/>
  <c r="CO38" i="1" s="1"/>
  <c r="AH61" i="1"/>
  <c r="CM61" i="1"/>
  <c r="CM12" i="1"/>
  <c r="CN16" i="1"/>
  <c r="AH40" i="1"/>
  <c r="CL44" i="1"/>
  <c r="CM81" i="1"/>
  <c r="CL90" i="1"/>
  <c r="AF5" i="1"/>
  <c r="CN53" i="1"/>
  <c r="AH60" i="1"/>
  <c r="CN14" i="1"/>
  <c r="CN23" i="1"/>
  <c r="CL50" i="1"/>
  <c r="AU53" i="1"/>
  <c r="CL54" i="1"/>
  <c r="CO54" i="1" s="1"/>
  <c r="AU65" i="1"/>
  <c r="CN39" i="1"/>
  <c r="CN47" i="1"/>
  <c r="CN87" i="1"/>
  <c r="CN32" i="1"/>
  <c r="AU39" i="1"/>
  <c r="AH45" i="1"/>
  <c r="CK49" i="1"/>
  <c r="CN49" i="1" s="1"/>
  <c r="CK83" i="1"/>
  <c r="CN83" i="1" s="1"/>
  <c r="AH72" i="1"/>
  <c r="CO72" i="1" s="1"/>
  <c r="CM72" i="1"/>
  <c r="CM13" i="1"/>
  <c r="CM22" i="1"/>
  <c r="CM68" i="1"/>
  <c r="CN72" i="1"/>
  <c r="AH48" i="1"/>
  <c r="CO48" i="1" s="1"/>
  <c r="CM50" i="1"/>
  <c r="CL62" i="1"/>
  <c r="AH69" i="1"/>
  <c r="CO69" i="1" s="1"/>
  <c r="CM69" i="1"/>
  <c r="CK79" i="1"/>
  <c r="CL79" i="1" s="1"/>
  <c r="CO79" i="1" s="1"/>
  <c r="CK87" i="1"/>
  <c r="CN48" i="1"/>
  <c r="CL66" i="1"/>
  <c r="AH90" i="1"/>
  <c r="CM90" i="1"/>
  <c r="CJ40" i="1"/>
  <c r="CM42" i="1"/>
  <c r="CJ46" i="1"/>
  <c r="AH50" i="1"/>
  <c r="CM53" i="1"/>
  <c r="CN70" i="1"/>
  <c r="CK76" i="1"/>
  <c r="CN76" i="1" s="1"/>
  <c r="CM8" i="1"/>
  <c r="CM11" i="1"/>
  <c r="CM14" i="1"/>
  <c r="CM17" i="1"/>
  <c r="CM20" i="1"/>
  <c r="CM23" i="1"/>
  <c r="CM26" i="1"/>
  <c r="CM32" i="1"/>
  <c r="CM38" i="1"/>
  <c r="CN42" i="1"/>
  <c r="CM43" i="1"/>
  <c r="AU49" i="1"/>
  <c r="CN51" i="1"/>
  <c r="AH52" i="1"/>
  <c r="AH66" i="1"/>
  <c r="CM54" i="1"/>
  <c r="CN67" i="1"/>
  <c r="CK73" i="1"/>
  <c r="CN73" i="1" s="1"/>
  <c r="CN80" i="1"/>
  <c r="CN43" i="1"/>
  <c r="CJ49" i="1"/>
  <c r="AU52" i="1"/>
  <c r="CN54" i="1"/>
  <c r="AH55" i="1"/>
  <c r="AH63" i="1"/>
  <c r="CJ70" i="1"/>
  <c r="CL70" i="1" s="1"/>
  <c r="CJ83" i="1"/>
  <c r="CM82" i="1"/>
  <c r="CN82" i="1"/>
  <c r="CN90" i="1"/>
  <c r="CJ89" i="1"/>
  <c r="CL89" i="1" s="1"/>
  <c r="CM64" i="1"/>
  <c r="CM67" i="1"/>
  <c r="CM73" i="1"/>
  <c r="CM79" i="1"/>
  <c r="AH87" i="1"/>
  <c r="CM80" i="1"/>
  <c r="CM88" i="1"/>
  <c r="CN88" i="1"/>
  <c r="CM59" i="1" l="1"/>
  <c r="CL60" i="1"/>
  <c r="CL77" i="1"/>
  <c r="CO77" i="1" s="1"/>
  <c r="CM84" i="1"/>
  <c r="CL87" i="1"/>
  <c r="CO87" i="1" s="1"/>
  <c r="CM19" i="1"/>
  <c r="CM21" i="1"/>
  <c r="CL28" i="1"/>
  <c r="CO28" i="1" s="1"/>
  <c r="CM35" i="1"/>
  <c r="CO86" i="1"/>
  <c r="CO11" i="1"/>
  <c r="CO21" i="1"/>
  <c r="CO81" i="1"/>
  <c r="CO80" i="1"/>
  <c r="CL34" i="1"/>
  <c r="CO34" i="1" s="1"/>
  <c r="CL73" i="1"/>
  <c r="CO73" i="1" s="1"/>
  <c r="CM29" i="1"/>
  <c r="CL31" i="1"/>
  <c r="CO31" i="1" s="1"/>
  <c r="CO43" i="1"/>
  <c r="CO82" i="1"/>
  <c r="CO62" i="1"/>
  <c r="CM89" i="1"/>
  <c r="CN13" i="1"/>
  <c r="CL20" i="1"/>
  <c r="CO20" i="1" s="1"/>
  <c r="CL22" i="1"/>
  <c r="CO22" i="1" s="1"/>
  <c r="CL9" i="1"/>
  <c r="CM24" i="1"/>
  <c r="CO68" i="1"/>
  <c r="CO70" i="1"/>
  <c r="CO42" i="1"/>
  <c r="CL49" i="1"/>
  <c r="CO49" i="1" s="1"/>
  <c r="CL63" i="1"/>
  <c r="CO63" i="1" s="1"/>
  <c r="CM48" i="1"/>
  <c r="CO24" i="1"/>
  <c r="CO27" i="1"/>
  <c r="CL52" i="1"/>
  <c r="CO52" i="1" s="1"/>
  <c r="CN11" i="1"/>
  <c r="CO36" i="1"/>
  <c r="CM36" i="1"/>
  <c r="CO45" i="1"/>
  <c r="CO65" i="1"/>
  <c r="CL41" i="1"/>
  <c r="CO41" i="1" s="1"/>
  <c r="CO89" i="1"/>
  <c r="CO39" i="1"/>
  <c r="CO9" i="1"/>
  <c r="CL57" i="1"/>
  <c r="CO57" i="1" s="1"/>
  <c r="CL83" i="1"/>
  <c r="CO83" i="1" s="1"/>
  <c r="CM65" i="1"/>
  <c r="CM49" i="1"/>
  <c r="CM9" i="1"/>
  <c r="CL25" i="1"/>
  <c r="CO25" i="1" s="1"/>
  <c r="CO84" i="1"/>
  <c r="CO71" i="1"/>
  <c r="CM16" i="1"/>
  <c r="CM5" i="1" s="1"/>
  <c r="CO53" i="1"/>
  <c r="CO61" i="1"/>
  <c r="CL56" i="1"/>
  <c r="CO56" i="1" s="1"/>
  <c r="CN79" i="1"/>
  <c r="CL76" i="1"/>
  <c r="CO76" i="1" s="1"/>
  <c r="CM33" i="1"/>
  <c r="CO58" i="1"/>
  <c r="CL55" i="1"/>
  <c r="CO55" i="1" s="1"/>
  <c r="CL64" i="1"/>
  <c r="CO64" i="1" s="1"/>
  <c r="CL10" i="1"/>
  <c r="CO10" i="1" s="1"/>
  <c r="CN12" i="1"/>
  <c r="CL12" i="1"/>
  <c r="CO12" i="1" s="1"/>
  <c r="CL51" i="1"/>
  <c r="CO51" i="1" s="1"/>
  <c r="CO33" i="1"/>
  <c r="CL23" i="1"/>
  <c r="CO23" i="1" s="1"/>
  <c r="CM46" i="1"/>
  <c r="CL46" i="1"/>
  <c r="CO46" i="1" s="1"/>
  <c r="CO44" i="1"/>
  <c r="CL40" i="1"/>
  <c r="CO40" i="1" s="1"/>
  <c r="CM40" i="1"/>
  <c r="CK5" i="1"/>
  <c r="CJ5" i="1"/>
  <c r="CO60" i="1"/>
  <c r="CM83" i="1"/>
  <c r="CO90" i="1"/>
  <c r="AU5" i="1"/>
  <c r="CO66" i="1"/>
  <c r="CM70" i="1"/>
  <c r="CO50" i="1"/>
  <c r="AH5" i="1"/>
  <c r="CN5" i="1" l="1"/>
  <c r="CL5" i="1"/>
  <c r="CO5" i="1"/>
</calcChain>
</file>

<file path=xl/sharedStrings.xml><?xml version="1.0" encoding="utf-8"?>
<sst xmlns="http://schemas.openxmlformats.org/spreadsheetml/2006/main" count="1287" uniqueCount="345">
  <si>
    <t xml:space="preserve">SCHOOL LEVEL DATA ON OFFICIAL ENROLLMENT IN ALL GRADE LEVELS </t>
  </si>
  <si>
    <t>SY 2024-2025</t>
  </si>
  <si>
    <t>Based on LIS, as of December 31, 2024</t>
  </si>
  <si>
    <t>Kindergarten</t>
  </si>
  <si>
    <t>Grade 1</t>
  </si>
  <si>
    <t>Grade 2</t>
  </si>
  <si>
    <t>Grade 3</t>
  </si>
  <si>
    <t>Grade 4</t>
  </si>
  <si>
    <t>Grade 5</t>
  </si>
  <si>
    <t>Grade 6</t>
  </si>
  <si>
    <t>SNEd (Non-Graded ES)</t>
  </si>
  <si>
    <t>ES (with SNED)</t>
  </si>
  <si>
    <t>Grade 7</t>
  </si>
  <si>
    <t>Grade 8</t>
  </si>
  <si>
    <t>Grade 9</t>
  </si>
  <si>
    <t>Grade 10</t>
  </si>
  <si>
    <t>SNEd (Non-Graded JHS)</t>
  </si>
  <si>
    <t>JHS (with SNED)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</si>
  <si>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</si>
  <si>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</si>
  <si>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</si>
  <si>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</si>
  <si>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</si>
  <si>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</si>
  <si>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</si>
  <si>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</si>
  <si>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11 UNIQUE TRACK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</si>
  <si>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</si>
  <si>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</si>
  <si>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</si>
  <si>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</si>
  <si>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</si>
  <si>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</si>
  <si>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</si>
  <si>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</si>
  <si>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Grade 12 UNIQUE TRACK</t>
  </si>
  <si>
    <t>Grade 11</t>
  </si>
  <si>
    <t>Grade 12</t>
  </si>
  <si>
    <t>SHS</t>
  </si>
  <si>
    <t>Overall</t>
  </si>
  <si>
    <t>Male</t>
  </si>
  <si>
    <t>Female</t>
  </si>
  <si>
    <t>TM_ES</t>
  </si>
  <si>
    <t>TF_ES</t>
  </si>
  <si>
    <t>Total_ES</t>
  </si>
  <si>
    <t>TM_JHS</t>
  </si>
  <si>
    <t>TF_JHS</t>
  </si>
  <si>
    <t>Total_JHS</t>
  </si>
  <si>
    <t>TM_G11</t>
  </si>
  <si>
    <t>TF_G11</t>
  </si>
  <si>
    <t>TM_G12</t>
  </si>
  <si>
    <t>TF_G12</t>
  </si>
  <si>
    <t>TM_SHS</t>
  </si>
  <si>
    <t>TF_SHS</t>
  </si>
  <si>
    <t>Total_SHS</t>
  </si>
  <si>
    <t>TM</t>
  </si>
  <si>
    <t>TF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</si>
  <si>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</si>
  <si>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</si>
  <si>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</si>
  <si>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</si>
  <si>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</si>
  <si>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</si>
  <si>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</si>
  <si>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</si>
  <si>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</si>
  <si>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</si>
  <si>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</si>
  <si>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</si>
  <si>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</si>
  <si>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</si>
  <si>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Implementing Unit</t>
  </si>
  <si>
    <t>Modified COC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</si>
  <si>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</si>
  <si>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</si>
  <si>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</si>
  <si>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</si>
  <si>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</si>
  <si>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</si>
  <si>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</si>
  <si>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</si>
  <si>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</si>
  <si>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</si>
  <si>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</si>
  <si>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</si>
  <si>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</si>
  <si>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</si>
  <si>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</si>
  <si>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</si>
  <si>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</si>
  <si>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</si>
  <si>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</si>
  <si>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</si>
  <si>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</si>
  <si>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</si>
  <si>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</si>
  <si>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</si>
  <si>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</si>
  <si>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</si>
  <si>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G11 ACAD - ABM Male</t>
  </si>
  <si>
    <t>G11 ACAD - ABM Female</t>
  </si>
  <si>
    <t>G11 ACAD - HUMSS Male</t>
  </si>
  <si>
    <t>G11 ACAD - HUMSS Female</t>
  </si>
  <si>
    <t>G11 ACAD STEM Male</t>
  </si>
  <si>
    <t>G11 ACAD STEM Female</t>
  </si>
  <si>
    <t>G11 ACAD GAS Male</t>
  </si>
  <si>
    <t>G11 ACAD GAS Female</t>
  </si>
  <si>
    <t>G11 ACAD PBM Male</t>
  </si>
  <si>
    <t>G11 ACAD PBM Female</t>
  </si>
  <si>
    <t>G11 TVL Male</t>
  </si>
  <si>
    <t>G11 TVL Female</t>
  </si>
  <si>
    <t>G11 SPORTS Male</t>
  </si>
  <si>
    <t>G11 SPORTS Female</t>
  </si>
  <si>
    <t>G11 ARTS Male</t>
  </si>
  <si>
    <t>G11 ARTS Female</t>
  </si>
  <si>
    <t>G11 UNIQUE Male</t>
  </si>
  <si>
    <t>G11 UNIQUE Female</t>
  </si>
  <si>
    <t>G12 ACAD - ABM Male</t>
  </si>
  <si>
    <t>G12 ACAD - ABM Female</t>
  </si>
  <si>
    <t>G12 ACAD - HUMSS Male</t>
  </si>
  <si>
    <t>G12 ACAD - HUMSS Female</t>
  </si>
  <si>
    <t>G12 ACAD STEM Male</t>
  </si>
  <si>
    <t>G12 ACAD STEM Female</t>
  </si>
  <si>
    <t>G12 ACAD GAS Male</t>
  </si>
  <si>
    <t>G12 ACAD GAS Female</t>
  </si>
  <si>
    <t>G12 ACAD PBM Male</t>
  </si>
  <si>
    <t>G12 ACAD PBM Female</t>
  </si>
  <si>
    <t>G12 TVL Male</t>
  </si>
  <si>
    <t>G12 TVL Female</t>
  </si>
  <si>
    <t>G12 SPORTS Male</t>
  </si>
  <si>
    <t>G12 SPORTS Female</t>
  </si>
  <si>
    <t>G12 ARTS Male</t>
  </si>
  <si>
    <t>G12 ARTS Female</t>
  </si>
  <si>
    <t>G12 UNIQUE Male</t>
  </si>
  <si>
    <t>G12 UNIQUE Female</t>
  </si>
  <si>
    <t>Region XI</t>
  </si>
  <si>
    <t>Mati City</t>
  </si>
  <si>
    <t>Mati Central</t>
  </si>
  <si>
    <t>Badas ES</t>
  </si>
  <si>
    <t>Badas</t>
  </si>
  <si>
    <t>DAVAO ORIENTAL</t>
  </si>
  <si>
    <t>CITY OF MATI (Capital)</t>
  </si>
  <si>
    <t>2nd District</t>
  </si>
  <si>
    <t>BADAS</t>
  </si>
  <si>
    <t>Public</t>
  </si>
  <si>
    <t>DepED Managed</t>
  </si>
  <si>
    <t>No</t>
  </si>
  <si>
    <t>Purely ES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</si>
  <si>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</si>
  <si>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</si>
  <si>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</si>
  <si>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</si>
  <si>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</si>
  <si>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</si>
  <si>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</si>
  <si>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</si>
  <si>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</si>
  <si>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</si>
  <si>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</si>
  <si>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</si>
  <si>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</si>
  <si>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</si>
  <si>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</si>
  <si>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</si>
  <si>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</si>
  <si>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</si>
  <si>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</si>
  <si>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</si>
  <si>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</si>
  <si>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</si>
  <si>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</si>
  <si>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</si>
  <si>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</si>
  <si>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JHS with SHS</t>
  </si>
  <si>
    <t>MATI SCHOOL OF ARTS &amp; TRADES</t>
  </si>
  <si>
    <t>Garcia Avenue</t>
  </si>
  <si>
    <t>Yes</t>
  </si>
  <si>
    <t>Badas NHS</t>
  </si>
  <si>
    <t>Camansi</t>
  </si>
  <si>
    <t>Immaculate Heart of Mary Academy</t>
  </si>
  <si>
    <t>Quezon Street</t>
  </si>
  <si>
    <t>Private</t>
  </si>
  <si>
    <t xml:space="preserve">Sectarian </t>
  </si>
  <si>
    <t>All Offering (K to 12)</t>
  </si>
  <si>
    <t>Mati Polytechnic College</t>
  </si>
  <si>
    <t>Christian Life School of Davao Oriental, Inc.</t>
  </si>
  <si>
    <t>Sto. Niño  Street</t>
  </si>
  <si>
    <t>ES and JHS (K to 10)</t>
  </si>
  <si>
    <t>Don Bosco Training Center-Mati, Inc.</t>
  </si>
  <si>
    <t>Don Bosco Compound, Brgy. Dahican, Mati City, Davao Oriental</t>
  </si>
  <si>
    <t>DAHICAN</t>
  </si>
  <si>
    <t xml:space="preserve">Non-Sectarian </t>
  </si>
  <si>
    <t>Purely SHS</t>
  </si>
  <si>
    <t>Christian Academy in Davao Oriental Technological Colleges, Inc.</t>
  </si>
  <si>
    <t>Kamagong Street</t>
  </si>
  <si>
    <t>Career Colleges of Mati,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</si>
  <si>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</si>
  <si>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</si>
  <si>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</si>
  <si>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</si>
  <si>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</si>
  <si>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</si>
  <si>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</si>
  <si>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</si>
  <si>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</si>
  <si>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</si>
  <si>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</si>
  <si>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</si>
  <si>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</si>
  <si>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</si>
  <si>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</si>
  <si>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</si>
  <si>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</si>
  <si>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</si>
  <si>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</si>
  <si>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</si>
  <si>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</si>
  <si>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</si>
  <si>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</si>
  <si>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</si>
  <si>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</si>
  <si>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</si>
  <si>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</si>
  <si>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</si>
  <si>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</si>
  <si>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</si>
  <si>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</si>
  <si>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</si>
  <si>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</si>
  <si>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</si>
  <si>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</si>
  <si>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</si>
  <si>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</si>
  <si>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</si>
  <si>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</si>
  <si>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</si>
  <si>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</si>
  <si>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</si>
  <si>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</si>
  <si>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</si>
  <si>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</si>
  <si>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</si>
  <si>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PATERNO MADANLO 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</si>
  <si>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</si>
  <si>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</si>
  <si>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</si>
  <si>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</si>
  <si>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</si>
  <si>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</si>
  <si>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</si>
  <si>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TAGABAKID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</si>
  <si>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</si>
  <si>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</si>
  <si>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</si>
  <si>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</si>
  <si>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</si>
  <si>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</si>
  <si>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</si>
  <si>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</si>
  <si>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</si>
  <si>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</si>
  <si>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</si>
  <si>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</si>
  <si>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</si>
  <si>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</si>
  <si>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</si>
  <si>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</si>
  <si>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</si>
  <si>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</si>
  <si>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</si>
  <si>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</si>
  <si>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</si>
  <si>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</si>
  <si>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</si>
  <si>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</si>
  <si>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</si>
  <si>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</si>
  <si>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</si>
  <si>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</si>
  <si>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</si>
  <si>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</si>
  <si>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</si>
  <si>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</si>
  <si>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</si>
  <si>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</si>
  <si>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</si>
  <si>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</si>
  <si>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</si>
  <si>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</si>
  <si>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</si>
  <si>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</si>
  <si>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</si>
  <si>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</si>
  <si>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</si>
  <si>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Bugakan Integrated School</t>
  </si>
  <si>
    <t>Brgy. Taga-bakid, Mati City</t>
  </si>
  <si>
    <t>Tagbinonga Integrated School</t>
  </si>
  <si>
    <t>No. 3, Purok Casubucan</t>
  </si>
  <si>
    <t>TAGBINONGA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</si>
  <si>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</si>
  <si>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</si>
  <si>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</si>
  <si>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</si>
  <si>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</si>
  <si>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</si>
  <si>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</si>
  <si>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</si>
  <si>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</si>
  <si>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</si>
  <si>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</si>
  <si>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</si>
  <si>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</si>
  <si>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</si>
  <si>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</si>
  <si>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</si>
  <si>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</si>
  <si>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</si>
  <si>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</si>
  <si>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</si>
  <si>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</si>
  <si>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</si>
  <si>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</si>
  <si>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</si>
  <si>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</si>
  <si>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</si>
  <si>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</si>
  <si>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</si>
  <si>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</si>
  <si>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</si>
  <si>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</si>
  <si>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</si>
  <si>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</si>
  <si>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</si>
  <si>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</si>
  <si>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Purok Baas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</si>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</sst>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4F9F1"/>
        <bgColor indexed="64"/>
      </patternFill>
    </fill>
    <fill>
      <patternFill patternType="solid">
        <fgColor rgb="FFFDEFE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3" fillId="0" borderId="0" xfId="0" applyFont="1"/>
    <xf numFmtId="0" fontId="4" fillId="0" borderId="0" xfId="0" applyFont="1"/>
    <xf numFmtId="165" fontId="2" fillId="2" borderId="1" xfId="1" applyNumberFormat="1" applyFont="1" applyFill="1" applyBorder="1" applyAlignment="1" applyProtection="1">
      <alignment horizontal="center" vertical="center"/>
    </xf>
    <xf numFmtId="165" fontId="2" fillId="2" borderId="1" xfId="1" applyNumberFormat="1" applyFont="1" applyFill="1" applyBorder="1" applyAlignment="1" applyProtection="1">
      <alignment horizontal="centerContinuous" vertical="center"/>
    </xf>
    <xf numFmtId="165" fontId="2" fillId="3" borderId="1" xfId="1" applyNumberFormat="1" applyFont="1" applyFill="1" applyBorder="1" applyAlignment="1" applyProtection="1">
      <alignment horizontal="center" vertical="center"/>
    </xf>
    <xf numFmtId="165" fontId="2" fillId="3" borderId="1" xfId="1" applyNumberFormat="1" applyFont="1" applyFill="1" applyBorder="1" applyAlignment="1" applyProtection="1">
      <alignment horizontal="centerContinuous" vertical="center"/>
    </xf>
    <xf numFmtId="165" fontId="2" fillId="4" borderId="1" xfId="1" applyNumberFormat="1" applyFont="1" applyFill="1" applyBorder="1" applyAlignment="1" applyProtection="1">
      <alignment horizontal="center" vertical="center"/>
    </xf>
    <xf numFmtId="165" fontId="2" fillId="5" borderId="1" xfId="1" applyNumberFormat="1" applyFont="1" applyFill="1" applyBorder="1" applyAlignment="1" applyProtection="1">
      <alignment horizontal="center" vertical="center"/>
    </xf>
    <xf numFmtId="165" fontId="2" fillId="4" borderId="1" xfId="1" applyNumberFormat="1" applyFont="1" applyFill="1" applyBorder="1" applyAlignment="1" applyProtection="1">
      <alignment horizontal="centerContinuous" vertical="center"/>
    </xf>
    <xf numFmtId="165" fontId="2" fillId="6" borderId="1" xfId="1" applyNumberFormat="1" applyFont="1" applyFill="1" applyBorder="1" applyAlignment="1" applyProtection="1">
      <alignment horizontal="centerContinuous" vertical="center"/>
    </xf>
    <xf numFmtId="165" fontId="2" fillId="6" borderId="1" xfId="1" applyNumberFormat="1" applyFont="1" applyFill="1" applyBorder="1" applyAlignment="1" applyProtection="1">
      <alignment horizontal="center" vertical="center"/>
    </xf>
    <xf numFmtId="165" fontId="2" fillId="0" borderId="0" xfId="1" applyNumberFormat="1" applyFont="1" applyFill="1" applyBorder="1" applyAlignment="1" applyProtection="1">
      <alignment horizontal="center" vertical="center"/>
    </xf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3" fontId="0" fillId="7" borderId="0" xfId="0" applyNumberFormat="1" applyFill="1"/>
    <xf numFmtId="3" fontId="0" fillId="8" borderId="0" xfId="0" applyNumberFormat="1" applyFill="1"/>
    <xf numFmtId="0" fontId="0" fillId="9" borderId="0" xfId="0" applyFill="1"/>
    <xf numFmtId="3" fontId="0" fillId="10" borderId="0" xfId="0" applyNumberFormat="1" applyFill="1"/>
    <xf numFmtId="165" fontId="2" fillId="3" borderId="1" xfId="1" applyNumberFormat="1" applyFont="1" applyFill="1" applyBorder="1" applyAlignment="1" applyProtection="1">
      <alignment horizontal="center" vertical="center"/>
    </xf>
    <xf numFmtId="165" fontId="2" fillId="2" borderId="1" xfId="1" applyNumberFormat="1" applyFont="1" applyFill="1" applyBorder="1" applyAlignment="1" applyProtection="1">
      <alignment horizontal="center" vertical="center"/>
    </xf>
    <xf numFmtId="165" fontId="2" fillId="4" borderId="1" xfId="1" applyNumberFormat="1" applyFont="1" applyFill="1" applyBorder="1" applyAlignment="1" applyProtection="1">
      <alignment horizontal="center" vertical="center"/>
    </xf>
    <xf numFmtId="165" fontId="2" fillId="5" borderId="1" xfId="1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9AAC6-3718-4B72-B213-2FC5943CFC89}">
  <dimension ref="A1:CO90"/>
  <sheetViews>
    <sheetView tabSelected="1" workbookViewId="0">
      <pane xSplit="11" ySplit="6" topLeftCell="L7" activePane="bottomRight" state="frozen"/>
      <selection pane="bottomRight" activeCell="CI22" sqref="CI22:CI69"/>
      <selection pane="bottomLeft" activeCell="A7" sqref="A7"/>
      <selection pane="topRight" activeCell="L1" sqref="L1"/>
    </sheetView>
  </sheetViews>
  <sheetFormatPr defaultRowHeight="15"/>
  <cols>
    <col min="1" max="1" width="13.42578125" style="2" bestFit="1" customWidth="1"/>
    <col min="2" max="2" width="25.5703125" style="2" bestFit="1" customWidth="1"/>
    <col min="3" max="3" width="0" style="2" hidden="1" customWidth="1"/>
    <col min="4" max="4" width="13.42578125" style="2" bestFit="1" customWidth="1"/>
    <col min="5" max="5" width="27.5703125" style="2" customWidth="1"/>
    <col min="6" max="11" width="0" style="2" hidden="1" customWidth="1"/>
    <col min="12" max="12" width="9.140625" style="2"/>
    <col min="13" max="14" width="0" style="2" hidden="1" customWidth="1"/>
    <col min="15" max="15" width="19.28515625" style="2" bestFit="1" customWidth="1"/>
    <col min="16" max="31" width="9.140625" style="2"/>
    <col min="32" max="34" width="11.140625" style="2" bestFit="1" customWidth="1"/>
    <col min="35" max="44" width="9.140625" style="2"/>
    <col min="45" max="47" width="11.140625" style="2" bestFit="1" customWidth="1"/>
    <col min="48" max="83" width="9.140625" style="2"/>
    <col min="84" max="93" width="11.140625" style="2" bestFit="1" customWidth="1"/>
    <col min="94" max="16384" width="9.140625" style="2"/>
  </cols>
  <sheetData>
    <row r="1" spans="1:93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</row>
    <row r="2" spans="1:93">
      <c r="A2" s="3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</row>
    <row r="3" spans="1:93">
      <c r="A3" s="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 s="4"/>
      <c r="P3" s="24" t="s">
        <v>3</v>
      </c>
      <c r="Q3" s="24"/>
      <c r="R3" s="24" t="s">
        <v>4</v>
      </c>
      <c r="S3" s="24"/>
      <c r="T3" s="24" t="s">
        <v>5</v>
      </c>
      <c r="U3" s="24"/>
      <c r="V3" s="24" t="s">
        <v>6</v>
      </c>
      <c r="W3" s="24"/>
      <c r="X3" s="24" t="s">
        <v>7</v>
      </c>
      <c r="Y3" s="24"/>
      <c r="Z3" s="24" t="s">
        <v>8</v>
      </c>
      <c r="AA3" s="24"/>
      <c r="AB3" s="24" t="s">
        <v>9</v>
      </c>
      <c r="AC3" s="24"/>
      <c r="AD3" s="24" t="s">
        <v>10</v>
      </c>
      <c r="AE3" s="24"/>
      <c r="AF3" s="6" t="s">
        <v>11</v>
      </c>
      <c r="AG3" s="6"/>
      <c r="AH3" s="6"/>
      <c r="AI3" s="23" t="s">
        <v>12</v>
      </c>
      <c r="AJ3" s="23"/>
      <c r="AK3" s="23" t="s">
        <v>13</v>
      </c>
      <c r="AL3" s="23"/>
      <c r="AM3" s="23" t="s">
        <v>14</v>
      </c>
      <c r="AN3" s="23"/>
      <c r="AO3" s="23" t="s">
        <v>15</v>
      </c>
      <c r="AP3" s="23"/>
      <c r="AQ3" s="23" t="s">
        <v>16</v>
      </c>
      <c r="AR3" s="23"/>
      <c r="AS3" s="8" t="s">
        <v>17</v>
      </c>
      <c r="AT3" s="8"/>
      <c r="AU3" s="8"/>
      <c r="AV3" s="25" t="s">
        <v>18</v>
      </c>
      <c r="AW3" s="25"/>
      <c r="AX3" s="25" t="s">
        <v>19</v>
      </c>
      <c r="AY3" s="25"/>
      <c r="AZ3" s="25" t="s">
        <v>20</v>
      </c>
      <c r="BA3" s="25"/>
      <c r="BB3" s="25" t="s">
        <v>21</v>
      </c>
      <c r="BC3" s="25"/>
      <c r="BD3" s="25" t="s">
        <v>22</v>
      </c>
      <c r="BE3" s="25"/>
      <c r="BF3" s="25" t="s">
        <v>23</v>
      </c>
      <c r="BG3" s="25"/>
      <c r="BH3" s="25" t="s">
        <v>24</v>
      </c>
      <c r="BI3" s="25"/>
      <c r="BJ3" s="25" t="s">
        <v>25</v>
      </c>
      <c r="BK3" s="25"/>
      <c r="BL3" s="26" t="s">
        <v>26</v>
      </c>
      <c r="BM3" s="26"/>
      <c r="BN3" s="25" t="s">
        <v>27</v>
      </c>
      <c r="BO3" s="25"/>
      <c r="BP3" s="25" t="s">
        <v>28</v>
      </c>
      <c r="BQ3" s="25"/>
      <c r="BR3" s="25" t="s">
        <v>29</v>
      </c>
      <c r="BS3" s="25"/>
      <c r="BT3" s="25" t="s">
        <v>30</v>
      </c>
      <c r="BU3" s="25"/>
      <c r="BV3" s="25" t="s">
        <v>31</v>
      </c>
      <c r="BW3" s="25"/>
      <c r="BX3" s="25" t="s">
        <v>32</v>
      </c>
      <c r="BY3" s="25"/>
      <c r="BZ3" s="25" t="s">
        <v>33</v>
      </c>
      <c r="CA3" s="25"/>
      <c r="CB3" s="25" t="s">
        <v>34</v>
      </c>
      <c r="CC3" s="25"/>
      <c r="CD3" s="26" t="s">
        <v>35</v>
      </c>
      <c r="CE3" s="26"/>
      <c r="CF3" s="11" t="s">
        <v>36</v>
      </c>
      <c r="CG3" s="11"/>
      <c r="CH3" s="11" t="s">
        <v>37</v>
      </c>
      <c r="CI3" s="11"/>
      <c r="CJ3" s="11" t="s">
        <v>38</v>
      </c>
      <c r="CK3" s="11"/>
      <c r="CL3" s="11"/>
      <c r="CM3" s="12" t="s">
        <v>39</v>
      </c>
      <c r="CN3" s="12"/>
      <c r="CO3" s="12"/>
    </row>
    <row r="4" spans="1:9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 s="5" t="s">
        <v>40</v>
      </c>
      <c r="Q4" s="5" t="s">
        <v>41</v>
      </c>
      <c r="R4" s="5" t="s">
        <v>40</v>
      </c>
      <c r="S4" s="5" t="s">
        <v>41</v>
      </c>
      <c r="T4" s="5" t="s">
        <v>40</v>
      </c>
      <c r="U4" s="5" t="s">
        <v>41</v>
      </c>
      <c r="V4" s="5" t="s">
        <v>40</v>
      </c>
      <c r="W4" s="5" t="s">
        <v>41</v>
      </c>
      <c r="X4" s="5" t="s">
        <v>40</v>
      </c>
      <c r="Y4" s="5" t="s">
        <v>41</v>
      </c>
      <c r="Z4" s="5" t="s">
        <v>40</v>
      </c>
      <c r="AA4" s="5" t="s">
        <v>41</v>
      </c>
      <c r="AB4" s="5" t="s">
        <v>40</v>
      </c>
      <c r="AC4" s="5" t="s">
        <v>41</v>
      </c>
      <c r="AD4" s="5" t="s">
        <v>40</v>
      </c>
      <c r="AE4" s="5" t="s">
        <v>41</v>
      </c>
      <c r="AF4" s="5" t="s">
        <v>42</v>
      </c>
      <c r="AG4" s="5" t="s">
        <v>43</v>
      </c>
      <c r="AH4" s="5" t="s">
        <v>44</v>
      </c>
      <c r="AI4" s="7" t="s">
        <v>40</v>
      </c>
      <c r="AJ4" s="7" t="s">
        <v>41</v>
      </c>
      <c r="AK4" s="7" t="s">
        <v>40</v>
      </c>
      <c r="AL4" s="7" t="s">
        <v>41</v>
      </c>
      <c r="AM4" s="7" t="s">
        <v>40</v>
      </c>
      <c r="AN4" s="7" t="s">
        <v>41</v>
      </c>
      <c r="AO4" s="7" t="s">
        <v>40</v>
      </c>
      <c r="AP4" s="7" t="s">
        <v>41</v>
      </c>
      <c r="AQ4" s="7" t="s">
        <v>40</v>
      </c>
      <c r="AR4" s="7" t="s">
        <v>41</v>
      </c>
      <c r="AS4" s="7" t="s">
        <v>45</v>
      </c>
      <c r="AT4" s="7" t="s">
        <v>46</v>
      </c>
      <c r="AU4" s="7" t="s">
        <v>47</v>
      </c>
      <c r="AV4" s="9" t="s">
        <v>40</v>
      </c>
      <c r="AW4" s="9" t="s">
        <v>41</v>
      </c>
      <c r="AX4" s="9" t="s">
        <v>40</v>
      </c>
      <c r="AY4" s="9" t="s">
        <v>41</v>
      </c>
      <c r="AZ4" s="9" t="s">
        <v>40</v>
      </c>
      <c r="BA4" s="9" t="s">
        <v>41</v>
      </c>
      <c r="BB4" s="9" t="s">
        <v>40</v>
      </c>
      <c r="BC4" s="9" t="s">
        <v>41</v>
      </c>
      <c r="BD4" s="9" t="s">
        <v>40</v>
      </c>
      <c r="BE4" s="9" t="s">
        <v>41</v>
      </c>
      <c r="BF4" s="9" t="s">
        <v>40</v>
      </c>
      <c r="BG4" s="9" t="s">
        <v>41</v>
      </c>
      <c r="BH4" s="9" t="s">
        <v>40</v>
      </c>
      <c r="BI4" s="9" t="s">
        <v>41</v>
      </c>
      <c r="BJ4" s="9" t="s">
        <v>40</v>
      </c>
      <c r="BK4" s="9" t="s">
        <v>41</v>
      </c>
      <c r="BL4" s="10" t="s">
        <v>40</v>
      </c>
      <c r="BM4" s="10" t="s">
        <v>41</v>
      </c>
      <c r="BN4" s="9" t="s">
        <v>40</v>
      </c>
      <c r="BO4" s="9" t="s">
        <v>41</v>
      </c>
      <c r="BP4" s="9" t="s">
        <v>40</v>
      </c>
      <c r="BQ4" s="9" t="s">
        <v>41</v>
      </c>
      <c r="BR4" s="9" t="s">
        <v>40</v>
      </c>
      <c r="BS4" s="9" t="s">
        <v>41</v>
      </c>
      <c r="BT4" s="9" t="s">
        <v>40</v>
      </c>
      <c r="BU4" s="9" t="s">
        <v>41</v>
      </c>
      <c r="BV4" s="9" t="s">
        <v>40</v>
      </c>
      <c r="BW4" s="9" t="s">
        <v>41</v>
      </c>
      <c r="BX4" s="9" t="s">
        <v>40</v>
      </c>
      <c r="BY4" s="9" t="s">
        <v>41</v>
      </c>
      <c r="BZ4" s="9" t="s">
        <v>40</v>
      </c>
      <c r="CA4" s="9" t="s">
        <v>41</v>
      </c>
      <c r="CB4" s="9" t="s">
        <v>40</v>
      </c>
      <c r="CC4" s="9" t="s">
        <v>41</v>
      </c>
      <c r="CD4" s="10" t="s">
        <v>40</v>
      </c>
      <c r="CE4" s="10" t="s">
        <v>41</v>
      </c>
      <c r="CF4" s="9" t="s">
        <v>48</v>
      </c>
      <c r="CG4" s="9" t="s">
        <v>49</v>
      </c>
      <c r="CH4" s="9" t="s">
        <v>50</v>
      </c>
      <c r="CI4" s="9" t="s">
        <v>51</v>
      </c>
      <c r="CJ4" s="9" t="s">
        <v>52</v>
      </c>
      <c r="CK4" s="9" t="s">
        <v>53</v>
      </c>
      <c r="CL4" s="9" t="s">
        <v>54</v>
      </c>
      <c r="CM4" s="13" t="s">
        <v>55</v>
      </c>
      <c r="CN4" s="13" t="s">
        <v>56</v>
      </c>
      <c r="CO4" s="13" t="s">
        <v>57</v>
      </c>
    </row>
    <row r="5" spans="1:93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 s="14">
        <f t="shared" ref="P5:AU5" si="0">SUM(P7:P90)</f>
        <v>1575</v>
      </c>
      <c r="Q5" s="14">
        <f t="shared" si="0"/>
        <v>1471</v>
      </c>
      <c r="R5" s="14">
        <f t="shared" si="0"/>
        <v>1892</v>
      </c>
      <c r="S5" s="14">
        <f t="shared" si="0"/>
        <v>1722</v>
      </c>
      <c r="T5" s="14">
        <f t="shared" si="0"/>
        <v>1908</v>
      </c>
      <c r="U5" s="14">
        <f t="shared" si="0"/>
        <v>1658</v>
      </c>
      <c r="V5" s="14">
        <f t="shared" si="0"/>
        <v>1894</v>
      </c>
      <c r="W5" s="14">
        <f t="shared" si="0"/>
        <v>1704</v>
      </c>
      <c r="X5" s="14">
        <f t="shared" si="0"/>
        <v>1811</v>
      </c>
      <c r="Y5" s="14">
        <f t="shared" si="0"/>
        <v>1668</v>
      </c>
      <c r="Z5" s="14">
        <f t="shared" si="0"/>
        <v>1672</v>
      </c>
      <c r="AA5" s="14">
        <f t="shared" si="0"/>
        <v>1632</v>
      </c>
      <c r="AB5" s="14">
        <f t="shared" si="0"/>
        <v>1802</v>
      </c>
      <c r="AC5" s="14">
        <f t="shared" si="0"/>
        <v>1808</v>
      </c>
      <c r="AD5" s="14">
        <f t="shared" si="0"/>
        <v>47</v>
      </c>
      <c r="AE5" s="14">
        <f t="shared" si="0"/>
        <v>31</v>
      </c>
      <c r="AF5" s="14">
        <f t="shared" si="0"/>
        <v>12601</v>
      </c>
      <c r="AG5" s="14">
        <f t="shared" si="0"/>
        <v>11694</v>
      </c>
      <c r="AH5" s="14">
        <f t="shared" si="0"/>
        <v>24295</v>
      </c>
      <c r="AI5" s="14">
        <f t="shared" si="0"/>
        <v>1776</v>
      </c>
      <c r="AJ5" s="14">
        <f t="shared" si="0"/>
        <v>1820</v>
      </c>
      <c r="AK5" s="14">
        <f t="shared" si="0"/>
        <v>1400</v>
      </c>
      <c r="AL5" s="14">
        <f t="shared" si="0"/>
        <v>1384</v>
      </c>
      <c r="AM5" s="14">
        <f t="shared" si="0"/>
        <v>1428</v>
      </c>
      <c r="AN5" s="14">
        <f t="shared" si="0"/>
        <v>1481</v>
      </c>
      <c r="AO5" s="14">
        <f t="shared" si="0"/>
        <v>1388</v>
      </c>
      <c r="AP5" s="14">
        <f t="shared" si="0"/>
        <v>1579</v>
      </c>
      <c r="AQ5" s="14">
        <f t="shared" si="0"/>
        <v>0</v>
      </c>
      <c r="AR5" s="14">
        <f t="shared" si="0"/>
        <v>0</v>
      </c>
      <c r="AS5" s="14">
        <f t="shared" si="0"/>
        <v>5992</v>
      </c>
      <c r="AT5" s="14">
        <f t="shared" si="0"/>
        <v>6264</v>
      </c>
      <c r="AU5" s="14">
        <f t="shared" si="0"/>
        <v>12256</v>
      </c>
      <c r="AV5" s="14">
        <f t="shared" ref="AV5:CA5" si="1">SUM(AV7:AV90)</f>
        <v>68</v>
      </c>
      <c r="AW5" s="14">
        <f t="shared" si="1"/>
        <v>121</v>
      </c>
      <c r="AX5" s="14">
        <f t="shared" si="1"/>
        <v>224</v>
      </c>
      <c r="AY5" s="14">
        <f t="shared" si="1"/>
        <v>310</v>
      </c>
      <c r="AZ5" s="14">
        <f t="shared" si="1"/>
        <v>106</v>
      </c>
      <c r="BA5" s="14">
        <f t="shared" si="1"/>
        <v>255</v>
      </c>
      <c r="BB5" s="14">
        <f t="shared" si="1"/>
        <v>503</v>
      </c>
      <c r="BC5" s="14">
        <f t="shared" si="1"/>
        <v>548</v>
      </c>
      <c r="BD5" s="14">
        <f t="shared" si="1"/>
        <v>0</v>
      </c>
      <c r="BE5" s="14">
        <f t="shared" si="1"/>
        <v>0</v>
      </c>
      <c r="BF5" s="14">
        <f t="shared" si="1"/>
        <v>646</v>
      </c>
      <c r="BG5" s="14">
        <f t="shared" si="1"/>
        <v>440</v>
      </c>
      <c r="BH5" s="14">
        <f t="shared" si="1"/>
        <v>0</v>
      </c>
      <c r="BI5" s="14">
        <f t="shared" si="1"/>
        <v>0</v>
      </c>
      <c r="BJ5" s="14">
        <f t="shared" si="1"/>
        <v>43</v>
      </c>
      <c r="BK5" s="14">
        <f t="shared" si="1"/>
        <v>47</v>
      </c>
      <c r="BL5" s="14">
        <f t="shared" si="1"/>
        <v>0</v>
      </c>
      <c r="BM5" s="14">
        <f t="shared" si="1"/>
        <v>0</v>
      </c>
      <c r="BN5" s="14">
        <f t="shared" si="1"/>
        <v>72</v>
      </c>
      <c r="BO5" s="14">
        <f t="shared" si="1"/>
        <v>86</v>
      </c>
      <c r="BP5" s="14">
        <f t="shared" si="1"/>
        <v>180</v>
      </c>
      <c r="BQ5" s="14">
        <f t="shared" si="1"/>
        <v>333</v>
      </c>
      <c r="BR5" s="14">
        <f t="shared" si="1"/>
        <v>144</v>
      </c>
      <c r="BS5" s="14">
        <f t="shared" si="1"/>
        <v>227</v>
      </c>
      <c r="BT5" s="14">
        <f t="shared" si="1"/>
        <v>454</v>
      </c>
      <c r="BU5" s="14">
        <f t="shared" si="1"/>
        <v>461</v>
      </c>
      <c r="BV5" s="14">
        <f t="shared" si="1"/>
        <v>0</v>
      </c>
      <c r="BW5" s="14">
        <f t="shared" si="1"/>
        <v>0</v>
      </c>
      <c r="BX5" s="14">
        <f t="shared" si="1"/>
        <v>641</v>
      </c>
      <c r="BY5" s="14">
        <f t="shared" si="1"/>
        <v>461</v>
      </c>
      <c r="BZ5" s="14">
        <f t="shared" si="1"/>
        <v>0</v>
      </c>
      <c r="CA5" s="14">
        <f t="shared" si="1"/>
        <v>0</v>
      </c>
      <c r="CB5" s="14">
        <f t="shared" ref="CB5:CO5" si="2">SUM(CB7:CB90)</f>
        <v>37</v>
      </c>
      <c r="CC5" s="14">
        <f t="shared" si="2"/>
        <v>31</v>
      </c>
      <c r="CD5" s="14">
        <f t="shared" si="2"/>
        <v>0</v>
      </c>
      <c r="CE5" s="14">
        <f t="shared" si="2"/>
        <v>0</v>
      </c>
      <c r="CF5" s="14">
        <f t="shared" si="2"/>
        <v>1590</v>
      </c>
      <c r="CG5" s="14">
        <f t="shared" si="2"/>
        <v>1721</v>
      </c>
      <c r="CH5" s="14">
        <f t="shared" si="2"/>
        <v>1528</v>
      </c>
      <c r="CI5" s="14">
        <f t="shared" si="2"/>
        <v>1599</v>
      </c>
      <c r="CJ5" s="14">
        <f t="shared" si="2"/>
        <v>3118</v>
      </c>
      <c r="CK5" s="14">
        <f t="shared" si="2"/>
        <v>3320</v>
      </c>
      <c r="CL5" s="14">
        <f t="shared" si="2"/>
        <v>6438</v>
      </c>
      <c r="CM5" s="14">
        <f t="shared" si="2"/>
        <v>21711</v>
      </c>
      <c r="CN5" s="14">
        <f t="shared" si="2"/>
        <v>21278</v>
      </c>
      <c r="CO5" s="14">
        <f t="shared" si="2"/>
        <v>42989</v>
      </c>
    </row>
    <row r="6" spans="1:93" s="1" customFormat="1">
      <c r="A6" s="3" t="s">
        <v>58</v>
      </c>
      <c r="B6" s="3" t="s">
        <v>59</v>
      </c>
      <c r="C6" s="3" t="s">
        <v>60</v>
      </c>
      <c r="D6" s="3" t="s">
        <v>61</v>
      </c>
      <c r="E6" s="3" t="s">
        <v>62</v>
      </c>
      <c r="F6" s="3" t="s">
        <v>63</v>
      </c>
      <c r="G6" s="3" t="s">
        <v>64</v>
      </c>
      <c r="H6" s="3" t="s">
        <v>65</v>
      </c>
      <c r="I6" s="3" t="s">
        <v>66</v>
      </c>
      <c r="J6" s="3" t="s">
        <v>67</v>
      </c>
      <c r="K6" s="3" t="s">
        <v>68</v>
      </c>
      <c r="L6" s="3" t="s">
        <v>69</v>
      </c>
      <c r="M6" s="3" t="s">
        <v>70</v>
      </c>
      <c r="N6" s="3" t="s">
        <v>71</v>
      </c>
      <c r="O6" s="3" t="s">
        <v>72</v>
      </c>
      <c r="P6" s="3" t="s">
        <v>73</v>
      </c>
      <c r="Q6" s="3" t="s">
        <v>74</v>
      </c>
      <c r="R6" s="3" t="s">
        <v>75</v>
      </c>
      <c r="S6" s="3" t="s">
        <v>76</v>
      </c>
      <c r="T6" s="3" t="s">
        <v>77</v>
      </c>
      <c r="U6" s="3" t="s">
        <v>78</v>
      </c>
      <c r="V6" s="3" t="s">
        <v>79</v>
      </c>
      <c r="W6" s="3" t="s">
        <v>80</v>
      </c>
      <c r="X6" s="3" t="s">
        <v>81</v>
      </c>
      <c r="Y6" s="3" t="s">
        <v>82</v>
      </c>
      <c r="Z6" s="3" t="s">
        <v>83</v>
      </c>
      <c r="AA6" s="3" t="s">
        <v>84</v>
      </c>
      <c r="AB6" s="3" t="s">
        <v>85</v>
      </c>
      <c r="AC6" s="3" t="s">
        <v>86</v>
      </c>
      <c r="AD6" s="3" t="s">
        <v>87</v>
      </c>
      <c r="AE6" s="3" t="s">
        <v>88</v>
      </c>
      <c r="AF6" s="15"/>
      <c r="AG6" s="15"/>
      <c r="AH6" s="15"/>
      <c r="AI6" s="3" t="s">
        <v>89</v>
      </c>
      <c r="AJ6" s="3" t="s">
        <v>90</v>
      </c>
      <c r="AK6" s="3" t="s">
        <v>91</v>
      </c>
      <c r="AL6" s="3" t="s">
        <v>92</v>
      </c>
      <c r="AM6" s="3" t="s">
        <v>93</v>
      </c>
      <c r="AN6" s="3" t="s">
        <v>94</v>
      </c>
      <c r="AO6" s="3" t="s">
        <v>95</v>
      </c>
      <c r="AP6" s="3" t="s">
        <v>96</v>
      </c>
      <c r="AQ6" s="3" t="s">
        <v>97</v>
      </c>
      <c r="AR6" s="3" t="s">
        <v>98</v>
      </c>
      <c r="AS6" s="16"/>
      <c r="AT6" s="16"/>
      <c r="AU6" s="16"/>
      <c r="AV6" s="3" t="s">
        <v>99</v>
      </c>
      <c r="AW6" s="3" t="s">
        <v>100</v>
      </c>
      <c r="AX6" s="3" t="s">
        <v>101</v>
      </c>
      <c r="AY6" s="3" t="s">
        <v>102</v>
      </c>
      <c r="AZ6" s="3" t="s">
        <v>103</v>
      </c>
      <c r="BA6" s="3" t="s">
        <v>104</v>
      </c>
      <c r="BB6" s="3" t="s">
        <v>105</v>
      </c>
      <c r="BC6" s="3" t="s">
        <v>106</v>
      </c>
      <c r="BD6" s="3" t="s">
        <v>107</v>
      </c>
      <c r="BE6" s="3" t="s">
        <v>108</v>
      </c>
      <c r="BF6" s="3" t="s">
        <v>109</v>
      </c>
      <c r="BG6" s="3" t="s">
        <v>110</v>
      </c>
      <c r="BH6" s="3" t="s">
        <v>111</v>
      </c>
      <c r="BI6" s="3" t="s">
        <v>112</v>
      </c>
      <c r="BJ6" s="3" t="s">
        <v>113</v>
      </c>
      <c r="BK6" s="3" t="s">
        <v>114</v>
      </c>
      <c r="BL6" s="3" t="s">
        <v>115</v>
      </c>
      <c r="BM6" s="3" t="s">
        <v>116</v>
      </c>
      <c r="BN6" s="3" t="s">
        <v>117</v>
      </c>
      <c r="BO6" s="3" t="s">
        <v>118</v>
      </c>
      <c r="BP6" s="3" t="s">
        <v>119</v>
      </c>
      <c r="BQ6" s="3" t="s">
        <v>120</v>
      </c>
      <c r="BR6" s="3" t="s">
        <v>121</v>
      </c>
      <c r="BS6" s="3" t="s">
        <v>122</v>
      </c>
      <c r="BT6" s="3" t="s">
        <v>123</v>
      </c>
      <c r="BU6" s="3" t="s">
        <v>124</v>
      </c>
      <c r="BV6" s="3" t="s">
        <v>125</v>
      </c>
      <c r="BW6" s="3" t="s">
        <v>126</v>
      </c>
      <c r="BX6" s="3" t="s">
        <v>127</v>
      </c>
      <c r="BY6" s="3" t="s">
        <v>128</v>
      </c>
      <c r="BZ6" s="3" t="s">
        <v>129</v>
      </c>
      <c r="CA6" s="3" t="s">
        <v>130</v>
      </c>
      <c r="CB6" s="3" t="s">
        <v>131</v>
      </c>
      <c r="CC6" s="3" t="s">
        <v>132</v>
      </c>
      <c r="CD6" s="3" t="s">
        <v>133</v>
      </c>
      <c r="CE6" s="3" t="s">
        <v>134</v>
      </c>
      <c r="CF6" s="17"/>
      <c r="CG6" s="17"/>
      <c r="CH6" s="17"/>
      <c r="CI6" s="17"/>
      <c r="CJ6" s="17"/>
      <c r="CK6" s="17"/>
      <c r="CL6" s="17"/>
      <c r="CM6" s="18"/>
      <c r="CN6" s="18"/>
      <c r="CO6" s="18"/>
    </row>
    <row r="7" spans="1:93">
      <c r="A7" t="s">
        <v>135</v>
      </c>
      <c r="B7" t="s">
        <v>136</v>
      </c>
      <c r="C7" t="s">
        <v>137</v>
      </c>
      <c r="D7">
        <v>129374</v>
      </c>
      <c r="E7" t="s">
        <v>138</v>
      </c>
      <c r="F7" t="s">
        <v>139</v>
      </c>
      <c r="G7"/>
      <c r="H7" t="s">
        <v>140</v>
      </c>
      <c r="I7" t="s">
        <v>141</v>
      </c>
      <c r="J7" t="s">
        <v>142</v>
      </c>
      <c r="K7" t="s">
        <v>143</v>
      </c>
      <c r="L7" t="s">
        <v>144</v>
      </c>
      <c r="M7" t="s">
        <v>145</v>
      </c>
      <c r="N7" t="s">
        <v>146</v>
      </c>
      <c r="O7" s="4" t="s">
        <v>147</v>
      </c>
      <c r="P7">
        <v>21</v>
      </c>
      <c r="Q7">
        <v>17</v>
      </c>
      <c r="R7">
        <v>25</v>
      </c>
      <c r="S7">
        <v>25</v>
      </c>
      <c r="T7">
        <v>36</v>
      </c>
      <c r="U7">
        <v>25</v>
      </c>
      <c r="V7">
        <v>31</v>
      </c>
      <c r="W7">
        <v>30</v>
      </c>
      <c r="X7">
        <v>35</v>
      </c>
      <c r="Y7">
        <v>27</v>
      </c>
      <c r="Z7">
        <v>36</v>
      </c>
      <c r="AA7">
        <v>31</v>
      </c>
      <c r="AB7">
        <v>30</v>
      </c>
      <c r="AC7">
        <v>42</v>
      </c>
      <c r="AD7">
        <v>0</v>
      </c>
      <c r="AE7">
        <v>0</v>
      </c>
      <c r="AF7" s="19">
        <f t="shared" ref="AF7:AF48" si="3">SUMIF($P$4:$AE$4,"Male",$P7:$AE7)</f>
        <v>214</v>
      </c>
      <c r="AG7" s="19">
        <f t="shared" ref="AG7:AG48" si="4">SUMIF($P$4:$AE$4,"Female",$P7:$AE7)</f>
        <v>197</v>
      </c>
      <c r="AH7" s="19">
        <f t="shared" ref="AH7:AH48" si="5">SUM(AF7:AG7)</f>
        <v>411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 s="20">
        <f t="shared" ref="AS7:AS48" si="6">SUMIF($AI$4:$AR$4,"Male",$AI7:$AR7)</f>
        <v>0</v>
      </c>
      <c r="AT7" s="20">
        <f t="shared" ref="AT7:AT48" si="7">SUMIF($AI$4:$AR$4,"Female",$AI7:$AR7)</f>
        <v>0</v>
      </c>
      <c r="AU7" s="20">
        <f t="shared" ref="AU7:AU48" si="8">SUM(AS7:AT7)</f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 s="21">
        <f t="shared" ref="CF7:CF48" si="9">SUMIF($AV$4:$BM$4,"Male",$AV7:$BM7)</f>
        <v>0</v>
      </c>
      <c r="CG7" s="21">
        <f t="shared" ref="CG7:CG48" si="10">SUMIF($AV$4:$BM$4,"Female",$AV7:$BM7)</f>
        <v>0</v>
      </c>
      <c r="CH7" s="21">
        <f t="shared" ref="CH7:CH48" si="11">SUMIF($BN$4:$CE$4,"Male",$BN7:$CE7)</f>
        <v>0</v>
      </c>
      <c r="CI7" s="21">
        <f t="shared" ref="CI7:CI48" si="12">SUMIF($BN$4:$CE$4,"Female",$BN7:$CE7)</f>
        <v>0</v>
      </c>
      <c r="CJ7" s="21">
        <f t="shared" ref="CJ7:CK64" si="13">CF7+CH7</f>
        <v>0</v>
      </c>
      <c r="CK7" s="21">
        <f t="shared" si="13"/>
        <v>0</v>
      </c>
      <c r="CL7" s="21">
        <f t="shared" ref="CL7:CL48" si="14">SUM(CJ7:CK7)</f>
        <v>0</v>
      </c>
      <c r="CM7" s="22">
        <f t="shared" ref="CM7:CO64" si="15">AF7+AS7+CJ7</f>
        <v>214</v>
      </c>
      <c r="CN7" s="22">
        <f t="shared" si="15"/>
        <v>197</v>
      </c>
      <c r="CO7" s="22">
        <f t="shared" si="15"/>
        <v>411</v>
      </c>
    </row>
    <row r="8" spans="1:93">
      <c r="A8" t="s">
        <v>135</v>
      </c>
      <c r="B8" t="s">
        <v>136</v>
      </c>
      <c r="C8" t="s">
        <v>137</v>
      </c>
      <c r="D8">
        <v>129375</v>
      </c>
      <c r="E8" t="s">
        <v>148</v>
      </c>
      <c r="F8" t="s">
        <v>149</v>
      </c>
      <c r="G8"/>
      <c r="H8" t="s">
        <v>140</v>
      </c>
      <c r="I8" t="s">
        <v>141</v>
      </c>
      <c r="J8" t="s">
        <v>142</v>
      </c>
      <c r="K8" t="s">
        <v>143</v>
      </c>
      <c r="L8" t="s">
        <v>144</v>
      </c>
      <c r="M8" t="s">
        <v>145</v>
      </c>
      <c r="N8" t="s">
        <v>146</v>
      </c>
      <c r="O8" s="4" t="s">
        <v>147</v>
      </c>
      <c r="P8">
        <v>16</v>
      </c>
      <c r="Q8">
        <v>9</v>
      </c>
      <c r="R8">
        <v>14</v>
      </c>
      <c r="S8">
        <v>7</v>
      </c>
      <c r="T8">
        <v>12</v>
      </c>
      <c r="U8">
        <v>16</v>
      </c>
      <c r="V8">
        <v>13</v>
      </c>
      <c r="W8">
        <v>17</v>
      </c>
      <c r="X8">
        <v>12</v>
      </c>
      <c r="Y8">
        <v>11</v>
      </c>
      <c r="Z8">
        <v>12</v>
      </c>
      <c r="AA8">
        <v>10</v>
      </c>
      <c r="AB8">
        <v>9</v>
      </c>
      <c r="AC8">
        <v>20</v>
      </c>
      <c r="AD8">
        <v>0</v>
      </c>
      <c r="AE8">
        <v>0</v>
      </c>
      <c r="AF8" s="19">
        <f t="shared" si="3"/>
        <v>88</v>
      </c>
      <c r="AG8" s="19">
        <f t="shared" si="4"/>
        <v>90</v>
      </c>
      <c r="AH8" s="19">
        <f t="shared" si="5"/>
        <v>178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s="20">
        <f t="shared" si="6"/>
        <v>0</v>
      </c>
      <c r="AT8" s="20">
        <f t="shared" si="7"/>
        <v>0</v>
      </c>
      <c r="AU8" s="20">
        <f t="shared" si="8"/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 s="21">
        <f t="shared" si="9"/>
        <v>0</v>
      </c>
      <c r="CG8" s="21">
        <f t="shared" si="10"/>
        <v>0</v>
      </c>
      <c r="CH8" s="21">
        <f t="shared" si="11"/>
        <v>0</v>
      </c>
      <c r="CI8" s="21">
        <f t="shared" si="12"/>
        <v>0</v>
      </c>
      <c r="CJ8" s="21">
        <f t="shared" si="13"/>
        <v>0</v>
      </c>
      <c r="CK8" s="21">
        <f t="shared" si="13"/>
        <v>0</v>
      </c>
      <c r="CL8" s="21">
        <f t="shared" si="14"/>
        <v>0</v>
      </c>
      <c r="CM8" s="22">
        <f t="shared" si="15"/>
        <v>88</v>
      </c>
      <c r="CN8" s="22">
        <f t="shared" si="15"/>
        <v>90</v>
      </c>
      <c r="CO8" s="22">
        <f t="shared" si="15"/>
        <v>178</v>
      </c>
    </row>
    <row r="9" spans="1:93">
      <c r="A9" t="s">
        <v>135</v>
      </c>
      <c r="B9" t="s">
        <v>136</v>
      </c>
      <c r="C9" t="s">
        <v>137</v>
      </c>
      <c r="D9">
        <v>129376</v>
      </c>
      <c r="E9" t="s">
        <v>150</v>
      </c>
      <c r="F9" t="s">
        <v>151</v>
      </c>
      <c r="G9"/>
      <c r="H9" t="s">
        <v>140</v>
      </c>
      <c r="I9" t="s">
        <v>141</v>
      </c>
      <c r="J9" t="s">
        <v>142</v>
      </c>
      <c r="K9" t="s">
        <v>152</v>
      </c>
      <c r="L9" t="s">
        <v>144</v>
      </c>
      <c r="M9" t="s">
        <v>145</v>
      </c>
      <c r="N9" t="s">
        <v>146</v>
      </c>
      <c r="O9" s="4" t="s">
        <v>147</v>
      </c>
      <c r="P9">
        <v>27</v>
      </c>
      <c r="Q9">
        <v>19</v>
      </c>
      <c r="R9">
        <v>22</v>
      </c>
      <c r="S9">
        <v>21</v>
      </c>
      <c r="T9">
        <v>23</v>
      </c>
      <c r="U9">
        <v>16</v>
      </c>
      <c r="V9">
        <v>26</v>
      </c>
      <c r="W9">
        <v>20</v>
      </c>
      <c r="X9">
        <v>18</v>
      </c>
      <c r="Y9">
        <v>15</v>
      </c>
      <c r="Z9">
        <v>16</v>
      </c>
      <c r="AA9">
        <v>10</v>
      </c>
      <c r="AB9">
        <v>32</v>
      </c>
      <c r="AC9">
        <v>11</v>
      </c>
      <c r="AD9">
        <v>0</v>
      </c>
      <c r="AE9">
        <v>0</v>
      </c>
      <c r="AF9" s="19">
        <f t="shared" si="3"/>
        <v>164</v>
      </c>
      <c r="AG9" s="19">
        <f t="shared" si="4"/>
        <v>112</v>
      </c>
      <c r="AH9" s="19">
        <f t="shared" si="5"/>
        <v>276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 s="20">
        <f t="shared" si="6"/>
        <v>0</v>
      </c>
      <c r="AT9" s="20">
        <f t="shared" si="7"/>
        <v>0</v>
      </c>
      <c r="AU9" s="20">
        <f t="shared" si="8"/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 s="21">
        <f t="shared" si="9"/>
        <v>0</v>
      </c>
      <c r="CG9" s="21">
        <f t="shared" si="10"/>
        <v>0</v>
      </c>
      <c r="CH9" s="21">
        <f t="shared" si="11"/>
        <v>0</v>
      </c>
      <c r="CI9" s="21">
        <f t="shared" si="12"/>
        <v>0</v>
      </c>
      <c r="CJ9" s="21">
        <f t="shared" si="13"/>
        <v>0</v>
      </c>
      <c r="CK9" s="21">
        <f t="shared" si="13"/>
        <v>0</v>
      </c>
      <c r="CL9" s="21">
        <f t="shared" si="14"/>
        <v>0</v>
      </c>
      <c r="CM9" s="22">
        <f t="shared" si="15"/>
        <v>164</v>
      </c>
      <c r="CN9" s="22">
        <f t="shared" si="15"/>
        <v>112</v>
      </c>
      <c r="CO9" s="22">
        <f t="shared" si="15"/>
        <v>276</v>
      </c>
    </row>
    <row r="10" spans="1:93">
      <c r="A10" t="s">
        <v>135</v>
      </c>
      <c r="B10" t="s">
        <v>136</v>
      </c>
      <c r="C10" t="s">
        <v>137</v>
      </c>
      <c r="D10">
        <v>129377</v>
      </c>
      <c r="E10" t="s">
        <v>153</v>
      </c>
      <c r="F10" t="s">
        <v>154</v>
      </c>
      <c r="G10"/>
      <c r="H10" t="s">
        <v>140</v>
      </c>
      <c r="I10" t="s">
        <v>141</v>
      </c>
      <c r="J10" t="s">
        <v>142</v>
      </c>
      <c r="K10" t="s">
        <v>155</v>
      </c>
      <c r="L10" t="s">
        <v>144</v>
      </c>
      <c r="M10" t="s">
        <v>145</v>
      </c>
      <c r="N10" t="s">
        <v>146</v>
      </c>
      <c r="O10" s="4" t="s">
        <v>147</v>
      </c>
      <c r="P10">
        <v>18</v>
      </c>
      <c r="Q10">
        <v>16</v>
      </c>
      <c r="R10">
        <v>14</v>
      </c>
      <c r="S10">
        <v>21</v>
      </c>
      <c r="T10">
        <v>25</v>
      </c>
      <c r="U10">
        <v>20</v>
      </c>
      <c r="V10">
        <v>27</v>
      </c>
      <c r="W10">
        <v>18</v>
      </c>
      <c r="X10">
        <v>19</v>
      </c>
      <c r="Y10">
        <v>24</v>
      </c>
      <c r="Z10">
        <v>20</v>
      </c>
      <c r="AA10">
        <v>17</v>
      </c>
      <c r="AB10">
        <v>18</v>
      </c>
      <c r="AC10">
        <v>26</v>
      </c>
      <c r="AD10">
        <v>0</v>
      </c>
      <c r="AE10">
        <v>0</v>
      </c>
      <c r="AF10" s="19">
        <f t="shared" si="3"/>
        <v>141</v>
      </c>
      <c r="AG10" s="19">
        <f t="shared" si="4"/>
        <v>142</v>
      </c>
      <c r="AH10" s="19">
        <f t="shared" si="5"/>
        <v>283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s="20">
        <f t="shared" si="6"/>
        <v>0</v>
      </c>
      <c r="AT10" s="20">
        <f t="shared" si="7"/>
        <v>0</v>
      </c>
      <c r="AU10" s="20">
        <f t="shared" si="8"/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 s="21">
        <f t="shared" si="9"/>
        <v>0</v>
      </c>
      <c r="CG10" s="21">
        <f t="shared" si="10"/>
        <v>0</v>
      </c>
      <c r="CH10" s="21">
        <f t="shared" si="11"/>
        <v>0</v>
      </c>
      <c r="CI10" s="21">
        <f t="shared" si="12"/>
        <v>0</v>
      </c>
      <c r="CJ10" s="21">
        <f t="shared" si="13"/>
        <v>0</v>
      </c>
      <c r="CK10" s="21">
        <f t="shared" si="13"/>
        <v>0</v>
      </c>
      <c r="CL10" s="21">
        <f t="shared" si="14"/>
        <v>0</v>
      </c>
      <c r="CM10" s="22">
        <f t="shared" si="15"/>
        <v>141</v>
      </c>
      <c r="CN10" s="22">
        <f t="shared" si="15"/>
        <v>142</v>
      </c>
      <c r="CO10" s="22">
        <f t="shared" si="15"/>
        <v>283</v>
      </c>
    </row>
    <row r="11" spans="1:93">
      <c r="A11" t="s">
        <v>135</v>
      </c>
      <c r="B11" t="s">
        <v>136</v>
      </c>
      <c r="C11" t="s">
        <v>137</v>
      </c>
      <c r="D11">
        <v>129380</v>
      </c>
      <c r="E11" t="s">
        <v>156</v>
      </c>
      <c r="F11" t="s">
        <v>157</v>
      </c>
      <c r="G11"/>
      <c r="H11" t="s">
        <v>140</v>
      </c>
      <c r="I11" t="s">
        <v>141</v>
      </c>
      <c r="J11" t="s">
        <v>142</v>
      </c>
      <c r="K11" t="s">
        <v>152</v>
      </c>
      <c r="L11" t="s">
        <v>144</v>
      </c>
      <c r="M11" t="s">
        <v>145</v>
      </c>
      <c r="N11" t="s">
        <v>146</v>
      </c>
      <c r="O11" s="4" t="s">
        <v>147</v>
      </c>
      <c r="P11">
        <v>55</v>
      </c>
      <c r="Q11">
        <v>59</v>
      </c>
      <c r="R11">
        <v>70</v>
      </c>
      <c r="S11">
        <v>67</v>
      </c>
      <c r="T11">
        <v>91</v>
      </c>
      <c r="U11">
        <v>66</v>
      </c>
      <c r="V11">
        <v>68</v>
      </c>
      <c r="W11">
        <v>73</v>
      </c>
      <c r="X11">
        <v>91</v>
      </c>
      <c r="Y11">
        <v>70</v>
      </c>
      <c r="Z11">
        <v>82</v>
      </c>
      <c r="AA11">
        <v>56</v>
      </c>
      <c r="AB11">
        <v>88</v>
      </c>
      <c r="AC11">
        <v>89</v>
      </c>
      <c r="AD11">
        <v>0</v>
      </c>
      <c r="AE11">
        <v>0</v>
      </c>
      <c r="AF11" s="19">
        <f t="shared" si="3"/>
        <v>545</v>
      </c>
      <c r="AG11" s="19">
        <f t="shared" si="4"/>
        <v>480</v>
      </c>
      <c r="AH11" s="19">
        <f t="shared" si="5"/>
        <v>1025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 s="20">
        <f t="shared" si="6"/>
        <v>0</v>
      </c>
      <c r="AT11" s="20">
        <f t="shared" si="7"/>
        <v>0</v>
      </c>
      <c r="AU11" s="20">
        <f t="shared" si="8"/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 s="21">
        <f t="shared" si="9"/>
        <v>0</v>
      </c>
      <c r="CG11" s="21">
        <f t="shared" si="10"/>
        <v>0</v>
      </c>
      <c r="CH11" s="21">
        <f t="shared" si="11"/>
        <v>0</v>
      </c>
      <c r="CI11" s="21">
        <f t="shared" si="12"/>
        <v>0</v>
      </c>
      <c r="CJ11" s="21">
        <f t="shared" si="13"/>
        <v>0</v>
      </c>
      <c r="CK11" s="21">
        <f t="shared" si="13"/>
        <v>0</v>
      </c>
      <c r="CL11" s="21">
        <f t="shared" si="14"/>
        <v>0</v>
      </c>
      <c r="CM11" s="22">
        <f t="shared" si="15"/>
        <v>545</v>
      </c>
      <c r="CN11" s="22">
        <f t="shared" si="15"/>
        <v>480</v>
      </c>
      <c r="CO11" s="22">
        <f t="shared" si="15"/>
        <v>1025</v>
      </c>
    </row>
    <row r="12" spans="1:93">
      <c r="A12" t="s">
        <v>135</v>
      </c>
      <c r="B12" t="s">
        <v>136</v>
      </c>
      <c r="C12" t="s">
        <v>137</v>
      </c>
      <c r="D12">
        <v>129381</v>
      </c>
      <c r="E12" t="s">
        <v>158</v>
      </c>
      <c r="F12" t="s">
        <v>159</v>
      </c>
      <c r="G12"/>
      <c r="H12" t="s">
        <v>140</v>
      </c>
      <c r="I12" t="s">
        <v>141</v>
      </c>
      <c r="J12" t="s">
        <v>142</v>
      </c>
      <c r="K12" t="s">
        <v>152</v>
      </c>
      <c r="L12" t="s">
        <v>144</v>
      </c>
      <c r="M12" t="s">
        <v>145</v>
      </c>
      <c r="N12" t="s">
        <v>146</v>
      </c>
      <c r="O12" s="4" t="s">
        <v>147</v>
      </c>
      <c r="P12">
        <v>72</v>
      </c>
      <c r="Q12">
        <v>64</v>
      </c>
      <c r="R12">
        <v>81</v>
      </c>
      <c r="S12">
        <v>78</v>
      </c>
      <c r="T12">
        <v>98</v>
      </c>
      <c r="U12">
        <v>85</v>
      </c>
      <c r="V12">
        <v>102</v>
      </c>
      <c r="W12">
        <v>82</v>
      </c>
      <c r="X12">
        <v>86</v>
      </c>
      <c r="Y12">
        <v>80</v>
      </c>
      <c r="Z12">
        <v>87</v>
      </c>
      <c r="AA12">
        <v>82</v>
      </c>
      <c r="AB12">
        <v>86</v>
      </c>
      <c r="AC12">
        <v>101</v>
      </c>
      <c r="AD12">
        <v>0</v>
      </c>
      <c r="AE12">
        <v>0</v>
      </c>
      <c r="AF12" s="19">
        <f t="shared" si="3"/>
        <v>612</v>
      </c>
      <c r="AG12" s="19">
        <f t="shared" si="4"/>
        <v>572</v>
      </c>
      <c r="AH12" s="19">
        <f t="shared" si="5"/>
        <v>1184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s="20">
        <f t="shared" si="6"/>
        <v>0</v>
      </c>
      <c r="AT12" s="20">
        <f t="shared" si="7"/>
        <v>0</v>
      </c>
      <c r="AU12" s="20">
        <f t="shared" si="8"/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s="21">
        <f t="shared" si="9"/>
        <v>0</v>
      </c>
      <c r="CG12" s="21">
        <f t="shared" si="10"/>
        <v>0</v>
      </c>
      <c r="CH12" s="21">
        <f t="shared" si="11"/>
        <v>0</v>
      </c>
      <c r="CI12" s="21">
        <f t="shared" si="12"/>
        <v>0</v>
      </c>
      <c r="CJ12" s="21">
        <f t="shared" si="13"/>
        <v>0</v>
      </c>
      <c r="CK12" s="21">
        <f t="shared" si="13"/>
        <v>0</v>
      </c>
      <c r="CL12" s="21">
        <f t="shared" si="14"/>
        <v>0</v>
      </c>
      <c r="CM12" s="22">
        <f t="shared" si="15"/>
        <v>612</v>
      </c>
      <c r="CN12" s="22">
        <f t="shared" si="15"/>
        <v>572</v>
      </c>
      <c r="CO12" s="22">
        <f t="shared" si="15"/>
        <v>1184</v>
      </c>
    </row>
    <row r="13" spans="1:93">
      <c r="A13" t="s">
        <v>135</v>
      </c>
      <c r="B13" t="s">
        <v>136</v>
      </c>
      <c r="C13" t="s">
        <v>137</v>
      </c>
      <c r="D13">
        <v>129382</v>
      </c>
      <c r="E13" t="s">
        <v>160</v>
      </c>
      <c r="F13" t="s">
        <v>161</v>
      </c>
      <c r="G13"/>
      <c r="H13" t="s">
        <v>140</v>
      </c>
      <c r="I13" t="s">
        <v>141</v>
      </c>
      <c r="J13" t="s">
        <v>142</v>
      </c>
      <c r="K13" t="s">
        <v>152</v>
      </c>
      <c r="L13" t="s">
        <v>144</v>
      </c>
      <c r="M13" t="s">
        <v>145</v>
      </c>
      <c r="N13" t="s">
        <v>146</v>
      </c>
      <c r="O13" s="4" t="s">
        <v>147</v>
      </c>
      <c r="P13">
        <v>153</v>
      </c>
      <c r="Q13">
        <v>123</v>
      </c>
      <c r="R13">
        <v>172</v>
      </c>
      <c r="S13">
        <v>143</v>
      </c>
      <c r="T13">
        <v>161</v>
      </c>
      <c r="U13">
        <v>126</v>
      </c>
      <c r="V13">
        <v>143</v>
      </c>
      <c r="W13">
        <v>138</v>
      </c>
      <c r="X13">
        <v>154</v>
      </c>
      <c r="Y13">
        <v>129</v>
      </c>
      <c r="Z13">
        <v>149</v>
      </c>
      <c r="AA13">
        <v>166</v>
      </c>
      <c r="AB13">
        <v>117</v>
      </c>
      <c r="AC13">
        <v>127</v>
      </c>
      <c r="AD13">
        <v>0</v>
      </c>
      <c r="AE13">
        <v>0</v>
      </c>
      <c r="AF13" s="19">
        <f t="shared" si="3"/>
        <v>1049</v>
      </c>
      <c r="AG13" s="19">
        <f t="shared" si="4"/>
        <v>952</v>
      </c>
      <c r="AH13" s="19">
        <f t="shared" si="5"/>
        <v>2001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 s="20">
        <f t="shared" si="6"/>
        <v>0</v>
      </c>
      <c r="AT13" s="20">
        <f t="shared" si="7"/>
        <v>0</v>
      </c>
      <c r="AU13" s="20">
        <f t="shared" si="8"/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 s="21">
        <f t="shared" si="9"/>
        <v>0</v>
      </c>
      <c r="CG13" s="21">
        <f t="shared" si="10"/>
        <v>0</v>
      </c>
      <c r="CH13" s="21">
        <f t="shared" si="11"/>
        <v>0</v>
      </c>
      <c r="CI13" s="21">
        <f t="shared" si="12"/>
        <v>0</v>
      </c>
      <c r="CJ13" s="21">
        <f t="shared" si="13"/>
        <v>0</v>
      </c>
      <c r="CK13" s="21">
        <f t="shared" si="13"/>
        <v>0</v>
      </c>
      <c r="CL13" s="21">
        <f t="shared" si="14"/>
        <v>0</v>
      </c>
      <c r="CM13" s="22">
        <f t="shared" si="15"/>
        <v>1049</v>
      </c>
      <c r="CN13" s="22">
        <f t="shared" si="15"/>
        <v>952</v>
      </c>
      <c r="CO13" s="22">
        <f t="shared" si="15"/>
        <v>2001</v>
      </c>
    </row>
    <row r="14" spans="1:93">
      <c r="A14" t="s">
        <v>135</v>
      </c>
      <c r="B14" t="s">
        <v>136</v>
      </c>
      <c r="C14" t="s">
        <v>137</v>
      </c>
      <c r="D14">
        <v>129383</v>
      </c>
      <c r="E14" t="s">
        <v>162</v>
      </c>
      <c r="F14" t="s">
        <v>163</v>
      </c>
      <c r="G14"/>
      <c r="H14" t="s">
        <v>140</v>
      </c>
      <c r="I14" t="s">
        <v>141</v>
      </c>
      <c r="J14" t="s">
        <v>142</v>
      </c>
      <c r="K14" t="s">
        <v>152</v>
      </c>
      <c r="L14" t="s">
        <v>144</v>
      </c>
      <c r="M14" t="s">
        <v>145</v>
      </c>
      <c r="N14" t="s">
        <v>146</v>
      </c>
      <c r="O14" s="4" t="s">
        <v>147</v>
      </c>
      <c r="P14">
        <v>48</v>
      </c>
      <c r="Q14">
        <v>49</v>
      </c>
      <c r="R14">
        <v>78</v>
      </c>
      <c r="S14">
        <v>80</v>
      </c>
      <c r="T14">
        <v>73</v>
      </c>
      <c r="U14">
        <v>77</v>
      </c>
      <c r="V14">
        <v>67</v>
      </c>
      <c r="W14">
        <v>72</v>
      </c>
      <c r="X14">
        <v>81</v>
      </c>
      <c r="Y14">
        <v>75</v>
      </c>
      <c r="Z14">
        <v>61</v>
      </c>
      <c r="AA14">
        <v>52</v>
      </c>
      <c r="AB14">
        <v>90</v>
      </c>
      <c r="AC14">
        <v>52</v>
      </c>
      <c r="AD14">
        <v>0</v>
      </c>
      <c r="AE14">
        <v>0</v>
      </c>
      <c r="AF14" s="19">
        <f t="shared" si="3"/>
        <v>498</v>
      </c>
      <c r="AG14" s="19">
        <f t="shared" si="4"/>
        <v>457</v>
      </c>
      <c r="AH14" s="19">
        <f t="shared" si="5"/>
        <v>955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s="20">
        <f t="shared" si="6"/>
        <v>0</v>
      </c>
      <c r="AT14" s="20">
        <f t="shared" si="7"/>
        <v>0</v>
      </c>
      <c r="AU14" s="20">
        <f t="shared" si="8"/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s="21">
        <f t="shared" si="9"/>
        <v>0</v>
      </c>
      <c r="CG14" s="21">
        <f t="shared" si="10"/>
        <v>0</v>
      </c>
      <c r="CH14" s="21">
        <f t="shared" si="11"/>
        <v>0</v>
      </c>
      <c r="CI14" s="21">
        <f t="shared" si="12"/>
        <v>0</v>
      </c>
      <c r="CJ14" s="21">
        <f t="shared" si="13"/>
        <v>0</v>
      </c>
      <c r="CK14" s="21">
        <f t="shared" si="13"/>
        <v>0</v>
      </c>
      <c r="CL14" s="21">
        <f t="shared" si="14"/>
        <v>0</v>
      </c>
      <c r="CM14" s="22">
        <f t="shared" si="15"/>
        <v>498</v>
      </c>
      <c r="CN14" s="22">
        <f t="shared" si="15"/>
        <v>457</v>
      </c>
      <c r="CO14" s="22">
        <f t="shared" si="15"/>
        <v>955</v>
      </c>
    </row>
    <row r="15" spans="1:93">
      <c r="A15" t="s">
        <v>135</v>
      </c>
      <c r="B15" t="s">
        <v>136</v>
      </c>
      <c r="C15" t="s">
        <v>137</v>
      </c>
      <c r="D15">
        <v>129384</v>
      </c>
      <c r="E15" t="s">
        <v>164</v>
      </c>
      <c r="F15" t="s">
        <v>165</v>
      </c>
      <c r="G15"/>
      <c r="H15" t="s">
        <v>140</v>
      </c>
      <c r="I15" t="s">
        <v>141</v>
      </c>
      <c r="J15" t="s">
        <v>142</v>
      </c>
      <c r="K15" t="s">
        <v>152</v>
      </c>
      <c r="L15" t="s">
        <v>144</v>
      </c>
      <c r="M15" t="s">
        <v>145</v>
      </c>
      <c r="N15" t="s">
        <v>146</v>
      </c>
      <c r="O15" s="4" t="s">
        <v>147</v>
      </c>
      <c r="P15">
        <v>6</v>
      </c>
      <c r="Q15">
        <v>7</v>
      </c>
      <c r="R15">
        <v>8</v>
      </c>
      <c r="S15">
        <v>5</v>
      </c>
      <c r="T15">
        <v>9</v>
      </c>
      <c r="U15">
        <v>5</v>
      </c>
      <c r="V15">
        <v>10</v>
      </c>
      <c r="W15">
        <v>7</v>
      </c>
      <c r="X15">
        <v>8</v>
      </c>
      <c r="Y15">
        <v>7</v>
      </c>
      <c r="Z15">
        <v>7</v>
      </c>
      <c r="AA15">
        <v>10</v>
      </c>
      <c r="AB15">
        <v>5</v>
      </c>
      <c r="AC15">
        <v>11</v>
      </c>
      <c r="AD15">
        <v>0</v>
      </c>
      <c r="AE15">
        <v>0</v>
      </c>
      <c r="AF15" s="19">
        <f t="shared" si="3"/>
        <v>53</v>
      </c>
      <c r="AG15" s="19">
        <f t="shared" si="4"/>
        <v>52</v>
      </c>
      <c r="AH15" s="19">
        <f t="shared" si="5"/>
        <v>105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 s="20">
        <f t="shared" si="6"/>
        <v>0</v>
      </c>
      <c r="AT15" s="20">
        <f t="shared" si="7"/>
        <v>0</v>
      </c>
      <c r="AU15" s="20">
        <f t="shared" si="8"/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 s="21">
        <f t="shared" si="9"/>
        <v>0</v>
      </c>
      <c r="CG15" s="21">
        <f t="shared" si="10"/>
        <v>0</v>
      </c>
      <c r="CH15" s="21">
        <f t="shared" si="11"/>
        <v>0</v>
      </c>
      <c r="CI15" s="21">
        <f t="shared" si="12"/>
        <v>0</v>
      </c>
      <c r="CJ15" s="21">
        <f t="shared" si="13"/>
        <v>0</v>
      </c>
      <c r="CK15" s="21">
        <f t="shared" si="13"/>
        <v>0</v>
      </c>
      <c r="CL15" s="21">
        <f t="shared" si="14"/>
        <v>0</v>
      </c>
      <c r="CM15" s="22">
        <f t="shared" si="15"/>
        <v>53</v>
      </c>
      <c r="CN15" s="22">
        <f t="shared" si="15"/>
        <v>52</v>
      </c>
      <c r="CO15" s="22">
        <f t="shared" si="15"/>
        <v>105</v>
      </c>
    </row>
    <row r="16" spans="1:93">
      <c r="A16" t="s">
        <v>135</v>
      </c>
      <c r="B16" t="s">
        <v>136</v>
      </c>
      <c r="C16" t="s">
        <v>137</v>
      </c>
      <c r="D16">
        <v>129385</v>
      </c>
      <c r="E16" t="s">
        <v>166</v>
      </c>
      <c r="F16" t="s">
        <v>167</v>
      </c>
      <c r="G16"/>
      <c r="H16" t="s">
        <v>140</v>
      </c>
      <c r="I16" t="s">
        <v>141</v>
      </c>
      <c r="J16" t="s">
        <v>142</v>
      </c>
      <c r="K16" t="s">
        <v>143</v>
      </c>
      <c r="L16" t="s">
        <v>144</v>
      </c>
      <c r="M16" t="s">
        <v>145</v>
      </c>
      <c r="N16" t="s">
        <v>146</v>
      </c>
      <c r="O16" s="4" t="s">
        <v>147</v>
      </c>
      <c r="P16">
        <v>63</v>
      </c>
      <c r="Q16">
        <v>59</v>
      </c>
      <c r="R16">
        <v>57</v>
      </c>
      <c r="S16">
        <v>52</v>
      </c>
      <c r="T16">
        <v>90</v>
      </c>
      <c r="U16">
        <v>60</v>
      </c>
      <c r="V16">
        <v>58</v>
      </c>
      <c r="W16">
        <v>55</v>
      </c>
      <c r="X16">
        <v>57</v>
      </c>
      <c r="Y16">
        <v>53</v>
      </c>
      <c r="Z16">
        <v>65</v>
      </c>
      <c r="AA16">
        <v>43</v>
      </c>
      <c r="AB16">
        <v>63</v>
      </c>
      <c r="AC16">
        <v>56</v>
      </c>
      <c r="AD16">
        <v>0</v>
      </c>
      <c r="AE16">
        <v>0</v>
      </c>
      <c r="AF16" s="19">
        <f t="shared" si="3"/>
        <v>453</v>
      </c>
      <c r="AG16" s="19">
        <f t="shared" si="4"/>
        <v>378</v>
      </c>
      <c r="AH16" s="19">
        <f t="shared" si="5"/>
        <v>831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 s="20">
        <f t="shared" si="6"/>
        <v>0</v>
      </c>
      <c r="AT16" s="20">
        <f t="shared" si="7"/>
        <v>0</v>
      </c>
      <c r="AU16" s="20">
        <f t="shared" si="8"/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s="21">
        <f t="shared" si="9"/>
        <v>0</v>
      </c>
      <c r="CG16" s="21">
        <f t="shared" si="10"/>
        <v>0</v>
      </c>
      <c r="CH16" s="21">
        <f t="shared" si="11"/>
        <v>0</v>
      </c>
      <c r="CI16" s="21">
        <f t="shared" si="12"/>
        <v>0</v>
      </c>
      <c r="CJ16" s="21">
        <f t="shared" si="13"/>
        <v>0</v>
      </c>
      <c r="CK16" s="21">
        <f t="shared" si="13"/>
        <v>0</v>
      </c>
      <c r="CL16" s="21">
        <f t="shared" si="14"/>
        <v>0</v>
      </c>
      <c r="CM16" s="22">
        <f t="shared" si="15"/>
        <v>453</v>
      </c>
      <c r="CN16" s="22">
        <f t="shared" si="15"/>
        <v>378</v>
      </c>
      <c r="CO16" s="22">
        <f t="shared" si="15"/>
        <v>831</v>
      </c>
    </row>
    <row r="17" spans="1:93">
      <c r="A17" t="s">
        <v>135</v>
      </c>
      <c r="B17" t="s">
        <v>136</v>
      </c>
      <c r="C17" t="s">
        <v>137</v>
      </c>
      <c r="D17">
        <v>129386</v>
      </c>
      <c r="E17" t="s">
        <v>168</v>
      </c>
      <c r="F17" t="s">
        <v>169</v>
      </c>
      <c r="G17"/>
      <c r="H17" t="s">
        <v>140</v>
      </c>
      <c r="I17" t="s">
        <v>141</v>
      </c>
      <c r="J17" t="s">
        <v>142</v>
      </c>
      <c r="K17" t="s">
        <v>155</v>
      </c>
      <c r="L17" t="s">
        <v>144</v>
      </c>
      <c r="M17" t="s">
        <v>145</v>
      </c>
      <c r="N17" t="s">
        <v>146</v>
      </c>
      <c r="O17" s="4" t="s">
        <v>147</v>
      </c>
      <c r="P17">
        <v>16</v>
      </c>
      <c r="Q17">
        <v>7</v>
      </c>
      <c r="R17">
        <v>11</v>
      </c>
      <c r="S17">
        <v>9</v>
      </c>
      <c r="T17">
        <v>19</v>
      </c>
      <c r="U17">
        <v>13</v>
      </c>
      <c r="V17">
        <v>10</v>
      </c>
      <c r="W17">
        <v>11</v>
      </c>
      <c r="X17">
        <v>12</v>
      </c>
      <c r="Y17">
        <v>11</v>
      </c>
      <c r="Z17">
        <v>10</v>
      </c>
      <c r="AA17">
        <v>11</v>
      </c>
      <c r="AB17">
        <v>10</v>
      </c>
      <c r="AC17">
        <v>10</v>
      </c>
      <c r="AD17">
        <v>0</v>
      </c>
      <c r="AE17">
        <v>0</v>
      </c>
      <c r="AF17" s="19">
        <f t="shared" si="3"/>
        <v>88</v>
      </c>
      <c r="AG17" s="19">
        <f t="shared" si="4"/>
        <v>72</v>
      </c>
      <c r="AH17" s="19">
        <f t="shared" si="5"/>
        <v>160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s="20">
        <f t="shared" si="6"/>
        <v>0</v>
      </c>
      <c r="AT17" s="20">
        <f t="shared" si="7"/>
        <v>0</v>
      </c>
      <c r="AU17" s="20">
        <f t="shared" si="8"/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 s="21">
        <f t="shared" si="9"/>
        <v>0</v>
      </c>
      <c r="CG17" s="21">
        <f t="shared" si="10"/>
        <v>0</v>
      </c>
      <c r="CH17" s="21">
        <f t="shared" si="11"/>
        <v>0</v>
      </c>
      <c r="CI17" s="21">
        <f t="shared" si="12"/>
        <v>0</v>
      </c>
      <c r="CJ17" s="21">
        <f t="shared" si="13"/>
        <v>0</v>
      </c>
      <c r="CK17" s="21">
        <f t="shared" si="13"/>
        <v>0</v>
      </c>
      <c r="CL17" s="21">
        <f t="shared" si="14"/>
        <v>0</v>
      </c>
      <c r="CM17" s="22">
        <f t="shared" si="15"/>
        <v>88</v>
      </c>
      <c r="CN17" s="22">
        <f t="shared" si="15"/>
        <v>72</v>
      </c>
      <c r="CO17" s="22">
        <f t="shared" si="15"/>
        <v>160</v>
      </c>
    </row>
    <row r="18" spans="1:93">
      <c r="A18" t="s">
        <v>135</v>
      </c>
      <c r="B18" t="s">
        <v>136</v>
      </c>
      <c r="C18" t="s">
        <v>137</v>
      </c>
      <c r="D18">
        <v>205504</v>
      </c>
      <c r="E18" t="s">
        <v>170</v>
      </c>
      <c r="F18" t="s">
        <v>159</v>
      </c>
      <c r="G18"/>
      <c r="H18" t="s">
        <v>140</v>
      </c>
      <c r="I18" t="s">
        <v>141</v>
      </c>
      <c r="J18" t="s">
        <v>142</v>
      </c>
      <c r="K18" t="s">
        <v>152</v>
      </c>
      <c r="L18" t="s">
        <v>144</v>
      </c>
      <c r="M18" t="s">
        <v>145</v>
      </c>
      <c r="N18" t="s">
        <v>146</v>
      </c>
      <c r="O18" s="4" t="s">
        <v>147</v>
      </c>
      <c r="P18">
        <v>63</v>
      </c>
      <c r="Q18">
        <v>60</v>
      </c>
      <c r="R18">
        <v>78</v>
      </c>
      <c r="S18">
        <v>71</v>
      </c>
      <c r="T18">
        <v>76</v>
      </c>
      <c r="U18">
        <v>65</v>
      </c>
      <c r="V18">
        <v>68</v>
      </c>
      <c r="W18">
        <v>61</v>
      </c>
      <c r="X18">
        <v>66</v>
      </c>
      <c r="Y18">
        <v>62</v>
      </c>
      <c r="Z18">
        <v>61</v>
      </c>
      <c r="AA18">
        <v>70</v>
      </c>
      <c r="AB18">
        <v>60</v>
      </c>
      <c r="AC18">
        <v>75</v>
      </c>
      <c r="AD18">
        <v>47</v>
      </c>
      <c r="AE18">
        <v>31</v>
      </c>
      <c r="AF18" s="19">
        <f t="shared" si="3"/>
        <v>519</v>
      </c>
      <c r="AG18" s="19">
        <f t="shared" si="4"/>
        <v>495</v>
      </c>
      <c r="AH18" s="19">
        <f t="shared" si="5"/>
        <v>1014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s="20">
        <f t="shared" si="6"/>
        <v>0</v>
      </c>
      <c r="AT18" s="20">
        <f t="shared" si="7"/>
        <v>0</v>
      </c>
      <c r="AU18" s="20">
        <f t="shared" si="8"/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 s="21">
        <f t="shared" si="9"/>
        <v>0</v>
      </c>
      <c r="CG18" s="21">
        <f t="shared" si="10"/>
        <v>0</v>
      </c>
      <c r="CH18" s="21">
        <f t="shared" si="11"/>
        <v>0</v>
      </c>
      <c r="CI18" s="21">
        <f t="shared" si="12"/>
        <v>0</v>
      </c>
      <c r="CJ18" s="21">
        <f t="shared" si="13"/>
        <v>0</v>
      </c>
      <c r="CK18" s="21">
        <f t="shared" si="13"/>
        <v>0</v>
      </c>
      <c r="CL18" s="21">
        <f t="shared" si="14"/>
        <v>0</v>
      </c>
      <c r="CM18" s="22">
        <f t="shared" si="15"/>
        <v>519</v>
      </c>
      <c r="CN18" s="22">
        <f t="shared" si="15"/>
        <v>495</v>
      </c>
      <c r="CO18" s="22">
        <f t="shared" si="15"/>
        <v>1014</v>
      </c>
    </row>
    <row r="19" spans="1:93">
      <c r="A19" t="s">
        <v>135</v>
      </c>
      <c r="B19" t="s">
        <v>136</v>
      </c>
      <c r="C19" t="s">
        <v>137</v>
      </c>
      <c r="D19">
        <v>304325</v>
      </c>
      <c r="E19" t="s">
        <v>171</v>
      </c>
      <c r="F19" t="s">
        <v>172</v>
      </c>
      <c r="G19"/>
      <c r="H19" t="s">
        <v>140</v>
      </c>
      <c r="I19" t="s">
        <v>141</v>
      </c>
      <c r="J19" t="s">
        <v>142</v>
      </c>
      <c r="K19" t="s">
        <v>155</v>
      </c>
      <c r="L19" t="s">
        <v>144</v>
      </c>
      <c r="M19" t="s">
        <v>145</v>
      </c>
      <c r="N19" t="s">
        <v>146</v>
      </c>
      <c r="O19" s="4" t="s">
        <v>173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s="19">
        <f t="shared" si="3"/>
        <v>0</v>
      </c>
      <c r="AG19" s="19">
        <f t="shared" si="4"/>
        <v>0</v>
      </c>
      <c r="AH19" s="19">
        <f t="shared" si="5"/>
        <v>0</v>
      </c>
      <c r="AI19">
        <v>410</v>
      </c>
      <c r="AJ19">
        <v>451</v>
      </c>
      <c r="AK19">
        <v>320</v>
      </c>
      <c r="AL19">
        <v>332</v>
      </c>
      <c r="AM19">
        <v>355</v>
      </c>
      <c r="AN19">
        <v>381</v>
      </c>
      <c r="AO19">
        <v>348</v>
      </c>
      <c r="AP19">
        <v>461</v>
      </c>
      <c r="AQ19">
        <v>0</v>
      </c>
      <c r="AR19">
        <v>0</v>
      </c>
      <c r="AS19" s="20">
        <f t="shared" si="6"/>
        <v>1433</v>
      </c>
      <c r="AT19" s="20">
        <f t="shared" si="7"/>
        <v>1625</v>
      </c>
      <c r="AU19" s="20">
        <f t="shared" si="8"/>
        <v>3058</v>
      </c>
      <c r="AV19">
        <v>31</v>
      </c>
      <c r="AW19">
        <v>50</v>
      </c>
      <c r="AX19">
        <v>57</v>
      </c>
      <c r="AY19">
        <v>114</v>
      </c>
      <c r="AZ19">
        <v>14</v>
      </c>
      <c r="BA19">
        <v>27</v>
      </c>
      <c r="BB19">
        <v>36</v>
      </c>
      <c r="BC19">
        <v>60</v>
      </c>
      <c r="BD19">
        <v>0</v>
      </c>
      <c r="BE19">
        <v>0</v>
      </c>
      <c r="BF19">
        <v>265</v>
      </c>
      <c r="BG19">
        <v>155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22</v>
      </c>
      <c r="BO19">
        <v>42</v>
      </c>
      <c r="BP19">
        <v>51</v>
      </c>
      <c r="BQ19">
        <v>140</v>
      </c>
      <c r="BR19">
        <v>15</v>
      </c>
      <c r="BS19">
        <v>30</v>
      </c>
      <c r="BT19">
        <v>45</v>
      </c>
      <c r="BU19">
        <v>53</v>
      </c>
      <c r="BV19">
        <v>0</v>
      </c>
      <c r="BW19">
        <v>0</v>
      </c>
      <c r="BX19">
        <v>248</v>
      </c>
      <c r="BY19">
        <v>179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 s="21">
        <f t="shared" si="9"/>
        <v>403</v>
      </c>
      <c r="CG19" s="21">
        <f t="shared" si="10"/>
        <v>406</v>
      </c>
      <c r="CH19" s="21">
        <f t="shared" si="11"/>
        <v>381</v>
      </c>
      <c r="CI19" s="21">
        <f t="shared" si="12"/>
        <v>444</v>
      </c>
      <c r="CJ19" s="21">
        <f t="shared" si="13"/>
        <v>784</v>
      </c>
      <c r="CK19" s="21">
        <f t="shared" si="13"/>
        <v>850</v>
      </c>
      <c r="CL19" s="21">
        <f t="shared" si="14"/>
        <v>1634</v>
      </c>
      <c r="CM19" s="22">
        <f t="shared" si="15"/>
        <v>2217</v>
      </c>
      <c r="CN19" s="22">
        <f t="shared" si="15"/>
        <v>2475</v>
      </c>
      <c r="CO19" s="22">
        <f t="shared" si="15"/>
        <v>4692</v>
      </c>
    </row>
    <row r="20" spans="1:93">
      <c r="A20" t="s">
        <v>135</v>
      </c>
      <c r="B20" t="s">
        <v>136</v>
      </c>
      <c r="C20" t="s">
        <v>137</v>
      </c>
      <c r="D20">
        <v>304326</v>
      </c>
      <c r="E20" t="s">
        <v>174</v>
      </c>
      <c r="F20" t="s">
        <v>175</v>
      </c>
      <c r="G20"/>
      <c r="H20" t="s">
        <v>140</v>
      </c>
      <c r="I20" t="s">
        <v>141</v>
      </c>
      <c r="J20" t="s">
        <v>142</v>
      </c>
      <c r="K20" t="s">
        <v>155</v>
      </c>
      <c r="L20" t="s">
        <v>144</v>
      </c>
      <c r="M20" t="s">
        <v>145</v>
      </c>
      <c r="N20" t="s">
        <v>176</v>
      </c>
      <c r="O20" s="4" t="s">
        <v>173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s="19">
        <f t="shared" si="3"/>
        <v>0</v>
      </c>
      <c r="AG20" s="19">
        <f t="shared" si="4"/>
        <v>0</v>
      </c>
      <c r="AH20" s="19">
        <f t="shared" si="5"/>
        <v>0</v>
      </c>
      <c r="AI20">
        <v>87</v>
      </c>
      <c r="AJ20">
        <v>63</v>
      </c>
      <c r="AK20">
        <v>102</v>
      </c>
      <c r="AL20">
        <v>79</v>
      </c>
      <c r="AM20">
        <v>75</v>
      </c>
      <c r="AN20">
        <v>61</v>
      </c>
      <c r="AO20">
        <v>73</v>
      </c>
      <c r="AP20">
        <v>71</v>
      </c>
      <c r="AQ20">
        <v>0</v>
      </c>
      <c r="AR20">
        <v>0</v>
      </c>
      <c r="AS20" s="20">
        <f t="shared" si="6"/>
        <v>337</v>
      </c>
      <c r="AT20" s="20">
        <f t="shared" si="7"/>
        <v>274</v>
      </c>
      <c r="AU20" s="20">
        <f t="shared" si="8"/>
        <v>611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135</v>
      </c>
      <c r="BG20">
        <v>120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125</v>
      </c>
      <c r="BY20">
        <v>72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 s="21">
        <f t="shared" si="9"/>
        <v>135</v>
      </c>
      <c r="CG20" s="21">
        <f t="shared" si="10"/>
        <v>120</v>
      </c>
      <c r="CH20" s="21">
        <f t="shared" si="11"/>
        <v>125</v>
      </c>
      <c r="CI20" s="21">
        <f t="shared" si="12"/>
        <v>72</v>
      </c>
      <c r="CJ20" s="21">
        <f t="shared" si="13"/>
        <v>260</v>
      </c>
      <c r="CK20" s="21">
        <f t="shared" si="13"/>
        <v>192</v>
      </c>
      <c r="CL20" s="21">
        <f t="shared" si="14"/>
        <v>452</v>
      </c>
      <c r="CM20" s="22">
        <f t="shared" si="15"/>
        <v>597</v>
      </c>
      <c r="CN20" s="22">
        <f t="shared" si="15"/>
        <v>466</v>
      </c>
      <c r="CO20" s="22">
        <f t="shared" si="15"/>
        <v>1063</v>
      </c>
    </row>
    <row r="21" spans="1:93">
      <c r="A21" t="s">
        <v>135</v>
      </c>
      <c r="B21" t="s">
        <v>136</v>
      </c>
      <c r="C21" t="s">
        <v>137</v>
      </c>
      <c r="D21">
        <v>325104</v>
      </c>
      <c r="E21" t="s">
        <v>177</v>
      </c>
      <c r="F21" t="s">
        <v>178</v>
      </c>
      <c r="G21"/>
      <c r="H21" t="s">
        <v>140</v>
      </c>
      <c r="I21" t="s">
        <v>141</v>
      </c>
      <c r="J21" t="s">
        <v>142</v>
      </c>
      <c r="K21" t="s">
        <v>143</v>
      </c>
      <c r="L21" t="s">
        <v>144</v>
      </c>
      <c r="M21" t="s">
        <v>145</v>
      </c>
      <c r="N21" t="s">
        <v>146</v>
      </c>
      <c r="O21" s="4" t="s">
        <v>173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s="19">
        <f t="shared" si="3"/>
        <v>0</v>
      </c>
      <c r="AG21" s="19">
        <f t="shared" si="4"/>
        <v>0</v>
      </c>
      <c r="AH21" s="19">
        <f t="shared" si="5"/>
        <v>0</v>
      </c>
      <c r="AI21">
        <v>84</v>
      </c>
      <c r="AJ21">
        <v>84</v>
      </c>
      <c r="AK21">
        <v>61</v>
      </c>
      <c r="AL21">
        <v>47</v>
      </c>
      <c r="AM21">
        <v>68</v>
      </c>
      <c r="AN21">
        <v>75</v>
      </c>
      <c r="AO21">
        <v>56</v>
      </c>
      <c r="AP21">
        <v>81</v>
      </c>
      <c r="AQ21">
        <v>0</v>
      </c>
      <c r="AR21">
        <v>0</v>
      </c>
      <c r="AS21" s="20">
        <f t="shared" si="6"/>
        <v>269</v>
      </c>
      <c r="AT21" s="20">
        <f t="shared" si="7"/>
        <v>287</v>
      </c>
      <c r="AU21" s="20">
        <f t="shared" si="8"/>
        <v>556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65</v>
      </c>
      <c r="BC21">
        <v>52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48</v>
      </c>
      <c r="BU21">
        <v>59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 s="21">
        <f t="shared" si="9"/>
        <v>65</v>
      </c>
      <c r="CG21" s="21">
        <f t="shared" si="10"/>
        <v>52</v>
      </c>
      <c r="CH21" s="21">
        <f t="shared" si="11"/>
        <v>48</v>
      </c>
      <c r="CI21" s="21">
        <f t="shared" si="12"/>
        <v>59</v>
      </c>
      <c r="CJ21" s="21">
        <f t="shared" si="13"/>
        <v>113</v>
      </c>
      <c r="CK21" s="21">
        <f t="shared" si="13"/>
        <v>111</v>
      </c>
      <c r="CL21" s="21">
        <f t="shared" si="14"/>
        <v>224</v>
      </c>
      <c r="CM21" s="22">
        <f t="shared" si="15"/>
        <v>382</v>
      </c>
      <c r="CN21" s="22">
        <f t="shared" si="15"/>
        <v>398</v>
      </c>
      <c r="CO21" s="22">
        <f t="shared" si="15"/>
        <v>780</v>
      </c>
    </row>
    <row r="22" spans="1:93">
      <c r="A22" t="s">
        <v>135</v>
      </c>
      <c r="B22" t="s">
        <v>136</v>
      </c>
      <c r="C22" t="s">
        <v>137</v>
      </c>
      <c r="D22">
        <v>405423</v>
      </c>
      <c r="E22" t="s">
        <v>179</v>
      </c>
      <c r="F22" t="s">
        <v>180</v>
      </c>
      <c r="G22"/>
      <c r="H22" t="s">
        <v>140</v>
      </c>
      <c r="I22" t="s">
        <v>141</v>
      </c>
      <c r="J22" t="s">
        <v>142</v>
      </c>
      <c r="K22" t="s">
        <v>152</v>
      </c>
      <c r="L22" t="s">
        <v>181</v>
      </c>
      <c r="M22" t="s">
        <v>182</v>
      </c>
      <c r="N22" t="s">
        <v>146</v>
      </c>
      <c r="O22" s="4" t="s">
        <v>183</v>
      </c>
      <c r="P22">
        <v>30</v>
      </c>
      <c r="Q22">
        <v>28</v>
      </c>
      <c r="R22">
        <v>47</v>
      </c>
      <c r="S22">
        <v>40</v>
      </c>
      <c r="T22">
        <v>48</v>
      </c>
      <c r="U22">
        <v>37</v>
      </c>
      <c r="V22">
        <v>45</v>
      </c>
      <c r="W22">
        <v>36</v>
      </c>
      <c r="X22">
        <v>40</v>
      </c>
      <c r="Y22">
        <v>39</v>
      </c>
      <c r="Z22">
        <v>45</v>
      </c>
      <c r="AA22">
        <v>40</v>
      </c>
      <c r="AB22">
        <v>46</v>
      </c>
      <c r="AC22">
        <v>52</v>
      </c>
      <c r="AD22">
        <v>0</v>
      </c>
      <c r="AE22">
        <v>0</v>
      </c>
      <c r="AF22" s="19">
        <f t="shared" si="3"/>
        <v>301</v>
      </c>
      <c r="AG22" s="19">
        <f t="shared" si="4"/>
        <v>272</v>
      </c>
      <c r="AH22" s="19">
        <f t="shared" si="5"/>
        <v>573</v>
      </c>
      <c r="AI22">
        <v>63</v>
      </c>
      <c r="AJ22">
        <v>72</v>
      </c>
      <c r="AK22">
        <v>61</v>
      </c>
      <c r="AL22">
        <v>63</v>
      </c>
      <c r="AM22">
        <v>67</v>
      </c>
      <c r="AN22">
        <v>70</v>
      </c>
      <c r="AO22">
        <v>43</v>
      </c>
      <c r="AP22">
        <v>58</v>
      </c>
      <c r="AQ22">
        <v>0</v>
      </c>
      <c r="AR22">
        <v>0</v>
      </c>
      <c r="AS22" s="20">
        <f t="shared" si="6"/>
        <v>234</v>
      </c>
      <c r="AT22" s="20">
        <f t="shared" si="7"/>
        <v>263</v>
      </c>
      <c r="AU22" s="20">
        <f t="shared" si="8"/>
        <v>497</v>
      </c>
      <c r="AV22">
        <v>11</v>
      </c>
      <c r="AW22">
        <v>23</v>
      </c>
      <c r="AX22">
        <v>32</v>
      </c>
      <c r="AY22">
        <v>23</v>
      </c>
      <c r="AZ22">
        <v>27</v>
      </c>
      <c r="BA22">
        <v>43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34</v>
      </c>
      <c r="BO22">
        <v>8</v>
      </c>
      <c r="BP22">
        <v>28</v>
      </c>
      <c r="BQ22">
        <v>32</v>
      </c>
      <c r="BR22">
        <v>21</v>
      </c>
      <c r="BS22">
        <v>31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 s="21">
        <f t="shared" si="9"/>
        <v>70</v>
      </c>
      <c r="CG22" s="21">
        <f t="shared" si="10"/>
        <v>89</v>
      </c>
      <c r="CH22" s="21">
        <f t="shared" si="11"/>
        <v>83</v>
      </c>
      <c r="CI22" s="21">
        <f t="shared" si="12"/>
        <v>71</v>
      </c>
      <c r="CJ22" s="21">
        <f t="shared" si="13"/>
        <v>153</v>
      </c>
      <c r="CK22" s="21">
        <f t="shared" si="13"/>
        <v>160</v>
      </c>
      <c r="CL22" s="21">
        <f t="shared" si="14"/>
        <v>313</v>
      </c>
      <c r="CM22" s="22">
        <f t="shared" si="15"/>
        <v>688</v>
      </c>
      <c r="CN22" s="22">
        <f t="shared" si="15"/>
        <v>695</v>
      </c>
      <c r="CO22" s="22">
        <f t="shared" si="15"/>
        <v>1383</v>
      </c>
    </row>
    <row r="23" spans="1:93">
      <c r="A23" t="s">
        <v>135</v>
      </c>
      <c r="B23" t="s">
        <v>136</v>
      </c>
      <c r="C23" t="s">
        <v>137</v>
      </c>
      <c r="D23">
        <v>405424</v>
      </c>
      <c r="E23" t="s">
        <v>184</v>
      </c>
      <c r="F23" t="s">
        <v>159</v>
      </c>
      <c r="G23"/>
      <c r="H23" t="s">
        <v>140</v>
      </c>
      <c r="I23" t="s">
        <v>141</v>
      </c>
      <c r="J23" t="s">
        <v>142</v>
      </c>
      <c r="K23" t="s">
        <v>155</v>
      </c>
      <c r="L23" t="s">
        <v>181</v>
      </c>
      <c r="M23" t="s">
        <v>182</v>
      </c>
      <c r="N23" t="s">
        <v>146</v>
      </c>
      <c r="O23" s="4" t="s">
        <v>173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s="19">
        <f t="shared" si="3"/>
        <v>0</v>
      </c>
      <c r="AG23" s="19">
        <f t="shared" si="4"/>
        <v>0</v>
      </c>
      <c r="AH23" s="19">
        <f t="shared" si="5"/>
        <v>0</v>
      </c>
      <c r="AI23">
        <v>17</v>
      </c>
      <c r="AJ23">
        <v>19</v>
      </c>
      <c r="AK23">
        <v>10</v>
      </c>
      <c r="AL23">
        <v>11</v>
      </c>
      <c r="AM23">
        <v>13</v>
      </c>
      <c r="AN23">
        <v>10</v>
      </c>
      <c r="AO23">
        <v>18</v>
      </c>
      <c r="AP23">
        <v>12</v>
      </c>
      <c r="AQ23">
        <v>0</v>
      </c>
      <c r="AR23">
        <v>0</v>
      </c>
      <c r="AS23" s="20">
        <f t="shared" si="6"/>
        <v>58</v>
      </c>
      <c r="AT23" s="20">
        <f t="shared" si="7"/>
        <v>52</v>
      </c>
      <c r="AU23" s="20">
        <f t="shared" si="8"/>
        <v>110</v>
      </c>
      <c r="AV23">
        <v>0</v>
      </c>
      <c r="AW23">
        <v>3</v>
      </c>
      <c r="AX23">
        <v>7</v>
      </c>
      <c r="AY23">
        <v>2</v>
      </c>
      <c r="AZ23">
        <v>2</v>
      </c>
      <c r="BA23">
        <v>6</v>
      </c>
      <c r="BB23">
        <v>11</v>
      </c>
      <c r="BC23">
        <v>5</v>
      </c>
      <c r="BD23">
        <v>0</v>
      </c>
      <c r="BE23">
        <v>0</v>
      </c>
      <c r="BF23">
        <v>8</v>
      </c>
      <c r="BG23">
        <v>5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2</v>
      </c>
      <c r="BQ23">
        <v>2</v>
      </c>
      <c r="BR23">
        <v>3</v>
      </c>
      <c r="BS23">
        <v>3</v>
      </c>
      <c r="BT23">
        <v>10</v>
      </c>
      <c r="BU23">
        <v>1</v>
      </c>
      <c r="BV23">
        <v>0</v>
      </c>
      <c r="BW23">
        <v>0</v>
      </c>
      <c r="BX23">
        <v>7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s="21">
        <f t="shared" si="9"/>
        <v>28</v>
      </c>
      <c r="CG23" s="21">
        <f t="shared" si="10"/>
        <v>21</v>
      </c>
      <c r="CH23" s="21">
        <f t="shared" si="11"/>
        <v>22</v>
      </c>
      <c r="CI23" s="21">
        <f t="shared" si="12"/>
        <v>11</v>
      </c>
      <c r="CJ23" s="21">
        <f t="shared" si="13"/>
        <v>50</v>
      </c>
      <c r="CK23" s="21">
        <f t="shared" si="13"/>
        <v>32</v>
      </c>
      <c r="CL23" s="21">
        <f t="shared" si="14"/>
        <v>82</v>
      </c>
      <c r="CM23" s="22">
        <f t="shared" si="15"/>
        <v>108</v>
      </c>
      <c r="CN23" s="22">
        <f t="shared" si="15"/>
        <v>84</v>
      </c>
      <c r="CO23" s="22">
        <f t="shared" si="15"/>
        <v>192</v>
      </c>
    </row>
    <row r="24" spans="1:93">
      <c r="A24" t="s">
        <v>135</v>
      </c>
      <c r="B24" t="s">
        <v>136</v>
      </c>
      <c r="C24" t="s">
        <v>137</v>
      </c>
      <c r="D24">
        <v>405426</v>
      </c>
      <c r="E24" t="s">
        <v>185</v>
      </c>
      <c r="F24" t="s">
        <v>186</v>
      </c>
      <c r="G24"/>
      <c r="H24" t="s">
        <v>140</v>
      </c>
      <c r="I24" t="s">
        <v>141</v>
      </c>
      <c r="J24" t="s">
        <v>142</v>
      </c>
      <c r="K24" t="s">
        <v>152</v>
      </c>
      <c r="L24" t="s">
        <v>181</v>
      </c>
      <c r="M24" t="s">
        <v>182</v>
      </c>
      <c r="N24" t="s">
        <v>146</v>
      </c>
      <c r="O24" s="4" t="s">
        <v>187</v>
      </c>
      <c r="P24">
        <v>21</v>
      </c>
      <c r="Q24">
        <v>12</v>
      </c>
      <c r="R24">
        <v>18</v>
      </c>
      <c r="S24">
        <v>22</v>
      </c>
      <c r="T24">
        <v>13</v>
      </c>
      <c r="U24">
        <v>13</v>
      </c>
      <c r="V24">
        <v>17</v>
      </c>
      <c r="W24">
        <v>8</v>
      </c>
      <c r="X24">
        <v>11</v>
      </c>
      <c r="Y24">
        <v>9</v>
      </c>
      <c r="Z24">
        <v>12</v>
      </c>
      <c r="AA24">
        <v>5</v>
      </c>
      <c r="AB24">
        <v>19</v>
      </c>
      <c r="AC24">
        <v>11</v>
      </c>
      <c r="AD24">
        <v>0</v>
      </c>
      <c r="AE24">
        <v>0</v>
      </c>
      <c r="AF24" s="19">
        <f t="shared" si="3"/>
        <v>111</v>
      </c>
      <c r="AG24" s="19">
        <f t="shared" si="4"/>
        <v>80</v>
      </c>
      <c r="AH24" s="19">
        <f t="shared" si="5"/>
        <v>191</v>
      </c>
      <c r="AI24">
        <v>2</v>
      </c>
      <c r="AJ24">
        <v>3</v>
      </c>
      <c r="AK24">
        <v>4</v>
      </c>
      <c r="AL24">
        <v>3</v>
      </c>
      <c r="AM24">
        <v>2</v>
      </c>
      <c r="AN24">
        <v>3</v>
      </c>
      <c r="AO24">
        <v>4</v>
      </c>
      <c r="AP24">
        <v>3</v>
      </c>
      <c r="AQ24">
        <v>0</v>
      </c>
      <c r="AR24">
        <v>0</v>
      </c>
      <c r="AS24" s="20">
        <f t="shared" si="6"/>
        <v>12</v>
      </c>
      <c r="AT24" s="20">
        <f t="shared" si="7"/>
        <v>12</v>
      </c>
      <c r="AU24" s="20">
        <f t="shared" si="8"/>
        <v>24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 s="21">
        <f t="shared" si="9"/>
        <v>0</v>
      </c>
      <c r="CG24" s="21">
        <f t="shared" si="10"/>
        <v>0</v>
      </c>
      <c r="CH24" s="21">
        <f t="shared" si="11"/>
        <v>0</v>
      </c>
      <c r="CI24" s="21">
        <f t="shared" si="12"/>
        <v>0</v>
      </c>
      <c r="CJ24" s="21">
        <f t="shared" si="13"/>
        <v>0</v>
      </c>
      <c r="CK24" s="21">
        <f t="shared" si="13"/>
        <v>0</v>
      </c>
      <c r="CL24" s="21">
        <f t="shared" si="14"/>
        <v>0</v>
      </c>
      <c r="CM24" s="22">
        <f t="shared" si="15"/>
        <v>123</v>
      </c>
      <c r="CN24" s="22">
        <f t="shared" si="15"/>
        <v>92</v>
      </c>
      <c r="CO24" s="22">
        <f t="shared" si="15"/>
        <v>215</v>
      </c>
    </row>
    <row r="25" spans="1:93">
      <c r="A25" t="s">
        <v>135</v>
      </c>
      <c r="B25" t="s">
        <v>136</v>
      </c>
      <c r="C25" t="s">
        <v>137</v>
      </c>
      <c r="D25">
        <v>405812</v>
      </c>
      <c r="E25" t="s">
        <v>188</v>
      </c>
      <c r="F25" t="s">
        <v>189</v>
      </c>
      <c r="G25"/>
      <c r="H25" t="s">
        <v>140</v>
      </c>
      <c r="I25" t="s">
        <v>141</v>
      </c>
      <c r="J25" t="s">
        <v>142</v>
      </c>
      <c r="K25" t="s">
        <v>190</v>
      </c>
      <c r="L25" t="s">
        <v>181</v>
      </c>
      <c r="M25" t="s">
        <v>191</v>
      </c>
      <c r="N25" t="s">
        <v>146</v>
      </c>
      <c r="O25" s="4" t="s">
        <v>192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s="19">
        <f t="shared" si="3"/>
        <v>0</v>
      </c>
      <c r="AG25" s="19">
        <f t="shared" si="4"/>
        <v>0</v>
      </c>
      <c r="AH25" s="19">
        <f t="shared" si="5"/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 s="20">
        <f t="shared" si="6"/>
        <v>0</v>
      </c>
      <c r="AT25" s="20">
        <f t="shared" si="7"/>
        <v>0</v>
      </c>
      <c r="AU25" s="20">
        <f t="shared" si="8"/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59</v>
      </c>
      <c r="BG25">
        <v>12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61</v>
      </c>
      <c r="BY25">
        <v>15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s="21">
        <f t="shared" si="9"/>
        <v>59</v>
      </c>
      <c r="CG25" s="21">
        <f t="shared" si="10"/>
        <v>12</v>
      </c>
      <c r="CH25" s="21">
        <f t="shared" si="11"/>
        <v>61</v>
      </c>
      <c r="CI25" s="21">
        <f t="shared" si="12"/>
        <v>15</v>
      </c>
      <c r="CJ25" s="21">
        <f t="shared" si="13"/>
        <v>120</v>
      </c>
      <c r="CK25" s="21">
        <f t="shared" si="13"/>
        <v>27</v>
      </c>
      <c r="CL25" s="21">
        <f t="shared" si="14"/>
        <v>147</v>
      </c>
      <c r="CM25" s="22">
        <f t="shared" si="15"/>
        <v>120</v>
      </c>
      <c r="CN25" s="22">
        <f t="shared" si="15"/>
        <v>27</v>
      </c>
      <c r="CO25" s="22">
        <f t="shared" si="15"/>
        <v>147</v>
      </c>
    </row>
    <row r="26" spans="1:93">
      <c r="A26" t="s">
        <v>135</v>
      </c>
      <c r="B26" t="s">
        <v>136</v>
      </c>
      <c r="C26" t="s">
        <v>137</v>
      </c>
      <c r="D26">
        <v>407899</v>
      </c>
      <c r="E26" t="s">
        <v>193</v>
      </c>
      <c r="F26" t="s">
        <v>194</v>
      </c>
      <c r="G26"/>
      <c r="H26" t="s">
        <v>140</v>
      </c>
      <c r="I26" t="s">
        <v>141</v>
      </c>
      <c r="J26" t="s">
        <v>142</v>
      </c>
      <c r="K26" t="s">
        <v>155</v>
      </c>
      <c r="L26" t="s">
        <v>181</v>
      </c>
      <c r="M26" t="s">
        <v>182</v>
      </c>
      <c r="N26" t="s">
        <v>146</v>
      </c>
      <c r="O26" s="4" t="s">
        <v>183</v>
      </c>
      <c r="P26">
        <v>0</v>
      </c>
      <c r="Q26">
        <v>2</v>
      </c>
      <c r="R26">
        <v>1</v>
      </c>
      <c r="S26">
        <v>3</v>
      </c>
      <c r="T26">
        <v>0</v>
      </c>
      <c r="U26">
        <v>3</v>
      </c>
      <c r="V26">
        <v>1</v>
      </c>
      <c r="W26">
        <v>0</v>
      </c>
      <c r="X26">
        <v>1</v>
      </c>
      <c r="Y26">
        <v>2</v>
      </c>
      <c r="Z26">
        <v>1</v>
      </c>
      <c r="AA26">
        <v>1</v>
      </c>
      <c r="AB26">
        <v>2</v>
      </c>
      <c r="AC26">
        <v>0</v>
      </c>
      <c r="AD26">
        <v>0</v>
      </c>
      <c r="AE26">
        <v>0</v>
      </c>
      <c r="AF26" s="19">
        <f t="shared" si="3"/>
        <v>6</v>
      </c>
      <c r="AG26" s="19">
        <f t="shared" si="4"/>
        <v>11</v>
      </c>
      <c r="AH26" s="19">
        <f t="shared" si="5"/>
        <v>17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s="20">
        <f t="shared" si="6"/>
        <v>0</v>
      </c>
      <c r="AT26" s="20">
        <f t="shared" si="7"/>
        <v>0</v>
      </c>
      <c r="AU26" s="20">
        <f t="shared" si="8"/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6</v>
      </c>
      <c r="BG26">
        <v>12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4</v>
      </c>
      <c r="BY26">
        <v>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 s="21">
        <f t="shared" si="9"/>
        <v>6</v>
      </c>
      <c r="CG26" s="21">
        <f t="shared" si="10"/>
        <v>12</v>
      </c>
      <c r="CH26" s="21">
        <f t="shared" si="11"/>
        <v>4</v>
      </c>
      <c r="CI26" s="21">
        <f t="shared" si="12"/>
        <v>3</v>
      </c>
      <c r="CJ26" s="21">
        <f t="shared" si="13"/>
        <v>10</v>
      </c>
      <c r="CK26" s="21">
        <f t="shared" si="13"/>
        <v>15</v>
      </c>
      <c r="CL26" s="21">
        <f t="shared" si="14"/>
        <v>25</v>
      </c>
      <c r="CM26" s="22">
        <f t="shared" si="15"/>
        <v>16</v>
      </c>
      <c r="CN26" s="22">
        <f t="shared" si="15"/>
        <v>26</v>
      </c>
      <c r="CO26" s="22">
        <f t="shared" si="15"/>
        <v>42</v>
      </c>
    </row>
    <row r="27" spans="1:93">
      <c r="A27" t="s">
        <v>135</v>
      </c>
      <c r="B27" t="s">
        <v>136</v>
      </c>
      <c r="C27" t="s">
        <v>137</v>
      </c>
      <c r="D27">
        <v>410494</v>
      </c>
      <c r="E27" t="s">
        <v>195</v>
      </c>
      <c r="F27" t="s">
        <v>196</v>
      </c>
      <c r="G27"/>
      <c r="H27" t="s">
        <v>140</v>
      </c>
      <c r="I27" t="s">
        <v>141</v>
      </c>
      <c r="J27" t="s">
        <v>197</v>
      </c>
      <c r="K27" t="s">
        <v>190</v>
      </c>
      <c r="L27" t="s">
        <v>181</v>
      </c>
      <c r="M27" t="s">
        <v>191</v>
      </c>
      <c r="N27" t="s">
        <v>146</v>
      </c>
      <c r="O27" s="4" t="s">
        <v>192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s="19">
        <f t="shared" si="3"/>
        <v>0</v>
      </c>
      <c r="AG27" s="19">
        <f t="shared" si="4"/>
        <v>0</v>
      </c>
      <c r="AH27" s="19">
        <f t="shared" si="5"/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 s="20">
        <f t="shared" si="6"/>
        <v>0</v>
      </c>
      <c r="AT27" s="20">
        <f t="shared" si="7"/>
        <v>0</v>
      </c>
      <c r="AU27" s="20">
        <f t="shared" si="8"/>
        <v>0</v>
      </c>
      <c r="AV27">
        <v>1</v>
      </c>
      <c r="AW27">
        <v>4</v>
      </c>
      <c r="AX27">
        <v>3</v>
      </c>
      <c r="AY27">
        <v>8</v>
      </c>
      <c r="AZ27">
        <v>0</v>
      </c>
      <c r="BA27">
        <v>0</v>
      </c>
      <c r="BB27">
        <v>9</v>
      </c>
      <c r="BC27">
        <v>3</v>
      </c>
      <c r="BD27">
        <v>0</v>
      </c>
      <c r="BE27">
        <v>0</v>
      </c>
      <c r="BF27">
        <v>7</v>
      </c>
      <c r="BG27">
        <v>18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6</v>
      </c>
      <c r="BP27">
        <v>3</v>
      </c>
      <c r="BQ27">
        <v>7</v>
      </c>
      <c r="BR27">
        <v>0</v>
      </c>
      <c r="BS27">
        <v>0</v>
      </c>
      <c r="BT27">
        <v>3</v>
      </c>
      <c r="BU27">
        <v>5</v>
      </c>
      <c r="BV27">
        <v>0</v>
      </c>
      <c r="BW27">
        <v>0</v>
      </c>
      <c r="BX27">
        <v>8</v>
      </c>
      <c r="BY27">
        <v>12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s="21">
        <f t="shared" si="9"/>
        <v>20</v>
      </c>
      <c r="CG27" s="21">
        <f t="shared" si="10"/>
        <v>33</v>
      </c>
      <c r="CH27" s="21">
        <f t="shared" si="11"/>
        <v>14</v>
      </c>
      <c r="CI27" s="21">
        <f t="shared" si="12"/>
        <v>30</v>
      </c>
      <c r="CJ27" s="21">
        <f t="shared" si="13"/>
        <v>34</v>
      </c>
      <c r="CK27" s="21">
        <f t="shared" si="13"/>
        <v>63</v>
      </c>
      <c r="CL27" s="21">
        <f t="shared" si="14"/>
        <v>97</v>
      </c>
      <c r="CM27" s="22">
        <f t="shared" si="15"/>
        <v>34</v>
      </c>
      <c r="CN27" s="22">
        <f t="shared" si="15"/>
        <v>63</v>
      </c>
      <c r="CO27" s="22">
        <f t="shared" si="15"/>
        <v>97</v>
      </c>
    </row>
    <row r="28" spans="1:93">
      <c r="A28" t="s">
        <v>135</v>
      </c>
      <c r="B28" t="s">
        <v>136</v>
      </c>
      <c r="C28" t="s">
        <v>137</v>
      </c>
      <c r="D28">
        <v>410843</v>
      </c>
      <c r="E28" t="s">
        <v>198</v>
      </c>
      <c r="F28" t="s">
        <v>199</v>
      </c>
      <c r="G28"/>
      <c r="H28" t="s">
        <v>140</v>
      </c>
      <c r="I28" t="s">
        <v>141</v>
      </c>
      <c r="J28" t="s">
        <v>142</v>
      </c>
      <c r="K28" t="s">
        <v>155</v>
      </c>
      <c r="L28" t="s">
        <v>181</v>
      </c>
      <c r="M28" t="s">
        <v>191</v>
      </c>
      <c r="N28" t="s">
        <v>146</v>
      </c>
      <c r="O28" s="4" t="s">
        <v>192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s="19">
        <f t="shared" si="3"/>
        <v>0</v>
      </c>
      <c r="AG28" s="19">
        <f t="shared" si="4"/>
        <v>0</v>
      </c>
      <c r="AH28" s="19">
        <f t="shared" si="5"/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 s="20">
        <f t="shared" si="6"/>
        <v>0</v>
      </c>
      <c r="AT28" s="20">
        <f t="shared" si="7"/>
        <v>0</v>
      </c>
      <c r="AU28" s="20">
        <f t="shared" si="8"/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38</v>
      </c>
      <c r="BY28">
        <v>44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 s="21">
        <f t="shared" si="9"/>
        <v>0</v>
      </c>
      <c r="CG28" s="21">
        <f t="shared" si="10"/>
        <v>0</v>
      </c>
      <c r="CH28" s="21">
        <f t="shared" si="11"/>
        <v>38</v>
      </c>
      <c r="CI28" s="21">
        <f t="shared" si="12"/>
        <v>44</v>
      </c>
      <c r="CJ28" s="21">
        <f t="shared" si="13"/>
        <v>38</v>
      </c>
      <c r="CK28" s="21">
        <f t="shared" si="13"/>
        <v>44</v>
      </c>
      <c r="CL28" s="21">
        <f t="shared" si="14"/>
        <v>82</v>
      </c>
      <c r="CM28" s="22">
        <f t="shared" si="15"/>
        <v>38</v>
      </c>
      <c r="CN28" s="22">
        <f t="shared" si="15"/>
        <v>44</v>
      </c>
      <c r="CO28" s="22">
        <f t="shared" si="15"/>
        <v>82</v>
      </c>
    </row>
    <row r="29" spans="1:93">
      <c r="A29" t="s">
        <v>135</v>
      </c>
      <c r="B29" t="s">
        <v>136</v>
      </c>
      <c r="C29" t="s">
        <v>137</v>
      </c>
      <c r="D29">
        <v>465506</v>
      </c>
      <c r="E29" t="s">
        <v>200</v>
      </c>
      <c r="F29" t="s">
        <v>201</v>
      </c>
      <c r="G29"/>
      <c r="H29" t="s">
        <v>140</v>
      </c>
      <c r="I29" t="s">
        <v>141</v>
      </c>
      <c r="J29" t="s">
        <v>142</v>
      </c>
      <c r="K29" t="s">
        <v>155</v>
      </c>
      <c r="L29" t="s">
        <v>181</v>
      </c>
      <c r="M29" t="s">
        <v>191</v>
      </c>
      <c r="N29" t="s">
        <v>146</v>
      </c>
      <c r="O29" s="4" t="s">
        <v>183</v>
      </c>
      <c r="P29">
        <v>11</v>
      </c>
      <c r="Q29">
        <v>15</v>
      </c>
      <c r="R29">
        <v>13</v>
      </c>
      <c r="S29">
        <v>14</v>
      </c>
      <c r="T29">
        <v>13</v>
      </c>
      <c r="U29">
        <v>6</v>
      </c>
      <c r="V29">
        <v>12</v>
      </c>
      <c r="W29">
        <v>13</v>
      </c>
      <c r="X29">
        <v>9</v>
      </c>
      <c r="Y29">
        <v>10</v>
      </c>
      <c r="Z29">
        <v>9</v>
      </c>
      <c r="AA29">
        <v>10</v>
      </c>
      <c r="AB29">
        <v>10</v>
      </c>
      <c r="AC29">
        <v>17</v>
      </c>
      <c r="AD29">
        <v>0</v>
      </c>
      <c r="AE29">
        <v>0</v>
      </c>
      <c r="AF29" s="19">
        <f t="shared" si="3"/>
        <v>77</v>
      </c>
      <c r="AG29" s="19">
        <f t="shared" si="4"/>
        <v>85</v>
      </c>
      <c r="AH29" s="19">
        <f t="shared" si="5"/>
        <v>162</v>
      </c>
      <c r="AI29">
        <v>26</v>
      </c>
      <c r="AJ29">
        <v>18</v>
      </c>
      <c r="AK29">
        <v>22</v>
      </c>
      <c r="AL29">
        <v>7</v>
      </c>
      <c r="AM29">
        <v>8</v>
      </c>
      <c r="AN29">
        <v>14</v>
      </c>
      <c r="AO29">
        <v>20</v>
      </c>
      <c r="AP29">
        <v>12</v>
      </c>
      <c r="AQ29">
        <v>0</v>
      </c>
      <c r="AR29">
        <v>0</v>
      </c>
      <c r="AS29" s="20">
        <f t="shared" si="6"/>
        <v>76</v>
      </c>
      <c r="AT29" s="20">
        <f t="shared" si="7"/>
        <v>51</v>
      </c>
      <c r="AU29" s="20">
        <f t="shared" si="8"/>
        <v>127</v>
      </c>
      <c r="AV29">
        <v>1</v>
      </c>
      <c r="AW29">
        <v>6</v>
      </c>
      <c r="AX29">
        <v>17</v>
      </c>
      <c r="AY29">
        <v>12</v>
      </c>
      <c r="AZ29">
        <v>0</v>
      </c>
      <c r="BA29">
        <v>0</v>
      </c>
      <c r="BB29">
        <v>20</v>
      </c>
      <c r="BC29">
        <v>13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5</v>
      </c>
      <c r="BP29">
        <v>4</v>
      </c>
      <c r="BQ29">
        <v>14</v>
      </c>
      <c r="BR29">
        <v>0</v>
      </c>
      <c r="BS29">
        <v>0</v>
      </c>
      <c r="BT29">
        <v>15</v>
      </c>
      <c r="BU29">
        <v>10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 s="21">
        <f t="shared" si="9"/>
        <v>38</v>
      </c>
      <c r="CG29" s="21">
        <f t="shared" si="10"/>
        <v>31</v>
      </c>
      <c r="CH29" s="21">
        <f t="shared" si="11"/>
        <v>19</v>
      </c>
      <c r="CI29" s="21">
        <f t="shared" si="12"/>
        <v>29</v>
      </c>
      <c r="CJ29" s="21">
        <f t="shared" si="13"/>
        <v>57</v>
      </c>
      <c r="CK29" s="21">
        <f t="shared" si="13"/>
        <v>60</v>
      </c>
      <c r="CL29" s="21">
        <f t="shared" si="14"/>
        <v>117</v>
      </c>
      <c r="CM29" s="22">
        <f t="shared" si="15"/>
        <v>210</v>
      </c>
      <c r="CN29" s="22">
        <f t="shared" si="15"/>
        <v>196</v>
      </c>
      <c r="CO29" s="22">
        <f t="shared" si="15"/>
        <v>406</v>
      </c>
    </row>
    <row r="30" spans="1:93">
      <c r="A30" t="s">
        <v>135</v>
      </c>
      <c r="B30" t="s">
        <v>136</v>
      </c>
      <c r="C30" t="s">
        <v>137</v>
      </c>
      <c r="D30">
        <v>500454</v>
      </c>
      <c r="E30" t="s">
        <v>202</v>
      </c>
      <c r="F30" t="s">
        <v>203</v>
      </c>
      <c r="G30"/>
      <c r="H30" t="s">
        <v>140</v>
      </c>
      <c r="I30" t="s">
        <v>141</v>
      </c>
      <c r="J30" t="s">
        <v>142</v>
      </c>
      <c r="K30" t="s">
        <v>155</v>
      </c>
      <c r="L30" t="s">
        <v>144</v>
      </c>
      <c r="M30" t="s">
        <v>145</v>
      </c>
      <c r="N30" t="s">
        <v>146</v>
      </c>
      <c r="O30" s="4" t="s">
        <v>183</v>
      </c>
      <c r="P30">
        <v>11</v>
      </c>
      <c r="Q30">
        <v>14</v>
      </c>
      <c r="R30">
        <v>10</v>
      </c>
      <c r="S30">
        <v>22</v>
      </c>
      <c r="T30">
        <v>18</v>
      </c>
      <c r="U30">
        <v>11</v>
      </c>
      <c r="V30">
        <v>12</v>
      </c>
      <c r="W30">
        <v>12</v>
      </c>
      <c r="X30">
        <v>24</v>
      </c>
      <c r="Y30">
        <v>14</v>
      </c>
      <c r="Z30">
        <v>12</v>
      </c>
      <c r="AA30">
        <v>14</v>
      </c>
      <c r="AB30">
        <v>15</v>
      </c>
      <c r="AC30">
        <v>19</v>
      </c>
      <c r="AD30">
        <v>0</v>
      </c>
      <c r="AE30">
        <v>0</v>
      </c>
      <c r="AF30" s="19">
        <f t="shared" si="3"/>
        <v>102</v>
      </c>
      <c r="AG30" s="19">
        <f t="shared" si="4"/>
        <v>106</v>
      </c>
      <c r="AH30" s="19">
        <f t="shared" si="5"/>
        <v>208</v>
      </c>
      <c r="AI30">
        <v>19</v>
      </c>
      <c r="AJ30">
        <v>16</v>
      </c>
      <c r="AK30">
        <v>7</v>
      </c>
      <c r="AL30">
        <v>16</v>
      </c>
      <c r="AM30">
        <v>8</v>
      </c>
      <c r="AN30">
        <v>9</v>
      </c>
      <c r="AO30">
        <v>5</v>
      </c>
      <c r="AP30">
        <v>13</v>
      </c>
      <c r="AQ30">
        <v>0</v>
      </c>
      <c r="AR30">
        <v>0</v>
      </c>
      <c r="AS30" s="20">
        <f t="shared" si="6"/>
        <v>39</v>
      </c>
      <c r="AT30" s="20">
        <f t="shared" si="7"/>
        <v>54</v>
      </c>
      <c r="AU30" s="20">
        <f t="shared" si="8"/>
        <v>93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11</v>
      </c>
      <c r="BC30">
        <v>10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6</v>
      </c>
      <c r="BU30">
        <v>10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 s="21">
        <f t="shared" si="9"/>
        <v>11</v>
      </c>
      <c r="CG30" s="21">
        <f t="shared" si="10"/>
        <v>10</v>
      </c>
      <c r="CH30" s="21">
        <f t="shared" si="11"/>
        <v>6</v>
      </c>
      <c r="CI30" s="21">
        <f t="shared" si="12"/>
        <v>10</v>
      </c>
      <c r="CJ30" s="21">
        <f t="shared" si="13"/>
        <v>17</v>
      </c>
      <c r="CK30" s="21">
        <f t="shared" si="13"/>
        <v>20</v>
      </c>
      <c r="CL30" s="21">
        <f t="shared" si="14"/>
        <v>37</v>
      </c>
      <c r="CM30" s="22">
        <f t="shared" si="15"/>
        <v>158</v>
      </c>
      <c r="CN30" s="22">
        <f t="shared" si="15"/>
        <v>180</v>
      </c>
      <c r="CO30" s="22">
        <f t="shared" si="15"/>
        <v>338</v>
      </c>
    </row>
    <row r="31" spans="1:93">
      <c r="A31" t="s">
        <v>135</v>
      </c>
      <c r="B31" t="s">
        <v>136</v>
      </c>
      <c r="C31" t="s">
        <v>137</v>
      </c>
      <c r="D31">
        <v>501424</v>
      </c>
      <c r="E31" t="s">
        <v>204</v>
      </c>
      <c r="F31" t="s">
        <v>205</v>
      </c>
      <c r="G31"/>
      <c r="H31" t="s">
        <v>140</v>
      </c>
      <c r="I31" t="s">
        <v>141</v>
      </c>
      <c r="J31" t="s">
        <v>142</v>
      </c>
      <c r="K31" t="s">
        <v>206</v>
      </c>
      <c r="L31" t="s">
        <v>144</v>
      </c>
      <c r="M31" t="s">
        <v>145</v>
      </c>
      <c r="N31" t="s">
        <v>146</v>
      </c>
      <c r="O31" s="4" t="s">
        <v>183</v>
      </c>
      <c r="P31">
        <v>15</v>
      </c>
      <c r="Q31">
        <v>25</v>
      </c>
      <c r="R31">
        <v>27</v>
      </c>
      <c r="S31">
        <v>22</v>
      </c>
      <c r="T31">
        <v>21</v>
      </c>
      <c r="U31">
        <v>20</v>
      </c>
      <c r="V31">
        <v>34</v>
      </c>
      <c r="W31">
        <v>24</v>
      </c>
      <c r="X31">
        <v>20</v>
      </c>
      <c r="Y31">
        <v>18</v>
      </c>
      <c r="Z31">
        <v>14</v>
      </c>
      <c r="AA31">
        <v>24</v>
      </c>
      <c r="AB31">
        <v>17</v>
      </c>
      <c r="AC31">
        <v>26</v>
      </c>
      <c r="AD31">
        <v>0</v>
      </c>
      <c r="AE31">
        <v>0</v>
      </c>
      <c r="AF31" s="19">
        <f t="shared" si="3"/>
        <v>148</v>
      </c>
      <c r="AG31" s="19">
        <f t="shared" si="4"/>
        <v>159</v>
      </c>
      <c r="AH31" s="19">
        <f t="shared" si="5"/>
        <v>307</v>
      </c>
      <c r="AI31">
        <v>12</v>
      </c>
      <c r="AJ31">
        <v>24</v>
      </c>
      <c r="AK31">
        <v>13</v>
      </c>
      <c r="AL31">
        <v>11</v>
      </c>
      <c r="AM31">
        <v>17</v>
      </c>
      <c r="AN31">
        <v>17</v>
      </c>
      <c r="AO31">
        <v>11</v>
      </c>
      <c r="AP31">
        <v>15</v>
      </c>
      <c r="AQ31">
        <v>0</v>
      </c>
      <c r="AR31">
        <v>0</v>
      </c>
      <c r="AS31" s="20">
        <f t="shared" si="6"/>
        <v>53</v>
      </c>
      <c r="AT31" s="20">
        <f t="shared" si="7"/>
        <v>67</v>
      </c>
      <c r="AU31" s="20">
        <f t="shared" si="8"/>
        <v>120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11</v>
      </c>
      <c r="BC31">
        <v>12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11</v>
      </c>
      <c r="BU31">
        <v>13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 s="21">
        <f t="shared" si="9"/>
        <v>11</v>
      </c>
      <c r="CG31" s="21">
        <f t="shared" si="10"/>
        <v>12</v>
      </c>
      <c r="CH31" s="21">
        <f t="shared" si="11"/>
        <v>11</v>
      </c>
      <c r="CI31" s="21">
        <f t="shared" si="12"/>
        <v>13</v>
      </c>
      <c r="CJ31" s="21">
        <f t="shared" si="13"/>
        <v>22</v>
      </c>
      <c r="CK31" s="21">
        <f t="shared" si="13"/>
        <v>25</v>
      </c>
      <c r="CL31" s="21">
        <f t="shared" si="14"/>
        <v>47</v>
      </c>
      <c r="CM31" s="22">
        <f t="shared" si="15"/>
        <v>223</v>
      </c>
      <c r="CN31" s="22">
        <f t="shared" si="15"/>
        <v>251</v>
      </c>
      <c r="CO31" s="22">
        <f t="shared" si="15"/>
        <v>474</v>
      </c>
    </row>
    <row r="32" spans="1:93">
      <c r="A32" t="s">
        <v>135</v>
      </c>
      <c r="B32" t="s">
        <v>136</v>
      </c>
      <c r="C32" t="s">
        <v>207</v>
      </c>
      <c r="D32">
        <v>129387</v>
      </c>
      <c r="E32" t="s">
        <v>208</v>
      </c>
      <c r="F32" t="s">
        <v>209</v>
      </c>
      <c r="G32"/>
      <c r="H32" t="s">
        <v>140</v>
      </c>
      <c r="I32" t="s">
        <v>141</v>
      </c>
      <c r="J32" t="s">
        <v>142</v>
      </c>
      <c r="K32" t="s">
        <v>210</v>
      </c>
      <c r="L32" t="s">
        <v>144</v>
      </c>
      <c r="M32" t="s">
        <v>145</v>
      </c>
      <c r="N32" t="s">
        <v>146</v>
      </c>
      <c r="O32" s="4" t="s">
        <v>147</v>
      </c>
      <c r="P32">
        <v>22</v>
      </c>
      <c r="Q32">
        <v>10</v>
      </c>
      <c r="R32">
        <v>17</v>
      </c>
      <c r="S32">
        <v>11</v>
      </c>
      <c r="T32">
        <v>16</v>
      </c>
      <c r="U32">
        <v>8</v>
      </c>
      <c r="V32">
        <v>16</v>
      </c>
      <c r="W32">
        <v>14</v>
      </c>
      <c r="X32">
        <v>16</v>
      </c>
      <c r="Y32">
        <v>18</v>
      </c>
      <c r="Z32">
        <v>16</v>
      </c>
      <c r="AA32">
        <v>18</v>
      </c>
      <c r="AB32">
        <v>20</v>
      </c>
      <c r="AC32">
        <v>22</v>
      </c>
      <c r="AD32">
        <v>0</v>
      </c>
      <c r="AE32">
        <v>0</v>
      </c>
      <c r="AF32" s="19">
        <f t="shared" si="3"/>
        <v>123</v>
      </c>
      <c r="AG32" s="19">
        <f t="shared" si="4"/>
        <v>101</v>
      </c>
      <c r="AH32" s="19">
        <f t="shared" si="5"/>
        <v>224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 s="20">
        <f t="shared" si="6"/>
        <v>0</v>
      </c>
      <c r="AT32" s="20">
        <f t="shared" si="7"/>
        <v>0</v>
      </c>
      <c r="AU32" s="20">
        <f t="shared" si="8"/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 s="21">
        <f t="shared" si="9"/>
        <v>0</v>
      </c>
      <c r="CG32" s="21">
        <f t="shared" si="10"/>
        <v>0</v>
      </c>
      <c r="CH32" s="21">
        <f t="shared" si="11"/>
        <v>0</v>
      </c>
      <c r="CI32" s="21">
        <f t="shared" si="12"/>
        <v>0</v>
      </c>
      <c r="CJ32" s="21">
        <f t="shared" si="13"/>
        <v>0</v>
      </c>
      <c r="CK32" s="21">
        <f t="shared" si="13"/>
        <v>0</v>
      </c>
      <c r="CL32" s="21">
        <f t="shared" si="14"/>
        <v>0</v>
      </c>
      <c r="CM32" s="22">
        <f t="shared" si="15"/>
        <v>123</v>
      </c>
      <c r="CN32" s="22">
        <f t="shared" si="15"/>
        <v>101</v>
      </c>
      <c r="CO32" s="22">
        <f t="shared" si="15"/>
        <v>224</v>
      </c>
    </row>
    <row r="33" spans="1:93">
      <c r="A33" t="s">
        <v>135</v>
      </c>
      <c r="B33" t="s">
        <v>136</v>
      </c>
      <c r="C33" t="s">
        <v>207</v>
      </c>
      <c r="D33">
        <v>129388</v>
      </c>
      <c r="E33" t="s">
        <v>211</v>
      </c>
      <c r="F33" t="s">
        <v>212</v>
      </c>
      <c r="G33"/>
      <c r="H33" t="s">
        <v>140</v>
      </c>
      <c r="I33" t="s">
        <v>141</v>
      </c>
      <c r="J33" t="s">
        <v>142</v>
      </c>
      <c r="K33" t="s">
        <v>213</v>
      </c>
      <c r="L33" t="s">
        <v>144</v>
      </c>
      <c r="M33" t="s">
        <v>145</v>
      </c>
      <c r="N33" t="s">
        <v>146</v>
      </c>
      <c r="O33" s="4" t="s">
        <v>147</v>
      </c>
      <c r="P33">
        <v>22</v>
      </c>
      <c r="Q33">
        <v>16</v>
      </c>
      <c r="R33">
        <v>23</v>
      </c>
      <c r="S33">
        <v>19</v>
      </c>
      <c r="T33">
        <v>21</v>
      </c>
      <c r="U33">
        <v>23</v>
      </c>
      <c r="V33">
        <v>42</v>
      </c>
      <c r="W33">
        <v>20</v>
      </c>
      <c r="X33">
        <v>38</v>
      </c>
      <c r="Y33">
        <v>24</v>
      </c>
      <c r="Z33">
        <v>24</v>
      </c>
      <c r="AA33">
        <v>26</v>
      </c>
      <c r="AB33">
        <v>18</v>
      </c>
      <c r="AC33">
        <v>29</v>
      </c>
      <c r="AD33">
        <v>0</v>
      </c>
      <c r="AE33">
        <v>0</v>
      </c>
      <c r="AF33" s="19">
        <f t="shared" si="3"/>
        <v>188</v>
      </c>
      <c r="AG33" s="19">
        <f t="shared" si="4"/>
        <v>157</v>
      </c>
      <c r="AH33" s="19">
        <f t="shared" si="5"/>
        <v>345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 s="20">
        <f t="shared" si="6"/>
        <v>0</v>
      </c>
      <c r="AT33" s="20">
        <f t="shared" si="7"/>
        <v>0</v>
      </c>
      <c r="AU33" s="20">
        <f t="shared" si="8"/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 s="21">
        <f t="shared" si="9"/>
        <v>0</v>
      </c>
      <c r="CG33" s="21">
        <f t="shared" si="10"/>
        <v>0</v>
      </c>
      <c r="CH33" s="21">
        <f t="shared" si="11"/>
        <v>0</v>
      </c>
      <c r="CI33" s="21">
        <f t="shared" si="12"/>
        <v>0</v>
      </c>
      <c r="CJ33" s="21">
        <f t="shared" si="13"/>
        <v>0</v>
      </c>
      <c r="CK33" s="21">
        <f t="shared" si="13"/>
        <v>0</v>
      </c>
      <c r="CL33" s="21">
        <f t="shared" si="14"/>
        <v>0</v>
      </c>
      <c r="CM33" s="22">
        <f t="shared" si="15"/>
        <v>188</v>
      </c>
      <c r="CN33" s="22">
        <f t="shared" si="15"/>
        <v>157</v>
      </c>
      <c r="CO33" s="22">
        <f t="shared" si="15"/>
        <v>345</v>
      </c>
    </row>
    <row r="34" spans="1:93">
      <c r="A34" t="s">
        <v>135</v>
      </c>
      <c r="B34" t="s">
        <v>136</v>
      </c>
      <c r="C34" t="s">
        <v>207</v>
      </c>
      <c r="D34">
        <v>129389</v>
      </c>
      <c r="E34" t="s">
        <v>214</v>
      </c>
      <c r="F34" t="s">
        <v>215</v>
      </c>
      <c r="G34"/>
      <c r="H34" t="s">
        <v>140</v>
      </c>
      <c r="I34" t="s">
        <v>141</v>
      </c>
      <c r="J34" t="s">
        <v>142</v>
      </c>
      <c r="K34" t="s">
        <v>190</v>
      </c>
      <c r="L34" t="s">
        <v>144</v>
      </c>
      <c r="M34" t="s">
        <v>145</v>
      </c>
      <c r="N34" t="s">
        <v>146</v>
      </c>
      <c r="O34" s="4" t="s">
        <v>147</v>
      </c>
      <c r="P34">
        <v>49</v>
      </c>
      <c r="Q34">
        <v>68</v>
      </c>
      <c r="R34">
        <v>76</v>
      </c>
      <c r="S34">
        <v>69</v>
      </c>
      <c r="T34">
        <v>59</v>
      </c>
      <c r="U34">
        <v>62</v>
      </c>
      <c r="V34">
        <v>83</v>
      </c>
      <c r="W34">
        <v>75</v>
      </c>
      <c r="X34">
        <v>61</v>
      </c>
      <c r="Y34">
        <v>67</v>
      </c>
      <c r="Z34">
        <v>60</v>
      </c>
      <c r="AA34">
        <v>61</v>
      </c>
      <c r="AB34">
        <v>70</v>
      </c>
      <c r="AC34">
        <v>71</v>
      </c>
      <c r="AD34">
        <v>0</v>
      </c>
      <c r="AE34">
        <v>0</v>
      </c>
      <c r="AF34" s="19">
        <f t="shared" si="3"/>
        <v>458</v>
      </c>
      <c r="AG34" s="19">
        <f t="shared" si="4"/>
        <v>473</v>
      </c>
      <c r="AH34" s="19">
        <f t="shared" si="5"/>
        <v>931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s="20">
        <f t="shared" si="6"/>
        <v>0</v>
      </c>
      <c r="AT34" s="20">
        <f t="shared" si="7"/>
        <v>0</v>
      </c>
      <c r="AU34" s="20">
        <f t="shared" si="8"/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 s="21">
        <f t="shared" si="9"/>
        <v>0</v>
      </c>
      <c r="CG34" s="21">
        <f t="shared" si="10"/>
        <v>0</v>
      </c>
      <c r="CH34" s="21">
        <f t="shared" si="11"/>
        <v>0</v>
      </c>
      <c r="CI34" s="21">
        <f t="shared" si="12"/>
        <v>0</v>
      </c>
      <c r="CJ34" s="21">
        <f t="shared" si="13"/>
        <v>0</v>
      </c>
      <c r="CK34" s="21">
        <f t="shared" si="13"/>
        <v>0</v>
      </c>
      <c r="CL34" s="21">
        <f t="shared" si="14"/>
        <v>0</v>
      </c>
      <c r="CM34" s="22">
        <f t="shared" si="15"/>
        <v>458</v>
      </c>
      <c r="CN34" s="22">
        <f t="shared" si="15"/>
        <v>473</v>
      </c>
      <c r="CO34" s="22">
        <f t="shared" si="15"/>
        <v>931</v>
      </c>
    </row>
    <row r="35" spans="1:93">
      <c r="A35" t="s">
        <v>135</v>
      </c>
      <c r="B35" t="s">
        <v>136</v>
      </c>
      <c r="C35" t="s">
        <v>207</v>
      </c>
      <c r="D35">
        <v>129390</v>
      </c>
      <c r="E35" t="s">
        <v>216</v>
      </c>
      <c r="F35" t="s">
        <v>217</v>
      </c>
      <c r="G35"/>
      <c r="H35" t="s">
        <v>140</v>
      </c>
      <c r="I35" t="s">
        <v>141</v>
      </c>
      <c r="J35" t="s">
        <v>142</v>
      </c>
      <c r="K35" t="s">
        <v>210</v>
      </c>
      <c r="L35" t="s">
        <v>144</v>
      </c>
      <c r="M35" t="s">
        <v>145</v>
      </c>
      <c r="N35" t="s">
        <v>146</v>
      </c>
      <c r="O35" s="4" t="s">
        <v>147</v>
      </c>
      <c r="P35">
        <v>42</v>
      </c>
      <c r="Q35">
        <v>45</v>
      </c>
      <c r="R35">
        <v>53</v>
      </c>
      <c r="S35">
        <v>52</v>
      </c>
      <c r="T35">
        <v>51</v>
      </c>
      <c r="U35">
        <v>47</v>
      </c>
      <c r="V35">
        <v>52</v>
      </c>
      <c r="W35">
        <v>58</v>
      </c>
      <c r="X35">
        <v>41</v>
      </c>
      <c r="Y35">
        <v>49</v>
      </c>
      <c r="Z35">
        <v>40</v>
      </c>
      <c r="AA35">
        <v>54</v>
      </c>
      <c r="AB35">
        <v>62</v>
      </c>
      <c r="AC35">
        <v>45</v>
      </c>
      <c r="AD35">
        <v>0</v>
      </c>
      <c r="AE35">
        <v>0</v>
      </c>
      <c r="AF35" s="19">
        <f t="shared" si="3"/>
        <v>341</v>
      </c>
      <c r="AG35" s="19">
        <f t="shared" si="4"/>
        <v>350</v>
      </c>
      <c r="AH35" s="19">
        <f t="shared" si="5"/>
        <v>691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s="20">
        <f t="shared" si="6"/>
        <v>0</v>
      </c>
      <c r="AT35" s="20">
        <f t="shared" si="7"/>
        <v>0</v>
      </c>
      <c r="AU35" s="20">
        <f t="shared" si="8"/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 s="21">
        <f t="shared" si="9"/>
        <v>0</v>
      </c>
      <c r="CG35" s="21">
        <f t="shared" si="10"/>
        <v>0</v>
      </c>
      <c r="CH35" s="21">
        <f t="shared" si="11"/>
        <v>0</v>
      </c>
      <c r="CI35" s="21">
        <f t="shared" si="12"/>
        <v>0</v>
      </c>
      <c r="CJ35" s="21">
        <f t="shared" si="13"/>
        <v>0</v>
      </c>
      <c r="CK35" s="21">
        <f t="shared" si="13"/>
        <v>0</v>
      </c>
      <c r="CL35" s="21">
        <f t="shared" si="14"/>
        <v>0</v>
      </c>
      <c r="CM35" s="22">
        <f t="shared" si="15"/>
        <v>341</v>
      </c>
      <c r="CN35" s="22">
        <f t="shared" si="15"/>
        <v>350</v>
      </c>
      <c r="CO35" s="22">
        <f t="shared" si="15"/>
        <v>691</v>
      </c>
    </row>
    <row r="36" spans="1:93">
      <c r="A36" t="s">
        <v>135</v>
      </c>
      <c r="B36" t="s">
        <v>136</v>
      </c>
      <c r="C36" t="s">
        <v>207</v>
      </c>
      <c r="D36">
        <v>129391</v>
      </c>
      <c r="E36" t="s">
        <v>218</v>
      </c>
      <c r="F36" t="s">
        <v>219</v>
      </c>
      <c r="G36"/>
      <c r="H36" t="s">
        <v>140</v>
      </c>
      <c r="I36" t="s">
        <v>141</v>
      </c>
      <c r="J36" t="s">
        <v>142</v>
      </c>
      <c r="K36" t="s">
        <v>220</v>
      </c>
      <c r="L36" t="s">
        <v>144</v>
      </c>
      <c r="M36" t="s">
        <v>145</v>
      </c>
      <c r="N36" t="s">
        <v>146</v>
      </c>
      <c r="O36" s="4" t="s">
        <v>147</v>
      </c>
      <c r="P36">
        <v>17</v>
      </c>
      <c r="Q36">
        <v>13</v>
      </c>
      <c r="R36">
        <v>23</v>
      </c>
      <c r="S36">
        <v>24</v>
      </c>
      <c r="T36">
        <v>24</v>
      </c>
      <c r="U36">
        <v>14</v>
      </c>
      <c r="V36">
        <v>27</v>
      </c>
      <c r="W36">
        <v>18</v>
      </c>
      <c r="X36">
        <v>16</v>
      </c>
      <c r="Y36">
        <v>27</v>
      </c>
      <c r="Z36">
        <v>14</v>
      </c>
      <c r="AA36">
        <v>16</v>
      </c>
      <c r="AB36">
        <v>25</v>
      </c>
      <c r="AC36">
        <v>22</v>
      </c>
      <c r="AD36">
        <v>0</v>
      </c>
      <c r="AE36">
        <v>0</v>
      </c>
      <c r="AF36" s="19">
        <f t="shared" si="3"/>
        <v>146</v>
      </c>
      <c r="AG36" s="19">
        <f t="shared" si="4"/>
        <v>134</v>
      </c>
      <c r="AH36" s="19">
        <f t="shared" si="5"/>
        <v>280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s="20">
        <f t="shared" si="6"/>
        <v>0</v>
      </c>
      <c r="AT36" s="20">
        <f t="shared" si="7"/>
        <v>0</v>
      </c>
      <c r="AU36" s="20">
        <f t="shared" si="8"/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 s="21">
        <f t="shared" si="9"/>
        <v>0</v>
      </c>
      <c r="CG36" s="21">
        <f t="shared" si="10"/>
        <v>0</v>
      </c>
      <c r="CH36" s="21">
        <f t="shared" si="11"/>
        <v>0</v>
      </c>
      <c r="CI36" s="21">
        <f t="shared" si="12"/>
        <v>0</v>
      </c>
      <c r="CJ36" s="21">
        <f t="shared" si="13"/>
        <v>0</v>
      </c>
      <c r="CK36" s="21">
        <f t="shared" si="13"/>
        <v>0</v>
      </c>
      <c r="CL36" s="21">
        <f t="shared" si="14"/>
        <v>0</v>
      </c>
      <c r="CM36" s="22">
        <f t="shared" si="15"/>
        <v>146</v>
      </c>
      <c r="CN36" s="22">
        <f t="shared" si="15"/>
        <v>134</v>
      </c>
      <c r="CO36" s="22">
        <f t="shared" si="15"/>
        <v>280</v>
      </c>
    </row>
    <row r="37" spans="1:93">
      <c r="A37" t="s">
        <v>135</v>
      </c>
      <c r="B37" t="s">
        <v>136</v>
      </c>
      <c r="C37" t="s">
        <v>207</v>
      </c>
      <c r="D37">
        <v>129392</v>
      </c>
      <c r="E37" t="s">
        <v>221</v>
      </c>
      <c r="F37" t="s">
        <v>222</v>
      </c>
      <c r="G37"/>
      <c r="H37" t="s">
        <v>140</v>
      </c>
      <c r="I37" t="s">
        <v>141</v>
      </c>
      <c r="J37" t="s">
        <v>142</v>
      </c>
      <c r="K37" t="s">
        <v>223</v>
      </c>
      <c r="L37" t="s">
        <v>144</v>
      </c>
      <c r="M37" t="s">
        <v>145</v>
      </c>
      <c r="N37" t="s">
        <v>146</v>
      </c>
      <c r="O37" s="4" t="s">
        <v>147</v>
      </c>
      <c r="P37">
        <v>25</v>
      </c>
      <c r="Q37">
        <v>31</v>
      </c>
      <c r="R37">
        <v>38</v>
      </c>
      <c r="S37">
        <v>30</v>
      </c>
      <c r="T37">
        <v>27</v>
      </c>
      <c r="U37">
        <v>29</v>
      </c>
      <c r="V37">
        <v>26</v>
      </c>
      <c r="W37">
        <v>28</v>
      </c>
      <c r="X37">
        <v>33</v>
      </c>
      <c r="Y37">
        <v>25</v>
      </c>
      <c r="Z37">
        <v>18</v>
      </c>
      <c r="AA37">
        <v>17</v>
      </c>
      <c r="AB37">
        <v>28</v>
      </c>
      <c r="AC37">
        <v>19</v>
      </c>
      <c r="AD37">
        <v>0</v>
      </c>
      <c r="AE37">
        <v>0</v>
      </c>
      <c r="AF37" s="19">
        <f t="shared" si="3"/>
        <v>195</v>
      </c>
      <c r="AG37" s="19">
        <f t="shared" si="4"/>
        <v>179</v>
      </c>
      <c r="AH37" s="19">
        <f t="shared" si="5"/>
        <v>374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s="20">
        <f t="shared" si="6"/>
        <v>0</v>
      </c>
      <c r="AT37" s="20">
        <f t="shared" si="7"/>
        <v>0</v>
      </c>
      <c r="AU37" s="20">
        <f t="shared" si="8"/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 s="21">
        <f t="shared" si="9"/>
        <v>0</v>
      </c>
      <c r="CG37" s="21">
        <f t="shared" si="10"/>
        <v>0</v>
      </c>
      <c r="CH37" s="21">
        <f t="shared" si="11"/>
        <v>0</v>
      </c>
      <c r="CI37" s="21">
        <f t="shared" si="12"/>
        <v>0</v>
      </c>
      <c r="CJ37" s="21">
        <f t="shared" si="13"/>
        <v>0</v>
      </c>
      <c r="CK37" s="21">
        <f t="shared" si="13"/>
        <v>0</v>
      </c>
      <c r="CL37" s="21">
        <f t="shared" si="14"/>
        <v>0</v>
      </c>
      <c r="CM37" s="22">
        <f t="shared" si="15"/>
        <v>195</v>
      </c>
      <c r="CN37" s="22">
        <f t="shared" si="15"/>
        <v>179</v>
      </c>
      <c r="CO37" s="22">
        <f t="shared" si="15"/>
        <v>374</v>
      </c>
    </row>
    <row r="38" spans="1:93">
      <c r="A38" t="s">
        <v>135</v>
      </c>
      <c r="B38" t="s">
        <v>136</v>
      </c>
      <c r="C38" t="s">
        <v>207</v>
      </c>
      <c r="D38">
        <v>129393</v>
      </c>
      <c r="E38" t="s">
        <v>224</v>
      </c>
      <c r="F38" t="s">
        <v>225</v>
      </c>
      <c r="G38"/>
      <c r="H38" t="s">
        <v>140</v>
      </c>
      <c r="I38" t="s">
        <v>141</v>
      </c>
      <c r="J38" t="s">
        <v>142</v>
      </c>
      <c r="K38" t="s">
        <v>226</v>
      </c>
      <c r="L38" t="s">
        <v>144</v>
      </c>
      <c r="M38" t="s">
        <v>145</v>
      </c>
      <c r="N38" t="s">
        <v>146</v>
      </c>
      <c r="O38" s="4" t="s">
        <v>147</v>
      </c>
      <c r="P38">
        <v>2</v>
      </c>
      <c r="Q38">
        <v>5</v>
      </c>
      <c r="R38">
        <v>5</v>
      </c>
      <c r="S38">
        <v>5</v>
      </c>
      <c r="T38">
        <v>0</v>
      </c>
      <c r="U38">
        <v>8</v>
      </c>
      <c r="V38">
        <v>7</v>
      </c>
      <c r="W38">
        <v>6</v>
      </c>
      <c r="X38">
        <v>7</v>
      </c>
      <c r="Y38">
        <v>5</v>
      </c>
      <c r="Z38">
        <v>3</v>
      </c>
      <c r="AA38">
        <v>7</v>
      </c>
      <c r="AB38">
        <v>6</v>
      </c>
      <c r="AC38">
        <v>1</v>
      </c>
      <c r="AD38">
        <v>0</v>
      </c>
      <c r="AE38">
        <v>0</v>
      </c>
      <c r="AF38" s="19">
        <f t="shared" si="3"/>
        <v>30</v>
      </c>
      <c r="AG38" s="19">
        <f t="shared" si="4"/>
        <v>37</v>
      </c>
      <c r="AH38" s="19">
        <f t="shared" si="5"/>
        <v>67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s="20">
        <f t="shared" si="6"/>
        <v>0</v>
      </c>
      <c r="AT38" s="20">
        <f t="shared" si="7"/>
        <v>0</v>
      </c>
      <c r="AU38" s="20">
        <f t="shared" si="8"/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 s="21">
        <f t="shared" si="9"/>
        <v>0</v>
      </c>
      <c r="CG38" s="21">
        <f t="shared" si="10"/>
        <v>0</v>
      </c>
      <c r="CH38" s="21">
        <f t="shared" si="11"/>
        <v>0</v>
      </c>
      <c r="CI38" s="21">
        <f t="shared" si="12"/>
        <v>0</v>
      </c>
      <c r="CJ38" s="21">
        <f t="shared" si="13"/>
        <v>0</v>
      </c>
      <c r="CK38" s="21">
        <f t="shared" si="13"/>
        <v>0</v>
      </c>
      <c r="CL38" s="21">
        <f t="shared" si="14"/>
        <v>0</v>
      </c>
      <c r="CM38" s="22">
        <f t="shared" si="15"/>
        <v>30</v>
      </c>
      <c r="CN38" s="22">
        <f t="shared" si="15"/>
        <v>37</v>
      </c>
      <c r="CO38" s="22">
        <f t="shared" si="15"/>
        <v>67</v>
      </c>
    </row>
    <row r="39" spans="1:93">
      <c r="A39" t="s">
        <v>135</v>
      </c>
      <c r="B39" t="s">
        <v>136</v>
      </c>
      <c r="C39" t="s">
        <v>207</v>
      </c>
      <c r="D39">
        <v>129394</v>
      </c>
      <c r="E39" t="s">
        <v>227</v>
      </c>
      <c r="F39" t="s">
        <v>228</v>
      </c>
      <c r="G39"/>
      <c r="H39" t="s">
        <v>140</v>
      </c>
      <c r="I39" t="s">
        <v>141</v>
      </c>
      <c r="J39" t="s">
        <v>142</v>
      </c>
      <c r="K39" t="s">
        <v>220</v>
      </c>
      <c r="L39" t="s">
        <v>144</v>
      </c>
      <c r="M39" t="s">
        <v>145</v>
      </c>
      <c r="N39" t="s">
        <v>146</v>
      </c>
      <c r="O39" s="4" t="s">
        <v>147</v>
      </c>
      <c r="P39">
        <v>8</v>
      </c>
      <c r="Q39">
        <v>7</v>
      </c>
      <c r="R39">
        <v>13</v>
      </c>
      <c r="S39">
        <v>4</v>
      </c>
      <c r="T39">
        <v>10</v>
      </c>
      <c r="U39">
        <v>8</v>
      </c>
      <c r="V39">
        <v>11</v>
      </c>
      <c r="W39">
        <v>5</v>
      </c>
      <c r="X39">
        <v>5</v>
      </c>
      <c r="Y39">
        <v>6</v>
      </c>
      <c r="Z39">
        <v>7</v>
      </c>
      <c r="AA39">
        <v>8</v>
      </c>
      <c r="AB39">
        <v>8</v>
      </c>
      <c r="AC39">
        <v>8</v>
      </c>
      <c r="AD39">
        <v>0</v>
      </c>
      <c r="AE39">
        <v>0</v>
      </c>
      <c r="AF39" s="19">
        <f t="shared" si="3"/>
        <v>62</v>
      </c>
      <c r="AG39" s="19">
        <f t="shared" si="4"/>
        <v>46</v>
      </c>
      <c r="AH39" s="19">
        <f t="shared" si="5"/>
        <v>108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s="20">
        <f t="shared" si="6"/>
        <v>0</v>
      </c>
      <c r="AT39" s="20">
        <f t="shared" si="7"/>
        <v>0</v>
      </c>
      <c r="AU39" s="20">
        <f t="shared" si="8"/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 s="21">
        <f t="shared" si="9"/>
        <v>0</v>
      </c>
      <c r="CG39" s="21">
        <f t="shared" si="10"/>
        <v>0</v>
      </c>
      <c r="CH39" s="21">
        <f t="shared" si="11"/>
        <v>0</v>
      </c>
      <c r="CI39" s="21">
        <f t="shared" si="12"/>
        <v>0</v>
      </c>
      <c r="CJ39" s="21">
        <f t="shared" si="13"/>
        <v>0</v>
      </c>
      <c r="CK39" s="21">
        <f t="shared" si="13"/>
        <v>0</v>
      </c>
      <c r="CL39" s="21">
        <f t="shared" si="14"/>
        <v>0</v>
      </c>
      <c r="CM39" s="22">
        <f t="shared" si="15"/>
        <v>62</v>
      </c>
      <c r="CN39" s="22">
        <f t="shared" si="15"/>
        <v>46</v>
      </c>
      <c r="CO39" s="22">
        <f t="shared" si="15"/>
        <v>108</v>
      </c>
    </row>
    <row r="40" spans="1:93">
      <c r="A40" t="s">
        <v>135</v>
      </c>
      <c r="B40" t="s">
        <v>136</v>
      </c>
      <c r="C40" t="s">
        <v>207</v>
      </c>
      <c r="D40">
        <v>129395</v>
      </c>
      <c r="E40" t="s">
        <v>229</v>
      </c>
      <c r="F40" t="s">
        <v>230</v>
      </c>
      <c r="G40"/>
      <c r="H40" t="s">
        <v>140</v>
      </c>
      <c r="I40" t="s">
        <v>141</v>
      </c>
      <c r="J40" t="s">
        <v>142</v>
      </c>
      <c r="K40" t="s">
        <v>190</v>
      </c>
      <c r="L40" t="s">
        <v>144</v>
      </c>
      <c r="M40" t="s">
        <v>145</v>
      </c>
      <c r="N40" t="s">
        <v>146</v>
      </c>
      <c r="O40" s="4" t="s">
        <v>147</v>
      </c>
      <c r="P40">
        <v>38</v>
      </c>
      <c r="Q40">
        <v>49</v>
      </c>
      <c r="R40">
        <v>69</v>
      </c>
      <c r="S40">
        <v>43</v>
      </c>
      <c r="T40">
        <v>57</v>
      </c>
      <c r="U40">
        <v>55</v>
      </c>
      <c r="V40">
        <v>59</v>
      </c>
      <c r="W40">
        <v>57</v>
      </c>
      <c r="X40">
        <v>57</v>
      </c>
      <c r="Y40">
        <v>57</v>
      </c>
      <c r="Z40">
        <v>54</v>
      </c>
      <c r="AA40">
        <v>64</v>
      </c>
      <c r="AB40">
        <v>68</v>
      </c>
      <c r="AC40">
        <v>46</v>
      </c>
      <c r="AD40">
        <v>0</v>
      </c>
      <c r="AE40">
        <v>0</v>
      </c>
      <c r="AF40" s="19">
        <f t="shared" si="3"/>
        <v>402</v>
      </c>
      <c r="AG40" s="19">
        <f t="shared" si="4"/>
        <v>371</v>
      </c>
      <c r="AH40" s="19">
        <f t="shared" si="5"/>
        <v>773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s="20">
        <f t="shared" si="6"/>
        <v>0</v>
      </c>
      <c r="AT40" s="20">
        <f t="shared" si="7"/>
        <v>0</v>
      </c>
      <c r="AU40" s="20">
        <f t="shared" si="8"/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 s="21">
        <f t="shared" si="9"/>
        <v>0</v>
      </c>
      <c r="CG40" s="21">
        <f t="shared" si="10"/>
        <v>0</v>
      </c>
      <c r="CH40" s="21">
        <f t="shared" si="11"/>
        <v>0</v>
      </c>
      <c r="CI40" s="21">
        <f t="shared" si="12"/>
        <v>0</v>
      </c>
      <c r="CJ40" s="21">
        <f t="shared" si="13"/>
        <v>0</v>
      </c>
      <c r="CK40" s="21">
        <f t="shared" si="13"/>
        <v>0</v>
      </c>
      <c r="CL40" s="21">
        <f t="shared" si="14"/>
        <v>0</v>
      </c>
      <c r="CM40" s="22">
        <f t="shared" si="15"/>
        <v>402</v>
      </c>
      <c r="CN40" s="22">
        <f t="shared" si="15"/>
        <v>371</v>
      </c>
      <c r="CO40" s="22">
        <f t="shared" si="15"/>
        <v>773</v>
      </c>
    </row>
    <row r="41" spans="1:93">
      <c r="A41" t="s">
        <v>135</v>
      </c>
      <c r="B41" t="s">
        <v>136</v>
      </c>
      <c r="C41" t="s">
        <v>207</v>
      </c>
      <c r="D41">
        <v>129396</v>
      </c>
      <c r="E41" t="s">
        <v>231</v>
      </c>
      <c r="F41" t="s">
        <v>232</v>
      </c>
      <c r="G41"/>
      <c r="H41" t="s">
        <v>140</v>
      </c>
      <c r="I41" t="s">
        <v>141</v>
      </c>
      <c r="J41" t="s">
        <v>142</v>
      </c>
      <c r="K41" t="s">
        <v>226</v>
      </c>
      <c r="L41" t="s">
        <v>144</v>
      </c>
      <c r="M41" t="s">
        <v>145</v>
      </c>
      <c r="N41" t="s">
        <v>146</v>
      </c>
      <c r="O41" s="4" t="s">
        <v>147</v>
      </c>
      <c r="P41">
        <v>48</v>
      </c>
      <c r="Q41">
        <v>33</v>
      </c>
      <c r="R41">
        <v>45</v>
      </c>
      <c r="S41">
        <v>33</v>
      </c>
      <c r="T41">
        <v>53</v>
      </c>
      <c r="U41">
        <v>33</v>
      </c>
      <c r="V41">
        <v>36</v>
      </c>
      <c r="W41">
        <v>31</v>
      </c>
      <c r="X41">
        <v>32</v>
      </c>
      <c r="Y41">
        <v>34</v>
      </c>
      <c r="Z41">
        <v>34</v>
      </c>
      <c r="AA41">
        <v>41</v>
      </c>
      <c r="AB41">
        <v>31</v>
      </c>
      <c r="AC41">
        <v>39</v>
      </c>
      <c r="AD41">
        <v>0</v>
      </c>
      <c r="AE41">
        <v>0</v>
      </c>
      <c r="AF41" s="19">
        <f t="shared" si="3"/>
        <v>279</v>
      </c>
      <c r="AG41" s="19">
        <f t="shared" si="4"/>
        <v>244</v>
      </c>
      <c r="AH41" s="19">
        <f t="shared" si="5"/>
        <v>523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s="20">
        <f t="shared" si="6"/>
        <v>0</v>
      </c>
      <c r="AT41" s="20">
        <f t="shared" si="7"/>
        <v>0</v>
      </c>
      <c r="AU41" s="20">
        <f t="shared" si="8"/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s="21">
        <f t="shared" si="9"/>
        <v>0</v>
      </c>
      <c r="CG41" s="21">
        <f t="shared" si="10"/>
        <v>0</v>
      </c>
      <c r="CH41" s="21">
        <f t="shared" si="11"/>
        <v>0</v>
      </c>
      <c r="CI41" s="21">
        <f t="shared" si="12"/>
        <v>0</v>
      </c>
      <c r="CJ41" s="21">
        <f t="shared" si="13"/>
        <v>0</v>
      </c>
      <c r="CK41" s="21">
        <f t="shared" si="13"/>
        <v>0</v>
      </c>
      <c r="CL41" s="21">
        <f t="shared" si="14"/>
        <v>0</v>
      </c>
      <c r="CM41" s="22">
        <f t="shared" si="15"/>
        <v>279</v>
      </c>
      <c r="CN41" s="22">
        <f t="shared" si="15"/>
        <v>244</v>
      </c>
      <c r="CO41" s="22">
        <f t="shared" si="15"/>
        <v>523</v>
      </c>
    </row>
    <row r="42" spans="1:93">
      <c r="A42" t="s">
        <v>135</v>
      </c>
      <c r="B42" t="s">
        <v>136</v>
      </c>
      <c r="C42" t="s">
        <v>207</v>
      </c>
      <c r="D42">
        <v>129397</v>
      </c>
      <c r="E42" t="s">
        <v>233</v>
      </c>
      <c r="F42" t="s">
        <v>234</v>
      </c>
      <c r="G42"/>
      <c r="H42" t="s">
        <v>140</v>
      </c>
      <c r="I42" t="s">
        <v>141</v>
      </c>
      <c r="J42" t="s">
        <v>142</v>
      </c>
      <c r="K42" t="s">
        <v>235</v>
      </c>
      <c r="L42" t="s">
        <v>144</v>
      </c>
      <c r="M42" t="s">
        <v>145</v>
      </c>
      <c r="N42" t="s">
        <v>146</v>
      </c>
      <c r="O42" s="4" t="s">
        <v>147</v>
      </c>
      <c r="P42">
        <v>8</v>
      </c>
      <c r="Q42">
        <v>14</v>
      </c>
      <c r="R42">
        <v>12</v>
      </c>
      <c r="S42">
        <v>16</v>
      </c>
      <c r="T42">
        <v>11</v>
      </c>
      <c r="U42">
        <v>12</v>
      </c>
      <c r="V42">
        <v>12</v>
      </c>
      <c r="W42">
        <v>8</v>
      </c>
      <c r="X42">
        <v>14</v>
      </c>
      <c r="Y42">
        <v>11</v>
      </c>
      <c r="Z42">
        <v>15</v>
      </c>
      <c r="AA42">
        <v>12</v>
      </c>
      <c r="AB42">
        <v>12</v>
      </c>
      <c r="AC42">
        <v>9</v>
      </c>
      <c r="AD42">
        <v>0</v>
      </c>
      <c r="AE42">
        <v>0</v>
      </c>
      <c r="AF42" s="19">
        <f t="shared" si="3"/>
        <v>84</v>
      </c>
      <c r="AG42" s="19">
        <f t="shared" si="4"/>
        <v>82</v>
      </c>
      <c r="AH42" s="19">
        <f t="shared" si="5"/>
        <v>166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s="20">
        <f t="shared" si="6"/>
        <v>0</v>
      </c>
      <c r="AT42" s="20">
        <f t="shared" si="7"/>
        <v>0</v>
      </c>
      <c r="AU42" s="20">
        <f t="shared" si="8"/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 s="21">
        <f t="shared" si="9"/>
        <v>0</v>
      </c>
      <c r="CG42" s="21">
        <f t="shared" si="10"/>
        <v>0</v>
      </c>
      <c r="CH42" s="21">
        <f t="shared" si="11"/>
        <v>0</v>
      </c>
      <c r="CI42" s="21">
        <f t="shared" si="12"/>
        <v>0</v>
      </c>
      <c r="CJ42" s="21">
        <f t="shared" si="13"/>
        <v>0</v>
      </c>
      <c r="CK42" s="21">
        <f t="shared" si="13"/>
        <v>0</v>
      </c>
      <c r="CL42" s="21">
        <f t="shared" si="14"/>
        <v>0</v>
      </c>
      <c r="CM42" s="22">
        <f t="shared" si="15"/>
        <v>84</v>
      </c>
      <c r="CN42" s="22">
        <f t="shared" si="15"/>
        <v>82</v>
      </c>
      <c r="CO42" s="22">
        <f t="shared" si="15"/>
        <v>166</v>
      </c>
    </row>
    <row r="43" spans="1:93">
      <c r="A43" t="s">
        <v>135</v>
      </c>
      <c r="B43" t="s">
        <v>136</v>
      </c>
      <c r="C43" t="s">
        <v>207</v>
      </c>
      <c r="D43">
        <v>129398</v>
      </c>
      <c r="E43" t="s">
        <v>236</v>
      </c>
      <c r="F43" t="s">
        <v>237</v>
      </c>
      <c r="G43"/>
      <c r="H43" t="s">
        <v>140</v>
      </c>
      <c r="I43" t="s">
        <v>141</v>
      </c>
      <c r="J43" t="s">
        <v>142</v>
      </c>
      <c r="K43" t="s">
        <v>238</v>
      </c>
      <c r="L43" t="s">
        <v>144</v>
      </c>
      <c r="M43" t="s">
        <v>145</v>
      </c>
      <c r="N43" t="s">
        <v>146</v>
      </c>
      <c r="O43" s="4" t="s">
        <v>147</v>
      </c>
      <c r="P43">
        <v>31</v>
      </c>
      <c r="Q43">
        <v>33</v>
      </c>
      <c r="R43">
        <v>46</v>
      </c>
      <c r="S43">
        <v>47</v>
      </c>
      <c r="T43">
        <v>52</v>
      </c>
      <c r="U43">
        <v>51</v>
      </c>
      <c r="V43">
        <v>54</v>
      </c>
      <c r="W43">
        <v>36</v>
      </c>
      <c r="X43">
        <v>29</v>
      </c>
      <c r="Y43">
        <v>57</v>
      </c>
      <c r="Z43">
        <v>35</v>
      </c>
      <c r="AA43">
        <v>36</v>
      </c>
      <c r="AB43">
        <v>46</v>
      </c>
      <c r="AC43">
        <v>63</v>
      </c>
      <c r="AD43">
        <v>0</v>
      </c>
      <c r="AE43">
        <v>0</v>
      </c>
      <c r="AF43" s="19">
        <f t="shared" si="3"/>
        <v>293</v>
      </c>
      <c r="AG43" s="19">
        <f t="shared" si="4"/>
        <v>323</v>
      </c>
      <c r="AH43" s="19">
        <f t="shared" si="5"/>
        <v>616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s="20">
        <f t="shared" si="6"/>
        <v>0</v>
      </c>
      <c r="AT43" s="20">
        <f t="shared" si="7"/>
        <v>0</v>
      </c>
      <c r="AU43" s="20">
        <f t="shared" si="8"/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 s="21">
        <f t="shared" si="9"/>
        <v>0</v>
      </c>
      <c r="CG43" s="21">
        <f t="shared" si="10"/>
        <v>0</v>
      </c>
      <c r="CH43" s="21">
        <f t="shared" si="11"/>
        <v>0</v>
      </c>
      <c r="CI43" s="21">
        <f t="shared" si="12"/>
        <v>0</v>
      </c>
      <c r="CJ43" s="21">
        <f t="shared" si="13"/>
        <v>0</v>
      </c>
      <c r="CK43" s="21">
        <f t="shared" si="13"/>
        <v>0</v>
      </c>
      <c r="CL43" s="21">
        <f t="shared" si="14"/>
        <v>0</v>
      </c>
      <c r="CM43" s="22">
        <f t="shared" si="15"/>
        <v>293</v>
      </c>
      <c r="CN43" s="22">
        <f t="shared" si="15"/>
        <v>323</v>
      </c>
      <c r="CO43" s="22">
        <f t="shared" si="15"/>
        <v>616</v>
      </c>
    </row>
    <row r="44" spans="1:93">
      <c r="A44" t="s">
        <v>135</v>
      </c>
      <c r="B44" t="s">
        <v>136</v>
      </c>
      <c r="C44" t="s">
        <v>207</v>
      </c>
      <c r="D44">
        <v>129399</v>
      </c>
      <c r="E44" t="s">
        <v>239</v>
      </c>
      <c r="F44" t="s">
        <v>240</v>
      </c>
      <c r="G44"/>
      <c r="H44" t="s">
        <v>140</v>
      </c>
      <c r="I44" t="s">
        <v>141</v>
      </c>
      <c r="J44" t="s">
        <v>142</v>
      </c>
      <c r="K44" t="s">
        <v>241</v>
      </c>
      <c r="L44" t="s">
        <v>144</v>
      </c>
      <c r="M44" t="s">
        <v>145</v>
      </c>
      <c r="N44" t="s">
        <v>146</v>
      </c>
      <c r="O44" s="4" t="s">
        <v>147</v>
      </c>
      <c r="P44">
        <v>40</v>
      </c>
      <c r="Q44">
        <v>33</v>
      </c>
      <c r="R44">
        <v>59</v>
      </c>
      <c r="S44">
        <v>57</v>
      </c>
      <c r="T44">
        <v>51</v>
      </c>
      <c r="U44">
        <v>46</v>
      </c>
      <c r="V44">
        <v>60</v>
      </c>
      <c r="W44">
        <v>48</v>
      </c>
      <c r="X44">
        <v>40</v>
      </c>
      <c r="Y44">
        <v>38</v>
      </c>
      <c r="Z44">
        <v>33</v>
      </c>
      <c r="AA44">
        <v>39</v>
      </c>
      <c r="AB44">
        <v>45</v>
      </c>
      <c r="AC44">
        <v>32</v>
      </c>
      <c r="AD44">
        <v>0</v>
      </c>
      <c r="AE44">
        <v>0</v>
      </c>
      <c r="AF44" s="19">
        <f t="shared" si="3"/>
        <v>328</v>
      </c>
      <c r="AG44" s="19">
        <f t="shared" si="4"/>
        <v>293</v>
      </c>
      <c r="AH44" s="19">
        <f t="shared" si="5"/>
        <v>621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 s="20">
        <f t="shared" si="6"/>
        <v>0</v>
      </c>
      <c r="AT44" s="20">
        <f t="shared" si="7"/>
        <v>0</v>
      </c>
      <c r="AU44" s="20">
        <f t="shared" si="8"/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s="21">
        <f t="shared" si="9"/>
        <v>0</v>
      </c>
      <c r="CG44" s="21">
        <f t="shared" si="10"/>
        <v>0</v>
      </c>
      <c r="CH44" s="21">
        <f t="shared" si="11"/>
        <v>0</v>
      </c>
      <c r="CI44" s="21">
        <f t="shared" si="12"/>
        <v>0</v>
      </c>
      <c r="CJ44" s="21">
        <f t="shared" si="13"/>
        <v>0</v>
      </c>
      <c r="CK44" s="21">
        <f t="shared" si="13"/>
        <v>0</v>
      </c>
      <c r="CL44" s="21">
        <f t="shared" si="14"/>
        <v>0</v>
      </c>
      <c r="CM44" s="22">
        <f t="shared" si="15"/>
        <v>328</v>
      </c>
      <c r="CN44" s="22">
        <f t="shared" si="15"/>
        <v>293</v>
      </c>
      <c r="CO44" s="22">
        <f t="shared" si="15"/>
        <v>621</v>
      </c>
    </row>
    <row r="45" spans="1:93">
      <c r="A45" t="s">
        <v>135</v>
      </c>
      <c r="B45" t="s">
        <v>136</v>
      </c>
      <c r="C45" t="s">
        <v>207</v>
      </c>
      <c r="D45">
        <v>129400</v>
      </c>
      <c r="E45" t="s">
        <v>242</v>
      </c>
      <c r="F45" t="s">
        <v>243</v>
      </c>
      <c r="G45"/>
      <c r="H45" t="s">
        <v>140</v>
      </c>
      <c r="I45" t="s">
        <v>141</v>
      </c>
      <c r="J45" t="s">
        <v>142</v>
      </c>
      <c r="K45" t="s">
        <v>238</v>
      </c>
      <c r="L45" t="s">
        <v>144</v>
      </c>
      <c r="M45" t="s">
        <v>145</v>
      </c>
      <c r="N45" t="s">
        <v>146</v>
      </c>
      <c r="O45" s="4" t="s">
        <v>147</v>
      </c>
      <c r="P45">
        <v>81</v>
      </c>
      <c r="Q45">
        <v>64</v>
      </c>
      <c r="R45">
        <v>90</v>
      </c>
      <c r="S45">
        <v>100</v>
      </c>
      <c r="T45">
        <v>83</v>
      </c>
      <c r="U45">
        <v>87</v>
      </c>
      <c r="V45">
        <v>85</v>
      </c>
      <c r="W45">
        <v>118</v>
      </c>
      <c r="X45">
        <v>102</v>
      </c>
      <c r="Y45">
        <v>100</v>
      </c>
      <c r="Z45">
        <v>96</v>
      </c>
      <c r="AA45">
        <v>92</v>
      </c>
      <c r="AB45">
        <v>110</v>
      </c>
      <c r="AC45">
        <v>131</v>
      </c>
      <c r="AD45">
        <v>0</v>
      </c>
      <c r="AE45">
        <v>0</v>
      </c>
      <c r="AF45" s="19">
        <f t="shared" si="3"/>
        <v>647</v>
      </c>
      <c r="AG45" s="19">
        <f t="shared" si="4"/>
        <v>692</v>
      </c>
      <c r="AH45" s="19">
        <f t="shared" si="5"/>
        <v>1339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s="20">
        <f t="shared" si="6"/>
        <v>0</v>
      </c>
      <c r="AT45" s="20">
        <f t="shared" si="7"/>
        <v>0</v>
      </c>
      <c r="AU45" s="20">
        <f t="shared" si="8"/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 s="21">
        <f t="shared" si="9"/>
        <v>0</v>
      </c>
      <c r="CG45" s="21">
        <f t="shared" si="10"/>
        <v>0</v>
      </c>
      <c r="CH45" s="21">
        <f t="shared" si="11"/>
        <v>0</v>
      </c>
      <c r="CI45" s="21">
        <f t="shared" si="12"/>
        <v>0</v>
      </c>
      <c r="CJ45" s="21">
        <f t="shared" si="13"/>
        <v>0</v>
      </c>
      <c r="CK45" s="21">
        <f t="shared" si="13"/>
        <v>0</v>
      </c>
      <c r="CL45" s="21">
        <f t="shared" si="14"/>
        <v>0</v>
      </c>
      <c r="CM45" s="22">
        <f t="shared" si="15"/>
        <v>647</v>
      </c>
      <c r="CN45" s="22">
        <f t="shared" si="15"/>
        <v>692</v>
      </c>
      <c r="CO45" s="22">
        <f t="shared" si="15"/>
        <v>1339</v>
      </c>
    </row>
    <row r="46" spans="1:93">
      <c r="A46" t="s">
        <v>135</v>
      </c>
      <c r="B46" t="s">
        <v>136</v>
      </c>
      <c r="C46" t="s">
        <v>207</v>
      </c>
      <c r="D46">
        <v>129401</v>
      </c>
      <c r="E46" t="s">
        <v>244</v>
      </c>
      <c r="F46" t="s">
        <v>245</v>
      </c>
      <c r="G46"/>
      <c r="H46" t="s">
        <v>140</v>
      </c>
      <c r="I46" t="s">
        <v>141</v>
      </c>
      <c r="J46" t="s">
        <v>142</v>
      </c>
      <c r="K46" t="s">
        <v>213</v>
      </c>
      <c r="L46" t="s">
        <v>144</v>
      </c>
      <c r="M46" t="s">
        <v>145</v>
      </c>
      <c r="N46" t="s">
        <v>146</v>
      </c>
      <c r="O46" s="4" t="s">
        <v>147</v>
      </c>
      <c r="P46">
        <v>7</v>
      </c>
      <c r="Q46">
        <v>8</v>
      </c>
      <c r="R46">
        <v>22</v>
      </c>
      <c r="S46">
        <v>18</v>
      </c>
      <c r="T46">
        <v>14</v>
      </c>
      <c r="U46">
        <v>17</v>
      </c>
      <c r="V46">
        <v>22</v>
      </c>
      <c r="W46">
        <v>16</v>
      </c>
      <c r="X46">
        <v>13</v>
      </c>
      <c r="Y46">
        <v>10</v>
      </c>
      <c r="Z46">
        <v>16</v>
      </c>
      <c r="AA46">
        <v>14</v>
      </c>
      <c r="AB46">
        <v>11</v>
      </c>
      <c r="AC46">
        <v>19</v>
      </c>
      <c r="AD46">
        <v>0</v>
      </c>
      <c r="AE46">
        <v>0</v>
      </c>
      <c r="AF46" s="19">
        <f t="shared" si="3"/>
        <v>105</v>
      </c>
      <c r="AG46" s="19">
        <f t="shared" si="4"/>
        <v>102</v>
      </c>
      <c r="AH46" s="19">
        <f t="shared" si="5"/>
        <v>207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s="20">
        <f t="shared" si="6"/>
        <v>0</v>
      </c>
      <c r="AT46" s="20">
        <f t="shared" si="7"/>
        <v>0</v>
      </c>
      <c r="AU46" s="20">
        <f t="shared" si="8"/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 s="21">
        <f t="shared" si="9"/>
        <v>0</v>
      </c>
      <c r="CG46" s="21">
        <f t="shared" si="10"/>
        <v>0</v>
      </c>
      <c r="CH46" s="21">
        <f t="shared" si="11"/>
        <v>0</v>
      </c>
      <c r="CI46" s="21">
        <f t="shared" si="12"/>
        <v>0</v>
      </c>
      <c r="CJ46" s="21">
        <f t="shared" si="13"/>
        <v>0</v>
      </c>
      <c r="CK46" s="21">
        <f t="shared" si="13"/>
        <v>0</v>
      </c>
      <c r="CL46" s="21">
        <f t="shared" si="14"/>
        <v>0</v>
      </c>
      <c r="CM46" s="22">
        <f t="shared" si="15"/>
        <v>105</v>
      </c>
      <c r="CN46" s="22">
        <f t="shared" si="15"/>
        <v>102</v>
      </c>
      <c r="CO46" s="22">
        <f t="shared" si="15"/>
        <v>207</v>
      </c>
    </row>
    <row r="47" spans="1:93">
      <c r="A47" t="s">
        <v>135</v>
      </c>
      <c r="B47" t="s">
        <v>136</v>
      </c>
      <c r="C47" t="s">
        <v>207</v>
      </c>
      <c r="D47">
        <v>129402</v>
      </c>
      <c r="E47" t="s">
        <v>246</v>
      </c>
      <c r="F47" t="s">
        <v>247</v>
      </c>
      <c r="G47"/>
      <c r="H47" t="s">
        <v>140</v>
      </c>
      <c r="I47" t="s">
        <v>141</v>
      </c>
      <c r="J47" t="s">
        <v>142</v>
      </c>
      <c r="K47" t="s">
        <v>226</v>
      </c>
      <c r="L47" t="s">
        <v>144</v>
      </c>
      <c r="M47" t="s">
        <v>145</v>
      </c>
      <c r="N47" t="s">
        <v>146</v>
      </c>
      <c r="O47" s="4" t="s">
        <v>147</v>
      </c>
      <c r="P47">
        <v>1</v>
      </c>
      <c r="Q47">
        <v>4</v>
      </c>
      <c r="R47">
        <v>2</v>
      </c>
      <c r="S47">
        <v>7</v>
      </c>
      <c r="T47">
        <v>7</v>
      </c>
      <c r="U47">
        <v>3</v>
      </c>
      <c r="V47">
        <v>2</v>
      </c>
      <c r="W47">
        <v>2</v>
      </c>
      <c r="X47">
        <v>2</v>
      </c>
      <c r="Y47">
        <v>6</v>
      </c>
      <c r="Z47">
        <v>7</v>
      </c>
      <c r="AA47">
        <v>5</v>
      </c>
      <c r="AB47">
        <v>6</v>
      </c>
      <c r="AC47">
        <v>2</v>
      </c>
      <c r="AD47">
        <v>0</v>
      </c>
      <c r="AE47">
        <v>0</v>
      </c>
      <c r="AF47" s="19">
        <f t="shared" si="3"/>
        <v>27</v>
      </c>
      <c r="AG47" s="19">
        <f t="shared" si="4"/>
        <v>29</v>
      </c>
      <c r="AH47" s="19">
        <f t="shared" si="5"/>
        <v>56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 s="20">
        <f t="shared" si="6"/>
        <v>0</v>
      </c>
      <c r="AT47" s="20">
        <f t="shared" si="7"/>
        <v>0</v>
      </c>
      <c r="AU47" s="20">
        <f t="shared" si="8"/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 s="21">
        <f t="shared" si="9"/>
        <v>0</v>
      </c>
      <c r="CG47" s="21">
        <f t="shared" si="10"/>
        <v>0</v>
      </c>
      <c r="CH47" s="21">
        <f t="shared" si="11"/>
        <v>0</v>
      </c>
      <c r="CI47" s="21">
        <f t="shared" si="12"/>
        <v>0</v>
      </c>
      <c r="CJ47" s="21">
        <f t="shared" si="13"/>
        <v>0</v>
      </c>
      <c r="CK47" s="21">
        <f t="shared" si="13"/>
        <v>0</v>
      </c>
      <c r="CL47" s="21">
        <f t="shared" si="14"/>
        <v>0</v>
      </c>
      <c r="CM47" s="22">
        <f t="shared" si="15"/>
        <v>27</v>
      </c>
      <c r="CN47" s="22">
        <f t="shared" si="15"/>
        <v>29</v>
      </c>
      <c r="CO47" s="22">
        <f t="shared" si="15"/>
        <v>56</v>
      </c>
    </row>
    <row r="48" spans="1:93">
      <c r="A48" t="s">
        <v>135</v>
      </c>
      <c r="B48" t="s">
        <v>136</v>
      </c>
      <c r="C48" t="s">
        <v>207</v>
      </c>
      <c r="D48">
        <v>129403</v>
      </c>
      <c r="E48" t="s">
        <v>248</v>
      </c>
      <c r="F48" t="s">
        <v>249</v>
      </c>
      <c r="G48"/>
      <c r="H48" t="s">
        <v>140</v>
      </c>
      <c r="I48" t="s">
        <v>141</v>
      </c>
      <c r="J48" t="s">
        <v>142</v>
      </c>
      <c r="K48" t="s">
        <v>250</v>
      </c>
      <c r="L48" t="s">
        <v>144</v>
      </c>
      <c r="M48" t="s">
        <v>145</v>
      </c>
      <c r="N48" t="s">
        <v>146</v>
      </c>
      <c r="O48" s="4" t="s">
        <v>147</v>
      </c>
      <c r="P48">
        <v>14</v>
      </c>
      <c r="Q48">
        <v>8</v>
      </c>
      <c r="R48">
        <v>5</v>
      </c>
      <c r="S48">
        <v>6</v>
      </c>
      <c r="T48">
        <v>14</v>
      </c>
      <c r="U48">
        <v>5</v>
      </c>
      <c r="V48">
        <v>12</v>
      </c>
      <c r="W48">
        <v>12</v>
      </c>
      <c r="X48">
        <v>12</v>
      </c>
      <c r="Y48">
        <v>9</v>
      </c>
      <c r="Z48">
        <v>10</v>
      </c>
      <c r="AA48">
        <v>5</v>
      </c>
      <c r="AB48">
        <v>11</v>
      </c>
      <c r="AC48">
        <v>5</v>
      </c>
      <c r="AD48">
        <v>0</v>
      </c>
      <c r="AE48">
        <v>0</v>
      </c>
      <c r="AF48" s="19">
        <f t="shared" si="3"/>
        <v>78</v>
      </c>
      <c r="AG48" s="19">
        <f t="shared" si="4"/>
        <v>50</v>
      </c>
      <c r="AH48" s="19">
        <f t="shared" si="5"/>
        <v>128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s="20">
        <f t="shared" si="6"/>
        <v>0</v>
      </c>
      <c r="AT48" s="20">
        <f t="shared" si="7"/>
        <v>0</v>
      </c>
      <c r="AU48" s="20">
        <f t="shared" si="8"/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 s="21">
        <f t="shared" si="9"/>
        <v>0</v>
      </c>
      <c r="CG48" s="21">
        <f t="shared" si="10"/>
        <v>0</v>
      </c>
      <c r="CH48" s="21">
        <f t="shared" si="11"/>
        <v>0</v>
      </c>
      <c r="CI48" s="21">
        <f t="shared" si="12"/>
        <v>0</v>
      </c>
      <c r="CJ48" s="21">
        <f t="shared" si="13"/>
        <v>0</v>
      </c>
      <c r="CK48" s="21">
        <f t="shared" si="13"/>
        <v>0</v>
      </c>
      <c r="CL48" s="21">
        <f t="shared" si="14"/>
        <v>0</v>
      </c>
      <c r="CM48" s="22">
        <f t="shared" si="15"/>
        <v>78</v>
      </c>
      <c r="CN48" s="22">
        <f t="shared" si="15"/>
        <v>50</v>
      </c>
      <c r="CO48" s="22">
        <f t="shared" si="15"/>
        <v>128</v>
      </c>
    </row>
    <row r="49" spans="1:93">
      <c r="A49" t="s">
        <v>135</v>
      </c>
      <c r="B49" t="s">
        <v>136</v>
      </c>
      <c r="C49" t="s">
        <v>207</v>
      </c>
      <c r="D49">
        <v>129405</v>
      </c>
      <c r="E49" t="s">
        <v>251</v>
      </c>
      <c r="F49" t="s">
        <v>252</v>
      </c>
      <c r="G49"/>
      <c r="H49" t="s">
        <v>140</v>
      </c>
      <c r="I49" t="s">
        <v>141</v>
      </c>
      <c r="J49" t="s">
        <v>142</v>
      </c>
      <c r="K49" t="s">
        <v>253</v>
      </c>
      <c r="L49" t="s">
        <v>144</v>
      </c>
      <c r="M49" t="s">
        <v>145</v>
      </c>
      <c r="N49" t="s">
        <v>146</v>
      </c>
      <c r="O49" s="4" t="s">
        <v>147</v>
      </c>
      <c r="P49">
        <v>28</v>
      </c>
      <c r="Q49">
        <v>20</v>
      </c>
      <c r="R49">
        <v>23</v>
      </c>
      <c r="S49">
        <v>30</v>
      </c>
      <c r="T49">
        <v>33</v>
      </c>
      <c r="U49">
        <v>26</v>
      </c>
      <c r="V49">
        <v>32</v>
      </c>
      <c r="W49">
        <v>27</v>
      </c>
      <c r="X49">
        <v>39</v>
      </c>
      <c r="Y49">
        <v>38</v>
      </c>
      <c r="Z49">
        <v>23</v>
      </c>
      <c r="AA49">
        <v>23</v>
      </c>
      <c r="AB49">
        <v>35</v>
      </c>
      <c r="AC49">
        <v>24</v>
      </c>
      <c r="AD49">
        <v>0</v>
      </c>
      <c r="AE49">
        <v>0</v>
      </c>
      <c r="AF49" s="19">
        <f t="shared" ref="AF49:AF90" si="16">SUMIF($P$4:$AE$4,"Male",$P49:$AE49)</f>
        <v>213</v>
      </c>
      <c r="AG49" s="19">
        <f t="shared" ref="AG49:AG90" si="17">SUMIF($P$4:$AE$4,"Female",$P49:$AE49)</f>
        <v>188</v>
      </c>
      <c r="AH49" s="19">
        <f t="shared" ref="AH49:AH90" si="18">SUM(AF49:AG49)</f>
        <v>401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s="20">
        <f t="shared" ref="AS49:AS90" si="19">SUMIF($AI$4:$AR$4,"Male",$AI49:$AR49)</f>
        <v>0</v>
      </c>
      <c r="AT49" s="20">
        <f t="shared" ref="AT49:AT90" si="20">SUMIF($AI$4:$AR$4,"Female",$AI49:$AR49)</f>
        <v>0</v>
      </c>
      <c r="AU49" s="20">
        <f t="shared" ref="AU49:AU90" si="21">SUM(AS49:AT49)</f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 s="21">
        <f t="shared" ref="CF49:CF90" si="22">SUMIF($AV$4:$BM$4,"Male",$AV49:$BM49)</f>
        <v>0</v>
      </c>
      <c r="CG49" s="21">
        <f t="shared" ref="CG49:CG90" si="23">SUMIF($AV$4:$BM$4,"Female",$AV49:$BM49)</f>
        <v>0</v>
      </c>
      <c r="CH49" s="21">
        <f t="shared" ref="CH49:CH90" si="24">SUMIF($BN$4:$CE$4,"Male",$BN49:$CE49)</f>
        <v>0</v>
      </c>
      <c r="CI49" s="21">
        <f t="shared" ref="CI49:CI90" si="25">SUMIF($BN$4:$CE$4,"Female",$BN49:$CE49)</f>
        <v>0</v>
      </c>
      <c r="CJ49" s="21">
        <f t="shared" si="13"/>
        <v>0</v>
      </c>
      <c r="CK49" s="21">
        <f t="shared" si="13"/>
        <v>0</v>
      </c>
      <c r="CL49" s="21">
        <f t="shared" ref="CL49:CL90" si="26">SUM(CJ49:CK49)</f>
        <v>0</v>
      </c>
      <c r="CM49" s="22">
        <f t="shared" si="15"/>
        <v>213</v>
      </c>
      <c r="CN49" s="22">
        <f t="shared" si="15"/>
        <v>188</v>
      </c>
      <c r="CO49" s="22">
        <f t="shared" si="15"/>
        <v>401</v>
      </c>
    </row>
    <row r="50" spans="1:93">
      <c r="A50" t="s">
        <v>135</v>
      </c>
      <c r="B50" t="s">
        <v>136</v>
      </c>
      <c r="C50" t="s">
        <v>207</v>
      </c>
      <c r="D50">
        <v>129406</v>
      </c>
      <c r="E50" t="s">
        <v>254</v>
      </c>
      <c r="F50" t="s">
        <v>255</v>
      </c>
      <c r="G50"/>
      <c r="H50" t="s">
        <v>140</v>
      </c>
      <c r="I50" t="s">
        <v>141</v>
      </c>
      <c r="J50" t="s">
        <v>142</v>
      </c>
      <c r="K50" t="s">
        <v>223</v>
      </c>
      <c r="L50" t="s">
        <v>144</v>
      </c>
      <c r="M50" t="s">
        <v>145</v>
      </c>
      <c r="N50" t="s">
        <v>146</v>
      </c>
      <c r="O50" s="4" t="s">
        <v>147</v>
      </c>
      <c r="P50">
        <v>12</v>
      </c>
      <c r="Q50">
        <v>12</v>
      </c>
      <c r="R50">
        <v>11</v>
      </c>
      <c r="S50">
        <v>10</v>
      </c>
      <c r="T50">
        <v>13</v>
      </c>
      <c r="U50">
        <v>11</v>
      </c>
      <c r="V50">
        <v>14</v>
      </c>
      <c r="W50">
        <v>13</v>
      </c>
      <c r="X50">
        <v>14</v>
      </c>
      <c r="Y50">
        <v>15</v>
      </c>
      <c r="Z50">
        <v>8</v>
      </c>
      <c r="AA50">
        <v>19</v>
      </c>
      <c r="AB50">
        <v>16</v>
      </c>
      <c r="AC50">
        <v>14</v>
      </c>
      <c r="AD50">
        <v>0</v>
      </c>
      <c r="AE50">
        <v>0</v>
      </c>
      <c r="AF50" s="19">
        <f t="shared" si="16"/>
        <v>88</v>
      </c>
      <c r="AG50" s="19">
        <f t="shared" si="17"/>
        <v>94</v>
      </c>
      <c r="AH50" s="19">
        <f t="shared" si="18"/>
        <v>182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s="20">
        <f t="shared" si="19"/>
        <v>0</v>
      </c>
      <c r="AT50" s="20">
        <f t="shared" si="20"/>
        <v>0</v>
      </c>
      <c r="AU50" s="20">
        <f t="shared" si="21"/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 s="21">
        <f t="shared" si="22"/>
        <v>0</v>
      </c>
      <c r="CG50" s="21">
        <f t="shared" si="23"/>
        <v>0</v>
      </c>
      <c r="CH50" s="21">
        <f t="shared" si="24"/>
        <v>0</v>
      </c>
      <c r="CI50" s="21">
        <f t="shared" si="25"/>
        <v>0</v>
      </c>
      <c r="CJ50" s="21">
        <f t="shared" si="13"/>
        <v>0</v>
      </c>
      <c r="CK50" s="21">
        <f t="shared" si="13"/>
        <v>0</v>
      </c>
      <c r="CL50" s="21">
        <f t="shared" si="26"/>
        <v>0</v>
      </c>
      <c r="CM50" s="22">
        <f t="shared" si="15"/>
        <v>88</v>
      </c>
      <c r="CN50" s="22">
        <f t="shared" si="15"/>
        <v>94</v>
      </c>
      <c r="CO50" s="22">
        <f t="shared" si="15"/>
        <v>182</v>
      </c>
    </row>
    <row r="51" spans="1:93">
      <c r="A51" t="s">
        <v>135</v>
      </c>
      <c r="B51" t="s">
        <v>136</v>
      </c>
      <c r="C51" t="s">
        <v>207</v>
      </c>
      <c r="D51">
        <v>129407</v>
      </c>
      <c r="E51" t="s">
        <v>256</v>
      </c>
      <c r="F51" t="s">
        <v>257</v>
      </c>
      <c r="G51"/>
      <c r="H51" t="s">
        <v>140</v>
      </c>
      <c r="I51" t="s">
        <v>141</v>
      </c>
      <c r="J51" t="s">
        <v>142</v>
      </c>
      <c r="K51" t="s">
        <v>235</v>
      </c>
      <c r="L51" t="s">
        <v>144</v>
      </c>
      <c r="M51" t="s">
        <v>145</v>
      </c>
      <c r="N51" t="s">
        <v>146</v>
      </c>
      <c r="O51" s="4" t="s">
        <v>147</v>
      </c>
      <c r="P51">
        <v>18</v>
      </c>
      <c r="Q51">
        <v>19</v>
      </c>
      <c r="R51">
        <v>22</v>
      </c>
      <c r="S51">
        <v>18</v>
      </c>
      <c r="T51">
        <v>18</v>
      </c>
      <c r="U51">
        <v>21</v>
      </c>
      <c r="V51">
        <v>13</v>
      </c>
      <c r="W51">
        <v>15</v>
      </c>
      <c r="X51">
        <v>27</v>
      </c>
      <c r="Y51">
        <v>16</v>
      </c>
      <c r="Z51">
        <v>14</v>
      </c>
      <c r="AA51">
        <v>13</v>
      </c>
      <c r="AB51">
        <v>9</v>
      </c>
      <c r="AC51">
        <v>33</v>
      </c>
      <c r="AD51">
        <v>0</v>
      </c>
      <c r="AE51">
        <v>0</v>
      </c>
      <c r="AF51" s="19">
        <f t="shared" si="16"/>
        <v>121</v>
      </c>
      <c r="AG51" s="19">
        <f t="shared" si="17"/>
        <v>135</v>
      </c>
      <c r="AH51" s="19">
        <f t="shared" si="18"/>
        <v>256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 s="20">
        <f t="shared" si="19"/>
        <v>0</v>
      </c>
      <c r="AT51" s="20">
        <f t="shared" si="20"/>
        <v>0</v>
      </c>
      <c r="AU51" s="20">
        <f t="shared" si="21"/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 s="21">
        <f t="shared" si="22"/>
        <v>0</v>
      </c>
      <c r="CG51" s="21">
        <f t="shared" si="23"/>
        <v>0</v>
      </c>
      <c r="CH51" s="21">
        <f t="shared" si="24"/>
        <v>0</v>
      </c>
      <c r="CI51" s="21">
        <f t="shared" si="25"/>
        <v>0</v>
      </c>
      <c r="CJ51" s="21">
        <f t="shared" si="13"/>
        <v>0</v>
      </c>
      <c r="CK51" s="21">
        <f t="shared" si="13"/>
        <v>0</v>
      </c>
      <c r="CL51" s="21">
        <f t="shared" si="26"/>
        <v>0</v>
      </c>
      <c r="CM51" s="22">
        <f t="shared" si="15"/>
        <v>121</v>
      </c>
      <c r="CN51" s="22">
        <f t="shared" si="15"/>
        <v>135</v>
      </c>
      <c r="CO51" s="22">
        <f t="shared" si="15"/>
        <v>256</v>
      </c>
    </row>
    <row r="52" spans="1:93">
      <c r="A52" t="s">
        <v>135</v>
      </c>
      <c r="B52" t="s">
        <v>136</v>
      </c>
      <c r="C52" t="s">
        <v>207</v>
      </c>
      <c r="D52">
        <v>129408</v>
      </c>
      <c r="E52" t="s">
        <v>258</v>
      </c>
      <c r="F52" t="s">
        <v>259</v>
      </c>
      <c r="G52"/>
      <c r="H52" t="s">
        <v>140</v>
      </c>
      <c r="I52" t="s">
        <v>141</v>
      </c>
      <c r="J52" t="s">
        <v>142</v>
      </c>
      <c r="K52" t="s">
        <v>238</v>
      </c>
      <c r="L52" t="s">
        <v>144</v>
      </c>
      <c r="M52" t="s">
        <v>145</v>
      </c>
      <c r="N52" t="s">
        <v>146</v>
      </c>
      <c r="O52" s="4" t="s">
        <v>147</v>
      </c>
      <c r="P52">
        <v>16</v>
      </c>
      <c r="Q52">
        <v>11</v>
      </c>
      <c r="R52">
        <v>11</v>
      </c>
      <c r="S52">
        <v>10</v>
      </c>
      <c r="T52">
        <v>14</v>
      </c>
      <c r="U52">
        <v>5</v>
      </c>
      <c r="V52">
        <v>6</v>
      </c>
      <c r="W52">
        <v>10</v>
      </c>
      <c r="X52">
        <v>16</v>
      </c>
      <c r="Y52">
        <v>8</v>
      </c>
      <c r="Z52">
        <v>10</v>
      </c>
      <c r="AA52">
        <v>9</v>
      </c>
      <c r="AB52">
        <v>10</v>
      </c>
      <c r="AC52">
        <v>14</v>
      </c>
      <c r="AD52">
        <v>0</v>
      </c>
      <c r="AE52">
        <v>0</v>
      </c>
      <c r="AF52" s="19">
        <f t="shared" si="16"/>
        <v>83</v>
      </c>
      <c r="AG52" s="19">
        <f t="shared" si="17"/>
        <v>67</v>
      </c>
      <c r="AH52" s="19">
        <f t="shared" si="18"/>
        <v>150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 s="20">
        <f t="shared" si="19"/>
        <v>0</v>
      </c>
      <c r="AT52" s="20">
        <f t="shared" si="20"/>
        <v>0</v>
      </c>
      <c r="AU52" s="20">
        <f t="shared" si="21"/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 s="21">
        <f t="shared" si="22"/>
        <v>0</v>
      </c>
      <c r="CG52" s="21">
        <f t="shared" si="23"/>
        <v>0</v>
      </c>
      <c r="CH52" s="21">
        <f t="shared" si="24"/>
        <v>0</v>
      </c>
      <c r="CI52" s="21">
        <f t="shared" si="25"/>
        <v>0</v>
      </c>
      <c r="CJ52" s="21">
        <f t="shared" si="13"/>
        <v>0</v>
      </c>
      <c r="CK52" s="21">
        <f t="shared" si="13"/>
        <v>0</v>
      </c>
      <c r="CL52" s="21">
        <f t="shared" si="26"/>
        <v>0</v>
      </c>
      <c r="CM52" s="22">
        <f t="shared" si="15"/>
        <v>83</v>
      </c>
      <c r="CN52" s="22">
        <f t="shared" si="15"/>
        <v>67</v>
      </c>
      <c r="CO52" s="22">
        <f t="shared" si="15"/>
        <v>150</v>
      </c>
    </row>
    <row r="53" spans="1:93">
      <c r="A53" t="s">
        <v>135</v>
      </c>
      <c r="B53" t="s">
        <v>136</v>
      </c>
      <c r="C53" t="s">
        <v>207</v>
      </c>
      <c r="D53">
        <v>129409</v>
      </c>
      <c r="E53" t="s">
        <v>260</v>
      </c>
      <c r="F53" t="s">
        <v>261</v>
      </c>
      <c r="G53"/>
      <c r="H53" t="s">
        <v>140</v>
      </c>
      <c r="I53" t="s">
        <v>141</v>
      </c>
      <c r="J53" t="s">
        <v>142</v>
      </c>
      <c r="K53" t="s">
        <v>262</v>
      </c>
      <c r="L53" t="s">
        <v>144</v>
      </c>
      <c r="M53" t="s">
        <v>145</v>
      </c>
      <c r="N53" t="s">
        <v>146</v>
      </c>
      <c r="O53" s="4" t="s">
        <v>147</v>
      </c>
      <c r="P53">
        <v>44</v>
      </c>
      <c r="Q53">
        <v>40</v>
      </c>
      <c r="R53">
        <v>51</v>
      </c>
      <c r="S53">
        <v>43</v>
      </c>
      <c r="T53">
        <v>45</v>
      </c>
      <c r="U53">
        <v>37</v>
      </c>
      <c r="V53">
        <v>53</v>
      </c>
      <c r="W53">
        <v>56</v>
      </c>
      <c r="X53">
        <v>52</v>
      </c>
      <c r="Y53">
        <v>39</v>
      </c>
      <c r="Z53">
        <v>58</v>
      </c>
      <c r="AA53">
        <v>52</v>
      </c>
      <c r="AB53">
        <v>43</v>
      </c>
      <c r="AC53">
        <v>54</v>
      </c>
      <c r="AD53">
        <v>0</v>
      </c>
      <c r="AE53">
        <v>0</v>
      </c>
      <c r="AF53" s="19">
        <f t="shared" si="16"/>
        <v>346</v>
      </c>
      <c r="AG53" s="19">
        <f t="shared" si="17"/>
        <v>321</v>
      </c>
      <c r="AH53" s="19">
        <f t="shared" si="18"/>
        <v>667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 s="20">
        <f t="shared" si="19"/>
        <v>0</v>
      </c>
      <c r="AT53" s="20">
        <f t="shared" si="20"/>
        <v>0</v>
      </c>
      <c r="AU53" s="20">
        <f t="shared" si="21"/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 s="21">
        <f t="shared" si="22"/>
        <v>0</v>
      </c>
      <c r="CG53" s="21">
        <f t="shared" si="23"/>
        <v>0</v>
      </c>
      <c r="CH53" s="21">
        <f t="shared" si="24"/>
        <v>0</v>
      </c>
      <c r="CI53" s="21">
        <f t="shared" si="25"/>
        <v>0</v>
      </c>
      <c r="CJ53" s="21">
        <f t="shared" si="13"/>
        <v>0</v>
      </c>
      <c r="CK53" s="21">
        <f t="shared" si="13"/>
        <v>0</v>
      </c>
      <c r="CL53" s="21">
        <f t="shared" si="26"/>
        <v>0</v>
      </c>
      <c r="CM53" s="22">
        <f t="shared" si="15"/>
        <v>346</v>
      </c>
      <c r="CN53" s="22">
        <f t="shared" si="15"/>
        <v>321</v>
      </c>
      <c r="CO53" s="22">
        <f t="shared" si="15"/>
        <v>667</v>
      </c>
    </row>
    <row r="54" spans="1:93">
      <c r="A54" t="s">
        <v>135</v>
      </c>
      <c r="B54" t="s">
        <v>136</v>
      </c>
      <c r="C54" t="s">
        <v>207</v>
      </c>
      <c r="D54">
        <v>257001</v>
      </c>
      <c r="E54" t="s">
        <v>263</v>
      </c>
      <c r="F54" t="s">
        <v>264</v>
      </c>
      <c r="G54"/>
      <c r="H54" t="s">
        <v>140</v>
      </c>
      <c r="I54" t="s">
        <v>141</v>
      </c>
      <c r="J54" t="s">
        <v>142</v>
      </c>
      <c r="K54" t="s">
        <v>190</v>
      </c>
      <c r="L54" t="s">
        <v>144</v>
      </c>
      <c r="M54" t="s">
        <v>145</v>
      </c>
      <c r="N54" t="s">
        <v>146</v>
      </c>
      <c r="O54" s="4" t="s">
        <v>147</v>
      </c>
      <c r="P54">
        <v>48</v>
      </c>
      <c r="Q54">
        <v>48</v>
      </c>
      <c r="R54">
        <v>55</v>
      </c>
      <c r="S54">
        <v>52</v>
      </c>
      <c r="T54">
        <v>52</v>
      </c>
      <c r="U54">
        <v>59</v>
      </c>
      <c r="V54">
        <v>67</v>
      </c>
      <c r="W54">
        <v>55</v>
      </c>
      <c r="X54">
        <v>48</v>
      </c>
      <c r="Y54">
        <v>48</v>
      </c>
      <c r="Z54">
        <v>34</v>
      </c>
      <c r="AA54">
        <v>45</v>
      </c>
      <c r="AB54">
        <v>50</v>
      </c>
      <c r="AC54">
        <v>48</v>
      </c>
      <c r="AD54">
        <v>0</v>
      </c>
      <c r="AE54">
        <v>0</v>
      </c>
      <c r="AF54" s="19">
        <f t="shared" si="16"/>
        <v>354</v>
      </c>
      <c r="AG54" s="19">
        <f t="shared" si="17"/>
        <v>355</v>
      </c>
      <c r="AH54" s="19">
        <f t="shared" si="18"/>
        <v>709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 s="20">
        <f t="shared" si="19"/>
        <v>0</v>
      </c>
      <c r="AT54" s="20">
        <f t="shared" si="20"/>
        <v>0</v>
      </c>
      <c r="AU54" s="20">
        <f t="shared" si="21"/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 s="21">
        <f t="shared" si="22"/>
        <v>0</v>
      </c>
      <c r="CG54" s="21">
        <f t="shared" si="23"/>
        <v>0</v>
      </c>
      <c r="CH54" s="21">
        <f t="shared" si="24"/>
        <v>0</v>
      </c>
      <c r="CI54" s="21">
        <f t="shared" si="25"/>
        <v>0</v>
      </c>
      <c r="CJ54" s="21">
        <f t="shared" si="13"/>
        <v>0</v>
      </c>
      <c r="CK54" s="21">
        <f t="shared" si="13"/>
        <v>0</v>
      </c>
      <c r="CL54" s="21">
        <f t="shared" si="26"/>
        <v>0</v>
      </c>
      <c r="CM54" s="22">
        <f t="shared" si="15"/>
        <v>354</v>
      </c>
      <c r="CN54" s="22">
        <f t="shared" si="15"/>
        <v>355</v>
      </c>
      <c r="CO54" s="22">
        <f t="shared" si="15"/>
        <v>709</v>
      </c>
    </row>
    <row r="55" spans="1:93">
      <c r="A55" t="s">
        <v>135</v>
      </c>
      <c r="B55" t="s">
        <v>136</v>
      </c>
      <c r="C55" t="s">
        <v>207</v>
      </c>
      <c r="D55">
        <v>304303</v>
      </c>
      <c r="E55" t="s">
        <v>265</v>
      </c>
      <c r="F55" t="s">
        <v>266</v>
      </c>
      <c r="G55"/>
      <c r="H55" t="s">
        <v>140</v>
      </c>
      <c r="I55" t="s">
        <v>141</v>
      </c>
      <c r="J55" t="s">
        <v>142</v>
      </c>
      <c r="K55" t="s">
        <v>210</v>
      </c>
      <c r="L55" t="s">
        <v>144</v>
      </c>
      <c r="M55" t="s">
        <v>145</v>
      </c>
      <c r="N55" t="s">
        <v>146</v>
      </c>
      <c r="O55" s="4" t="s">
        <v>173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s="19">
        <f t="shared" si="16"/>
        <v>0</v>
      </c>
      <c r="AG55" s="19">
        <f t="shared" si="17"/>
        <v>0</v>
      </c>
      <c r="AH55" s="19">
        <f t="shared" si="18"/>
        <v>0</v>
      </c>
      <c r="AI55">
        <v>66</v>
      </c>
      <c r="AJ55">
        <v>59</v>
      </c>
      <c r="AK55">
        <v>59</v>
      </c>
      <c r="AL55">
        <v>45</v>
      </c>
      <c r="AM55">
        <v>38</v>
      </c>
      <c r="AN55">
        <v>68</v>
      </c>
      <c r="AO55">
        <v>52</v>
      </c>
      <c r="AP55">
        <v>54</v>
      </c>
      <c r="AQ55">
        <v>0</v>
      </c>
      <c r="AR55">
        <v>0</v>
      </c>
      <c r="AS55" s="20">
        <f t="shared" si="19"/>
        <v>215</v>
      </c>
      <c r="AT55" s="20">
        <f t="shared" si="20"/>
        <v>226</v>
      </c>
      <c r="AU55" s="20">
        <f t="shared" si="21"/>
        <v>441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31</v>
      </c>
      <c r="BC55">
        <v>49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32</v>
      </c>
      <c r="BU55">
        <v>46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 s="21">
        <f t="shared" si="22"/>
        <v>31</v>
      </c>
      <c r="CG55" s="21">
        <f t="shared" si="23"/>
        <v>49</v>
      </c>
      <c r="CH55" s="21">
        <f t="shared" si="24"/>
        <v>32</v>
      </c>
      <c r="CI55" s="21">
        <f t="shared" si="25"/>
        <v>46</v>
      </c>
      <c r="CJ55" s="21">
        <f t="shared" si="13"/>
        <v>63</v>
      </c>
      <c r="CK55" s="21">
        <f t="shared" si="13"/>
        <v>95</v>
      </c>
      <c r="CL55" s="21">
        <f t="shared" si="26"/>
        <v>158</v>
      </c>
      <c r="CM55" s="22">
        <f t="shared" si="15"/>
        <v>278</v>
      </c>
      <c r="CN55" s="22">
        <f t="shared" si="15"/>
        <v>321</v>
      </c>
      <c r="CO55" s="22">
        <f t="shared" si="15"/>
        <v>599</v>
      </c>
    </row>
    <row r="56" spans="1:93">
      <c r="A56" t="s">
        <v>135</v>
      </c>
      <c r="B56" t="s">
        <v>136</v>
      </c>
      <c r="C56" t="s">
        <v>207</v>
      </c>
      <c r="D56">
        <v>304305</v>
      </c>
      <c r="E56" t="s">
        <v>267</v>
      </c>
      <c r="F56" t="s">
        <v>268</v>
      </c>
      <c r="G56"/>
      <c r="H56" t="s">
        <v>140</v>
      </c>
      <c r="I56" t="s">
        <v>141</v>
      </c>
      <c r="J56" t="s">
        <v>142</v>
      </c>
      <c r="K56" t="s">
        <v>220</v>
      </c>
      <c r="L56" t="s">
        <v>144</v>
      </c>
      <c r="M56" t="s">
        <v>145</v>
      </c>
      <c r="N56" t="s">
        <v>146</v>
      </c>
      <c r="O56" s="4" t="s">
        <v>173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s="19">
        <f t="shared" si="16"/>
        <v>0</v>
      </c>
      <c r="AG56" s="19">
        <f t="shared" si="17"/>
        <v>0</v>
      </c>
      <c r="AH56" s="19">
        <f t="shared" si="18"/>
        <v>0</v>
      </c>
      <c r="AI56">
        <v>41</v>
      </c>
      <c r="AJ56">
        <v>44</v>
      </c>
      <c r="AK56">
        <v>42</v>
      </c>
      <c r="AL56">
        <v>34</v>
      </c>
      <c r="AM56">
        <v>36</v>
      </c>
      <c r="AN56">
        <v>46</v>
      </c>
      <c r="AO56">
        <v>54</v>
      </c>
      <c r="AP56">
        <v>35</v>
      </c>
      <c r="AQ56">
        <v>0</v>
      </c>
      <c r="AR56">
        <v>0</v>
      </c>
      <c r="AS56" s="20">
        <f t="shared" si="19"/>
        <v>173</v>
      </c>
      <c r="AT56" s="20">
        <f t="shared" si="20"/>
        <v>159</v>
      </c>
      <c r="AU56" s="20">
        <f t="shared" si="21"/>
        <v>332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35</v>
      </c>
      <c r="BC56">
        <v>31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32</v>
      </c>
      <c r="BU56">
        <v>34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 s="21">
        <f t="shared" si="22"/>
        <v>35</v>
      </c>
      <c r="CG56" s="21">
        <f t="shared" si="23"/>
        <v>31</v>
      </c>
      <c r="CH56" s="21">
        <f t="shared" si="24"/>
        <v>32</v>
      </c>
      <c r="CI56" s="21">
        <f t="shared" si="25"/>
        <v>34</v>
      </c>
      <c r="CJ56" s="21">
        <f t="shared" si="13"/>
        <v>67</v>
      </c>
      <c r="CK56" s="21">
        <f t="shared" si="13"/>
        <v>65</v>
      </c>
      <c r="CL56" s="21">
        <f t="shared" si="26"/>
        <v>132</v>
      </c>
      <c r="CM56" s="22">
        <f t="shared" si="15"/>
        <v>240</v>
      </c>
      <c r="CN56" s="22">
        <f t="shared" si="15"/>
        <v>224</v>
      </c>
      <c r="CO56" s="22">
        <f t="shared" si="15"/>
        <v>464</v>
      </c>
    </row>
    <row r="57" spans="1:93">
      <c r="A57" t="s">
        <v>135</v>
      </c>
      <c r="B57" t="s">
        <v>136</v>
      </c>
      <c r="C57" t="s">
        <v>207</v>
      </c>
      <c r="D57">
        <v>304314</v>
      </c>
      <c r="E57" t="s">
        <v>269</v>
      </c>
      <c r="F57" t="s">
        <v>240</v>
      </c>
      <c r="G57"/>
      <c r="H57" t="s">
        <v>140</v>
      </c>
      <c r="I57" t="s">
        <v>141</v>
      </c>
      <c r="J57" t="s">
        <v>142</v>
      </c>
      <c r="K57" t="s">
        <v>241</v>
      </c>
      <c r="L57" t="s">
        <v>144</v>
      </c>
      <c r="M57" t="s">
        <v>145</v>
      </c>
      <c r="N57" t="s">
        <v>146</v>
      </c>
      <c r="O57" s="4" t="s">
        <v>173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s="19">
        <f t="shared" si="16"/>
        <v>0</v>
      </c>
      <c r="AG57" s="19">
        <f t="shared" si="17"/>
        <v>0</v>
      </c>
      <c r="AH57" s="19">
        <f t="shared" si="18"/>
        <v>0</v>
      </c>
      <c r="AI57">
        <v>47</v>
      </c>
      <c r="AJ57">
        <v>54</v>
      </c>
      <c r="AK57">
        <v>32</v>
      </c>
      <c r="AL57">
        <v>40</v>
      </c>
      <c r="AM57">
        <v>31</v>
      </c>
      <c r="AN57">
        <v>32</v>
      </c>
      <c r="AO57">
        <v>35</v>
      </c>
      <c r="AP57">
        <v>38</v>
      </c>
      <c r="AQ57">
        <v>0</v>
      </c>
      <c r="AR57">
        <v>0</v>
      </c>
      <c r="AS57" s="20">
        <f t="shared" si="19"/>
        <v>145</v>
      </c>
      <c r="AT57" s="20">
        <f t="shared" si="20"/>
        <v>164</v>
      </c>
      <c r="AU57" s="20">
        <f t="shared" si="21"/>
        <v>309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37</v>
      </c>
      <c r="BC57">
        <v>27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28</v>
      </c>
      <c r="BU57">
        <v>26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 s="21">
        <f t="shared" si="22"/>
        <v>37</v>
      </c>
      <c r="CG57" s="21">
        <f t="shared" si="23"/>
        <v>27</v>
      </c>
      <c r="CH57" s="21">
        <f t="shared" si="24"/>
        <v>28</v>
      </c>
      <c r="CI57" s="21">
        <f t="shared" si="25"/>
        <v>26</v>
      </c>
      <c r="CJ57" s="21">
        <f t="shared" si="13"/>
        <v>65</v>
      </c>
      <c r="CK57" s="21">
        <f t="shared" si="13"/>
        <v>53</v>
      </c>
      <c r="CL57" s="21">
        <f t="shared" si="26"/>
        <v>118</v>
      </c>
      <c r="CM57" s="22">
        <f t="shared" si="15"/>
        <v>210</v>
      </c>
      <c r="CN57" s="22">
        <f t="shared" si="15"/>
        <v>217</v>
      </c>
      <c r="CO57" s="22">
        <f t="shared" si="15"/>
        <v>427</v>
      </c>
    </row>
    <row r="58" spans="1:93">
      <c r="A58" t="s">
        <v>135</v>
      </c>
      <c r="B58" t="s">
        <v>136</v>
      </c>
      <c r="C58" t="s">
        <v>207</v>
      </c>
      <c r="D58">
        <v>304327</v>
      </c>
      <c r="E58" t="s">
        <v>270</v>
      </c>
      <c r="F58" t="s">
        <v>271</v>
      </c>
      <c r="G58"/>
      <c r="H58" t="s">
        <v>140</v>
      </c>
      <c r="I58" t="s">
        <v>141</v>
      </c>
      <c r="J58" t="s">
        <v>142</v>
      </c>
      <c r="K58" t="s">
        <v>238</v>
      </c>
      <c r="L58" t="s">
        <v>144</v>
      </c>
      <c r="M58" t="s">
        <v>145</v>
      </c>
      <c r="N58" t="s">
        <v>176</v>
      </c>
      <c r="O58" s="4" t="s">
        <v>173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s="19">
        <f t="shared" si="16"/>
        <v>0</v>
      </c>
      <c r="AG58" s="19">
        <f t="shared" si="17"/>
        <v>0</v>
      </c>
      <c r="AH58" s="19">
        <f t="shared" si="18"/>
        <v>0</v>
      </c>
      <c r="AI58">
        <v>170</v>
      </c>
      <c r="AJ58">
        <v>192</v>
      </c>
      <c r="AK58">
        <v>134</v>
      </c>
      <c r="AL58">
        <v>150</v>
      </c>
      <c r="AM58">
        <v>149</v>
      </c>
      <c r="AN58">
        <v>156</v>
      </c>
      <c r="AO58">
        <v>164</v>
      </c>
      <c r="AP58">
        <v>150</v>
      </c>
      <c r="AQ58">
        <v>0</v>
      </c>
      <c r="AR58">
        <v>0</v>
      </c>
      <c r="AS58" s="20">
        <f t="shared" si="19"/>
        <v>617</v>
      </c>
      <c r="AT58" s="20">
        <f t="shared" si="20"/>
        <v>648</v>
      </c>
      <c r="AU58" s="20">
        <f t="shared" si="21"/>
        <v>1265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66</v>
      </c>
      <c r="BC58">
        <v>83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14</v>
      </c>
      <c r="BK58">
        <v>26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75</v>
      </c>
      <c r="BU58">
        <v>69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15</v>
      </c>
      <c r="CC58">
        <v>20</v>
      </c>
      <c r="CD58">
        <v>0</v>
      </c>
      <c r="CE58">
        <v>0</v>
      </c>
      <c r="CF58" s="21">
        <f t="shared" si="22"/>
        <v>80</v>
      </c>
      <c r="CG58" s="21">
        <f t="shared" si="23"/>
        <v>109</v>
      </c>
      <c r="CH58" s="21">
        <f t="shared" si="24"/>
        <v>90</v>
      </c>
      <c r="CI58" s="21">
        <f t="shared" si="25"/>
        <v>89</v>
      </c>
      <c r="CJ58" s="21">
        <f t="shared" si="13"/>
        <v>170</v>
      </c>
      <c r="CK58" s="21">
        <f t="shared" si="13"/>
        <v>198</v>
      </c>
      <c r="CL58" s="21">
        <f t="shared" si="26"/>
        <v>368</v>
      </c>
      <c r="CM58" s="22">
        <f t="shared" si="15"/>
        <v>787</v>
      </c>
      <c r="CN58" s="22">
        <f t="shared" si="15"/>
        <v>846</v>
      </c>
      <c r="CO58" s="22">
        <f t="shared" si="15"/>
        <v>1633</v>
      </c>
    </row>
    <row r="59" spans="1:93">
      <c r="A59" t="s">
        <v>135</v>
      </c>
      <c r="B59" t="s">
        <v>136</v>
      </c>
      <c r="C59" t="s">
        <v>207</v>
      </c>
      <c r="D59">
        <v>304328</v>
      </c>
      <c r="E59" t="s">
        <v>272</v>
      </c>
      <c r="F59" t="s">
        <v>273</v>
      </c>
      <c r="G59"/>
      <c r="H59" t="s">
        <v>140</v>
      </c>
      <c r="I59" t="s">
        <v>141</v>
      </c>
      <c r="J59" t="s">
        <v>142</v>
      </c>
      <c r="K59" t="s">
        <v>190</v>
      </c>
      <c r="L59" t="s">
        <v>144</v>
      </c>
      <c r="M59" t="s">
        <v>145</v>
      </c>
      <c r="N59" t="s">
        <v>146</v>
      </c>
      <c r="O59" s="4" t="s">
        <v>173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s="19">
        <f t="shared" si="16"/>
        <v>0</v>
      </c>
      <c r="AG59" s="19">
        <f t="shared" si="17"/>
        <v>0</v>
      </c>
      <c r="AH59" s="19">
        <f t="shared" si="18"/>
        <v>0</v>
      </c>
      <c r="AI59">
        <v>60</v>
      </c>
      <c r="AJ59">
        <v>76</v>
      </c>
      <c r="AK59">
        <v>40</v>
      </c>
      <c r="AL59">
        <v>75</v>
      </c>
      <c r="AM59">
        <v>31</v>
      </c>
      <c r="AN59">
        <v>46</v>
      </c>
      <c r="AO59">
        <v>40</v>
      </c>
      <c r="AP59">
        <v>49</v>
      </c>
      <c r="AQ59">
        <v>0</v>
      </c>
      <c r="AR59">
        <v>0</v>
      </c>
      <c r="AS59" s="20">
        <f t="shared" si="19"/>
        <v>171</v>
      </c>
      <c r="AT59" s="20">
        <f t="shared" si="20"/>
        <v>246</v>
      </c>
      <c r="AU59" s="20">
        <f t="shared" si="21"/>
        <v>417</v>
      </c>
      <c r="AV59">
        <v>0</v>
      </c>
      <c r="AW59">
        <v>0</v>
      </c>
      <c r="AX59">
        <v>0</v>
      </c>
      <c r="AY59">
        <v>0</v>
      </c>
      <c r="AZ59">
        <v>46</v>
      </c>
      <c r="BA59">
        <v>114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49</v>
      </c>
      <c r="BS59">
        <v>80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 s="21">
        <f t="shared" si="22"/>
        <v>46</v>
      </c>
      <c r="CG59" s="21">
        <f t="shared" si="23"/>
        <v>114</v>
      </c>
      <c r="CH59" s="21">
        <f t="shared" si="24"/>
        <v>49</v>
      </c>
      <c r="CI59" s="21">
        <f t="shared" si="25"/>
        <v>80</v>
      </c>
      <c r="CJ59" s="21">
        <f t="shared" si="13"/>
        <v>95</v>
      </c>
      <c r="CK59" s="21">
        <f t="shared" si="13"/>
        <v>194</v>
      </c>
      <c r="CL59" s="21">
        <f t="shared" si="26"/>
        <v>289</v>
      </c>
      <c r="CM59" s="22">
        <f t="shared" si="15"/>
        <v>266</v>
      </c>
      <c r="CN59" s="22">
        <f t="shared" si="15"/>
        <v>440</v>
      </c>
      <c r="CO59" s="22">
        <f t="shared" si="15"/>
        <v>706</v>
      </c>
    </row>
    <row r="60" spans="1:93">
      <c r="A60" t="s">
        <v>135</v>
      </c>
      <c r="B60" t="s">
        <v>136</v>
      </c>
      <c r="C60" t="s">
        <v>207</v>
      </c>
      <c r="D60">
        <v>304338</v>
      </c>
      <c r="E60" t="s">
        <v>274</v>
      </c>
      <c r="F60" t="s">
        <v>275</v>
      </c>
      <c r="G60"/>
      <c r="H60" t="s">
        <v>140</v>
      </c>
      <c r="I60" t="s">
        <v>141</v>
      </c>
      <c r="J60" t="s">
        <v>142</v>
      </c>
      <c r="K60" t="s">
        <v>253</v>
      </c>
      <c r="L60" t="s">
        <v>144</v>
      </c>
      <c r="M60" t="s">
        <v>145</v>
      </c>
      <c r="N60" t="s">
        <v>146</v>
      </c>
      <c r="O60" s="4" t="s">
        <v>173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s="19">
        <f t="shared" si="16"/>
        <v>0</v>
      </c>
      <c r="AG60" s="19">
        <f t="shared" si="17"/>
        <v>0</v>
      </c>
      <c r="AH60" s="19">
        <f t="shared" si="18"/>
        <v>0</v>
      </c>
      <c r="AI60">
        <v>23</v>
      </c>
      <c r="AJ60">
        <v>40</v>
      </c>
      <c r="AK60">
        <v>25</v>
      </c>
      <c r="AL60">
        <v>19</v>
      </c>
      <c r="AM60">
        <v>11</v>
      </c>
      <c r="AN60">
        <v>21</v>
      </c>
      <c r="AO60">
        <v>13</v>
      </c>
      <c r="AP60">
        <v>26</v>
      </c>
      <c r="AQ60">
        <v>0</v>
      </c>
      <c r="AR60">
        <v>0</v>
      </c>
      <c r="AS60" s="20">
        <f t="shared" si="19"/>
        <v>72</v>
      </c>
      <c r="AT60" s="20">
        <f t="shared" si="20"/>
        <v>106</v>
      </c>
      <c r="AU60" s="20">
        <f t="shared" si="21"/>
        <v>178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15</v>
      </c>
      <c r="BG60">
        <v>20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18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 s="21">
        <f t="shared" si="22"/>
        <v>15</v>
      </c>
      <c r="CG60" s="21">
        <f t="shared" si="23"/>
        <v>20</v>
      </c>
      <c r="CH60" s="21">
        <f t="shared" si="24"/>
        <v>18</v>
      </c>
      <c r="CI60" s="21">
        <f t="shared" si="25"/>
        <v>7</v>
      </c>
      <c r="CJ60" s="21">
        <f t="shared" si="13"/>
        <v>33</v>
      </c>
      <c r="CK60" s="21">
        <f t="shared" si="13"/>
        <v>27</v>
      </c>
      <c r="CL60" s="21">
        <f t="shared" si="26"/>
        <v>60</v>
      </c>
      <c r="CM60" s="22">
        <f t="shared" si="15"/>
        <v>105</v>
      </c>
      <c r="CN60" s="22">
        <f t="shared" si="15"/>
        <v>133</v>
      </c>
      <c r="CO60" s="22">
        <f t="shared" si="15"/>
        <v>238</v>
      </c>
    </row>
    <row r="61" spans="1:93">
      <c r="A61" t="s">
        <v>135</v>
      </c>
      <c r="B61" t="s">
        <v>136</v>
      </c>
      <c r="C61" t="s">
        <v>207</v>
      </c>
      <c r="D61">
        <v>305680</v>
      </c>
      <c r="E61" t="s">
        <v>276</v>
      </c>
      <c r="F61" t="s">
        <v>277</v>
      </c>
      <c r="G61"/>
      <c r="H61" t="s">
        <v>140</v>
      </c>
      <c r="I61" t="s">
        <v>141</v>
      </c>
      <c r="J61" t="s">
        <v>142</v>
      </c>
      <c r="K61" t="s">
        <v>190</v>
      </c>
      <c r="L61" t="s">
        <v>144</v>
      </c>
      <c r="M61" t="s">
        <v>145</v>
      </c>
      <c r="N61" t="s">
        <v>146</v>
      </c>
      <c r="O61" s="4" t="s">
        <v>173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s="19">
        <f t="shared" si="16"/>
        <v>0</v>
      </c>
      <c r="AG61" s="19">
        <f t="shared" si="17"/>
        <v>0</v>
      </c>
      <c r="AH61" s="19">
        <f t="shared" si="18"/>
        <v>0</v>
      </c>
      <c r="AI61">
        <v>147</v>
      </c>
      <c r="AJ61">
        <v>147</v>
      </c>
      <c r="AK61">
        <v>112</v>
      </c>
      <c r="AL61">
        <v>86</v>
      </c>
      <c r="AM61">
        <v>126</v>
      </c>
      <c r="AN61">
        <v>115</v>
      </c>
      <c r="AO61">
        <v>124</v>
      </c>
      <c r="AP61">
        <v>126</v>
      </c>
      <c r="AQ61">
        <v>0</v>
      </c>
      <c r="AR61">
        <v>0</v>
      </c>
      <c r="AS61" s="20">
        <f t="shared" si="19"/>
        <v>509</v>
      </c>
      <c r="AT61" s="20">
        <f t="shared" si="20"/>
        <v>474</v>
      </c>
      <c r="AU61" s="20">
        <f t="shared" si="21"/>
        <v>983</v>
      </c>
      <c r="AV61">
        <v>0</v>
      </c>
      <c r="AW61">
        <v>0</v>
      </c>
      <c r="AX61">
        <v>12</v>
      </c>
      <c r="AY61">
        <v>28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29</v>
      </c>
      <c r="BK61">
        <v>21</v>
      </c>
      <c r="BL61">
        <v>0</v>
      </c>
      <c r="BM61">
        <v>0</v>
      </c>
      <c r="BN61">
        <v>0</v>
      </c>
      <c r="BO61">
        <v>0</v>
      </c>
      <c r="BP61">
        <v>34</v>
      </c>
      <c r="BQ61">
        <v>47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22</v>
      </c>
      <c r="CC61">
        <v>11</v>
      </c>
      <c r="CD61">
        <v>0</v>
      </c>
      <c r="CE61">
        <v>0</v>
      </c>
      <c r="CF61" s="21">
        <f t="shared" si="22"/>
        <v>41</v>
      </c>
      <c r="CG61" s="21">
        <f t="shared" si="23"/>
        <v>49</v>
      </c>
      <c r="CH61" s="21">
        <f t="shared" si="24"/>
        <v>56</v>
      </c>
      <c r="CI61" s="21">
        <f t="shared" si="25"/>
        <v>58</v>
      </c>
      <c r="CJ61" s="21">
        <f t="shared" si="13"/>
        <v>97</v>
      </c>
      <c r="CK61" s="21">
        <f t="shared" si="13"/>
        <v>107</v>
      </c>
      <c r="CL61" s="21">
        <f t="shared" si="26"/>
        <v>204</v>
      </c>
      <c r="CM61" s="22">
        <f t="shared" si="15"/>
        <v>606</v>
      </c>
      <c r="CN61" s="22">
        <f t="shared" si="15"/>
        <v>581</v>
      </c>
      <c r="CO61" s="22">
        <f t="shared" si="15"/>
        <v>1187</v>
      </c>
    </row>
    <row r="62" spans="1:93">
      <c r="A62" t="s">
        <v>135</v>
      </c>
      <c r="B62" t="s">
        <v>136</v>
      </c>
      <c r="C62" t="s">
        <v>207</v>
      </c>
      <c r="D62">
        <v>316104</v>
      </c>
      <c r="E62" t="s">
        <v>278</v>
      </c>
      <c r="F62" t="s">
        <v>279</v>
      </c>
      <c r="G62"/>
      <c r="H62" t="s">
        <v>140</v>
      </c>
      <c r="I62" t="s">
        <v>141</v>
      </c>
      <c r="J62" t="s">
        <v>142</v>
      </c>
      <c r="K62" t="s">
        <v>226</v>
      </c>
      <c r="L62" t="s">
        <v>144</v>
      </c>
      <c r="M62" t="s">
        <v>145</v>
      </c>
      <c r="N62" t="s">
        <v>146</v>
      </c>
      <c r="O62" s="4" t="s">
        <v>173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s="19">
        <f t="shared" si="16"/>
        <v>0</v>
      </c>
      <c r="AG62" s="19">
        <f t="shared" si="17"/>
        <v>0</v>
      </c>
      <c r="AH62" s="19">
        <f t="shared" si="18"/>
        <v>0</v>
      </c>
      <c r="AI62">
        <v>45</v>
      </c>
      <c r="AJ62">
        <v>40</v>
      </c>
      <c r="AK62">
        <v>39</v>
      </c>
      <c r="AL62">
        <v>38</v>
      </c>
      <c r="AM62">
        <v>33</v>
      </c>
      <c r="AN62">
        <v>33</v>
      </c>
      <c r="AO62">
        <v>26</v>
      </c>
      <c r="AP62">
        <v>28</v>
      </c>
      <c r="AQ62">
        <v>0</v>
      </c>
      <c r="AR62">
        <v>0</v>
      </c>
      <c r="AS62" s="20">
        <f t="shared" si="19"/>
        <v>143</v>
      </c>
      <c r="AT62" s="20">
        <f t="shared" si="20"/>
        <v>139</v>
      </c>
      <c r="AU62" s="20">
        <f t="shared" si="21"/>
        <v>282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23</v>
      </c>
      <c r="BG62">
        <v>16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27</v>
      </c>
      <c r="BY62">
        <v>25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 s="21">
        <f t="shared" si="22"/>
        <v>23</v>
      </c>
      <c r="CG62" s="21">
        <f t="shared" si="23"/>
        <v>16</v>
      </c>
      <c r="CH62" s="21">
        <f t="shared" si="24"/>
        <v>27</v>
      </c>
      <c r="CI62" s="21">
        <f t="shared" si="25"/>
        <v>25</v>
      </c>
      <c r="CJ62" s="21">
        <f t="shared" si="13"/>
        <v>50</v>
      </c>
      <c r="CK62" s="21">
        <f t="shared" si="13"/>
        <v>41</v>
      </c>
      <c r="CL62" s="21">
        <f t="shared" si="26"/>
        <v>91</v>
      </c>
      <c r="CM62" s="22">
        <f t="shared" si="15"/>
        <v>193</v>
      </c>
      <c r="CN62" s="22">
        <f t="shared" si="15"/>
        <v>180</v>
      </c>
      <c r="CO62" s="22">
        <f t="shared" si="15"/>
        <v>373</v>
      </c>
    </row>
    <row r="63" spans="1:93">
      <c r="A63" t="s">
        <v>135</v>
      </c>
      <c r="B63" t="s">
        <v>136</v>
      </c>
      <c r="C63" t="s">
        <v>207</v>
      </c>
      <c r="D63">
        <v>325101</v>
      </c>
      <c r="E63" t="s">
        <v>280</v>
      </c>
      <c r="F63" t="s">
        <v>281</v>
      </c>
      <c r="G63"/>
      <c r="H63" t="s">
        <v>140</v>
      </c>
      <c r="I63" t="s">
        <v>141</v>
      </c>
      <c r="J63" t="s">
        <v>142</v>
      </c>
      <c r="K63" t="s">
        <v>190</v>
      </c>
      <c r="L63" t="s">
        <v>144</v>
      </c>
      <c r="M63" t="s">
        <v>145</v>
      </c>
      <c r="N63" t="s">
        <v>146</v>
      </c>
      <c r="O63" s="4" t="s">
        <v>173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s="19">
        <f t="shared" si="16"/>
        <v>0</v>
      </c>
      <c r="AG63" s="19">
        <f t="shared" si="17"/>
        <v>0</v>
      </c>
      <c r="AH63" s="19">
        <f t="shared" si="18"/>
        <v>0</v>
      </c>
      <c r="AI63">
        <v>47</v>
      </c>
      <c r="AJ63">
        <v>21</v>
      </c>
      <c r="AK63">
        <v>33</v>
      </c>
      <c r="AL63">
        <v>25</v>
      </c>
      <c r="AM63">
        <v>35</v>
      </c>
      <c r="AN63">
        <v>29</v>
      </c>
      <c r="AO63">
        <v>18</v>
      </c>
      <c r="AP63">
        <v>22</v>
      </c>
      <c r="AQ63">
        <v>0</v>
      </c>
      <c r="AR63">
        <v>0</v>
      </c>
      <c r="AS63" s="20">
        <f t="shared" si="19"/>
        <v>133</v>
      </c>
      <c r="AT63" s="20">
        <f t="shared" si="20"/>
        <v>97</v>
      </c>
      <c r="AU63" s="20">
        <f t="shared" si="21"/>
        <v>230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4</v>
      </c>
      <c r="BC63">
        <v>20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9</v>
      </c>
      <c r="BU63">
        <v>6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 s="21">
        <f t="shared" si="22"/>
        <v>4</v>
      </c>
      <c r="CG63" s="21">
        <f t="shared" si="23"/>
        <v>20</v>
      </c>
      <c r="CH63" s="21">
        <f t="shared" si="24"/>
        <v>9</v>
      </c>
      <c r="CI63" s="21">
        <f t="shared" si="25"/>
        <v>6</v>
      </c>
      <c r="CJ63" s="21">
        <f t="shared" si="13"/>
        <v>13</v>
      </c>
      <c r="CK63" s="21">
        <f t="shared" si="13"/>
        <v>26</v>
      </c>
      <c r="CL63" s="21">
        <f t="shared" si="26"/>
        <v>39</v>
      </c>
      <c r="CM63" s="22">
        <f t="shared" si="15"/>
        <v>146</v>
      </c>
      <c r="CN63" s="22">
        <f t="shared" si="15"/>
        <v>123</v>
      </c>
      <c r="CO63" s="22">
        <f t="shared" si="15"/>
        <v>269</v>
      </c>
    </row>
    <row r="64" spans="1:93">
      <c r="A64" t="s">
        <v>135</v>
      </c>
      <c r="B64" t="s">
        <v>136</v>
      </c>
      <c r="C64" t="s">
        <v>207</v>
      </c>
      <c r="D64">
        <v>325102</v>
      </c>
      <c r="E64" t="s">
        <v>282</v>
      </c>
      <c r="F64" t="s">
        <v>283</v>
      </c>
      <c r="G64"/>
      <c r="H64" t="s">
        <v>140</v>
      </c>
      <c r="I64" t="s">
        <v>141</v>
      </c>
      <c r="J64" t="s">
        <v>142</v>
      </c>
      <c r="K64" t="s">
        <v>213</v>
      </c>
      <c r="L64" t="s">
        <v>144</v>
      </c>
      <c r="M64" t="s">
        <v>145</v>
      </c>
      <c r="N64" t="s">
        <v>146</v>
      </c>
      <c r="O64" s="4" t="s">
        <v>173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s="19">
        <f t="shared" si="16"/>
        <v>0</v>
      </c>
      <c r="AG64" s="19">
        <f t="shared" si="17"/>
        <v>0</v>
      </c>
      <c r="AH64" s="19">
        <f t="shared" si="18"/>
        <v>0</v>
      </c>
      <c r="AI64">
        <v>34</v>
      </c>
      <c r="AJ64">
        <v>42</v>
      </c>
      <c r="AK64">
        <v>32</v>
      </c>
      <c r="AL64">
        <v>25</v>
      </c>
      <c r="AM64">
        <v>27</v>
      </c>
      <c r="AN64">
        <v>29</v>
      </c>
      <c r="AO64">
        <v>37</v>
      </c>
      <c r="AP64">
        <v>38</v>
      </c>
      <c r="AQ64">
        <v>0</v>
      </c>
      <c r="AR64">
        <v>0</v>
      </c>
      <c r="AS64" s="20">
        <f t="shared" si="19"/>
        <v>130</v>
      </c>
      <c r="AT64" s="20">
        <f t="shared" si="20"/>
        <v>134</v>
      </c>
      <c r="AU64" s="20">
        <f t="shared" si="21"/>
        <v>264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26</v>
      </c>
      <c r="BG64">
        <v>27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29</v>
      </c>
      <c r="BY64">
        <v>22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 s="21">
        <f t="shared" si="22"/>
        <v>26</v>
      </c>
      <c r="CG64" s="21">
        <f t="shared" si="23"/>
        <v>27</v>
      </c>
      <c r="CH64" s="21">
        <f t="shared" si="24"/>
        <v>29</v>
      </c>
      <c r="CI64" s="21">
        <f t="shared" si="25"/>
        <v>22</v>
      </c>
      <c r="CJ64" s="21">
        <f t="shared" si="13"/>
        <v>55</v>
      </c>
      <c r="CK64" s="21">
        <f t="shared" si="13"/>
        <v>49</v>
      </c>
      <c r="CL64" s="21">
        <f t="shared" si="26"/>
        <v>104</v>
      </c>
      <c r="CM64" s="22">
        <f t="shared" si="15"/>
        <v>185</v>
      </c>
      <c r="CN64" s="22">
        <f t="shared" si="15"/>
        <v>183</v>
      </c>
      <c r="CO64" s="22">
        <f t="shared" si="15"/>
        <v>368</v>
      </c>
    </row>
    <row r="65" spans="1:93">
      <c r="A65" t="s">
        <v>135</v>
      </c>
      <c r="B65" t="s">
        <v>136</v>
      </c>
      <c r="C65" t="s">
        <v>207</v>
      </c>
      <c r="D65">
        <v>325106</v>
      </c>
      <c r="E65" t="s">
        <v>284</v>
      </c>
      <c r="F65" t="s">
        <v>285</v>
      </c>
      <c r="G65"/>
      <c r="H65" t="s">
        <v>140</v>
      </c>
      <c r="I65" t="s">
        <v>141</v>
      </c>
      <c r="J65" t="s">
        <v>142</v>
      </c>
      <c r="K65" t="s">
        <v>262</v>
      </c>
      <c r="L65" t="s">
        <v>144</v>
      </c>
      <c r="M65" t="s">
        <v>145</v>
      </c>
      <c r="N65" t="s">
        <v>146</v>
      </c>
      <c r="O65" s="4" t="s">
        <v>173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s="19">
        <f t="shared" si="16"/>
        <v>0</v>
      </c>
      <c r="AG65" s="19">
        <f t="shared" si="17"/>
        <v>0</v>
      </c>
      <c r="AH65" s="19">
        <f t="shared" si="18"/>
        <v>0</v>
      </c>
      <c r="AI65">
        <v>62</v>
      </c>
      <c r="AJ65">
        <v>54</v>
      </c>
      <c r="AK65">
        <v>39</v>
      </c>
      <c r="AL65">
        <v>54</v>
      </c>
      <c r="AM65">
        <v>39</v>
      </c>
      <c r="AN65">
        <v>44</v>
      </c>
      <c r="AO65">
        <v>48</v>
      </c>
      <c r="AP65">
        <v>38</v>
      </c>
      <c r="AQ65">
        <v>0</v>
      </c>
      <c r="AR65">
        <v>0</v>
      </c>
      <c r="AS65" s="20">
        <f t="shared" si="19"/>
        <v>188</v>
      </c>
      <c r="AT65" s="20">
        <f t="shared" si="20"/>
        <v>190</v>
      </c>
      <c r="AU65" s="20">
        <f t="shared" si="21"/>
        <v>378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18</v>
      </c>
      <c r="BG65">
        <v>25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27</v>
      </c>
      <c r="BY65">
        <v>40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 s="21">
        <f t="shared" si="22"/>
        <v>18</v>
      </c>
      <c r="CG65" s="21">
        <f t="shared" si="23"/>
        <v>25</v>
      </c>
      <c r="CH65" s="21">
        <f t="shared" si="24"/>
        <v>27</v>
      </c>
      <c r="CI65" s="21">
        <f t="shared" si="25"/>
        <v>40</v>
      </c>
      <c r="CJ65" s="21">
        <f t="shared" ref="CJ65:CK90" si="27">CF65+CH65</f>
        <v>45</v>
      </c>
      <c r="CK65" s="21">
        <f t="shared" si="27"/>
        <v>65</v>
      </c>
      <c r="CL65" s="21">
        <f t="shared" si="26"/>
        <v>110</v>
      </c>
      <c r="CM65" s="22">
        <f t="shared" ref="CM65:CO90" si="28">AF65+AS65+CJ65</f>
        <v>233</v>
      </c>
      <c r="CN65" s="22">
        <f t="shared" si="28"/>
        <v>255</v>
      </c>
      <c r="CO65" s="22">
        <f t="shared" si="28"/>
        <v>488</v>
      </c>
    </row>
    <row r="66" spans="1:93">
      <c r="A66" t="s">
        <v>135</v>
      </c>
      <c r="B66" t="s">
        <v>136</v>
      </c>
      <c r="C66" t="s">
        <v>207</v>
      </c>
      <c r="D66">
        <v>465513</v>
      </c>
      <c r="E66" t="s">
        <v>286</v>
      </c>
      <c r="F66" t="s">
        <v>287</v>
      </c>
      <c r="G66"/>
      <c r="H66" t="s">
        <v>140</v>
      </c>
      <c r="I66" t="s">
        <v>141</v>
      </c>
      <c r="J66" t="s">
        <v>142</v>
      </c>
      <c r="K66" t="s">
        <v>238</v>
      </c>
      <c r="L66" t="s">
        <v>181</v>
      </c>
      <c r="M66" t="s">
        <v>191</v>
      </c>
      <c r="N66" t="s">
        <v>146</v>
      </c>
      <c r="O66" s="4" t="s">
        <v>183</v>
      </c>
      <c r="P66">
        <v>5</v>
      </c>
      <c r="Q66">
        <v>9</v>
      </c>
      <c r="R66">
        <v>11</v>
      </c>
      <c r="S66">
        <v>16</v>
      </c>
      <c r="T66">
        <v>11</v>
      </c>
      <c r="U66">
        <v>11</v>
      </c>
      <c r="V66">
        <v>11</v>
      </c>
      <c r="W66">
        <v>16</v>
      </c>
      <c r="X66">
        <v>14</v>
      </c>
      <c r="Y66">
        <v>12</v>
      </c>
      <c r="Z66">
        <v>12</v>
      </c>
      <c r="AA66">
        <v>12</v>
      </c>
      <c r="AB66">
        <v>7</v>
      </c>
      <c r="AC66">
        <v>11</v>
      </c>
      <c r="AD66">
        <v>0</v>
      </c>
      <c r="AE66">
        <v>0</v>
      </c>
      <c r="AF66" s="19">
        <f t="shared" si="16"/>
        <v>71</v>
      </c>
      <c r="AG66" s="19">
        <f t="shared" si="17"/>
        <v>87</v>
      </c>
      <c r="AH66" s="19">
        <f t="shared" si="18"/>
        <v>158</v>
      </c>
      <c r="AI66">
        <v>22</v>
      </c>
      <c r="AJ66">
        <v>15</v>
      </c>
      <c r="AK66">
        <v>20</v>
      </c>
      <c r="AL66">
        <v>17</v>
      </c>
      <c r="AM66">
        <v>18</v>
      </c>
      <c r="AN66">
        <v>19</v>
      </c>
      <c r="AO66">
        <v>24</v>
      </c>
      <c r="AP66">
        <v>17</v>
      </c>
      <c r="AQ66">
        <v>0</v>
      </c>
      <c r="AR66">
        <v>0</v>
      </c>
      <c r="AS66" s="20">
        <f t="shared" si="19"/>
        <v>84</v>
      </c>
      <c r="AT66" s="20">
        <f t="shared" si="20"/>
        <v>68</v>
      </c>
      <c r="AU66" s="20">
        <f t="shared" si="21"/>
        <v>152</v>
      </c>
      <c r="AV66">
        <v>23</v>
      </c>
      <c r="AW66">
        <v>35</v>
      </c>
      <c r="AX66">
        <v>96</v>
      </c>
      <c r="AY66">
        <v>118</v>
      </c>
      <c r="AZ66">
        <v>15</v>
      </c>
      <c r="BA66">
        <v>65</v>
      </c>
      <c r="BB66">
        <v>34</v>
      </c>
      <c r="BC66">
        <v>37</v>
      </c>
      <c r="BD66">
        <v>0</v>
      </c>
      <c r="BE66">
        <v>0</v>
      </c>
      <c r="BF66">
        <v>32</v>
      </c>
      <c r="BG66">
        <v>18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16</v>
      </c>
      <c r="BO66">
        <v>23</v>
      </c>
      <c r="BP66">
        <v>54</v>
      </c>
      <c r="BQ66">
        <v>88</v>
      </c>
      <c r="BR66">
        <v>51</v>
      </c>
      <c r="BS66">
        <v>79</v>
      </c>
      <c r="BT66">
        <v>38</v>
      </c>
      <c r="BU66">
        <v>27</v>
      </c>
      <c r="BV66">
        <v>0</v>
      </c>
      <c r="BW66">
        <v>0</v>
      </c>
      <c r="BX66">
        <v>15</v>
      </c>
      <c r="BY66">
        <v>17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 s="21">
        <f t="shared" si="22"/>
        <v>200</v>
      </c>
      <c r="CG66" s="21">
        <f t="shared" si="23"/>
        <v>273</v>
      </c>
      <c r="CH66" s="21">
        <f t="shared" si="24"/>
        <v>174</v>
      </c>
      <c r="CI66" s="21">
        <f t="shared" si="25"/>
        <v>234</v>
      </c>
      <c r="CJ66" s="21">
        <f t="shared" si="27"/>
        <v>374</v>
      </c>
      <c r="CK66" s="21">
        <f t="shared" si="27"/>
        <v>507</v>
      </c>
      <c r="CL66" s="21">
        <f t="shared" si="26"/>
        <v>881</v>
      </c>
      <c r="CM66" s="22">
        <f t="shared" si="28"/>
        <v>529</v>
      </c>
      <c r="CN66" s="22">
        <f t="shared" si="28"/>
        <v>662</v>
      </c>
      <c r="CO66" s="22">
        <f t="shared" si="28"/>
        <v>1191</v>
      </c>
    </row>
    <row r="67" spans="1:93">
      <c r="A67" t="s">
        <v>135</v>
      </c>
      <c r="B67" t="s">
        <v>136</v>
      </c>
      <c r="C67" t="s">
        <v>207</v>
      </c>
      <c r="D67">
        <v>465515</v>
      </c>
      <c r="E67" t="s">
        <v>288</v>
      </c>
      <c r="F67" t="s">
        <v>289</v>
      </c>
      <c r="G67"/>
      <c r="H67" t="s">
        <v>140</v>
      </c>
      <c r="I67" t="s">
        <v>141</v>
      </c>
      <c r="J67" t="s">
        <v>142</v>
      </c>
      <c r="K67" t="s">
        <v>190</v>
      </c>
      <c r="L67" t="s">
        <v>181</v>
      </c>
      <c r="M67" t="s">
        <v>191</v>
      </c>
      <c r="N67" t="s">
        <v>146</v>
      </c>
      <c r="O67" s="4" t="s">
        <v>187</v>
      </c>
      <c r="P67">
        <v>16</v>
      </c>
      <c r="Q67">
        <v>25</v>
      </c>
      <c r="R67">
        <v>51</v>
      </c>
      <c r="S67">
        <v>32</v>
      </c>
      <c r="T67">
        <v>34</v>
      </c>
      <c r="U67">
        <v>27</v>
      </c>
      <c r="V67">
        <v>22</v>
      </c>
      <c r="W67">
        <v>39</v>
      </c>
      <c r="X67">
        <v>32</v>
      </c>
      <c r="Y67">
        <v>30</v>
      </c>
      <c r="Z67">
        <v>36</v>
      </c>
      <c r="AA67">
        <v>25</v>
      </c>
      <c r="AB67">
        <v>31</v>
      </c>
      <c r="AC67">
        <v>25</v>
      </c>
      <c r="AD67">
        <v>0</v>
      </c>
      <c r="AE67">
        <v>0</v>
      </c>
      <c r="AF67" s="19">
        <f t="shared" si="16"/>
        <v>222</v>
      </c>
      <c r="AG67" s="19">
        <f t="shared" si="17"/>
        <v>203</v>
      </c>
      <c r="AH67" s="19">
        <f t="shared" si="18"/>
        <v>425</v>
      </c>
      <c r="AI67">
        <v>11</v>
      </c>
      <c r="AJ67">
        <v>19</v>
      </c>
      <c r="AK67">
        <v>14</v>
      </c>
      <c r="AL67">
        <v>12</v>
      </c>
      <c r="AM67">
        <v>18</v>
      </c>
      <c r="AN67">
        <v>8</v>
      </c>
      <c r="AO67">
        <v>13</v>
      </c>
      <c r="AP67">
        <v>12</v>
      </c>
      <c r="AQ67">
        <v>0</v>
      </c>
      <c r="AR67">
        <v>0</v>
      </c>
      <c r="AS67" s="20">
        <f t="shared" si="19"/>
        <v>56</v>
      </c>
      <c r="AT67" s="20">
        <f t="shared" si="20"/>
        <v>51</v>
      </c>
      <c r="AU67" s="20">
        <f t="shared" si="21"/>
        <v>107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 s="21">
        <f t="shared" si="22"/>
        <v>0</v>
      </c>
      <c r="CG67" s="21">
        <f t="shared" si="23"/>
        <v>0</v>
      </c>
      <c r="CH67" s="21">
        <f t="shared" si="24"/>
        <v>0</v>
      </c>
      <c r="CI67" s="21">
        <f t="shared" si="25"/>
        <v>0</v>
      </c>
      <c r="CJ67" s="21">
        <f t="shared" si="27"/>
        <v>0</v>
      </c>
      <c r="CK67" s="21">
        <f t="shared" si="27"/>
        <v>0</v>
      </c>
      <c r="CL67" s="21">
        <f t="shared" si="26"/>
        <v>0</v>
      </c>
      <c r="CM67" s="22">
        <f t="shared" si="28"/>
        <v>278</v>
      </c>
      <c r="CN67" s="22">
        <f t="shared" si="28"/>
        <v>254</v>
      </c>
      <c r="CO67" s="22">
        <f t="shared" si="28"/>
        <v>532</v>
      </c>
    </row>
    <row r="68" spans="1:93">
      <c r="A68" t="s">
        <v>135</v>
      </c>
      <c r="B68" t="s">
        <v>136</v>
      </c>
      <c r="C68" t="s">
        <v>207</v>
      </c>
      <c r="D68">
        <v>465516</v>
      </c>
      <c r="E68" t="s">
        <v>290</v>
      </c>
      <c r="F68" t="s">
        <v>291</v>
      </c>
      <c r="G68"/>
      <c r="H68" t="s">
        <v>140</v>
      </c>
      <c r="I68" t="s">
        <v>141</v>
      </c>
      <c r="J68" t="s">
        <v>142</v>
      </c>
      <c r="K68" t="s">
        <v>190</v>
      </c>
      <c r="L68" t="s">
        <v>181</v>
      </c>
      <c r="M68" t="s">
        <v>191</v>
      </c>
      <c r="N68" t="s">
        <v>146</v>
      </c>
      <c r="O68" s="4" t="s">
        <v>147</v>
      </c>
      <c r="P68">
        <v>49</v>
      </c>
      <c r="Q68">
        <v>38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s="19">
        <f t="shared" si="16"/>
        <v>49</v>
      </c>
      <c r="AG68" s="19">
        <f t="shared" si="17"/>
        <v>38</v>
      </c>
      <c r="AH68" s="19">
        <f t="shared" si="18"/>
        <v>87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 s="20">
        <f t="shared" si="19"/>
        <v>0</v>
      </c>
      <c r="AT68" s="20">
        <f t="shared" si="20"/>
        <v>0</v>
      </c>
      <c r="AU68" s="20">
        <f t="shared" si="21"/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 s="21">
        <f t="shared" si="22"/>
        <v>0</v>
      </c>
      <c r="CG68" s="21">
        <f t="shared" si="23"/>
        <v>0</v>
      </c>
      <c r="CH68" s="21">
        <f t="shared" si="24"/>
        <v>0</v>
      </c>
      <c r="CI68" s="21">
        <f t="shared" si="25"/>
        <v>0</v>
      </c>
      <c r="CJ68" s="21">
        <f t="shared" si="27"/>
        <v>0</v>
      </c>
      <c r="CK68" s="21">
        <f t="shared" si="27"/>
        <v>0</v>
      </c>
      <c r="CL68" s="21">
        <f t="shared" si="26"/>
        <v>0</v>
      </c>
      <c r="CM68" s="22">
        <f t="shared" si="28"/>
        <v>49</v>
      </c>
      <c r="CN68" s="22">
        <f t="shared" si="28"/>
        <v>38</v>
      </c>
      <c r="CO68" s="22">
        <f t="shared" si="28"/>
        <v>87</v>
      </c>
    </row>
    <row r="69" spans="1:93">
      <c r="A69" t="s">
        <v>135</v>
      </c>
      <c r="B69" t="s">
        <v>136</v>
      </c>
      <c r="C69" t="s">
        <v>207</v>
      </c>
      <c r="D69">
        <v>465900</v>
      </c>
      <c r="E69" t="s">
        <v>292</v>
      </c>
      <c r="F69" t="s">
        <v>293</v>
      </c>
      <c r="G69"/>
      <c r="H69" t="s">
        <v>140</v>
      </c>
      <c r="I69" t="s">
        <v>141</v>
      </c>
      <c r="J69" t="s">
        <v>142</v>
      </c>
      <c r="K69" t="s">
        <v>190</v>
      </c>
      <c r="L69" t="s">
        <v>181</v>
      </c>
      <c r="M69" t="s">
        <v>191</v>
      </c>
      <c r="N69" t="s">
        <v>146</v>
      </c>
      <c r="O69" s="4" t="s">
        <v>183</v>
      </c>
      <c r="P69">
        <v>6</v>
      </c>
      <c r="Q69">
        <v>6</v>
      </c>
      <c r="R69">
        <v>10</v>
      </c>
      <c r="S69">
        <v>5</v>
      </c>
      <c r="T69">
        <v>9</v>
      </c>
      <c r="U69">
        <v>10</v>
      </c>
      <c r="V69">
        <v>7</v>
      </c>
      <c r="W69">
        <v>7</v>
      </c>
      <c r="X69">
        <v>5</v>
      </c>
      <c r="Y69">
        <v>6</v>
      </c>
      <c r="Z69">
        <v>7</v>
      </c>
      <c r="AA69">
        <v>11</v>
      </c>
      <c r="AB69">
        <v>11</v>
      </c>
      <c r="AC69">
        <v>7</v>
      </c>
      <c r="AD69">
        <v>0</v>
      </c>
      <c r="AE69">
        <v>0</v>
      </c>
      <c r="AF69" s="19">
        <f t="shared" si="16"/>
        <v>55</v>
      </c>
      <c r="AG69" s="19">
        <f t="shared" si="17"/>
        <v>52</v>
      </c>
      <c r="AH69" s="19">
        <f t="shared" si="18"/>
        <v>107</v>
      </c>
      <c r="AI69">
        <v>11</v>
      </c>
      <c r="AJ69">
        <v>3</v>
      </c>
      <c r="AK69">
        <v>8</v>
      </c>
      <c r="AL69">
        <v>5</v>
      </c>
      <c r="AM69">
        <v>10</v>
      </c>
      <c r="AN69">
        <v>7</v>
      </c>
      <c r="AO69">
        <v>8</v>
      </c>
      <c r="AP69">
        <v>5</v>
      </c>
      <c r="AQ69">
        <v>0</v>
      </c>
      <c r="AR69">
        <v>0</v>
      </c>
      <c r="AS69" s="20">
        <f t="shared" si="19"/>
        <v>37</v>
      </c>
      <c r="AT69" s="20">
        <f t="shared" si="20"/>
        <v>20</v>
      </c>
      <c r="AU69" s="20">
        <f t="shared" si="21"/>
        <v>57</v>
      </c>
      <c r="AV69">
        <v>1</v>
      </c>
      <c r="AW69">
        <v>0</v>
      </c>
      <c r="AX69">
        <v>0</v>
      </c>
      <c r="AY69">
        <v>5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4</v>
      </c>
      <c r="BQ69">
        <v>3</v>
      </c>
      <c r="BR69">
        <v>5</v>
      </c>
      <c r="BS69">
        <v>4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 s="21">
        <f t="shared" si="22"/>
        <v>3</v>
      </c>
      <c r="CG69" s="21">
        <f t="shared" si="23"/>
        <v>5</v>
      </c>
      <c r="CH69" s="21">
        <f t="shared" si="24"/>
        <v>9</v>
      </c>
      <c r="CI69" s="21">
        <f t="shared" si="25"/>
        <v>7</v>
      </c>
      <c r="CJ69" s="21">
        <f t="shared" si="27"/>
        <v>12</v>
      </c>
      <c r="CK69" s="21">
        <f t="shared" si="27"/>
        <v>12</v>
      </c>
      <c r="CL69" s="21">
        <f t="shared" si="26"/>
        <v>24</v>
      </c>
      <c r="CM69" s="22">
        <f t="shared" si="28"/>
        <v>104</v>
      </c>
      <c r="CN69" s="22">
        <f t="shared" si="28"/>
        <v>84</v>
      </c>
      <c r="CO69" s="22">
        <f t="shared" si="28"/>
        <v>188</v>
      </c>
    </row>
    <row r="70" spans="1:93">
      <c r="A70" t="s">
        <v>135</v>
      </c>
      <c r="B70" t="s">
        <v>136</v>
      </c>
      <c r="C70" t="s">
        <v>207</v>
      </c>
      <c r="D70">
        <v>502726</v>
      </c>
      <c r="E70" t="s">
        <v>294</v>
      </c>
      <c r="F70" t="s">
        <v>295</v>
      </c>
      <c r="G70"/>
      <c r="H70" t="s">
        <v>140</v>
      </c>
      <c r="I70" t="s">
        <v>141</v>
      </c>
      <c r="J70" t="s">
        <v>142</v>
      </c>
      <c r="K70" t="s">
        <v>250</v>
      </c>
      <c r="L70" t="s">
        <v>144</v>
      </c>
      <c r="M70" t="s">
        <v>145</v>
      </c>
      <c r="N70" t="s">
        <v>146</v>
      </c>
      <c r="O70" s="4" t="s">
        <v>187</v>
      </c>
      <c r="P70">
        <v>5</v>
      </c>
      <c r="Q70">
        <v>9</v>
      </c>
      <c r="R70">
        <v>10</v>
      </c>
      <c r="S70">
        <v>5</v>
      </c>
      <c r="T70">
        <v>13</v>
      </c>
      <c r="U70">
        <v>8</v>
      </c>
      <c r="V70">
        <v>7</v>
      </c>
      <c r="W70">
        <v>9</v>
      </c>
      <c r="X70">
        <v>8</v>
      </c>
      <c r="Y70">
        <v>2</v>
      </c>
      <c r="Z70">
        <v>11</v>
      </c>
      <c r="AA70">
        <v>8</v>
      </c>
      <c r="AB70">
        <v>13</v>
      </c>
      <c r="AC70">
        <v>13</v>
      </c>
      <c r="AD70">
        <v>0</v>
      </c>
      <c r="AE70">
        <v>0</v>
      </c>
      <c r="AF70" s="19">
        <f t="shared" si="16"/>
        <v>67</v>
      </c>
      <c r="AG70" s="19">
        <f t="shared" si="17"/>
        <v>54</v>
      </c>
      <c r="AH70" s="19">
        <f t="shared" si="18"/>
        <v>121</v>
      </c>
      <c r="AI70">
        <v>7</v>
      </c>
      <c r="AJ70">
        <v>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 s="20">
        <f t="shared" si="19"/>
        <v>7</v>
      </c>
      <c r="AT70" s="20">
        <f t="shared" si="20"/>
        <v>5</v>
      </c>
      <c r="AU70" s="20">
        <f t="shared" si="21"/>
        <v>12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 s="21">
        <f t="shared" si="22"/>
        <v>0</v>
      </c>
      <c r="CG70" s="21">
        <f t="shared" si="23"/>
        <v>0</v>
      </c>
      <c r="CH70" s="21">
        <f t="shared" si="24"/>
        <v>0</v>
      </c>
      <c r="CI70" s="21">
        <f t="shared" si="25"/>
        <v>0</v>
      </c>
      <c r="CJ70" s="21">
        <f t="shared" si="27"/>
        <v>0</v>
      </c>
      <c r="CK70" s="21">
        <f t="shared" si="27"/>
        <v>0</v>
      </c>
      <c r="CL70" s="21">
        <f t="shared" si="26"/>
        <v>0</v>
      </c>
      <c r="CM70" s="22">
        <f t="shared" si="28"/>
        <v>74</v>
      </c>
      <c r="CN70" s="22">
        <f t="shared" si="28"/>
        <v>59</v>
      </c>
      <c r="CO70" s="22">
        <f t="shared" si="28"/>
        <v>133</v>
      </c>
    </row>
    <row r="71" spans="1:93">
      <c r="A71" t="s">
        <v>135</v>
      </c>
      <c r="B71" t="s">
        <v>136</v>
      </c>
      <c r="C71" t="s">
        <v>207</v>
      </c>
      <c r="D71">
        <v>502727</v>
      </c>
      <c r="E71" t="s">
        <v>296</v>
      </c>
      <c r="F71" t="s">
        <v>297</v>
      </c>
      <c r="G71"/>
      <c r="H71" t="s">
        <v>140</v>
      </c>
      <c r="I71" t="s">
        <v>141</v>
      </c>
      <c r="J71" t="s">
        <v>142</v>
      </c>
      <c r="K71" t="s">
        <v>298</v>
      </c>
      <c r="L71" t="s">
        <v>144</v>
      </c>
      <c r="M71" t="s">
        <v>145</v>
      </c>
      <c r="N71" t="s">
        <v>146</v>
      </c>
      <c r="O71" s="4" t="s">
        <v>187</v>
      </c>
      <c r="P71">
        <v>20</v>
      </c>
      <c r="Q71">
        <v>8</v>
      </c>
      <c r="R71">
        <v>22</v>
      </c>
      <c r="S71">
        <v>15</v>
      </c>
      <c r="T71">
        <v>19</v>
      </c>
      <c r="U71">
        <v>10</v>
      </c>
      <c r="V71">
        <v>26</v>
      </c>
      <c r="W71">
        <v>19</v>
      </c>
      <c r="X71">
        <v>10</v>
      </c>
      <c r="Y71">
        <v>16</v>
      </c>
      <c r="Z71">
        <v>16</v>
      </c>
      <c r="AA71">
        <v>20</v>
      </c>
      <c r="AB71">
        <v>21</v>
      </c>
      <c r="AC71">
        <v>10</v>
      </c>
      <c r="AD71">
        <v>0</v>
      </c>
      <c r="AE71">
        <v>0</v>
      </c>
      <c r="AF71" s="19">
        <f t="shared" si="16"/>
        <v>134</v>
      </c>
      <c r="AG71" s="19">
        <f t="shared" si="17"/>
        <v>98</v>
      </c>
      <c r="AH71" s="19">
        <f t="shared" si="18"/>
        <v>232</v>
      </c>
      <c r="AI71">
        <v>13</v>
      </c>
      <c r="AJ71">
        <v>12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s="20">
        <f t="shared" si="19"/>
        <v>13</v>
      </c>
      <c r="AT71" s="20">
        <f t="shared" si="20"/>
        <v>12</v>
      </c>
      <c r="AU71" s="20">
        <f t="shared" si="21"/>
        <v>25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 s="21">
        <f t="shared" si="22"/>
        <v>0</v>
      </c>
      <c r="CG71" s="21">
        <f t="shared" si="23"/>
        <v>0</v>
      </c>
      <c r="CH71" s="21">
        <f t="shared" si="24"/>
        <v>0</v>
      </c>
      <c r="CI71" s="21">
        <f t="shared" si="25"/>
        <v>0</v>
      </c>
      <c r="CJ71" s="21">
        <f t="shared" si="27"/>
        <v>0</v>
      </c>
      <c r="CK71" s="21">
        <f t="shared" si="27"/>
        <v>0</v>
      </c>
      <c r="CL71" s="21">
        <f t="shared" si="26"/>
        <v>0</v>
      </c>
      <c r="CM71" s="22">
        <f t="shared" si="28"/>
        <v>147</v>
      </c>
      <c r="CN71" s="22">
        <f t="shared" si="28"/>
        <v>110</v>
      </c>
      <c r="CO71" s="22">
        <f t="shared" si="28"/>
        <v>257</v>
      </c>
    </row>
    <row r="72" spans="1:93">
      <c r="A72" t="s">
        <v>135</v>
      </c>
      <c r="B72" t="s">
        <v>136</v>
      </c>
      <c r="C72" t="s">
        <v>299</v>
      </c>
      <c r="D72">
        <v>102157</v>
      </c>
      <c r="E72" t="s">
        <v>300</v>
      </c>
      <c r="F72" t="s">
        <v>301</v>
      </c>
      <c r="G72"/>
      <c r="H72" t="s">
        <v>140</v>
      </c>
      <c r="I72" t="s">
        <v>141</v>
      </c>
      <c r="J72" t="s">
        <v>142</v>
      </c>
      <c r="K72" t="s">
        <v>302</v>
      </c>
      <c r="L72" t="s">
        <v>144</v>
      </c>
      <c r="M72" t="s">
        <v>145</v>
      </c>
      <c r="N72" t="s">
        <v>146</v>
      </c>
      <c r="O72" s="4" t="s">
        <v>147</v>
      </c>
      <c r="P72">
        <v>10</v>
      </c>
      <c r="Q72">
        <v>7</v>
      </c>
      <c r="R72">
        <v>14</v>
      </c>
      <c r="S72">
        <v>10</v>
      </c>
      <c r="T72">
        <v>11</v>
      </c>
      <c r="U72">
        <v>5</v>
      </c>
      <c r="V72">
        <v>13</v>
      </c>
      <c r="W72">
        <v>10</v>
      </c>
      <c r="X72">
        <v>15</v>
      </c>
      <c r="Y72">
        <v>9</v>
      </c>
      <c r="Z72">
        <v>11</v>
      </c>
      <c r="AA72">
        <v>14</v>
      </c>
      <c r="AB72">
        <v>14</v>
      </c>
      <c r="AC72">
        <v>7</v>
      </c>
      <c r="AD72">
        <v>0</v>
      </c>
      <c r="AE72">
        <v>0</v>
      </c>
      <c r="AF72" s="19">
        <f t="shared" si="16"/>
        <v>88</v>
      </c>
      <c r="AG72" s="19">
        <f t="shared" si="17"/>
        <v>62</v>
      </c>
      <c r="AH72" s="19">
        <f t="shared" si="18"/>
        <v>150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 s="20">
        <f t="shared" si="19"/>
        <v>0</v>
      </c>
      <c r="AT72" s="20">
        <f t="shared" si="20"/>
        <v>0</v>
      </c>
      <c r="AU72" s="20">
        <f t="shared" si="21"/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 s="21">
        <f t="shared" si="22"/>
        <v>0</v>
      </c>
      <c r="CG72" s="21">
        <f t="shared" si="23"/>
        <v>0</v>
      </c>
      <c r="CH72" s="21">
        <f t="shared" si="24"/>
        <v>0</v>
      </c>
      <c r="CI72" s="21">
        <f t="shared" si="25"/>
        <v>0</v>
      </c>
      <c r="CJ72" s="21">
        <f t="shared" si="27"/>
        <v>0</v>
      </c>
      <c r="CK72" s="21">
        <f t="shared" si="27"/>
        <v>0</v>
      </c>
      <c r="CL72" s="21">
        <f t="shared" si="26"/>
        <v>0</v>
      </c>
      <c r="CM72" s="22">
        <f t="shared" si="28"/>
        <v>88</v>
      </c>
      <c r="CN72" s="22">
        <f t="shared" si="28"/>
        <v>62</v>
      </c>
      <c r="CO72" s="22">
        <f t="shared" si="28"/>
        <v>150</v>
      </c>
    </row>
    <row r="73" spans="1:93">
      <c r="A73" t="s">
        <v>135</v>
      </c>
      <c r="B73" t="s">
        <v>136</v>
      </c>
      <c r="C73" t="s">
        <v>299</v>
      </c>
      <c r="D73">
        <v>102164</v>
      </c>
      <c r="E73" t="s">
        <v>303</v>
      </c>
      <c r="F73" t="s">
        <v>304</v>
      </c>
      <c r="G73"/>
      <c r="H73" t="s">
        <v>140</v>
      </c>
      <c r="I73" t="s">
        <v>141</v>
      </c>
      <c r="J73" t="s">
        <v>142</v>
      </c>
      <c r="K73" t="s">
        <v>305</v>
      </c>
      <c r="L73" t="s">
        <v>144</v>
      </c>
      <c r="M73" t="s">
        <v>145</v>
      </c>
      <c r="N73" t="s">
        <v>146</v>
      </c>
      <c r="O73" s="4" t="s">
        <v>147</v>
      </c>
      <c r="P73">
        <v>5</v>
      </c>
      <c r="Q73">
        <v>7</v>
      </c>
      <c r="R73">
        <v>7</v>
      </c>
      <c r="S73">
        <v>11</v>
      </c>
      <c r="T73">
        <v>9</v>
      </c>
      <c r="U73">
        <v>9</v>
      </c>
      <c r="V73">
        <v>3</v>
      </c>
      <c r="W73">
        <v>10</v>
      </c>
      <c r="X73">
        <v>9</v>
      </c>
      <c r="Y73">
        <v>5</v>
      </c>
      <c r="Z73">
        <v>10</v>
      </c>
      <c r="AA73">
        <v>7</v>
      </c>
      <c r="AB73">
        <v>2</v>
      </c>
      <c r="AC73">
        <v>5</v>
      </c>
      <c r="AD73">
        <v>0</v>
      </c>
      <c r="AE73">
        <v>0</v>
      </c>
      <c r="AF73" s="19">
        <f t="shared" si="16"/>
        <v>45</v>
      </c>
      <c r="AG73" s="19">
        <f t="shared" si="17"/>
        <v>54</v>
      </c>
      <c r="AH73" s="19">
        <f t="shared" si="18"/>
        <v>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 s="20">
        <f t="shared" si="19"/>
        <v>0</v>
      </c>
      <c r="AT73" s="20">
        <f t="shared" si="20"/>
        <v>0</v>
      </c>
      <c r="AU73" s="20">
        <f t="shared" si="21"/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 s="21">
        <f t="shared" si="22"/>
        <v>0</v>
      </c>
      <c r="CG73" s="21">
        <f t="shared" si="23"/>
        <v>0</v>
      </c>
      <c r="CH73" s="21">
        <f t="shared" si="24"/>
        <v>0</v>
      </c>
      <c r="CI73" s="21">
        <f t="shared" si="25"/>
        <v>0</v>
      </c>
      <c r="CJ73" s="21">
        <f t="shared" si="27"/>
        <v>0</v>
      </c>
      <c r="CK73" s="21">
        <f t="shared" si="27"/>
        <v>0</v>
      </c>
      <c r="CL73" s="21">
        <f t="shared" si="26"/>
        <v>0</v>
      </c>
      <c r="CM73" s="22">
        <f t="shared" si="28"/>
        <v>45</v>
      </c>
      <c r="CN73" s="22">
        <f t="shared" si="28"/>
        <v>54</v>
      </c>
      <c r="CO73" s="22">
        <f t="shared" si="28"/>
        <v>99</v>
      </c>
    </row>
    <row r="74" spans="1:93">
      <c r="A74" t="s">
        <v>135</v>
      </c>
      <c r="B74" t="s">
        <v>136</v>
      </c>
      <c r="C74" t="s">
        <v>299</v>
      </c>
      <c r="D74">
        <v>129410</v>
      </c>
      <c r="E74" t="s">
        <v>306</v>
      </c>
      <c r="F74" t="s">
        <v>307</v>
      </c>
      <c r="G74"/>
      <c r="H74" t="s">
        <v>140</v>
      </c>
      <c r="I74" t="s">
        <v>141</v>
      </c>
      <c r="J74" t="s">
        <v>142</v>
      </c>
      <c r="K74" t="s">
        <v>308</v>
      </c>
      <c r="L74" t="s">
        <v>144</v>
      </c>
      <c r="M74" t="s">
        <v>145</v>
      </c>
      <c r="N74" t="s">
        <v>146</v>
      </c>
      <c r="O74" s="4" t="s">
        <v>147</v>
      </c>
      <c r="P74">
        <v>13</v>
      </c>
      <c r="Q74">
        <v>13</v>
      </c>
      <c r="R74">
        <v>13</v>
      </c>
      <c r="S74">
        <v>11</v>
      </c>
      <c r="T74">
        <v>14</v>
      </c>
      <c r="U74">
        <v>13</v>
      </c>
      <c r="V74">
        <v>14</v>
      </c>
      <c r="W74">
        <v>15</v>
      </c>
      <c r="X74">
        <v>21</v>
      </c>
      <c r="Y74">
        <v>17</v>
      </c>
      <c r="Z74">
        <v>14</v>
      </c>
      <c r="AA74">
        <v>15</v>
      </c>
      <c r="AB74">
        <v>12</v>
      </c>
      <c r="AC74">
        <v>11</v>
      </c>
      <c r="AD74">
        <v>0</v>
      </c>
      <c r="AE74">
        <v>0</v>
      </c>
      <c r="AF74" s="19">
        <f t="shared" si="16"/>
        <v>101</v>
      </c>
      <c r="AG74" s="19">
        <f t="shared" si="17"/>
        <v>95</v>
      </c>
      <c r="AH74" s="19">
        <f t="shared" si="18"/>
        <v>196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 s="20">
        <f t="shared" si="19"/>
        <v>0</v>
      </c>
      <c r="AT74" s="20">
        <f t="shared" si="20"/>
        <v>0</v>
      </c>
      <c r="AU74" s="20">
        <f t="shared" si="21"/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 s="21">
        <f t="shared" si="22"/>
        <v>0</v>
      </c>
      <c r="CG74" s="21">
        <f t="shared" si="23"/>
        <v>0</v>
      </c>
      <c r="CH74" s="21">
        <f t="shared" si="24"/>
        <v>0</v>
      </c>
      <c r="CI74" s="21">
        <f t="shared" si="25"/>
        <v>0</v>
      </c>
      <c r="CJ74" s="21">
        <f t="shared" si="27"/>
        <v>0</v>
      </c>
      <c r="CK74" s="21">
        <f t="shared" si="27"/>
        <v>0</v>
      </c>
      <c r="CL74" s="21">
        <f t="shared" si="26"/>
        <v>0</v>
      </c>
      <c r="CM74" s="22">
        <f t="shared" si="28"/>
        <v>101</v>
      </c>
      <c r="CN74" s="22">
        <f t="shared" si="28"/>
        <v>95</v>
      </c>
      <c r="CO74" s="22">
        <f t="shared" si="28"/>
        <v>196</v>
      </c>
    </row>
    <row r="75" spans="1:93">
      <c r="A75" t="s">
        <v>135</v>
      </c>
      <c r="B75" t="s">
        <v>136</v>
      </c>
      <c r="C75" t="s">
        <v>299</v>
      </c>
      <c r="D75">
        <v>129412</v>
      </c>
      <c r="E75" t="s">
        <v>309</v>
      </c>
      <c r="F75" t="s">
        <v>310</v>
      </c>
      <c r="G75"/>
      <c r="H75" t="s">
        <v>140</v>
      </c>
      <c r="I75" t="s">
        <v>141</v>
      </c>
      <c r="J75" t="s">
        <v>142</v>
      </c>
      <c r="K75" t="s">
        <v>311</v>
      </c>
      <c r="L75" t="s">
        <v>144</v>
      </c>
      <c r="M75" t="s">
        <v>145</v>
      </c>
      <c r="N75" t="s">
        <v>146</v>
      </c>
      <c r="O75" s="4" t="s">
        <v>147</v>
      </c>
      <c r="P75">
        <v>3</v>
      </c>
      <c r="Q75">
        <v>4</v>
      </c>
      <c r="R75">
        <v>2</v>
      </c>
      <c r="S75">
        <v>7</v>
      </c>
      <c r="T75">
        <v>6</v>
      </c>
      <c r="U75">
        <v>1</v>
      </c>
      <c r="V75">
        <v>7</v>
      </c>
      <c r="W75">
        <v>6</v>
      </c>
      <c r="X75">
        <v>9</v>
      </c>
      <c r="Y75">
        <v>6</v>
      </c>
      <c r="Z75">
        <v>6</v>
      </c>
      <c r="AA75">
        <v>3</v>
      </c>
      <c r="AB75">
        <v>11</v>
      </c>
      <c r="AC75">
        <v>13</v>
      </c>
      <c r="AD75">
        <v>0</v>
      </c>
      <c r="AE75">
        <v>0</v>
      </c>
      <c r="AF75" s="19">
        <f t="shared" si="16"/>
        <v>44</v>
      </c>
      <c r="AG75" s="19">
        <f t="shared" si="17"/>
        <v>40</v>
      </c>
      <c r="AH75" s="19">
        <f t="shared" si="18"/>
        <v>84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 s="20">
        <f t="shared" si="19"/>
        <v>0</v>
      </c>
      <c r="AT75" s="20">
        <f t="shared" si="20"/>
        <v>0</v>
      </c>
      <c r="AU75" s="20">
        <f t="shared" si="21"/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 s="21">
        <f t="shared" si="22"/>
        <v>0</v>
      </c>
      <c r="CG75" s="21">
        <f t="shared" si="23"/>
        <v>0</v>
      </c>
      <c r="CH75" s="21">
        <f t="shared" si="24"/>
        <v>0</v>
      </c>
      <c r="CI75" s="21">
        <f t="shared" si="25"/>
        <v>0</v>
      </c>
      <c r="CJ75" s="21">
        <f t="shared" si="27"/>
        <v>0</v>
      </c>
      <c r="CK75" s="21">
        <f t="shared" si="27"/>
        <v>0</v>
      </c>
      <c r="CL75" s="21">
        <f t="shared" si="26"/>
        <v>0</v>
      </c>
      <c r="CM75" s="22">
        <f t="shared" si="28"/>
        <v>44</v>
      </c>
      <c r="CN75" s="22">
        <f t="shared" si="28"/>
        <v>40</v>
      </c>
      <c r="CO75" s="22">
        <f t="shared" si="28"/>
        <v>84</v>
      </c>
    </row>
    <row r="76" spans="1:93">
      <c r="A76" t="s">
        <v>135</v>
      </c>
      <c r="B76" t="s">
        <v>136</v>
      </c>
      <c r="C76" t="s">
        <v>299</v>
      </c>
      <c r="D76">
        <v>129413</v>
      </c>
      <c r="E76" t="s">
        <v>312</v>
      </c>
      <c r="F76" t="s">
        <v>313</v>
      </c>
      <c r="G76"/>
      <c r="H76" t="s">
        <v>140</v>
      </c>
      <c r="I76" t="s">
        <v>141</v>
      </c>
      <c r="J76" t="s">
        <v>142</v>
      </c>
      <c r="K76" t="s">
        <v>308</v>
      </c>
      <c r="L76" t="s">
        <v>144</v>
      </c>
      <c r="M76" t="s">
        <v>145</v>
      </c>
      <c r="N76" t="s">
        <v>146</v>
      </c>
      <c r="O76" s="4" t="s">
        <v>147</v>
      </c>
      <c r="P76">
        <v>21</v>
      </c>
      <c r="Q76">
        <v>25</v>
      </c>
      <c r="R76">
        <v>30</v>
      </c>
      <c r="S76">
        <v>14</v>
      </c>
      <c r="T76">
        <v>24</v>
      </c>
      <c r="U76">
        <v>19</v>
      </c>
      <c r="V76">
        <v>25</v>
      </c>
      <c r="W76">
        <v>18</v>
      </c>
      <c r="X76">
        <v>23</v>
      </c>
      <c r="Y76">
        <v>22</v>
      </c>
      <c r="Z76">
        <v>23</v>
      </c>
      <c r="AA76">
        <v>20</v>
      </c>
      <c r="AB76">
        <v>14</v>
      </c>
      <c r="AC76">
        <v>27</v>
      </c>
      <c r="AD76">
        <v>0</v>
      </c>
      <c r="AE76">
        <v>0</v>
      </c>
      <c r="AF76" s="19">
        <f t="shared" si="16"/>
        <v>160</v>
      </c>
      <c r="AG76" s="19">
        <f t="shared" si="17"/>
        <v>145</v>
      </c>
      <c r="AH76" s="19">
        <f t="shared" si="18"/>
        <v>305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s="20">
        <f t="shared" si="19"/>
        <v>0</v>
      </c>
      <c r="AT76" s="20">
        <f t="shared" si="20"/>
        <v>0</v>
      </c>
      <c r="AU76" s="20">
        <f t="shared" si="21"/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 s="21">
        <f t="shared" si="22"/>
        <v>0</v>
      </c>
      <c r="CG76" s="21">
        <f t="shared" si="23"/>
        <v>0</v>
      </c>
      <c r="CH76" s="21">
        <f t="shared" si="24"/>
        <v>0</v>
      </c>
      <c r="CI76" s="21">
        <f t="shared" si="25"/>
        <v>0</v>
      </c>
      <c r="CJ76" s="21">
        <f t="shared" si="27"/>
        <v>0</v>
      </c>
      <c r="CK76" s="21">
        <f t="shared" si="27"/>
        <v>0</v>
      </c>
      <c r="CL76" s="21">
        <f t="shared" si="26"/>
        <v>0</v>
      </c>
      <c r="CM76" s="22">
        <f t="shared" si="28"/>
        <v>160</v>
      </c>
      <c r="CN76" s="22">
        <f t="shared" si="28"/>
        <v>145</v>
      </c>
      <c r="CO76" s="22">
        <f t="shared" si="28"/>
        <v>305</v>
      </c>
    </row>
    <row r="77" spans="1:93">
      <c r="A77" t="s">
        <v>135</v>
      </c>
      <c r="B77" t="s">
        <v>136</v>
      </c>
      <c r="C77" t="s">
        <v>299</v>
      </c>
      <c r="D77">
        <v>129414</v>
      </c>
      <c r="E77" t="s">
        <v>314</v>
      </c>
      <c r="F77" t="s">
        <v>315</v>
      </c>
      <c r="G77"/>
      <c r="H77" t="s">
        <v>140</v>
      </c>
      <c r="I77" t="s">
        <v>141</v>
      </c>
      <c r="J77" t="s">
        <v>142</v>
      </c>
      <c r="K77" t="s">
        <v>316</v>
      </c>
      <c r="L77" t="s">
        <v>144</v>
      </c>
      <c r="M77" t="s">
        <v>145</v>
      </c>
      <c r="N77" t="s">
        <v>146</v>
      </c>
      <c r="O77" s="4" t="s">
        <v>147</v>
      </c>
      <c r="P77">
        <v>21</v>
      </c>
      <c r="Q77">
        <v>19</v>
      </c>
      <c r="R77">
        <v>26</v>
      </c>
      <c r="S77">
        <v>18</v>
      </c>
      <c r="T77">
        <v>19</v>
      </c>
      <c r="U77">
        <v>22</v>
      </c>
      <c r="V77">
        <v>30</v>
      </c>
      <c r="W77">
        <v>19</v>
      </c>
      <c r="X77">
        <v>29</v>
      </c>
      <c r="Y77">
        <v>28</v>
      </c>
      <c r="Z77">
        <v>28</v>
      </c>
      <c r="AA77">
        <v>25</v>
      </c>
      <c r="AB77">
        <v>26</v>
      </c>
      <c r="AC77">
        <v>19</v>
      </c>
      <c r="AD77">
        <v>0</v>
      </c>
      <c r="AE77">
        <v>0</v>
      </c>
      <c r="AF77" s="19">
        <f t="shared" si="16"/>
        <v>179</v>
      </c>
      <c r="AG77" s="19">
        <f t="shared" si="17"/>
        <v>150</v>
      </c>
      <c r="AH77" s="19">
        <f t="shared" si="18"/>
        <v>329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s="20">
        <f t="shared" si="19"/>
        <v>0</v>
      </c>
      <c r="AT77" s="20">
        <f t="shared" si="20"/>
        <v>0</v>
      </c>
      <c r="AU77" s="20">
        <f t="shared" si="21"/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 s="21">
        <f t="shared" si="22"/>
        <v>0</v>
      </c>
      <c r="CG77" s="21">
        <f t="shared" si="23"/>
        <v>0</v>
      </c>
      <c r="CH77" s="21">
        <f t="shared" si="24"/>
        <v>0</v>
      </c>
      <c r="CI77" s="21">
        <f t="shared" si="25"/>
        <v>0</v>
      </c>
      <c r="CJ77" s="21">
        <f t="shared" si="27"/>
        <v>0</v>
      </c>
      <c r="CK77" s="21">
        <f t="shared" si="27"/>
        <v>0</v>
      </c>
      <c r="CL77" s="21">
        <f t="shared" si="26"/>
        <v>0</v>
      </c>
      <c r="CM77" s="22">
        <f t="shared" si="28"/>
        <v>179</v>
      </c>
      <c r="CN77" s="22">
        <f t="shared" si="28"/>
        <v>150</v>
      </c>
      <c r="CO77" s="22">
        <f t="shared" si="28"/>
        <v>329</v>
      </c>
    </row>
    <row r="78" spans="1:93">
      <c r="A78" t="s">
        <v>135</v>
      </c>
      <c r="B78" t="s">
        <v>136</v>
      </c>
      <c r="C78" t="s">
        <v>299</v>
      </c>
      <c r="D78">
        <v>129417</v>
      </c>
      <c r="E78" t="s">
        <v>317</v>
      </c>
      <c r="F78" t="s">
        <v>318</v>
      </c>
      <c r="G78"/>
      <c r="H78" t="s">
        <v>140</v>
      </c>
      <c r="I78" t="s">
        <v>141</v>
      </c>
      <c r="J78" t="s">
        <v>142</v>
      </c>
      <c r="K78" t="s">
        <v>302</v>
      </c>
      <c r="L78" t="s">
        <v>144</v>
      </c>
      <c r="M78" t="s">
        <v>145</v>
      </c>
      <c r="N78" t="s">
        <v>146</v>
      </c>
      <c r="O78" s="4" t="s">
        <v>147</v>
      </c>
      <c r="P78">
        <v>34</v>
      </c>
      <c r="Q78">
        <v>32</v>
      </c>
      <c r="R78">
        <v>47</v>
      </c>
      <c r="S78">
        <v>54</v>
      </c>
      <c r="T78">
        <v>45</v>
      </c>
      <c r="U78">
        <v>34</v>
      </c>
      <c r="V78">
        <v>49</v>
      </c>
      <c r="W78">
        <v>26</v>
      </c>
      <c r="X78">
        <v>41</v>
      </c>
      <c r="Y78">
        <v>32</v>
      </c>
      <c r="Z78">
        <v>43</v>
      </c>
      <c r="AA78">
        <v>28</v>
      </c>
      <c r="AB78">
        <v>44</v>
      </c>
      <c r="AC78">
        <v>45</v>
      </c>
      <c r="AD78">
        <v>0</v>
      </c>
      <c r="AE78">
        <v>0</v>
      </c>
      <c r="AF78" s="19">
        <f t="shared" si="16"/>
        <v>303</v>
      </c>
      <c r="AG78" s="19">
        <f t="shared" si="17"/>
        <v>251</v>
      </c>
      <c r="AH78" s="19">
        <f t="shared" si="18"/>
        <v>554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 s="20">
        <f t="shared" si="19"/>
        <v>0</v>
      </c>
      <c r="AT78" s="20">
        <f t="shared" si="20"/>
        <v>0</v>
      </c>
      <c r="AU78" s="20">
        <f t="shared" si="21"/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 s="21">
        <f t="shared" si="22"/>
        <v>0</v>
      </c>
      <c r="CG78" s="21">
        <f t="shared" si="23"/>
        <v>0</v>
      </c>
      <c r="CH78" s="21">
        <f t="shared" si="24"/>
        <v>0</v>
      </c>
      <c r="CI78" s="21">
        <f t="shared" si="25"/>
        <v>0</v>
      </c>
      <c r="CJ78" s="21">
        <f t="shared" si="27"/>
        <v>0</v>
      </c>
      <c r="CK78" s="21">
        <f t="shared" si="27"/>
        <v>0</v>
      </c>
      <c r="CL78" s="21">
        <f t="shared" si="26"/>
        <v>0</v>
      </c>
      <c r="CM78" s="22">
        <f t="shared" si="28"/>
        <v>303</v>
      </c>
      <c r="CN78" s="22">
        <f t="shared" si="28"/>
        <v>251</v>
      </c>
      <c r="CO78" s="22">
        <f t="shared" si="28"/>
        <v>554</v>
      </c>
    </row>
    <row r="79" spans="1:93">
      <c r="A79" t="s">
        <v>135</v>
      </c>
      <c r="B79" t="s">
        <v>136</v>
      </c>
      <c r="C79" t="s">
        <v>299</v>
      </c>
      <c r="D79">
        <v>129418</v>
      </c>
      <c r="E79" t="s">
        <v>319</v>
      </c>
      <c r="F79" t="s">
        <v>320</v>
      </c>
      <c r="G79"/>
      <c r="H79" t="s">
        <v>140</v>
      </c>
      <c r="I79" t="s">
        <v>141</v>
      </c>
      <c r="J79" t="s">
        <v>142</v>
      </c>
      <c r="K79" t="s">
        <v>302</v>
      </c>
      <c r="L79" t="s">
        <v>144</v>
      </c>
      <c r="M79" t="s">
        <v>145</v>
      </c>
      <c r="N79" t="s">
        <v>146</v>
      </c>
      <c r="O79" s="4" t="s">
        <v>147</v>
      </c>
      <c r="P79">
        <v>10</v>
      </c>
      <c r="Q79">
        <v>5</v>
      </c>
      <c r="R79">
        <v>16</v>
      </c>
      <c r="S79">
        <v>11</v>
      </c>
      <c r="T79">
        <v>11</v>
      </c>
      <c r="U79">
        <v>14</v>
      </c>
      <c r="V79">
        <v>8</v>
      </c>
      <c r="W79">
        <v>7</v>
      </c>
      <c r="X79">
        <v>11</v>
      </c>
      <c r="Y79">
        <v>7</v>
      </c>
      <c r="Z79">
        <v>15</v>
      </c>
      <c r="AA79">
        <v>4</v>
      </c>
      <c r="AB79">
        <v>10</v>
      </c>
      <c r="AC79">
        <v>11</v>
      </c>
      <c r="AD79">
        <v>0</v>
      </c>
      <c r="AE79">
        <v>0</v>
      </c>
      <c r="AF79" s="19">
        <f t="shared" si="16"/>
        <v>81</v>
      </c>
      <c r="AG79" s="19">
        <f t="shared" si="17"/>
        <v>59</v>
      </c>
      <c r="AH79" s="19">
        <f t="shared" si="18"/>
        <v>140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s="20">
        <f t="shared" si="19"/>
        <v>0</v>
      </c>
      <c r="AT79" s="20">
        <f t="shared" si="20"/>
        <v>0</v>
      </c>
      <c r="AU79" s="20">
        <f t="shared" si="21"/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 s="21">
        <f t="shared" si="22"/>
        <v>0</v>
      </c>
      <c r="CG79" s="21">
        <f t="shared" si="23"/>
        <v>0</v>
      </c>
      <c r="CH79" s="21">
        <f t="shared" si="24"/>
        <v>0</v>
      </c>
      <c r="CI79" s="21">
        <f t="shared" si="25"/>
        <v>0</v>
      </c>
      <c r="CJ79" s="21">
        <f t="shared" si="27"/>
        <v>0</v>
      </c>
      <c r="CK79" s="21">
        <f t="shared" si="27"/>
        <v>0</v>
      </c>
      <c r="CL79" s="21">
        <f t="shared" si="26"/>
        <v>0</v>
      </c>
      <c r="CM79" s="22">
        <f t="shared" si="28"/>
        <v>81</v>
      </c>
      <c r="CN79" s="22">
        <f t="shared" si="28"/>
        <v>59</v>
      </c>
      <c r="CO79" s="22">
        <f t="shared" si="28"/>
        <v>140</v>
      </c>
    </row>
    <row r="80" spans="1:93">
      <c r="A80" t="s">
        <v>135</v>
      </c>
      <c r="B80" t="s">
        <v>136</v>
      </c>
      <c r="C80" t="s">
        <v>299</v>
      </c>
      <c r="D80">
        <v>129419</v>
      </c>
      <c r="E80" t="s">
        <v>321</v>
      </c>
      <c r="F80" t="s">
        <v>285</v>
      </c>
      <c r="G80"/>
      <c r="H80" t="s">
        <v>140</v>
      </c>
      <c r="I80" t="s">
        <v>141</v>
      </c>
      <c r="J80" t="s">
        <v>142</v>
      </c>
      <c r="K80" t="s">
        <v>322</v>
      </c>
      <c r="L80" t="s">
        <v>144</v>
      </c>
      <c r="M80" t="s">
        <v>145</v>
      </c>
      <c r="N80" t="s">
        <v>146</v>
      </c>
      <c r="O80" s="4" t="s">
        <v>147</v>
      </c>
      <c r="P80">
        <v>14</v>
      </c>
      <c r="Q80">
        <v>20</v>
      </c>
      <c r="R80">
        <v>30</v>
      </c>
      <c r="S80">
        <v>27</v>
      </c>
      <c r="T80">
        <v>23</v>
      </c>
      <c r="U80">
        <v>39</v>
      </c>
      <c r="V80">
        <v>35</v>
      </c>
      <c r="W80">
        <v>17</v>
      </c>
      <c r="X80">
        <v>38</v>
      </c>
      <c r="Y80">
        <v>19</v>
      </c>
      <c r="Z80">
        <v>28</v>
      </c>
      <c r="AA80">
        <v>26</v>
      </c>
      <c r="AB80">
        <v>20</v>
      </c>
      <c r="AC80">
        <v>22</v>
      </c>
      <c r="AD80">
        <v>0</v>
      </c>
      <c r="AE80">
        <v>0</v>
      </c>
      <c r="AF80" s="19">
        <f t="shared" si="16"/>
        <v>188</v>
      </c>
      <c r="AG80" s="19">
        <f t="shared" si="17"/>
        <v>170</v>
      </c>
      <c r="AH80" s="19">
        <f t="shared" si="18"/>
        <v>358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s="20">
        <f t="shared" si="19"/>
        <v>0</v>
      </c>
      <c r="AT80" s="20">
        <f t="shared" si="20"/>
        <v>0</v>
      </c>
      <c r="AU80" s="20">
        <f t="shared" si="21"/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 s="21">
        <f t="shared" si="22"/>
        <v>0</v>
      </c>
      <c r="CG80" s="21">
        <f t="shared" si="23"/>
        <v>0</v>
      </c>
      <c r="CH80" s="21">
        <f t="shared" si="24"/>
        <v>0</v>
      </c>
      <c r="CI80" s="21">
        <f t="shared" si="25"/>
        <v>0</v>
      </c>
      <c r="CJ80" s="21">
        <f t="shared" si="27"/>
        <v>0</v>
      </c>
      <c r="CK80" s="21">
        <f t="shared" si="27"/>
        <v>0</v>
      </c>
      <c r="CL80" s="21">
        <f t="shared" si="26"/>
        <v>0</v>
      </c>
      <c r="CM80" s="22">
        <f t="shared" si="28"/>
        <v>188</v>
      </c>
      <c r="CN80" s="22">
        <f t="shared" si="28"/>
        <v>170</v>
      </c>
      <c r="CO80" s="22">
        <f t="shared" si="28"/>
        <v>358</v>
      </c>
    </row>
    <row r="81" spans="1:93">
      <c r="A81" t="s">
        <v>135</v>
      </c>
      <c r="B81" t="s">
        <v>136</v>
      </c>
      <c r="C81" t="s">
        <v>299</v>
      </c>
      <c r="D81">
        <v>129420</v>
      </c>
      <c r="E81" t="s">
        <v>323</v>
      </c>
      <c r="F81" t="s">
        <v>324</v>
      </c>
      <c r="G81"/>
      <c r="H81" t="s">
        <v>140</v>
      </c>
      <c r="I81" t="s">
        <v>141</v>
      </c>
      <c r="J81" t="s">
        <v>142</v>
      </c>
      <c r="K81" t="s">
        <v>324</v>
      </c>
      <c r="L81" t="s">
        <v>144</v>
      </c>
      <c r="M81" t="s">
        <v>145</v>
      </c>
      <c r="N81" t="s">
        <v>146</v>
      </c>
      <c r="O81" s="4" t="s">
        <v>147</v>
      </c>
      <c r="P81">
        <v>19</v>
      </c>
      <c r="Q81">
        <v>12</v>
      </c>
      <c r="R81">
        <v>8</v>
      </c>
      <c r="S81">
        <v>12</v>
      </c>
      <c r="T81">
        <v>19</v>
      </c>
      <c r="U81">
        <v>17</v>
      </c>
      <c r="V81">
        <v>16</v>
      </c>
      <c r="W81">
        <v>19</v>
      </c>
      <c r="X81">
        <v>13</v>
      </c>
      <c r="Y81">
        <v>19</v>
      </c>
      <c r="Z81">
        <v>9</v>
      </c>
      <c r="AA81">
        <v>20</v>
      </c>
      <c r="AB81">
        <v>18</v>
      </c>
      <c r="AC81">
        <v>21</v>
      </c>
      <c r="AD81">
        <v>0</v>
      </c>
      <c r="AE81">
        <v>0</v>
      </c>
      <c r="AF81" s="19">
        <f t="shared" si="16"/>
        <v>102</v>
      </c>
      <c r="AG81" s="19">
        <f t="shared" si="17"/>
        <v>120</v>
      </c>
      <c r="AH81" s="19">
        <f t="shared" si="18"/>
        <v>222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 s="20">
        <f t="shared" si="19"/>
        <v>0</v>
      </c>
      <c r="AT81" s="20">
        <f t="shared" si="20"/>
        <v>0</v>
      </c>
      <c r="AU81" s="20">
        <f t="shared" si="21"/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 s="21">
        <f t="shared" si="22"/>
        <v>0</v>
      </c>
      <c r="CG81" s="21">
        <f t="shared" si="23"/>
        <v>0</v>
      </c>
      <c r="CH81" s="21">
        <f t="shared" si="24"/>
        <v>0</v>
      </c>
      <c r="CI81" s="21">
        <f t="shared" si="25"/>
        <v>0</v>
      </c>
      <c r="CJ81" s="21">
        <f t="shared" si="27"/>
        <v>0</v>
      </c>
      <c r="CK81" s="21">
        <f t="shared" si="27"/>
        <v>0</v>
      </c>
      <c r="CL81" s="21">
        <f t="shared" si="26"/>
        <v>0</v>
      </c>
      <c r="CM81" s="22">
        <f t="shared" si="28"/>
        <v>102</v>
      </c>
      <c r="CN81" s="22">
        <f t="shared" si="28"/>
        <v>120</v>
      </c>
      <c r="CO81" s="22">
        <f t="shared" si="28"/>
        <v>222</v>
      </c>
    </row>
    <row r="82" spans="1:93">
      <c r="A82" t="s">
        <v>135</v>
      </c>
      <c r="B82" t="s">
        <v>136</v>
      </c>
      <c r="C82" t="s">
        <v>299</v>
      </c>
      <c r="D82">
        <v>129421</v>
      </c>
      <c r="E82" t="s">
        <v>325</v>
      </c>
      <c r="F82" t="s">
        <v>326</v>
      </c>
      <c r="G82"/>
      <c r="H82" t="s">
        <v>140</v>
      </c>
      <c r="I82" t="s">
        <v>141</v>
      </c>
      <c r="J82" t="s">
        <v>142</v>
      </c>
      <c r="K82" t="s">
        <v>308</v>
      </c>
      <c r="L82" t="s">
        <v>144</v>
      </c>
      <c r="M82" t="s">
        <v>145</v>
      </c>
      <c r="N82" t="s">
        <v>146</v>
      </c>
      <c r="O82" s="4" t="s">
        <v>147</v>
      </c>
      <c r="P82">
        <v>0</v>
      </c>
      <c r="Q82">
        <v>2</v>
      </c>
      <c r="R82">
        <v>8</v>
      </c>
      <c r="S82">
        <v>4</v>
      </c>
      <c r="T82">
        <v>8</v>
      </c>
      <c r="U82">
        <v>3</v>
      </c>
      <c r="V82">
        <v>9</v>
      </c>
      <c r="W82">
        <v>3</v>
      </c>
      <c r="X82">
        <v>9</v>
      </c>
      <c r="Y82">
        <v>5</v>
      </c>
      <c r="Z82">
        <v>3</v>
      </c>
      <c r="AA82">
        <v>10</v>
      </c>
      <c r="AB82">
        <v>12</v>
      </c>
      <c r="AC82">
        <v>6</v>
      </c>
      <c r="AD82">
        <v>0</v>
      </c>
      <c r="AE82">
        <v>0</v>
      </c>
      <c r="AF82" s="19">
        <f t="shared" si="16"/>
        <v>49</v>
      </c>
      <c r="AG82" s="19">
        <f t="shared" si="17"/>
        <v>33</v>
      </c>
      <c r="AH82" s="19">
        <f t="shared" si="18"/>
        <v>82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s="20">
        <f t="shared" si="19"/>
        <v>0</v>
      </c>
      <c r="AT82" s="20">
        <f t="shared" si="20"/>
        <v>0</v>
      </c>
      <c r="AU82" s="20">
        <f t="shared" si="21"/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 s="21">
        <f t="shared" si="22"/>
        <v>0</v>
      </c>
      <c r="CG82" s="21">
        <f t="shared" si="23"/>
        <v>0</v>
      </c>
      <c r="CH82" s="21">
        <f t="shared" si="24"/>
        <v>0</v>
      </c>
      <c r="CI82" s="21">
        <f t="shared" si="25"/>
        <v>0</v>
      </c>
      <c r="CJ82" s="21">
        <f t="shared" si="27"/>
        <v>0</v>
      </c>
      <c r="CK82" s="21">
        <f t="shared" si="27"/>
        <v>0</v>
      </c>
      <c r="CL82" s="21">
        <f t="shared" si="26"/>
        <v>0</v>
      </c>
      <c r="CM82" s="22">
        <f t="shared" si="28"/>
        <v>49</v>
      </c>
      <c r="CN82" s="22">
        <f t="shared" si="28"/>
        <v>33</v>
      </c>
      <c r="CO82" s="22">
        <f t="shared" si="28"/>
        <v>82</v>
      </c>
    </row>
    <row r="83" spans="1:93">
      <c r="A83" t="s">
        <v>135</v>
      </c>
      <c r="B83" t="s">
        <v>136</v>
      </c>
      <c r="C83" t="s">
        <v>299</v>
      </c>
      <c r="D83">
        <v>129422</v>
      </c>
      <c r="E83" t="s">
        <v>327</v>
      </c>
      <c r="F83" t="s">
        <v>328</v>
      </c>
      <c r="G83"/>
      <c r="H83" t="s">
        <v>140</v>
      </c>
      <c r="I83" t="s">
        <v>141</v>
      </c>
      <c r="J83" t="s">
        <v>142</v>
      </c>
      <c r="K83" t="s">
        <v>302</v>
      </c>
      <c r="L83" t="s">
        <v>144</v>
      </c>
      <c r="M83" t="s">
        <v>145</v>
      </c>
      <c r="N83" t="s">
        <v>146</v>
      </c>
      <c r="O83" s="4" t="s">
        <v>147</v>
      </c>
      <c r="P83">
        <v>10</v>
      </c>
      <c r="Q83">
        <v>6</v>
      </c>
      <c r="R83">
        <v>15</v>
      </c>
      <c r="S83">
        <v>13</v>
      </c>
      <c r="T83">
        <v>16</v>
      </c>
      <c r="U83">
        <v>14</v>
      </c>
      <c r="V83">
        <v>10</v>
      </c>
      <c r="W83">
        <v>12</v>
      </c>
      <c r="X83">
        <v>16</v>
      </c>
      <c r="Y83">
        <v>10</v>
      </c>
      <c r="Z83">
        <v>13</v>
      </c>
      <c r="AA83">
        <v>7</v>
      </c>
      <c r="AB83">
        <v>23</v>
      </c>
      <c r="AC83">
        <v>12</v>
      </c>
      <c r="AD83">
        <v>0</v>
      </c>
      <c r="AE83">
        <v>0</v>
      </c>
      <c r="AF83" s="19">
        <f t="shared" si="16"/>
        <v>103</v>
      </c>
      <c r="AG83" s="19">
        <f t="shared" si="17"/>
        <v>74</v>
      </c>
      <c r="AH83" s="19">
        <f t="shared" si="18"/>
        <v>177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 s="20">
        <f t="shared" si="19"/>
        <v>0</v>
      </c>
      <c r="AT83" s="20">
        <f t="shared" si="20"/>
        <v>0</v>
      </c>
      <c r="AU83" s="20">
        <f t="shared" si="21"/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 s="21">
        <f t="shared" si="22"/>
        <v>0</v>
      </c>
      <c r="CG83" s="21">
        <f t="shared" si="23"/>
        <v>0</v>
      </c>
      <c r="CH83" s="21">
        <f t="shared" si="24"/>
        <v>0</v>
      </c>
      <c r="CI83" s="21">
        <f t="shared" si="25"/>
        <v>0</v>
      </c>
      <c r="CJ83" s="21">
        <f t="shared" si="27"/>
        <v>0</v>
      </c>
      <c r="CK83" s="21">
        <f t="shared" si="27"/>
        <v>0</v>
      </c>
      <c r="CL83" s="21">
        <f t="shared" si="26"/>
        <v>0</v>
      </c>
      <c r="CM83" s="22">
        <f t="shared" si="28"/>
        <v>103</v>
      </c>
      <c r="CN83" s="22">
        <f t="shared" si="28"/>
        <v>74</v>
      </c>
      <c r="CO83" s="22">
        <f t="shared" si="28"/>
        <v>177</v>
      </c>
    </row>
    <row r="84" spans="1:93">
      <c r="A84" t="s">
        <v>135</v>
      </c>
      <c r="B84" t="s">
        <v>136</v>
      </c>
      <c r="C84" t="s">
        <v>299</v>
      </c>
      <c r="D84">
        <v>304313</v>
      </c>
      <c r="E84" t="s">
        <v>329</v>
      </c>
      <c r="F84" t="s">
        <v>330</v>
      </c>
      <c r="G84"/>
      <c r="H84" t="s">
        <v>140</v>
      </c>
      <c r="I84" t="s">
        <v>141</v>
      </c>
      <c r="J84" t="s">
        <v>142</v>
      </c>
      <c r="K84" t="s">
        <v>308</v>
      </c>
      <c r="L84" t="s">
        <v>144</v>
      </c>
      <c r="M84" t="s">
        <v>145</v>
      </c>
      <c r="N84" t="s">
        <v>146</v>
      </c>
      <c r="O84" s="4" t="s">
        <v>173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s="19">
        <f t="shared" si="16"/>
        <v>0</v>
      </c>
      <c r="AG84" s="19">
        <f t="shared" si="17"/>
        <v>0</v>
      </c>
      <c r="AH84" s="19">
        <f t="shared" si="18"/>
        <v>0</v>
      </c>
      <c r="AI84">
        <v>77</v>
      </c>
      <c r="AJ84">
        <v>77</v>
      </c>
      <c r="AK84">
        <v>45</v>
      </c>
      <c r="AL84">
        <v>57</v>
      </c>
      <c r="AM84">
        <v>79</v>
      </c>
      <c r="AN84">
        <v>45</v>
      </c>
      <c r="AO84">
        <v>49</v>
      </c>
      <c r="AP84">
        <v>68</v>
      </c>
      <c r="AQ84">
        <v>0</v>
      </c>
      <c r="AR84">
        <v>0</v>
      </c>
      <c r="AS84" s="20">
        <f t="shared" si="19"/>
        <v>250</v>
      </c>
      <c r="AT84" s="20">
        <f t="shared" si="20"/>
        <v>247</v>
      </c>
      <c r="AU84" s="20">
        <f t="shared" si="21"/>
        <v>497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34</v>
      </c>
      <c r="BC84">
        <v>47</v>
      </c>
      <c r="BD84">
        <v>0</v>
      </c>
      <c r="BE84">
        <v>0</v>
      </c>
      <c r="BF84">
        <v>42</v>
      </c>
      <c r="BG84">
        <v>2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25</v>
      </c>
      <c r="BU84">
        <v>44</v>
      </c>
      <c r="BV84">
        <v>0</v>
      </c>
      <c r="BW84">
        <v>0</v>
      </c>
      <c r="BX84">
        <v>25</v>
      </c>
      <c r="BY84">
        <v>10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 s="21">
        <f t="shared" si="22"/>
        <v>76</v>
      </c>
      <c r="CG84" s="21">
        <f t="shared" si="23"/>
        <v>49</v>
      </c>
      <c r="CH84" s="21">
        <f t="shared" si="24"/>
        <v>50</v>
      </c>
      <c r="CI84" s="21">
        <f t="shared" si="25"/>
        <v>54</v>
      </c>
      <c r="CJ84" s="21">
        <f t="shared" si="27"/>
        <v>126</v>
      </c>
      <c r="CK84" s="21">
        <f t="shared" si="27"/>
        <v>103</v>
      </c>
      <c r="CL84" s="21">
        <f t="shared" si="26"/>
        <v>229</v>
      </c>
      <c r="CM84" s="22">
        <f t="shared" si="28"/>
        <v>376</v>
      </c>
      <c r="CN84" s="22">
        <f t="shared" si="28"/>
        <v>350</v>
      </c>
      <c r="CO84" s="22">
        <f t="shared" si="28"/>
        <v>726</v>
      </c>
    </row>
    <row r="85" spans="1:93">
      <c r="A85" t="s">
        <v>135</v>
      </c>
      <c r="B85" t="s">
        <v>136</v>
      </c>
      <c r="C85" t="s">
        <v>299</v>
      </c>
      <c r="D85">
        <v>304318</v>
      </c>
      <c r="E85" t="s">
        <v>331</v>
      </c>
      <c r="F85" t="s">
        <v>332</v>
      </c>
      <c r="G85"/>
      <c r="H85" t="s">
        <v>140</v>
      </c>
      <c r="I85" t="s">
        <v>141</v>
      </c>
      <c r="J85" t="s">
        <v>142</v>
      </c>
      <c r="K85" t="s">
        <v>316</v>
      </c>
      <c r="L85" t="s">
        <v>144</v>
      </c>
      <c r="M85" t="s">
        <v>145</v>
      </c>
      <c r="N85" t="s">
        <v>146</v>
      </c>
      <c r="O85" s="4" t="s">
        <v>173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s="19">
        <f t="shared" si="16"/>
        <v>0</v>
      </c>
      <c r="AG85" s="19">
        <f t="shared" si="17"/>
        <v>0</v>
      </c>
      <c r="AH85" s="19">
        <f t="shared" si="18"/>
        <v>0</v>
      </c>
      <c r="AI85">
        <v>37</v>
      </c>
      <c r="AJ85">
        <v>40</v>
      </c>
      <c r="AK85">
        <v>21</v>
      </c>
      <c r="AL85">
        <v>28</v>
      </c>
      <c r="AM85">
        <v>40</v>
      </c>
      <c r="AN85">
        <v>28</v>
      </c>
      <c r="AO85">
        <v>30</v>
      </c>
      <c r="AP85">
        <v>35</v>
      </c>
      <c r="AQ85">
        <v>0</v>
      </c>
      <c r="AR85">
        <v>0</v>
      </c>
      <c r="AS85" s="20">
        <f t="shared" si="19"/>
        <v>128</v>
      </c>
      <c r="AT85" s="20">
        <f t="shared" si="20"/>
        <v>131</v>
      </c>
      <c r="AU85" s="20">
        <f t="shared" si="21"/>
        <v>259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33</v>
      </c>
      <c r="BC85">
        <v>34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25</v>
      </c>
      <c r="BU85">
        <v>19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 s="21">
        <f t="shared" si="22"/>
        <v>33</v>
      </c>
      <c r="CG85" s="21">
        <f t="shared" si="23"/>
        <v>34</v>
      </c>
      <c r="CH85" s="21">
        <f t="shared" si="24"/>
        <v>25</v>
      </c>
      <c r="CI85" s="21">
        <f t="shared" si="25"/>
        <v>19</v>
      </c>
      <c r="CJ85" s="21">
        <f t="shared" si="27"/>
        <v>58</v>
      </c>
      <c r="CK85" s="21">
        <f t="shared" si="27"/>
        <v>53</v>
      </c>
      <c r="CL85" s="21">
        <f t="shared" si="26"/>
        <v>111</v>
      </c>
      <c r="CM85" s="22">
        <f t="shared" si="28"/>
        <v>186</v>
      </c>
      <c r="CN85" s="22">
        <f t="shared" si="28"/>
        <v>184</v>
      </c>
      <c r="CO85" s="22">
        <f t="shared" si="28"/>
        <v>370</v>
      </c>
    </row>
    <row r="86" spans="1:93">
      <c r="A86" t="s">
        <v>135</v>
      </c>
      <c r="B86" t="s">
        <v>136</v>
      </c>
      <c r="C86" t="s">
        <v>299</v>
      </c>
      <c r="D86">
        <v>325105</v>
      </c>
      <c r="E86" t="s">
        <v>333</v>
      </c>
      <c r="F86" t="s">
        <v>334</v>
      </c>
      <c r="G86">
        <v>304313</v>
      </c>
      <c r="H86" t="s">
        <v>140</v>
      </c>
      <c r="I86" t="s">
        <v>141</v>
      </c>
      <c r="J86" t="s">
        <v>142</v>
      </c>
      <c r="K86" t="s">
        <v>302</v>
      </c>
      <c r="L86" t="s">
        <v>144</v>
      </c>
      <c r="M86" t="s">
        <v>145</v>
      </c>
      <c r="N86" t="s">
        <v>146</v>
      </c>
      <c r="O86" s="4" t="s">
        <v>173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s="19">
        <f t="shared" si="16"/>
        <v>0</v>
      </c>
      <c r="AG86" s="19">
        <f t="shared" si="17"/>
        <v>0</v>
      </c>
      <c r="AH86" s="19">
        <f t="shared" si="18"/>
        <v>0</v>
      </c>
      <c r="AI86">
        <v>70</v>
      </c>
      <c r="AJ86">
        <v>77</v>
      </c>
      <c r="AK86">
        <v>45</v>
      </c>
      <c r="AL86">
        <v>42</v>
      </c>
      <c r="AM86">
        <v>48</v>
      </c>
      <c r="AN86">
        <v>58</v>
      </c>
      <c r="AO86">
        <v>29</v>
      </c>
      <c r="AP86">
        <v>55</v>
      </c>
      <c r="AQ86">
        <v>0</v>
      </c>
      <c r="AR86">
        <v>0</v>
      </c>
      <c r="AS86" s="20">
        <f t="shared" si="19"/>
        <v>192</v>
      </c>
      <c r="AT86" s="20">
        <f t="shared" si="20"/>
        <v>232</v>
      </c>
      <c r="AU86" s="20">
        <f t="shared" si="21"/>
        <v>424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48</v>
      </c>
      <c r="BC86">
        <v>41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37</v>
      </c>
      <c r="BU86">
        <v>30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 s="21">
        <f t="shared" si="22"/>
        <v>48</v>
      </c>
      <c r="CG86" s="21">
        <f t="shared" si="23"/>
        <v>41</v>
      </c>
      <c r="CH86" s="21">
        <f t="shared" si="24"/>
        <v>37</v>
      </c>
      <c r="CI86" s="21">
        <f t="shared" si="25"/>
        <v>30</v>
      </c>
      <c r="CJ86" s="21">
        <f t="shared" si="27"/>
        <v>85</v>
      </c>
      <c r="CK86" s="21">
        <f t="shared" si="27"/>
        <v>71</v>
      </c>
      <c r="CL86" s="21">
        <f t="shared" si="26"/>
        <v>156</v>
      </c>
      <c r="CM86" s="22">
        <f t="shared" si="28"/>
        <v>277</v>
      </c>
      <c r="CN86" s="22">
        <f t="shared" si="28"/>
        <v>303</v>
      </c>
      <c r="CO86" s="22">
        <f t="shared" si="28"/>
        <v>580</v>
      </c>
    </row>
    <row r="87" spans="1:93">
      <c r="A87" t="s">
        <v>135</v>
      </c>
      <c r="B87" t="s">
        <v>136</v>
      </c>
      <c r="C87" t="s">
        <v>299</v>
      </c>
      <c r="D87">
        <v>501085</v>
      </c>
      <c r="E87" t="s">
        <v>335</v>
      </c>
      <c r="F87" t="s">
        <v>336</v>
      </c>
      <c r="G87"/>
      <c r="H87" t="s">
        <v>140</v>
      </c>
      <c r="I87" t="s">
        <v>141</v>
      </c>
      <c r="J87" t="s">
        <v>142</v>
      </c>
      <c r="K87" t="s">
        <v>337</v>
      </c>
      <c r="L87" t="s">
        <v>144</v>
      </c>
      <c r="M87" t="s">
        <v>145</v>
      </c>
      <c r="N87" t="s">
        <v>146</v>
      </c>
      <c r="O87" s="4" t="s">
        <v>187</v>
      </c>
      <c r="P87">
        <v>24</v>
      </c>
      <c r="Q87">
        <v>21</v>
      </c>
      <c r="R87">
        <v>36</v>
      </c>
      <c r="S87">
        <v>30</v>
      </c>
      <c r="T87">
        <v>32</v>
      </c>
      <c r="U87">
        <v>43</v>
      </c>
      <c r="V87">
        <v>41</v>
      </c>
      <c r="W87">
        <v>16</v>
      </c>
      <c r="X87">
        <v>20</v>
      </c>
      <c r="Y87">
        <v>27</v>
      </c>
      <c r="Z87">
        <v>26</v>
      </c>
      <c r="AA87">
        <v>19</v>
      </c>
      <c r="AB87">
        <v>24</v>
      </c>
      <c r="AC87">
        <v>22</v>
      </c>
      <c r="AD87">
        <v>0</v>
      </c>
      <c r="AE87">
        <v>0</v>
      </c>
      <c r="AF87" s="19">
        <f t="shared" si="16"/>
        <v>203</v>
      </c>
      <c r="AG87" s="19">
        <f t="shared" si="17"/>
        <v>178</v>
      </c>
      <c r="AH87" s="19">
        <f t="shared" si="18"/>
        <v>381</v>
      </c>
      <c r="AI87">
        <v>18</v>
      </c>
      <c r="AJ87">
        <v>15</v>
      </c>
      <c r="AK87">
        <v>19</v>
      </c>
      <c r="AL87">
        <v>28</v>
      </c>
      <c r="AM87">
        <v>12</v>
      </c>
      <c r="AN87">
        <v>18</v>
      </c>
      <c r="AO87">
        <v>15</v>
      </c>
      <c r="AP87">
        <v>17</v>
      </c>
      <c r="AQ87">
        <v>0</v>
      </c>
      <c r="AR87">
        <v>0</v>
      </c>
      <c r="AS87" s="20">
        <f t="shared" si="19"/>
        <v>64</v>
      </c>
      <c r="AT87" s="20">
        <f t="shared" si="20"/>
        <v>78</v>
      </c>
      <c r="AU87" s="20">
        <f t="shared" si="21"/>
        <v>142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 s="21">
        <f t="shared" si="22"/>
        <v>0</v>
      </c>
      <c r="CG87" s="21">
        <f t="shared" si="23"/>
        <v>0</v>
      </c>
      <c r="CH87" s="21">
        <f t="shared" si="24"/>
        <v>0</v>
      </c>
      <c r="CI87" s="21">
        <f t="shared" si="25"/>
        <v>0</v>
      </c>
      <c r="CJ87" s="21">
        <f t="shared" si="27"/>
        <v>0</v>
      </c>
      <c r="CK87" s="21">
        <f t="shared" si="27"/>
        <v>0</v>
      </c>
      <c r="CL87" s="21">
        <f t="shared" si="26"/>
        <v>0</v>
      </c>
      <c r="CM87" s="22">
        <f t="shared" si="28"/>
        <v>267</v>
      </c>
      <c r="CN87" s="22">
        <f t="shared" si="28"/>
        <v>256</v>
      </c>
      <c r="CO87" s="22">
        <f t="shared" si="28"/>
        <v>523</v>
      </c>
    </row>
    <row r="88" spans="1:93">
      <c r="A88" t="s">
        <v>135</v>
      </c>
      <c r="B88" t="s">
        <v>136</v>
      </c>
      <c r="C88" t="s">
        <v>299</v>
      </c>
      <c r="D88">
        <v>501086</v>
      </c>
      <c r="E88" t="s">
        <v>338</v>
      </c>
      <c r="F88" t="s">
        <v>339</v>
      </c>
      <c r="G88"/>
      <c r="H88" t="s">
        <v>140</v>
      </c>
      <c r="I88" t="s">
        <v>141</v>
      </c>
      <c r="J88" t="s">
        <v>142</v>
      </c>
      <c r="K88" t="s">
        <v>340</v>
      </c>
      <c r="L88" t="s">
        <v>144</v>
      </c>
      <c r="M88" t="s">
        <v>145</v>
      </c>
      <c r="N88" t="s">
        <v>146</v>
      </c>
      <c r="O88" s="4" t="s">
        <v>183</v>
      </c>
      <c r="P88">
        <v>7</v>
      </c>
      <c r="Q88">
        <v>12</v>
      </c>
      <c r="R88">
        <v>13</v>
      </c>
      <c r="S88">
        <v>12</v>
      </c>
      <c r="T88">
        <v>19</v>
      </c>
      <c r="U88">
        <v>13</v>
      </c>
      <c r="V88">
        <v>12</v>
      </c>
      <c r="W88">
        <v>17</v>
      </c>
      <c r="X88">
        <v>15</v>
      </c>
      <c r="Y88">
        <v>19</v>
      </c>
      <c r="Z88">
        <v>19</v>
      </c>
      <c r="AA88">
        <v>19</v>
      </c>
      <c r="AB88">
        <v>14</v>
      </c>
      <c r="AC88">
        <v>12</v>
      </c>
      <c r="AD88">
        <v>0</v>
      </c>
      <c r="AE88">
        <v>0</v>
      </c>
      <c r="AF88" s="19">
        <f t="shared" si="16"/>
        <v>99</v>
      </c>
      <c r="AG88" s="19">
        <f t="shared" si="17"/>
        <v>104</v>
      </c>
      <c r="AH88" s="19">
        <f t="shared" si="18"/>
        <v>203</v>
      </c>
      <c r="AI88">
        <v>13</v>
      </c>
      <c r="AJ88">
        <v>10</v>
      </c>
      <c r="AK88">
        <v>11</v>
      </c>
      <c r="AL88">
        <v>10</v>
      </c>
      <c r="AM88">
        <v>8</v>
      </c>
      <c r="AN88">
        <v>15</v>
      </c>
      <c r="AO88">
        <v>17</v>
      </c>
      <c r="AP88">
        <v>12</v>
      </c>
      <c r="AQ88">
        <v>0</v>
      </c>
      <c r="AR88">
        <v>0</v>
      </c>
      <c r="AS88" s="20">
        <f t="shared" si="19"/>
        <v>49</v>
      </c>
      <c r="AT88" s="20">
        <f t="shared" si="20"/>
        <v>47</v>
      </c>
      <c r="AU88" s="20">
        <f t="shared" si="21"/>
        <v>96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6</v>
      </c>
      <c r="BC88">
        <v>5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 s="21">
        <f t="shared" si="22"/>
        <v>6</v>
      </c>
      <c r="CG88" s="21">
        <f t="shared" si="23"/>
        <v>5</v>
      </c>
      <c r="CH88" s="21">
        <f t="shared" si="24"/>
        <v>0</v>
      </c>
      <c r="CI88" s="21">
        <f t="shared" si="25"/>
        <v>0</v>
      </c>
      <c r="CJ88" s="21">
        <f t="shared" si="27"/>
        <v>6</v>
      </c>
      <c r="CK88" s="21">
        <f t="shared" si="27"/>
        <v>5</v>
      </c>
      <c r="CL88" s="21">
        <f t="shared" si="26"/>
        <v>11</v>
      </c>
      <c r="CM88" s="22">
        <f t="shared" si="28"/>
        <v>154</v>
      </c>
      <c r="CN88" s="22">
        <f t="shared" si="28"/>
        <v>156</v>
      </c>
      <c r="CO88" s="22">
        <f t="shared" si="28"/>
        <v>310</v>
      </c>
    </row>
    <row r="89" spans="1:93">
      <c r="A89" t="s">
        <v>135</v>
      </c>
      <c r="B89" t="s">
        <v>136</v>
      </c>
      <c r="C89" t="s">
        <v>299</v>
      </c>
      <c r="D89">
        <v>501087</v>
      </c>
      <c r="E89" t="s">
        <v>341</v>
      </c>
      <c r="F89" t="s">
        <v>342</v>
      </c>
      <c r="G89"/>
      <c r="H89" t="s">
        <v>140</v>
      </c>
      <c r="I89" t="s">
        <v>141</v>
      </c>
      <c r="J89" t="s">
        <v>142</v>
      </c>
      <c r="K89" t="s">
        <v>305</v>
      </c>
      <c r="L89" t="s">
        <v>144</v>
      </c>
      <c r="M89" t="s">
        <v>145</v>
      </c>
      <c r="N89" t="s">
        <v>146</v>
      </c>
      <c r="O89" s="4" t="s">
        <v>183</v>
      </c>
      <c r="P89">
        <v>16</v>
      </c>
      <c r="Q89">
        <v>15</v>
      </c>
      <c r="R89">
        <v>6</v>
      </c>
      <c r="S89">
        <v>9</v>
      </c>
      <c r="T89">
        <v>15</v>
      </c>
      <c r="U89">
        <v>15</v>
      </c>
      <c r="V89">
        <v>14</v>
      </c>
      <c r="W89">
        <v>14</v>
      </c>
      <c r="X89">
        <v>15</v>
      </c>
      <c r="Y89">
        <v>14</v>
      </c>
      <c r="Z89">
        <v>14</v>
      </c>
      <c r="AA89">
        <v>11</v>
      </c>
      <c r="AB89">
        <v>18</v>
      </c>
      <c r="AC89">
        <v>14</v>
      </c>
      <c r="AD89">
        <v>0</v>
      </c>
      <c r="AE89">
        <v>0</v>
      </c>
      <c r="AF89" s="19">
        <f t="shared" si="16"/>
        <v>98</v>
      </c>
      <c r="AG89" s="19">
        <f t="shared" si="17"/>
        <v>92</v>
      </c>
      <c r="AH89" s="19">
        <f t="shared" si="18"/>
        <v>190</v>
      </c>
      <c r="AI89">
        <v>18</v>
      </c>
      <c r="AJ89">
        <v>14</v>
      </c>
      <c r="AK89">
        <v>14</v>
      </c>
      <c r="AL89">
        <v>14</v>
      </c>
      <c r="AM89">
        <v>8</v>
      </c>
      <c r="AN89">
        <v>14</v>
      </c>
      <c r="AO89">
        <v>8</v>
      </c>
      <c r="AP89">
        <v>12</v>
      </c>
      <c r="AQ89">
        <v>0</v>
      </c>
      <c r="AR89">
        <v>0</v>
      </c>
      <c r="AS89" s="20">
        <f t="shared" si="19"/>
        <v>48</v>
      </c>
      <c r="AT89" s="20">
        <f t="shared" si="20"/>
        <v>54</v>
      </c>
      <c r="AU89" s="20">
        <f t="shared" si="21"/>
        <v>102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12</v>
      </c>
      <c r="BC89">
        <v>19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15</v>
      </c>
      <c r="BU89">
        <v>9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 s="21">
        <f t="shared" si="22"/>
        <v>12</v>
      </c>
      <c r="CG89" s="21">
        <f t="shared" si="23"/>
        <v>19</v>
      </c>
      <c r="CH89" s="21">
        <f t="shared" si="24"/>
        <v>15</v>
      </c>
      <c r="CI89" s="21">
        <f t="shared" si="25"/>
        <v>9</v>
      </c>
      <c r="CJ89" s="21">
        <f t="shared" si="27"/>
        <v>27</v>
      </c>
      <c r="CK89" s="21">
        <f t="shared" si="27"/>
        <v>28</v>
      </c>
      <c r="CL89" s="21">
        <f t="shared" si="26"/>
        <v>55</v>
      </c>
      <c r="CM89" s="22">
        <f t="shared" si="28"/>
        <v>173</v>
      </c>
      <c r="CN89" s="22">
        <f t="shared" si="28"/>
        <v>174</v>
      </c>
      <c r="CO89" s="22">
        <f t="shared" si="28"/>
        <v>347</v>
      </c>
    </row>
    <row r="90" spans="1:93">
      <c r="A90" t="s">
        <v>135</v>
      </c>
      <c r="B90" t="s">
        <v>136</v>
      </c>
      <c r="C90" t="s">
        <v>137</v>
      </c>
      <c r="D90">
        <v>306039</v>
      </c>
      <c r="E90" t="s">
        <v>343</v>
      </c>
      <c r="F90" t="s">
        <v>344</v>
      </c>
      <c r="G90"/>
      <c r="H90" t="s">
        <v>140</v>
      </c>
      <c r="I90" t="s">
        <v>141</v>
      </c>
      <c r="J90" t="s">
        <v>197</v>
      </c>
      <c r="K90" t="s">
        <v>324</v>
      </c>
      <c r="L90" t="s">
        <v>144</v>
      </c>
      <c r="M90" t="s">
        <v>145</v>
      </c>
      <c r="N90" t="s">
        <v>146</v>
      </c>
      <c r="O90" s="4" t="s">
        <v>173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s="19">
        <f t="shared" si="16"/>
        <v>0</v>
      </c>
      <c r="AG90" s="19">
        <f t="shared" si="17"/>
        <v>0</v>
      </c>
      <c r="AH90" s="19">
        <f t="shared" si="18"/>
        <v>0</v>
      </c>
      <c r="AI90">
        <v>17</v>
      </c>
      <c r="AJ90">
        <v>14</v>
      </c>
      <c r="AK90">
        <v>16</v>
      </c>
      <c r="AL90">
        <v>11</v>
      </c>
      <c r="AM90">
        <v>18</v>
      </c>
      <c r="AN90">
        <v>10</v>
      </c>
      <c r="AO90">
        <v>6</v>
      </c>
      <c r="AP90">
        <v>16</v>
      </c>
      <c r="AQ90">
        <v>0</v>
      </c>
      <c r="AR90">
        <v>0</v>
      </c>
      <c r="AS90" s="20">
        <f t="shared" si="19"/>
        <v>57</v>
      </c>
      <c r="AT90" s="20">
        <f t="shared" si="20"/>
        <v>51</v>
      </c>
      <c r="AU90" s="20">
        <f t="shared" si="21"/>
        <v>108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10</v>
      </c>
      <c r="BG90">
        <v>10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9</v>
      </c>
      <c r="BY90">
        <v>12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 s="21">
        <f t="shared" si="22"/>
        <v>10</v>
      </c>
      <c r="CG90" s="21">
        <f t="shared" si="23"/>
        <v>10</v>
      </c>
      <c r="CH90" s="21">
        <f t="shared" si="24"/>
        <v>9</v>
      </c>
      <c r="CI90" s="21">
        <f t="shared" si="25"/>
        <v>12</v>
      </c>
      <c r="CJ90" s="21">
        <f t="shared" si="27"/>
        <v>19</v>
      </c>
      <c r="CK90" s="21">
        <f t="shared" si="27"/>
        <v>22</v>
      </c>
      <c r="CL90" s="21">
        <f t="shared" si="26"/>
        <v>41</v>
      </c>
      <c r="CM90" s="22">
        <f t="shared" si="28"/>
        <v>76</v>
      </c>
      <c r="CN90" s="22">
        <f t="shared" si="28"/>
        <v>73</v>
      </c>
      <c r="CO90" s="22">
        <f t="shared" si="28"/>
        <v>149</v>
      </c>
    </row>
  </sheetData>
  <sheetProtection algorithmName="SHA-512" hashValue="0rF8dtAQkMsOSOZEZIoAjafWHLoKoyOPPCQcUWb1J0yKvyD4QGlBg3ZmFwYS9FA9KBN81UXRkpzr9DUhiaEBFQ==" saltValue="DzqLxpjYWFJV1zk/n9mT8g==" spinCount="100000" sheet="1" objects="1" scenarios="1" sort="0" autoFilter="0"/>
  <autoFilter ref="A6:CO90" xr:uid="{3659AAC6-3718-4B72-B213-2FC5943CFC89}"/>
  <mergeCells count="31">
    <mergeCell ref="CD3:CE3"/>
    <mergeCell ref="BR3:BS3"/>
    <mergeCell ref="BT3:BU3"/>
    <mergeCell ref="BV3:BW3"/>
    <mergeCell ref="BX3:BY3"/>
    <mergeCell ref="BZ3:CA3"/>
    <mergeCell ref="CB3:CC3"/>
    <mergeCell ref="BP3:BQ3"/>
    <mergeCell ref="AQ3:AR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AO3:AP3"/>
    <mergeCell ref="P3:Q3"/>
    <mergeCell ref="R3:S3"/>
    <mergeCell ref="T3:U3"/>
    <mergeCell ref="V3:W3"/>
    <mergeCell ref="X3:Y3"/>
    <mergeCell ref="Z3:AA3"/>
    <mergeCell ref="AB3:AC3"/>
    <mergeCell ref="AD3:AE3"/>
    <mergeCell ref="AI3:AJ3"/>
    <mergeCell ref="AK3:AL3"/>
    <mergeCell ref="AM3:A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2025-01-22T02:51:31Z</dcterms:created>
  <dcterms:modified xsi:type="dcterms:W3CDTF">2026-01-23T03:14:07Z</dcterms:modified>
  <cp:category/>
  <cp:contentStatus/>
</cp:coreProperties>
</file>