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yvonne_razaga_deped_gov_ph/Documents/ONE_PLANNING_SECTION/Mati-D.A.T.A/11RO_Key Performance Indicators, by SY/Mati_SY 2024-2025/NSBI 2024-2025/"/>
    </mc:Choice>
  </mc:AlternateContent>
  <xr:revisionPtr revIDLastSave="65" documentId="8_{F2016413-B8B9-4A25-B7B8-E5F78E190BC8}" xr6:coauthVersionLast="47" xr6:coauthVersionMax="47" xr10:uidLastSave="{EB4165DE-D68D-4FE0-87C8-5A231C22061F}"/>
  <bookViews>
    <workbookView xWindow="-120" yWindow="-120" windowWidth="29040" windowHeight="15720" activeTab="1" xr2:uid="{5876A850-545A-422E-A1DA-FD0E2714621E}"/>
  </bookViews>
  <sheets>
    <sheet name="DB" sheetId="1" r:id="rId1"/>
    <sheet name="Sheet1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80" i="2" l="1"/>
  <c r="AA81" i="2"/>
  <c r="V80" i="2"/>
  <c r="AA80" i="2"/>
  <c r="Y80" i="2"/>
  <c r="T79" i="2"/>
  <c r="U79" i="2"/>
  <c r="V79" i="2"/>
  <c r="G3" i="3"/>
  <c r="F3" i="3"/>
  <c r="E3" i="3"/>
  <c r="AB79" i="2" l="1"/>
  <c r="W79" i="2"/>
  <c r="Y79" i="2"/>
  <c r="Z79" i="2"/>
  <c r="AA79" i="2"/>
</calcChain>
</file>

<file path=xl/sharedStrings.xml><?xml version="1.0" encoding="utf-8"?>
<sst xmlns="http://schemas.openxmlformats.org/spreadsheetml/2006/main" count="2255" uniqueCount="220">
  <si>
    <t>NATIONAL SCHOOL BUILDING INVENTORY - NUMBER OF CLASSROOM BY USAGE</t>
  </si>
  <si>
    <t>SY 2024-2025</t>
  </si>
  <si>
    <t>Based on NSBI, as of July 07, 2025</t>
  </si>
  <si>
    <t>Instructional Room</t>
  </si>
  <si>
    <t>Non-Instructional</t>
  </si>
  <si>
    <t>ES</t>
  </si>
  <si>
    <t>JHS</t>
  </si>
  <si>
    <t>SHS</t>
  </si>
  <si>
    <t>Region</t>
  </si>
  <si>
    <t>Old Region</t>
  </si>
  <si>
    <t>Division</t>
  </si>
  <si>
    <t>District</t>
  </si>
  <si>
    <t>LIS SCHOOL ID</t>
  </si>
  <si>
    <t>NSBI School ID</t>
  </si>
  <si>
    <t>Remarks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</si>
  <si>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</si>
  <si>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</si>
  <si>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</si>
  <si>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</si>
  <si>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</si>
  <si>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</si>
  <si>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</si>
  <si>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</si>
  <si>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</si>
  <si>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</si>
  <si>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IU/NON-IU</t>
  </si>
  <si>
    <t>Modified COC</t>
  </si>
  <si>
    <t>Kto12</t>
  </si>
  <si>
    <t>Region XI</t>
  </si>
  <si>
    <t>2nd District</t>
  </si>
  <si>
    <t>Public</t>
  </si>
  <si>
    <t>DepED Managed</t>
  </si>
  <si>
    <t>School with no Annexes</t>
  </si>
  <si>
    <t>NON-IU</t>
  </si>
  <si>
    <t>Purely ES</t>
  </si>
  <si>
    <t>JHS with SHS</t>
  </si>
  <si>
    <t>IU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</si>
  <si>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</si>
  <si>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</si>
  <si>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</si>
  <si>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</si>
  <si>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</si>
  <si>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</si>
  <si>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</si>
  <si>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</si>
  <si>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Building Condition -Condemned / For Demolition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</si>
  <si>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</si>
  <si>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</si>
  <si>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</si>
  <si>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</si>
  <si>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</si>
  <si>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</si>
  <si>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</si>
  <si>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</si>
  <si>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</si>
  <si>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</si>
  <si>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</si>
  <si>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</si>
  <si>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</si>
  <si>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</si>
  <si>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</si>
  <si>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</si>
  <si>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</si>
  <si>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</si>
  <si>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</si>
  <si>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</si>
  <si>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</si>
  <si>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</si>
  <si>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</si>
  <si>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</si>
  <si>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</si>
  <si>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SCHOOL OF ARTS &amp; TRADES</t>
  </si>
  <si>
    <t>Garcia Avenue</t>
  </si>
  <si>
    <t>Badas NHS</t>
  </si>
  <si>
    <t>Camansi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</si>
  <si>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</si>
  <si>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</si>
  <si>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</si>
  <si>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</si>
  <si>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</si>
  <si>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</si>
  <si>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</si>
  <si>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</si>
  <si>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</si>
  <si>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</si>
  <si>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</si>
  <si>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</si>
  <si>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</si>
  <si>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</si>
  <si>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</si>
  <si>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</si>
  <si>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Madasigon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</si>
  <si>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</si>
  <si>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</si>
  <si>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</si>
  <si>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</si>
  <si>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</si>
  <si>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</si>
  <si>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</si>
  <si>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</si>
  <si>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</si>
  <si>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</si>
  <si>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</si>
  <si>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</si>
  <si>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</si>
  <si>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Sr.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</si>
  <si>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</si>
  <si>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</si>
  <si>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</si>
  <si>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</si>
  <si>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</si>
  <si>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</si>
  <si>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</si>
  <si>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</si>
  <si>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</si>
  <si>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</si>
  <si>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PATERNO MADANLO 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</si>
  <si>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</si>
  <si>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</si>
  <si>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</si>
  <si>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</si>
  <si>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</si>
  <si>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</si>
  <si>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</si>
  <si>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TAGABAKID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</si>
  <si>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</si>
  <si>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</si>
  <si>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</si>
  <si>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</si>
  <si>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</si>
  <si>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</si>
  <si>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</si>
  <si>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</si>
  <si>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</si>
  <si>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</si>
  <si>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</si>
  <si>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</si>
  <si>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</si>
  <si>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</si>
  <si>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</si>
  <si>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</si>
  <si>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</si>
  <si>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</si>
  <si>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</si>
  <si>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</si>
  <si>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</si>
  <si>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</si>
  <si>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</si>
  <si>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</si>
  <si>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</si>
  <si>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</si>
  <si>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</si>
  <si>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</si>
  <si>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</si>
  <si>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</si>
  <si>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</si>
  <si>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</si>
  <si>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</si>
  <si>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</si>
  <si>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Purok II</t>
  </si>
  <si>
    <t>Bugakan Integrated School</t>
  </si>
  <si>
    <t>Brgy. Taga-bakid, Mati City</t>
  </si>
  <si>
    <t>ES and JHS (K to 10)</t>
  </si>
  <si>
    <t>Tagbinonga Integrated School</t>
  </si>
  <si>
    <t>No. 3, Purok Casubucan</t>
  </si>
  <si>
    <t>TAGBINONGA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</si>
  <si>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</si>
  <si>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</si>
  <si>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</si>
  <si>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</si>
  <si>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</si>
  <si>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</si>
  <si>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</si>
  <si>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</si>
  <si>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</si>
  <si>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</si>
  <si>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</si>
  <si>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</si>
  <si>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</si>
  <si>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</si>
  <si>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</si>
  <si>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</si>
  <si>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</si>
  <si>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</si>
  <si>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</si>
  <si>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</si>
  <si>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</si>
  <si>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</si>
  <si>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</si>
  <si>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</si>
  <si>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</si>
  <si>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</si>
  <si>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</si>
  <si>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</si>
  <si>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</si>
  <si>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</si>
  <si>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</si>
  <si>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</si>
  <si>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Mother school</t>
  </si>
  <si>
    <t>Libudon NHS</t>
  </si>
  <si>
    <t>Purok 5- San Francisco</t>
  </si>
  <si>
    <t>Macambol NHS</t>
  </si>
  <si>
    <t>Purok Baas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</si>
  <si>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</si>
  <si>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</si>
  <si>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</si>
  <si>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</si>
  <si>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</si>
  <si>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</si>
  <si>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</si>
  <si>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</si>
  <si>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Sanghay National High School</t>
  </si>
  <si>
    <t>Purok 4 Centro, Sanghay</t>
  </si>
  <si>
    <t>1st District</t>
  </si>
  <si>
    <t>Male</t>
  </si>
  <si>
    <t>Female</t>
  </si>
  <si>
    <t>K to 12 Grand Total</t>
  </si>
  <si>
    <t>Total</t>
  </si>
  <si>
    <t>No. of Classrooms</t>
  </si>
  <si>
    <t>RATIO BY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</si>
</sst>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0" fillId="2" borderId="0" xfId="0" applyFill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64" fontId="2" fillId="0" borderId="0" xfId="1" applyNumberFormat="1" applyFont="1" applyAlignment="1">
      <alignment horizontal="center"/>
    </xf>
    <xf numFmtId="0" fontId="3" fillId="0" borderId="0" xfId="0" applyFont="1"/>
    <xf numFmtId="164" fontId="0" fillId="0" borderId="0" xfId="1" applyNumberFormat="1" applyFont="1"/>
    <xf numFmtId="0" fontId="4" fillId="0" borderId="0" xfId="0" applyFont="1"/>
    <xf numFmtId="1" fontId="4" fillId="0" borderId="0" xfId="0" applyNumberFormat="1" applyFont="1"/>
    <xf numFmtId="1" fontId="5" fillId="0" borderId="0" xfId="0" applyNumberFormat="1" applyFont="1"/>
    <xf numFmtId="164" fontId="4" fillId="3" borderId="1" xfId="1" applyNumberFormat="1" applyFont="1" applyFill="1" applyBorder="1" applyAlignment="1">
      <alignment horizontal="center" vertical="center"/>
    </xf>
    <xf numFmtId="2" fontId="5" fillId="0" borderId="0" xfId="0" applyNumberFormat="1" applyFont="1"/>
    <xf numFmtId="164" fontId="4" fillId="3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CF7C6-26A0-4453-B108-570E6B85AEAE}">
  <dimension ref="A1:AE78"/>
  <sheetViews>
    <sheetView workbookViewId="0">
      <pane xSplit="14" ySplit="6" topLeftCell="O7" activePane="bottomRight" state="frozen"/>
      <selection pane="topRight" activeCell="O1" sqref="O1"/>
      <selection pane="bottomLeft" activeCell="A7" sqref="A7"/>
      <selection pane="bottomRight" sqref="A1:XFD1048576"/>
    </sheetView>
  </sheetViews>
  <sheetFormatPr defaultRowHeight="15" x14ac:dyDescent="0.25"/>
  <cols>
    <col min="2" max="2" width="0" hidden="1" customWidth="1"/>
    <col min="3" max="3" width="25.5703125" bestFit="1" customWidth="1"/>
    <col min="4" max="4" width="0" hidden="1" customWidth="1"/>
    <col min="6" max="7" width="0" hidden="1" customWidth="1"/>
    <col min="8" max="8" width="25.5703125" bestFit="1" customWidth="1"/>
    <col min="9" max="14" width="0" hidden="1" customWidth="1"/>
    <col min="16" max="18" width="0" hidden="1" customWidth="1"/>
    <col min="19" max="19" width="13.5703125" bestFit="1" customWidth="1"/>
    <col min="24" max="24" width="0.5703125" customWidth="1"/>
  </cols>
  <sheetData>
    <row r="1" spans="1:31" x14ac:dyDescent="0.25">
      <c r="A1" s="1" t="s">
        <v>0</v>
      </c>
      <c r="X1" s="2"/>
    </row>
    <row r="2" spans="1:31" x14ac:dyDescent="0.25">
      <c r="A2" s="1" t="s">
        <v>1</v>
      </c>
      <c r="X2" s="2"/>
    </row>
    <row r="3" spans="1:31" x14ac:dyDescent="0.25">
      <c r="A3" s="1" t="s">
        <v>2</v>
      </c>
      <c r="X3" s="2"/>
    </row>
    <row r="4" spans="1:31" x14ac:dyDescent="0.25">
      <c r="A4" s="1"/>
      <c r="X4" s="2"/>
      <c r="Y4" s="15" t="s">
        <v>3</v>
      </c>
      <c r="Z4" s="15"/>
      <c r="AA4" s="15"/>
      <c r="AB4" s="15" t="s">
        <v>4</v>
      </c>
      <c r="AC4" s="15"/>
      <c r="AD4" s="15"/>
    </row>
    <row r="5" spans="1:31" x14ac:dyDescent="0.25">
      <c r="A5" s="1"/>
      <c r="X5" s="2"/>
      <c r="Y5" s="3" t="s">
        <v>5</v>
      </c>
      <c r="Z5" s="3" t="s">
        <v>6</v>
      </c>
      <c r="AA5" s="3" t="s">
        <v>7</v>
      </c>
      <c r="AB5" s="3" t="s">
        <v>5</v>
      </c>
      <c r="AC5" s="3" t="s">
        <v>6</v>
      </c>
      <c r="AD5" s="3" t="s">
        <v>7</v>
      </c>
    </row>
    <row r="6" spans="1:31" x14ac:dyDescent="0.25">
      <c r="A6" s="4" t="s">
        <v>8</v>
      </c>
      <c r="B6" s="4" t="s">
        <v>9</v>
      </c>
      <c r="C6" s="4" t="s">
        <v>10</v>
      </c>
      <c r="D6" s="4" t="s">
        <v>11</v>
      </c>
      <c r="E6" s="4" t="s">
        <v>12</v>
      </c>
      <c r="F6" s="4" t="s">
        <v>13</v>
      </c>
      <c r="G6" s="4" t="s">
        <v>14</v>
      </c>
      <c r="H6" s="4" t="s">
        <v>15</v>
      </c>
      <c r="I6" s="4" t="s">
        <v>16</v>
      </c>
      <c r="J6" s="4" t="s">
        <v>17</v>
      </c>
      <c r="K6" s="4" t="s">
        <v>18</v>
      </c>
      <c r="L6" s="4" t="s">
        <v>19</v>
      </c>
      <c r="M6" s="4" t="s">
        <v>20</v>
      </c>
      <c r="N6" s="4" t="s">
        <v>21</v>
      </c>
      <c r="O6" s="4" t="s">
        <v>22</v>
      </c>
      <c r="P6" s="4" t="s">
        <v>23</v>
      </c>
      <c r="Q6" s="4" t="s">
        <v>24</v>
      </c>
      <c r="R6" s="4" t="s">
        <v>25</v>
      </c>
      <c r="S6" s="4" t="s">
        <v>26</v>
      </c>
      <c r="T6" s="4" t="s">
        <v>5</v>
      </c>
      <c r="U6" s="4" t="s">
        <v>6</v>
      </c>
      <c r="V6" s="4" t="s">
        <v>7</v>
      </c>
      <c r="W6" s="4" t="s">
        <v>27</v>
      </c>
      <c r="X6" s="5">
        <v>1</v>
      </c>
      <c r="Y6" s="6" t="s">
        <v>5</v>
      </c>
      <c r="Z6" s="6" t="s">
        <v>6</v>
      </c>
      <c r="AA6" s="6" t="s">
        <v>7</v>
      </c>
      <c r="AB6" s="6" t="s">
        <v>5</v>
      </c>
      <c r="AC6" s="6" t="s">
        <v>6</v>
      </c>
      <c r="AD6" s="6" t="s">
        <v>7</v>
      </c>
      <c r="AE6" s="1" t="s">
        <v>14</v>
      </c>
    </row>
    <row r="7" spans="1:31" x14ac:dyDescent="0.25">
      <c r="A7" t="s">
        <v>28</v>
      </c>
      <c r="B7" t="s">
        <v>28</v>
      </c>
      <c r="C7" t="s">
        <v>38</v>
      </c>
      <c r="D7" t="s">
        <v>39</v>
      </c>
      <c r="E7">
        <v>129374</v>
      </c>
      <c r="F7">
        <v>129374</v>
      </c>
      <c r="H7" t="s">
        <v>40</v>
      </c>
      <c r="I7" t="s">
        <v>41</v>
      </c>
      <c r="K7" t="s">
        <v>42</v>
      </c>
      <c r="L7" t="s">
        <v>43</v>
      </c>
      <c r="M7" t="s">
        <v>29</v>
      </c>
      <c r="N7" t="s">
        <v>44</v>
      </c>
      <c r="O7" t="s">
        <v>30</v>
      </c>
      <c r="P7" t="s">
        <v>31</v>
      </c>
      <c r="Q7" t="s">
        <v>32</v>
      </c>
      <c r="R7" t="s">
        <v>33</v>
      </c>
      <c r="S7" s="7" t="s">
        <v>34</v>
      </c>
      <c r="T7">
        <v>412</v>
      </c>
      <c r="U7">
        <v>0</v>
      </c>
      <c r="V7">
        <v>0</v>
      </c>
      <c r="W7">
        <v>412</v>
      </c>
      <c r="X7" s="2"/>
      <c r="Y7">
        <v>15</v>
      </c>
      <c r="AB7">
        <v>5</v>
      </c>
    </row>
    <row r="8" spans="1:31" x14ac:dyDescent="0.25">
      <c r="A8" t="s">
        <v>28</v>
      </c>
      <c r="B8" t="s">
        <v>28</v>
      </c>
      <c r="C8" t="s">
        <v>38</v>
      </c>
      <c r="D8" t="s">
        <v>39</v>
      </c>
      <c r="E8">
        <v>129375</v>
      </c>
      <c r="F8">
        <v>129375</v>
      </c>
      <c r="G8" s="7" t="s">
        <v>45</v>
      </c>
      <c r="H8" t="s">
        <v>46</v>
      </c>
      <c r="I8" t="s">
        <v>47</v>
      </c>
      <c r="K8" t="s">
        <v>42</v>
      </c>
      <c r="L8" t="s">
        <v>43</v>
      </c>
      <c r="M8" t="s">
        <v>29</v>
      </c>
      <c r="N8" t="s">
        <v>44</v>
      </c>
      <c r="O8" t="s">
        <v>30</v>
      </c>
      <c r="P8" t="s">
        <v>31</v>
      </c>
      <c r="Q8" t="s">
        <v>32</v>
      </c>
      <c r="R8" t="s">
        <v>33</v>
      </c>
      <c r="S8" s="7" t="s">
        <v>34</v>
      </c>
      <c r="T8">
        <v>178</v>
      </c>
      <c r="U8">
        <v>0</v>
      </c>
      <c r="V8">
        <v>0</v>
      </c>
      <c r="W8">
        <v>178</v>
      </c>
      <c r="X8" s="2"/>
      <c r="Y8">
        <v>0</v>
      </c>
      <c r="AB8">
        <v>0</v>
      </c>
    </row>
    <row r="9" spans="1:31" x14ac:dyDescent="0.25">
      <c r="A9" t="s">
        <v>28</v>
      </c>
      <c r="B9" t="s">
        <v>28</v>
      </c>
      <c r="C9" t="s">
        <v>38</v>
      </c>
      <c r="D9" t="s">
        <v>39</v>
      </c>
      <c r="E9">
        <v>129376</v>
      </c>
      <c r="F9">
        <v>129376</v>
      </c>
      <c r="H9" t="s">
        <v>48</v>
      </c>
      <c r="I9" t="s">
        <v>49</v>
      </c>
      <c r="K9" t="s">
        <v>42</v>
      </c>
      <c r="L9" t="s">
        <v>43</v>
      </c>
      <c r="M9" t="s">
        <v>29</v>
      </c>
      <c r="N9" t="s">
        <v>50</v>
      </c>
      <c r="O9" t="s">
        <v>30</v>
      </c>
      <c r="P9" t="s">
        <v>31</v>
      </c>
      <c r="Q9" t="s">
        <v>32</v>
      </c>
      <c r="R9" t="s">
        <v>33</v>
      </c>
      <c r="S9" s="7" t="s">
        <v>34</v>
      </c>
      <c r="T9">
        <v>282</v>
      </c>
      <c r="U9">
        <v>0</v>
      </c>
      <c r="V9">
        <v>0</v>
      </c>
      <c r="W9">
        <v>282</v>
      </c>
      <c r="X9" s="2"/>
      <c r="Y9">
        <v>7</v>
      </c>
      <c r="AB9">
        <v>0</v>
      </c>
    </row>
    <row r="10" spans="1:31" x14ac:dyDescent="0.25">
      <c r="A10" t="s">
        <v>28</v>
      </c>
      <c r="B10" t="s">
        <v>28</v>
      </c>
      <c r="C10" t="s">
        <v>38</v>
      </c>
      <c r="D10" t="s">
        <v>39</v>
      </c>
      <c r="E10">
        <v>129377</v>
      </c>
      <c r="F10">
        <v>129377</v>
      </c>
      <c r="H10" t="s">
        <v>51</v>
      </c>
      <c r="I10" t="s">
        <v>52</v>
      </c>
      <c r="K10" t="s">
        <v>42</v>
      </c>
      <c r="L10" t="s">
        <v>43</v>
      </c>
      <c r="M10" t="s">
        <v>29</v>
      </c>
      <c r="N10" t="s">
        <v>53</v>
      </c>
      <c r="O10" t="s">
        <v>30</v>
      </c>
      <c r="P10" t="s">
        <v>31</v>
      </c>
      <c r="Q10" t="s">
        <v>32</v>
      </c>
      <c r="R10" t="s">
        <v>33</v>
      </c>
      <c r="S10" s="7" t="s">
        <v>34</v>
      </c>
      <c r="T10">
        <v>283</v>
      </c>
      <c r="U10">
        <v>0</v>
      </c>
      <c r="V10">
        <v>0</v>
      </c>
      <c r="W10">
        <v>283</v>
      </c>
      <c r="X10" s="2"/>
      <c r="Y10">
        <v>9</v>
      </c>
      <c r="AB10">
        <v>2</v>
      </c>
    </row>
    <row r="11" spans="1:31" x14ac:dyDescent="0.25">
      <c r="A11" t="s">
        <v>28</v>
      </c>
      <c r="B11" t="s">
        <v>28</v>
      </c>
      <c r="C11" t="s">
        <v>38</v>
      </c>
      <c r="D11" t="s">
        <v>39</v>
      </c>
      <c r="E11">
        <v>129380</v>
      </c>
      <c r="F11">
        <v>129380</v>
      </c>
      <c r="H11" t="s">
        <v>54</v>
      </c>
      <c r="I11" t="s">
        <v>55</v>
      </c>
      <c r="K11" t="s">
        <v>42</v>
      </c>
      <c r="L11" t="s">
        <v>43</v>
      </c>
      <c r="M11" t="s">
        <v>29</v>
      </c>
      <c r="N11" t="s">
        <v>50</v>
      </c>
      <c r="O11" t="s">
        <v>30</v>
      </c>
      <c r="P11" t="s">
        <v>31</v>
      </c>
      <c r="Q11" t="s">
        <v>32</v>
      </c>
      <c r="R11" t="s">
        <v>33</v>
      </c>
      <c r="S11" s="7" t="s">
        <v>34</v>
      </c>
      <c r="T11">
        <v>1020</v>
      </c>
      <c r="U11">
        <v>0</v>
      </c>
      <c r="V11">
        <v>0</v>
      </c>
      <c r="W11">
        <v>1020</v>
      </c>
      <c r="X11" s="2"/>
      <c r="Y11">
        <v>42</v>
      </c>
      <c r="AB11">
        <v>19</v>
      </c>
    </row>
    <row r="12" spans="1:31" x14ac:dyDescent="0.25">
      <c r="A12" t="s">
        <v>28</v>
      </c>
      <c r="B12" t="s">
        <v>28</v>
      </c>
      <c r="C12" t="s">
        <v>38</v>
      </c>
      <c r="D12" t="s">
        <v>39</v>
      </c>
      <c r="E12">
        <v>129381</v>
      </c>
      <c r="F12">
        <v>129381</v>
      </c>
      <c r="H12" t="s">
        <v>56</v>
      </c>
      <c r="I12" t="s">
        <v>57</v>
      </c>
      <c r="K12" t="s">
        <v>42</v>
      </c>
      <c r="L12" t="s">
        <v>43</v>
      </c>
      <c r="M12" t="s">
        <v>29</v>
      </c>
      <c r="N12" t="s">
        <v>50</v>
      </c>
      <c r="O12" t="s">
        <v>30</v>
      </c>
      <c r="P12" t="s">
        <v>31</v>
      </c>
      <c r="Q12" t="s">
        <v>32</v>
      </c>
      <c r="R12" t="s">
        <v>33</v>
      </c>
      <c r="S12" s="7" t="s">
        <v>34</v>
      </c>
      <c r="T12">
        <v>1179</v>
      </c>
      <c r="U12">
        <v>0</v>
      </c>
      <c r="V12">
        <v>0</v>
      </c>
      <c r="W12">
        <v>1179</v>
      </c>
      <c r="X12" s="2"/>
      <c r="Y12">
        <v>35</v>
      </c>
      <c r="AB12">
        <v>5</v>
      </c>
    </row>
    <row r="13" spans="1:31" x14ac:dyDescent="0.25">
      <c r="A13" t="s">
        <v>28</v>
      </c>
      <c r="B13" t="s">
        <v>28</v>
      </c>
      <c r="C13" t="s">
        <v>38</v>
      </c>
      <c r="D13" t="s">
        <v>39</v>
      </c>
      <c r="E13">
        <v>129382</v>
      </c>
      <c r="F13">
        <v>129382</v>
      </c>
      <c r="H13" t="s">
        <v>58</v>
      </c>
      <c r="I13" t="s">
        <v>59</v>
      </c>
      <c r="K13" t="s">
        <v>42</v>
      </c>
      <c r="L13" t="s">
        <v>43</v>
      </c>
      <c r="M13" t="s">
        <v>29</v>
      </c>
      <c r="N13" t="s">
        <v>50</v>
      </c>
      <c r="O13" t="s">
        <v>30</v>
      </c>
      <c r="P13" t="s">
        <v>31</v>
      </c>
      <c r="Q13" t="s">
        <v>32</v>
      </c>
      <c r="R13" t="s">
        <v>33</v>
      </c>
      <c r="S13" s="7" t="s">
        <v>34</v>
      </c>
      <c r="T13">
        <v>1991</v>
      </c>
      <c r="U13">
        <v>0</v>
      </c>
      <c r="V13">
        <v>0</v>
      </c>
      <c r="W13">
        <v>1991</v>
      </c>
      <c r="X13" s="2"/>
      <c r="Y13">
        <v>41</v>
      </c>
      <c r="AB13">
        <v>2</v>
      </c>
    </row>
    <row r="14" spans="1:31" x14ac:dyDescent="0.25">
      <c r="A14" t="s">
        <v>28</v>
      </c>
      <c r="B14" t="s">
        <v>28</v>
      </c>
      <c r="C14" t="s">
        <v>38</v>
      </c>
      <c r="D14" t="s">
        <v>39</v>
      </c>
      <c r="E14">
        <v>129383</v>
      </c>
      <c r="F14">
        <v>129383</v>
      </c>
      <c r="H14" t="s">
        <v>60</v>
      </c>
      <c r="I14" t="s">
        <v>61</v>
      </c>
      <c r="K14" t="s">
        <v>42</v>
      </c>
      <c r="L14" t="s">
        <v>43</v>
      </c>
      <c r="M14" t="s">
        <v>29</v>
      </c>
      <c r="N14" t="s">
        <v>50</v>
      </c>
      <c r="O14" t="s">
        <v>30</v>
      </c>
      <c r="P14" t="s">
        <v>31</v>
      </c>
      <c r="Q14" t="s">
        <v>32</v>
      </c>
      <c r="R14" t="s">
        <v>33</v>
      </c>
      <c r="S14" s="7" t="s">
        <v>34</v>
      </c>
      <c r="T14">
        <v>955</v>
      </c>
      <c r="U14">
        <v>0</v>
      </c>
      <c r="V14">
        <v>0</v>
      </c>
      <c r="W14">
        <v>955</v>
      </c>
      <c r="X14" s="2"/>
      <c r="Y14">
        <v>29</v>
      </c>
      <c r="AB14">
        <v>6</v>
      </c>
    </row>
    <row r="15" spans="1:31" x14ac:dyDescent="0.25">
      <c r="A15" t="s">
        <v>28</v>
      </c>
      <c r="B15" t="s">
        <v>28</v>
      </c>
      <c r="C15" t="s">
        <v>38</v>
      </c>
      <c r="D15" t="s">
        <v>39</v>
      </c>
      <c r="E15">
        <v>129384</v>
      </c>
      <c r="F15">
        <v>129384</v>
      </c>
      <c r="H15" t="s">
        <v>62</v>
      </c>
      <c r="I15" t="s">
        <v>63</v>
      </c>
      <c r="K15" t="s">
        <v>42</v>
      </c>
      <c r="L15" t="s">
        <v>43</v>
      </c>
      <c r="M15" t="s">
        <v>29</v>
      </c>
      <c r="N15" t="s">
        <v>50</v>
      </c>
      <c r="O15" t="s">
        <v>30</v>
      </c>
      <c r="P15" t="s">
        <v>31</v>
      </c>
      <c r="Q15" t="s">
        <v>32</v>
      </c>
      <c r="R15" t="s">
        <v>33</v>
      </c>
      <c r="S15" s="7" t="s">
        <v>34</v>
      </c>
      <c r="T15">
        <v>106</v>
      </c>
      <c r="U15">
        <v>0</v>
      </c>
      <c r="V15">
        <v>0</v>
      </c>
      <c r="W15">
        <v>106</v>
      </c>
      <c r="X15" s="2"/>
      <c r="Y15">
        <v>8</v>
      </c>
      <c r="AB15">
        <v>0</v>
      </c>
    </row>
    <row r="16" spans="1:31" x14ac:dyDescent="0.25">
      <c r="A16" t="s">
        <v>28</v>
      </c>
      <c r="B16" t="s">
        <v>28</v>
      </c>
      <c r="C16" t="s">
        <v>38</v>
      </c>
      <c r="D16" t="s">
        <v>39</v>
      </c>
      <c r="E16">
        <v>129385</v>
      </c>
      <c r="F16">
        <v>129385</v>
      </c>
      <c r="H16" t="s">
        <v>64</v>
      </c>
      <c r="I16" t="s">
        <v>65</v>
      </c>
      <c r="K16" t="s">
        <v>42</v>
      </c>
      <c r="L16" t="s">
        <v>43</v>
      </c>
      <c r="M16" t="s">
        <v>29</v>
      </c>
      <c r="N16" t="s">
        <v>44</v>
      </c>
      <c r="O16" t="s">
        <v>30</v>
      </c>
      <c r="P16" t="s">
        <v>31</v>
      </c>
      <c r="Q16" t="s">
        <v>32</v>
      </c>
      <c r="R16" t="s">
        <v>33</v>
      </c>
      <c r="S16" s="7" t="s">
        <v>34</v>
      </c>
      <c r="T16">
        <v>828</v>
      </c>
      <c r="U16">
        <v>0</v>
      </c>
      <c r="V16">
        <v>0</v>
      </c>
      <c r="W16">
        <v>828</v>
      </c>
      <c r="X16" s="2"/>
      <c r="Y16">
        <v>12</v>
      </c>
      <c r="AB16">
        <v>0</v>
      </c>
    </row>
    <row r="17" spans="1:30" x14ac:dyDescent="0.25">
      <c r="A17" t="s">
        <v>28</v>
      </c>
      <c r="B17" t="s">
        <v>28</v>
      </c>
      <c r="C17" t="s">
        <v>38</v>
      </c>
      <c r="D17" t="s">
        <v>39</v>
      </c>
      <c r="E17">
        <v>129386</v>
      </c>
      <c r="F17">
        <v>129386</v>
      </c>
      <c r="H17" t="s">
        <v>66</v>
      </c>
      <c r="I17" t="s">
        <v>67</v>
      </c>
      <c r="K17" t="s">
        <v>42</v>
      </c>
      <c r="L17" t="s">
        <v>43</v>
      </c>
      <c r="M17" t="s">
        <v>29</v>
      </c>
      <c r="N17" t="s">
        <v>53</v>
      </c>
      <c r="O17" t="s">
        <v>30</v>
      </c>
      <c r="P17" t="s">
        <v>31</v>
      </c>
      <c r="Q17" t="s">
        <v>32</v>
      </c>
      <c r="R17" t="s">
        <v>33</v>
      </c>
      <c r="S17" s="7" t="s">
        <v>34</v>
      </c>
      <c r="T17">
        <v>158</v>
      </c>
      <c r="U17">
        <v>0</v>
      </c>
      <c r="V17">
        <v>0</v>
      </c>
      <c r="W17">
        <v>158</v>
      </c>
      <c r="X17" s="2"/>
      <c r="Y17">
        <v>7</v>
      </c>
      <c r="AB17">
        <v>0</v>
      </c>
    </row>
    <row r="18" spans="1:30" x14ac:dyDescent="0.25">
      <c r="A18" t="s">
        <v>28</v>
      </c>
      <c r="B18" t="s">
        <v>28</v>
      </c>
      <c r="C18" t="s">
        <v>38</v>
      </c>
      <c r="D18" t="s">
        <v>39</v>
      </c>
      <c r="E18">
        <v>205504</v>
      </c>
      <c r="F18">
        <v>205504</v>
      </c>
      <c r="H18" t="s">
        <v>68</v>
      </c>
      <c r="I18" t="s">
        <v>57</v>
      </c>
      <c r="K18" t="s">
        <v>42</v>
      </c>
      <c r="L18" t="s">
        <v>43</v>
      </c>
      <c r="M18" t="s">
        <v>29</v>
      </c>
      <c r="N18" t="s">
        <v>50</v>
      </c>
      <c r="O18" t="s">
        <v>30</v>
      </c>
      <c r="P18" t="s">
        <v>31</v>
      </c>
      <c r="Q18" t="s">
        <v>32</v>
      </c>
      <c r="R18" t="s">
        <v>33</v>
      </c>
      <c r="S18" s="7" t="s">
        <v>34</v>
      </c>
      <c r="T18">
        <v>1017</v>
      </c>
      <c r="U18">
        <v>0</v>
      </c>
      <c r="V18">
        <v>0</v>
      </c>
      <c r="W18">
        <v>1017</v>
      </c>
      <c r="X18" s="2"/>
      <c r="Y18">
        <v>20</v>
      </c>
      <c r="AB18">
        <v>0</v>
      </c>
    </row>
    <row r="19" spans="1:30" x14ac:dyDescent="0.25">
      <c r="A19" t="s">
        <v>28</v>
      </c>
      <c r="B19" t="s">
        <v>28</v>
      </c>
      <c r="C19" t="s">
        <v>38</v>
      </c>
      <c r="D19" t="s">
        <v>39</v>
      </c>
      <c r="E19">
        <v>304325</v>
      </c>
      <c r="F19">
        <v>304325</v>
      </c>
      <c r="H19" t="s">
        <v>69</v>
      </c>
      <c r="I19" t="s">
        <v>70</v>
      </c>
      <c r="K19" t="s">
        <v>42</v>
      </c>
      <c r="L19" t="s">
        <v>43</v>
      </c>
      <c r="M19" t="s">
        <v>29</v>
      </c>
      <c r="N19" t="s">
        <v>53</v>
      </c>
      <c r="O19" t="s">
        <v>30</v>
      </c>
      <c r="P19" t="s">
        <v>31</v>
      </c>
      <c r="Q19" t="s">
        <v>32</v>
      </c>
      <c r="R19" t="s">
        <v>36</v>
      </c>
      <c r="S19" s="7" t="s">
        <v>35</v>
      </c>
      <c r="T19">
        <v>0</v>
      </c>
      <c r="U19">
        <v>3060</v>
      </c>
      <c r="V19">
        <v>1603</v>
      </c>
      <c r="W19">
        <v>4663</v>
      </c>
      <c r="X19" s="2"/>
      <c r="Y19">
        <v>0</v>
      </c>
      <c r="Z19" s="8">
        <v>74.153978125670164</v>
      </c>
      <c r="AA19" s="8">
        <v>38.846021874329836</v>
      </c>
      <c r="AB19">
        <v>0</v>
      </c>
      <c r="AC19" s="8">
        <v>0.65622989491743511</v>
      </c>
      <c r="AD19" s="8">
        <v>0.34377010508256489</v>
      </c>
    </row>
    <row r="20" spans="1:30" x14ac:dyDescent="0.25">
      <c r="A20" t="s">
        <v>28</v>
      </c>
      <c r="B20" t="s">
        <v>28</v>
      </c>
      <c r="C20" t="s">
        <v>38</v>
      </c>
      <c r="D20" t="s">
        <v>39</v>
      </c>
      <c r="E20">
        <v>304326</v>
      </c>
      <c r="F20">
        <v>304326</v>
      </c>
      <c r="H20" t="s">
        <v>71</v>
      </c>
      <c r="I20" t="s">
        <v>72</v>
      </c>
      <c r="K20" t="s">
        <v>42</v>
      </c>
      <c r="L20" t="s">
        <v>43</v>
      </c>
      <c r="M20" t="s">
        <v>29</v>
      </c>
      <c r="N20" t="s">
        <v>53</v>
      </c>
      <c r="O20" t="s">
        <v>30</v>
      </c>
      <c r="P20" t="s">
        <v>31</v>
      </c>
      <c r="Q20" t="s">
        <v>32</v>
      </c>
      <c r="R20" t="s">
        <v>36</v>
      </c>
      <c r="S20" s="7" t="s">
        <v>35</v>
      </c>
      <c r="T20">
        <v>0</v>
      </c>
      <c r="U20">
        <v>613</v>
      </c>
      <c r="V20">
        <v>439</v>
      </c>
      <c r="W20">
        <v>1052</v>
      </c>
      <c r="X20" s="2"/>
      <c r="Y20">
        <v>0</v>
      </c>
      <c r="Z20" s="8">
        <v>27.969581749049432</v>
      </c>
      <c r="AA20" s="8">
        <v>20.030418250950568</v>
      </c>
      <c r="AB20">
        <v>0</v>
      </c>
      <c r="AC20" s="8">
        <v>9.3231939163498101</v>
      </c>
      <c r="AD20" s="8">
        <v>6.6768060836501899</v>
      </c>
    </row>
    <row r="21" spans="1:30" x14ac:dyDescent="0.25">
      <c r="A21" t="s">
        <v>28</v>
      </c>
      <c r="B21" t="s">
        <v>28</v>
      </c>
      <c r="C21" t="s">
        <v>38</v>
      </c>
      <c r="D21" t="s">
        <v>39</v>
      </c>
      <c r="E21">
        <v>325104</v>
      </c>
      <c r="F21">
        <v>325104</v>
      </c>
      <c r="H21" t="s">
        <v>73</v>
      </c>
      <c r="I21" t="s">
        <v>74</v>
      </c>
      <c r="K21" t="s">
        <v>42</v>
      </c>
      <c r="L21" t="s">
        <v>43</v>
      </c>
      <c r="M21" t="s">
        <v>29</v>
      </c>
      <c r="N21" t="s">
        <v>44</v>
      </c>
      <c r="O21" t="s">
        <v>30</v>
      </c>
      <c r="P21" t="s">
        <v>31</v>
      </c>
      <c r="Q21" t="s">
        <v>32</v>
      </c>
      <c r="R21" t="s">
        <v>36</v>
      </c>
      <c r="S21" s="7" t="s">
        <v>35</v>
      </c>
      <c r="T21">
        <v>0</v>
      </c>
      <c r="U21">
        <v>549</v>
      </c>
      <c r="V21">
        <v>224</v>
      </c>
      <c r="W21">
        <v>773</v>
      </c>
      <c r="X21" s="2"/>
      <c r="Y21">
        <v>0</v>
      </c>
      <c r="Z21" s="8">
        <v>15.6248382923674</v>
      </c>
      <c r="AA21" s="8">
        <v>6.3751617076325999</v>
      </c>
      <c r="AB21">
        <v>0</v>
      </c>
      <c r="AC21" s="8">
        <v>1.4204398447606728</v>
      </c>
      <c r="AD21" s="8">
        <v>0.57956015523932725</v>
      </c>
    </row>
    <row r="22" spans="1:30" x14ac:dyDescent="0.25">
      <c r="A22" t="s">
        <v>28</v>
      </c>
      <c r="B22" t="s">
        <v>28</v>
      </c>
      <c r="C22" t="s">
        <v>38</v>
      </c>
      <c r="D22" t="s">
        <v>39</v>
      </c>
      <c r="E22">
        <v>500454</v>
      </c>
      <c r="F22">
        <v>500454</v>
      </c>
      <c r="H22" t="s">
        <v>75</v>
      </c>
      <c r="I22" t="s">
        <v>76</v>
      </c>
      <c r="K22" t="s">
        <v>42</v>
      </c>
      <c r="L22" t="s">
        <v>43</v>
      </c>
      <c r="M22" t="s">
        <v>29</v>
      </c>
      <c r="N22" t="s">
        <v>53</v>
      </c>
      <c r="O22" t="s">
        <v>30</v>
      </c>
      <c r="P22" t="s">
        <v>31</v>
      </c>
      <c r="Q22" t="s">
        <v>32</v>
      </c>
      <c r="R22" t="s">
        <v>33</v>
      </c>
      <c r="S22" s="7" t="s">
        <v>37</v>
      </c>
      <c r="T22">
        <v>208</v>
      </c>
      <c r="U22">
        <v>94</v>
      </c>
      <c r="V22">
        <v>37</v>
      </c>
      <c r="W22">
        <v>339</v>
      </c>
      <c r="X22" s="2"/>
      <c r="Y22">
        <v>15</v>
      </c>
      <c r="Z22" s="8">
        <v>10.763358778625953</v>
      </c>
      <c r="AA22" s="8">
        <v>4.2366412213740459</v>
      </c>
      <c r="AB22">
        <v>4</v>
      </c>
      <c r="AC22" s="8">
        <v>2.8702290076335877</v>
      </c>
      <c r="AD22" s="8">
        <v>1.1297709923664123</v>
      </c>
    </row>
    <row r="23" spans="1:30" x14ac:dyDescent="0.25">
      <c r="A23" t="s">
        <v>28</v>
      </c>
      <c r="B23" t="s">
        <v>28</v>
      </c>
      <c r="C23" t="s">
        <v>38</v>
      </c>
      <c r="D23" t="s">
        <v>39</v>
      </c>
      <c r="E23">
        <v>501424</v>
      </c>
      <c r="F23">
        <v>501424</v>
      </c>
      <c r="H23" t="s">
        <v>77</v>
      </c>
      <c r="I23" t="s">
        <v>78</v>
      </c>
      <c r="K23" t="s">
        <v>42</v>
      </c>
      <c r="L23" t="s">
        <v>43</v>
      </c>
      <c r="M23" t="s">
        <v>29</v>
      </c>
      <c r="N23" t="s">
        <v>79</v>
      </c>
      <c r="O23" t="s">
        <v>30</v>
      </c>
      <c r="P23" t="s">
        <v>31</v>
      </c>
      <c r="Q23" t="s">
        <v>32</v>
      </c>
      <c r="R23" t="s">
        <v>33</v>
      </c>
      <c r="S23" s="7" t="s">
        <v>37</v>
      </c>
      <c r="T23">
        <v>307</v>
      </c>
      <c r="U23">
        <v>120</v>
      </c>
      <c r="V23">
        <v>47</v>
      </c>
      <c r="W23">
        <v>474</v>
      </c>
      <c r="X23" s="2"/>
      <c r="Y23">
        <v>18</v>
      </c>
      <c r="Z23" s="8">
        <v>12.934131736526947</v>
      </c>
      <c r="AA23" s="8">
        <v>5.0658682634730541</v>
      </c>
      <c r="AB23">
        <v>0</v>
      </c>
      <c r="AC23" s="8">
        <v>0</v>
      </c>
      <c r="AD23" s="8">
        <v>0</v>
      </c>
    </row>
    <row r="24" spans="1:30" x14ac:dyDescent="0.25">
      <c r="A24" t="s">
        <v>28</v>
      </c>
      <c r="B24" t="s">
        <v>28</v>
      </c>
      <c r="C24" t="s">
        <v>38</v>
      </c>
      <c r="D24" t="s">
        <v>80</v>
      </c>
      <c r="E24">
        <v>129387</v>
      </c>
      <c r="F24">
        <v>129387</v>
      </c>
      <c r="H24" t="s">
        <v>81</v>
      </c>
      <c r="I24" t="s">
        <v>82</v>
      </c>
      <c r="K24" t="s">
        <v>42</v>
      </c>
      <c r="L24" t="s">
        <v>43</v>
      </c>
      <c r="M24" t="s">
        <v>29</v>
      </c>
      <c r="N24" t="s">
        <v>83</v>
      </c>
      <c r="O24" t="s">
        <v>30</v>
      </c>
      <c r="P24" t="s">
        <v>31</v>
      </c>
      <c r="Q24" t="s">
        <v>32</v>
      </c>
      <c r="R24" t="s">
        <v>33</v>
      </c>
      <c r="S24" s="7" t="s">
        <v>34</v>
      </c>
      <c r="T24">
        <v>227</v>
      </c>
      <c r="U24">
        <v>0</v>
      </c>
      <c r="V24">
        <v>0</v>
      </c>
      <c r="W24">
        <v>227</v>
      </c>
      <c r="X24" s="2"/>
      <c r="Y24">
        <v>5</v>
      </c>
      <c r="AB24">
        <v>0</v>
      </c>
    </row>
    <row r="25" spans="1:30" x14ac:dyDescent="0.25">
      <c r="A25" t="s">
        <v>28</v>
      </c>
      <c r="B25" t="s">
        <v>28</v>
      </c>
      <c r="C25" t="s">
        <v>38</v>
      </c>
      <c r="D25" t="s">
        <v>80</v>
      </c>
      <c r="E25">
        <v>129388</v>
      </c>
      <c r="F25">
        <v>129388</v>
      </c>
      <c r="H25" t="s">
        <v>84</v>
      </c>
      <c r="I25" t="s">
        <v>85</v>
      </c>
      <c r="K25" t="s">
        <v>42</v>
      </c>
      <c r="L25" t="s">
        <v>43</v>
      </c>
      <c r="M25" t="s">
        <v>29</v>
      </c>
      <c r="N25" t="s">
        <v>86</v>
      </c>
      <c r="O25" t="s">
        <v>30</v>
      </c>
      <c r="P25" t="s">
        <v>31</v>
      </c>
      <c r="Q25" t="s">
        <v>32</v>
      </c>
      <c r="R25" t="s">
        <v>33</v>
      </c>
      <c r="S25" s="7" t="s">
        <v>34</v>
      </c>
      <c r="T25">
        <v>342</v>
      </c>
      <c r="U25">
        <v>0</v>
      </c>
      <c r="V25">
        <v>0</v>
      </c>
      <c r="W25">
        <v>342</v>
      </c>
      <c r="X25" s="2"/>
      <c r="Y25">
        <v>6</v>
      </c>
      <c r="AB25">
        <v>0</v>
      </c>
    </row>
    <row r="26" spans="1:30" x14ac:dyDescent="0.25">
      <c r="A26" t="s">
        <v>28</v>
      </c>
      <c r="B26" t="s">
        <v>28</v>
      </c>
      <c r="C26" t="s">
        <v>38</v>
      </c>
      <c r="D26" t="s">
        <v>80</v>
      </c>
      <c r="E26">
        <v>129389</v>
      </c>
      <c r="F26">
        <v>129389</v>
      </c>
      <c r="H26" t="s">
        <v>87</v>
      </c>
      <c r="I26" t="s">
        <v>88</v>
      </c>
      <c r="K26" t="s">
        <v>42</v>
      </c>
      <c r="L26" t="s">
        <v>43</v>
      </c>
      <c r="M26" t="s">
        <v>29</v>
      </c>
      <c r="N26" t="s">
        <v>89</v>
      </c>
      <c r="O26" t="s">
        <v>30</v>
      </c>
      <c r="P26" t="s">
        <v>31</v>
      </c>
      <c r="Q26" t="s">
        <v>32</v>
      </c>
      <c r="R26" t="s">
        <v>33</v>
      </c>
      <c r="S26" s="7" t="s">
        <v>34</v>
      </c>
      <c r="T26">
        <v>931</v>
      </c>
      <c r="U26">
        <v>0</v>
      </c>
      <c r="V26">
        <v>0</v>
      </c>
      <c r="W26">
        <v>931</v>
      </c>
      <c r="X26" s="2"/>
      <c r="Y26">
        <v>15</v>
      </c>
      <c r="AB26">
        <v>1</v>
      </c>
    </row>
    <row r="27" spans="1:30" x14ac:dyDescent="0.25">
      <c r="A27" t="s">
        <v>28</v>
      </c>
      <c r="B27" t="s">
        <v>28</v>
      </c>
      <c r="C27" t="s">
        <v>38</v>
      </c>
      <c r="D27" t="s">
        <v>80</v>
      </c>
      <c r="E27">
        <v>129390</v>
      </c>
      <c r="F27">
        <v>129390</v>
      </c>
      <c r="H27" t="s">
        <v>90</v>
      </c>
      <c r="I27" t="s">
        <v>91</v>
      </c>
      <c r="K27" t="s">
        <v>42</v>
      </c>
      <c r="L27" t="s">
        <v>43</v>
      </c>
      <c r="M27" t="s">
        <v>29</v>
      </c>
      <c r="N27" t="s">
        <v>83</v>
      </c>
      <c r="O27" t="s">
        <v>30</v>
      </c>
      <c r="P27" t="s">
        <v>31</v>
      </c>
      <c r="Q27" t="s">
        <v>32</v>
      </c>
      <c r="R27" t="s">
        <v>33</v>
      </c>
      <c r="S27" s="7" t="s">
        <v>34</v>
      </c>
      <c r="T27">
        <v>689</v>
      </c>
      <c r="U27">
        <v>0</v>
      </c>
      <c r="V27">
        <v>0</v>
      </c>
      <c r="W27">
        <v>689</v>
      </c>
      <c r="X27" s="2"/>
      <c r="Y27">
        <v>22</v>
      </c>
      <c r="AB27">
        <v>2</v>
      </c>
    </row>
    <row r="28" spans="1:30" x14ac:dyDescent="0.25">
      <c r="A28" t="s">
        <v>28</v>
      </c>
      <c r="B28" t="s">
        <v>28</v>
      </c>
      <c r="C28" t="s">
        <v>38</v>
      </c>
      <c r="D28" t="s">
        <v>80</v>
      </c>
      <c r="E28">
        <v>129391</v>
      </c>
      <c r="F28">
        <v>129391</v>
      </c>
      <c r="H28" t="s">
        <v>92</v>
      </c>
      <c r="I28" t="s">
        <v>93</v>
      </c>
      <c r="K28" t="s">
        <v>42</v>
      </c>
      <c r="L28" t="s">
        <v>43</v>
      </c>
      <c r="M28" t="s">
        <v>29</v>
      </c>
      <c r="N28" t="s">
        <v>94</v>
      </c>
      <c r="O28" t="s">
        <v>30</v>
      </c>
      <c r="P28" t="s">
        <v>31</v>
      </c>
      <c r="Q28" t="s">
        <v>32</v>
      </c>
      <c r="R28" t="s">
        <v>33</v>
      </c>
      <c r="S28" s="7" t="s">
        <v>34</v>
      </c>
      <c r="T28">
        <v>279</v>
      </c>
      <c r="U28">
        <v>0</v>
      </c>
      <c r="V28">
        <v>0</v>
      </c>
      <c r="W28">
        <v>279</v>
      </c>
      <c r="X28" s="2"/>
      <c r="Y28">
        <v>7</v>
      </c>
      <c r="AB28">
        <v>2</v>
      </c>
    </row>
    <row r="29" spans="1:30" x14ac:dyDescent="0.25">
      <c r="A29" t="s">
        <v>28</v>
      </c>
      <c r="B29" t="s">
        <v>28</v>
      </c>
      <c r="C29" t="s">
        <v>38</v>
      </c>
      <c r="D29" t="s">
        <v>80</v>
      </c>
      <c r="E29">
        <v>129392</v>
      </c>
      <c r="F29">
        <v>129392</v>
      </c>
      <c r="H29" t="s">
        <v>95</v>
      </c>
      <c r="I29" t="s">
        <v>96</v>
      </c>
      <c r="K29" t="s">
        <v>42</v>
      </c>
      <c r="L29" t="s">
        <v>43</v>
      </c>
      <c r="M29" t="s">
        <v>29</v>
      </c>
      <c r="N29" t="s">
        <v>97</v>
      </c>
      <c r="O29" t="s">
        <v>30</v>
      </c>
      <c r="P29" t="s">
        <v>31</v>
      </c>
      <c r="Q29" t="s">
        <v>32</v>
      </c>
      <c r="R29" t="s">
        <v>33</v>
      </c>
      <c r="S29" s="7" t="s">
        <v>34</v>
      </c>
      <c r="T29">
        <v>373</v>
      </c>
      <c r="U29">
        <v>0</v>
      </c>
      <c r="V29">
        <v>0</v>
      </c>
      <c r="W29">
        <v>373</v>
      </c>
      <c r="X29" s="2"/>
      <c r="Y29">
        <v>11</v>
      </c>
      <c r="AB29">
        <v>0</v>
      </c>
    </row>
    <row r="30" spans="1:30" x14ac:dyDescent="0.25">
      <c r="A30" t="s">
        <v>28</v>
      </c>
      <c r="B30" t="s">
        <v>28</v>
      </c>
      <c r="C30" t="s">
        <v>38</v>
      </c>
      <c r="D30" t="s">
        <v>80</v>
      </c>
      <c r="E30">
        <v>129393</v>
      </c>
      <c r="F30">
        <v>129393</v>
      </c>
      <c r="H30" t="s">
        <v>98</v>
      </c>
      <c r="I30" t="s">
        <v>99</v>
      </c>
      <c r="K30" t="s">
        <v>42</v>
      </c>
      <c r="L30" t="s">
        <v>43</v>
      </c>
      <c r="M30" t="s">
        <v>29</v>
      </c>
      <c r="N30" t="s">
        <v>100</v>
      </c>
      <c r="O30" t="s">
        <v>30</v>
      </c>
      <c r="P30" t="s">
        <v>31</v>
      </c>
      <c r="Q30" t="s">
        <v>32</v>
      </c>
      <c r="R30" t="s">
        <v>33</v>
      </c>
      <c r="S30" s="7" t="s">
        <v>34</v>
      </c>
      <c r="T30">
        <v>69</v>
      </c>
      <c r="U30">
        <v>0</v>
      </c>
      <c r="V30">
        <v>0</v>
      </c>
      <c r="W30">
        <v>69</v>
      </c>
      <c r="X30" s="2"/>
      <c r="Y30">
        <v>4</v>
      </c>
      <c r="AB30">
        <v>0</v>
      </c>
    </row>
    <row r="31" spans="1:30" x14ac:dyDescent="0.25">
      <c r="A31" t="s">
        <v>28</v>
      </c>
      <c r="B31" t="s">
        <v>28</v>
      </c>
      <c r="C31" t="s">
        <v>38</v>
      </c>
      <c r="D31" t="s">
        <v>80</v>
      </c>
      <c r="E31">
        <v>129394</v>
      </c>
      <c r="F31">
        <v>129394</v>
      </c>
      <c r="H31" t="s">
        <v>101</v>
      </c>
      <c r="I31" t="s">
        <v>102</v>
      </c>
      <c r="K31" t="s">
        <v>42</v>
      </c>
      <c r="L31" t="s">
        <v>43</v>
      </c>
      <c r="M31" t="s">
        <v>29</v>
      </c>
      <c r="N31" t="s">
        <v>94</v>
      </c>
      <c r="O31" t="s">
        <v>30</v>
      </c>
      <c r="P31" t="s">
        <v>31</v>
      </c>
      <c r="Q31" t="s">
        <v>32</v>
      </c>
      <c r="R31" t="s">
        <v>33</v>
      </c>
      <c r="S31" s="7" t="s">
        <v>34</v>
      </c>
      <c r="T31">
        <v>112</v>
      </c>
      <c r="U31">
        <v>0</v>
      </c>
      <c r="V31">
        <v>0</v>
      </c>
      <c r="W31">
        <v>112</v>
      </c>
      <c r="X31" s="2"/>
      <c r="Y31">
        <v>12</v>
      </c>
      <c r="AB31">
        <v>1</v>
      </c>
    </row>
    <row r="32" spans="1:30" x14ac:dyDescent="0.25">
      <c r="A32" t="s">
        <v>28</v>
      </c>
      <c r="B32" t="s">
        <v>28</v>
      </c>
      <c r="C32" t="s">
        <v>38</v>
      </c>
      <c r="D32" t="s">
        <v>80</v>
      </c>
      <c r="E32">
        <v>129395</v>
      </c>
      <c r="F32">
        <v>129395</v>
      </c>
      <c r="H32" t="s">
        <v>103</v>
      </c>
      <c r="I32" t="s">
        <v>104</v>
      </c>
      <c r="K32" t="s">
        <v>42</v>
      </c>
      <c r="L32" t="s">
        <v>43</v>
      </c>
      <c r="M32" t="s">
        <v>29</v>
      </c>
      <c r="N32" t="s">
        <v>89</v>
      </c>
      <c r="O32" t="s">
        <v>30</v>
      </c>
      <c r="P32" t="s">
        <v>31</v>
      </c>
      <c r="Q32" t="s">
        <v>32</v>
      </c>
      <c r="R32" t="s">
        <v>33</v>
      </c>
      <c r="S32" s="7" t="s">
        <v>34</v>
      </c>
      <c r="T32">
        <v>774</v>
      </c>
      <c r="U32">
        <v>0</v>
      </c>
      <c r="V32">
        <v>0</v>
      </c>
      <c r="W32">
        <v>774</v>
      </c>
      <c r="X32" s="2"/>
      <c r="Y32">
        <v>23</v>
      </c>
      <c r="AB32">
        <v>5</v>
      </c>
    </row>
    <row r="33" spans="1:30" x14ac:dyDescent="0.25">
      <c r="A33" t="s">
        <v>28</v>
      </c>
      <c r="B33" t="s">
        <v>28</v>
      </c>
      <c r="C33" t="s">
        <v>38</v>
      </c>
      <c r="D33" t="s">
        <v>80</v>
      </c>
      <c r="E33">
        <v>129396</v>
      </c>
      <c r="F33">
        <v>129396</v>
      </c>
      <c r="H33" t="s">
        <v>105</v>
      </c>
      <c r="I33" t="s">
        <v>106</v>
      </c>
      <c r="K33" t="s">
        <v>42</v>
      </c>
      <c r="L33" t="s">
        <v>43</v>
      </c>
      <c r="M33" t="s">
        <v>29</v>
      </c>
      <c r="N33" t="s">
        <v>100</v>
      </c>
      <c r="O33" t="s">
        <v>30</v>
      </c>
      <c r="P33" t="s">
        <v>31</v>
      </c>
      <c r="Q33" t="s">
        <v>32</v>
      </c>
      <c r="R33" t="s">
        <v>33</v>
      </c>
      <c r="S33" s="7" t="s">
        <v>34</v>
      </c>
      <c r="T33">
        <v>530</v>
      </c>
      <c r="U33">
        <v>0</v>
      </c>
      <c r="V33">
        <v>0</v>
      </c>
      <c r="W33">
        <v>530</v>
      </c>
      <c r="X33" s="2"/>
      <c r="Y33">
        <v>14</v>
      </c>
      <c r="AB33">
        <v>1</v>
      </c>
    </row>
    <row r="34" spans="1:30" x14ac:dyDescent="0.25">
      <c r="A34" t="s">
        <v>28</v>
      </c>
      <c r="B34" t="s">
        <v>28</v>
      </c>
      <c r="C34" t="s">
        <v>38</v>
      </c>
      <c r="D34" t="s">
        <v>80</v>
      </c>
      <c r="E34">
        <v>129397</v>
      </c>
      <c r="F34">
        <v>129397</v>
      </c>
      <c r="H34" t="s">
        <v>107</v>
      </c>
      <c r="I34" t="s">
        <v>108</v>
      </c>
      <c r="K34" t="s">
        <v>42</v>
      </c>
      <c r="L34" t="s">
        <v>43</v>
      </c>
      <c r="M34" t="s">
        <v>29</v>
      </c>
      <c r="N34" t="s">
        <v>109</v>
      </c>
      <c r="O34" t="s">
        <v>30</v>
      </c>
      <c r="P34" t="s">
        <v>31</v>
      </c>
      <c r="Q34" t="s">
        <v>32</v>
      </c>
      <c r="R34" t="s">
        <v>33</v>
      </c>
      <c r="S34" s="7" t="s">
        <v>34</v>
      </c>
      <c r="T34">
        <v>167</v>
      </c>
      <c r="U34">
        <v>0</v>
      </c>
      <c r="V34">
        <v>0</v>
      </c>
      <c r="W34">
        <v>167</v>
      </c>
      <c r="X34" s="2"/>
      <c r="Y34">
        <v>10</v>
      </c>
      <c r="AB34">
        <v>0</v>
      </c>
    </row>
    <row r="35" spans="1:30" x14ac:dyDescent="0.25">
      <c r="A35" t="s">
        <v>28</v>
      </c>
      <c r="B35" t="s">
        <v>28</v>
      </c>
      <c r="C35" t="s">
        <v>38</v>
      </c>
      <c r="D35" t="s">
        <v>80</v>
      </c>
      <c r="E35">
        <v>129398</v>
      </c>
      <c r="F35">
        <v>129398</v>
      </c>
      <c r="H35" t="s">
        <v>110</v>
      </c>
      <c r="I35" t="s">
        <v>111</v>
      </c>
      <c r="K35" t="s">
        <v>42</v>
      </c>
      <c r="L35" t="s">
        <v>43</v>
      </c>
      <c r="M35" t="s">
        <v>29</v>
      </c>
      <c r="N35" t="s">
        <v>112</v>
      </c>
      <c r="O35" t="s">
        <v>30</v>
      </c>
      <c r="P35" t="s">
        <v>31</v>
      </c>
      <c r="Q35" t="s">
        <v>32</v>
      </c>
      <c r="R35" t="s">
        <v>33</v>
      </c>
      <c r="S35" s="7" t="s">
        <v>34</v>
      </c>
      <c r="T35">
        <v>616</v>
      </c>
      <c r="U35">
        <v>0</v>
      </c>
      <c r="V35">
        <v>0</v>
      </c>
      <c r="W35">
        <v>616</v>
      </c>
      <c r="X35" s="2"/>
      <c r="Y35">
        <v>17</v>
      </c>
      <c r="AB35">
        <v>1</v>
      </c>
    </row>
    <row r="36" spans="1:30" x14ac:dyDescent="0.25">
      <c r="A36" t="s">
        <v>28</v>
      </c>
      <c r="B36" t="s">
        <v>28</v>
      </c>
      <c r="C36" t="s">
        <v>38</v>
      </c>
      <c r="D36" t="s">
        <v>80</v>
      </c>
      <c r="E36">
        <v>129399</v>
      </c>
      <c r="F36">
        <v>129399</v>
      </c>
      <c r="H36" t="s">
        <v>113</v>
      </c>
      <c r="I36" t="s">
        <v>114</v>
      </c>
      <c r="K36" t="s">
        <v>42</v>
      </c>
      <c r="L36" t="s">
        <v>43</v>
      </c>
      <c r="M36" t="s">
        <v>29</v>
      </c>
      <c r="N36" t="s">
        <v>115</v>
      </c>
      <c r="O36" t="s">
        <v>30</v>
      </c>
      <c r="P36" t="s">
        <v>31</v>
      </c>
      <c r="Q36" t="s">
        <v>32</v>
      </c>
      <c r="R36" t="s">
        <v>33</v>
      </c>
      <c r="S36" s="7" t="s">
        <v>34</v>
      </c>
      <c r="T36">
        <v>617</v>
      </c>
      <c r="U36">
        <v>0</v>
      </c>
      <c r="V36">
        <v>0</v>
      </c>
      <c r="W36">
        <v>617</v>
      </c>
      <c r="X36" s="2"/>
      <c r="Y36">
        <v>18</v>
      </c>
      <c r="AB36">
        <v>2</v>
      </c>
    </row>
    <row r="37" spans="1:30" x14ac:dyDescent="0.25">
      <c r="A37" t="s">
        <v>28</v>
      </c>
      <c r="B37" t="s">
        <v>28</v>
      </c>
      <c r="C37" t="s">
        <v>38</v>
      </c>
      <c r="D37" t="s">
        <v>80</v>
      </c>
      <c r="E37">
        <v>129400</v>
      </c>
      <c r="F37">
        <v>129400</v>
      </c>
      <c r="H37" t="s">
        <v>116</v>
      </c>
      <c r="I37" t="s">
        <v>117</v>
      </c>
      <c r="K37" t="s">
        <v>42</v>
      </c>
      <c r="L37" t="s">
        <v>43</v>
      </c>
      <c r="M37" t="s">
        <v>29</v>
      </c>
      <c r="N37" t="s">
        <v>112</v>
      </c>
      <c r="O37" t="s">
        <v>30</v>
      </c>
      <c r="P37" t="s">
        <v>31</v>
      </c>
      <c r="Q37" t="s">
        <v>32</v>
      </c>
      <c r="R37" t="s">
        <v>33</v>
      </c>
      <c r="S37" s="7" t="s">
        <v>34</v>
      </c>
      <c r="T37">
        <v>1334</v>
      </c>
      <c r="U37">
        <v>0</v>
      </c>
      <c r="V37">
        <v>0</v>
      </c>
      <c r="W37">
        <v>1334</v>
      </c>
      <c r="X37" s="2"/>
      <c r="Y37">
        <v>32</v>
      </c>
      <c r="AB37">
        <v>6</v>
      </c>
    </row>
    <row r="38" spans="1:30" x14ac:dyDescent="0.25">
      <c r="A38" t="s">
        <v>28</v>
      </c>
      <c r="B38" t="s">
        <v>28</v>
      </c>
      <c r="C38" t="s">
        <v>38</v>
      </c>
      <c r="D38" t="s">
        <v>80</v>
      </c>
      <c r="E38">
        <v>129401</v>
      </c>
      <c r="F38">
        <v>129401</v>
      </c>
      <c r="H38" t="s">
        <v>118</v>
      </c>
      <c r="I38" t="s">
        <v>119</v>
      </c>
      <c r="K38" t="s">
        <v>42</v>
      </c>
      <c r="L38" t="s">
        <v>43</v>
      </c>
      <c r="M38" t="s">
        <v>29</v>
      </c>
      <c r="N38" t="s">
        <v>86</v>
      </c>
      <c r="O38" t="s">
        <v>30</v>
      </c>
      <c r="P38" t="s">
        <v>31</v>
      </c>
      <c r="Q38" t="s">
        <v>32</v>
      </c>
      <c r="R38" t="s">
        <v>33</v>
      </c>
      <c r="S38" s="7" t="s">
        <v>34</v>
      </c>
      <c r="T38">
        <v>205</v>
      </c>
      <c r="U38">
        <v>0</v>
      </c>
      <c r="V38">
        <v>0</v>
      </c>
      <c r="W38">
        <v>205</v>
      </c>
      <c r="X38" s="2"/>
      <c r="Y38">
        <v>3</v>
      </c>
      <c r="AB38">
        <v>1</v>
      </c>
    </row>
    <row r="39" spans="1:30" x14ac:dyDescent="0.25">
      <c r="A39" t="s">
        <v>28</v>
      </c>
      <c r="B39" t="s">
        <v>28</v>
      </c>
      <c r="C39" t="s">
        <v>38</v>
      </c>
      <c r="D39" t="s">
        <v>80</v>
      </c>
      <c r="E39">
        <v>129402</v>
      </c>
      <c r="F39">
        <v>129402</v>
      </c>
      <c r="G39" s="7" t="s">
        <v>45</v>
      </c>
      <c r="H39" t="s">
        <v>120</v>
      </c>
      <c r="I39" t="s">
        <v>121</v>
      </c>
      <c r="K39" t="s">
        <v>42</v>
      </c>
      <c r="L39" t="s">
        <v>43</v>
      </c>
      <c r="M39" t="s">
        <v>29</v>
      </c>
      <c r="N39" t="s">
        <v>100</v>
      </c>
      <c r="O39" t="s">
        <v>30</v>
      </c>
      <c r="P39" t="s">
        <v>31</v>
      </c>
      <c r="Q39" t="s">
        <v>32</v>
      </c>
      <c r="R39" t="s">
        <v>33</v>
      </c>
      <c r="S39" s="7" t="s">
        <v>34</v>
      </c>
      <c r="T39">
        <v>57</v>
      </c>
      <c r="U39">
        <v>0</v>
      </c>
      <c r="V39">
        <v>0</v>
      </c>
      <c r="W39">
        <v>57</v>
      </c>
      <c r="X39" s="2"/>
      <c r="Y39">
        <v>0</v>
      </c>
      <c r="AB39">
        <v>0</v>
      </c>
    </row>
    <row r="40" spans="1:30" x14ac:dyDescent="0.25">
      <c r="A40" t="s">
        <v>28</v>
      </c>
      <c r="B40" t="s">
        <v>28</v>
      </c>
      <c r="C40" t="s">
        <v>38</v>
      </c>
      <c r="D40" t="s">
        <v>80</v>
      </c>
      <c r="E40">
        <v>129403</v>
      </c>
      <c r="F40">
        <v>129403</v>
      </c>
      <c r="H40" t="s">
        <v>122</v>
      </c>
      <c r="I40" t="s">
        <v>123</v>
      </c>
      <c r="K40" t="s">
        <v>42</v>
      </c>
      <c r="L40" t="s">
        <v>43</v>
      </c>
      <c r="M40" t="s">
        <v>29</v>
      </c>
      <c r="N40" t="s">
        <v>124</v>
      </c>
      <c r="O40" t="s">
        <v>30</v>
      </c>
      <c r="P40" t="s">
        <v>31</v>
      </c>
      <c r="Q40" t="s">
        <v>32</v>
      </c>
      <c r="R40" t="s">
        <v>33</v>
      </c>
      <c r="S40" s="7" t="s">
        <v>34</v>
      </c>
      <c r="T40">
        <v>128</v>
      </c>
      <c r="U40">
        <v>0</v>
      </c>
      <c r="V40">
        <v>0</v>
      </c>
      <c r="W40">
        <v>128</v>
      </c>
      <c r="X40" s="2"/>
      <c r="Y40">
        <v>13</v>
      </c>
      <c r="AB40">
        <v>1</v>
      </c>
    </row>
    <row r="41" spans="1:30" x14ac:dyDescent="0.25">
      <c r="A41" t="s">
        <v>28</v>
      </c>
      <c r="B41" t="s">
        <v>28</v>
      </c>
      <c r="C41" t="s">
        <v>38</v>
      </c>
      <c r="D41" t="s">
        <v>80</v>
      </c>
      <c r="E41">
        <v>129405</v>
      </c>
      <c r="F41">
        <v>129405</v>
      </c>
      <c r="H41" t="s">
        <v>125</v>
      </c>
      <c r="I41" t="s">
        <v>126</v>
      </c>
      <c r="K41" t="s">
        <v>42</v>
      </c>
      <c r="L41" t="s">
        <v>43</v>
      </c>
      <c r="M41" t="s">
        <v>29</v>
      </c>
      <c r="N41" t="s">
        <v>127</v>
      </c>
      <c r="O41" t="s">
        <v>30</v>
      </c>
      <c r="P41" t="s">
        <v>31</v>
      </c>
      <c r="Q41" t="s">
        <v>32</v>
      </c>
      <c r="R41" t="s">
        <v>33</v>
      </c>
      <c r="S41" s="7" t="s">
        <v>34</v>
      </c>
      <c r="T41">
        <v>403</v>
      </c>
      <c r="U41">
        <v>0</v>
      </c>
      <c r="V41">
        <v>0</v>
      </c>
      <c r="W41">
        <v>403</v>
      </c>
      <c r="X41" s="2"/>
      <c r="Y41">
        <v>15</v>
      </c>
      <c r="AB41">
        <v>1</v>
      </c>
    </row>
    <row r="42" spans="1:30" x14ac:dyDescent="0.25">
      <c r="A42" t="s">
        <v>28</v>
      </c>
      <c r="B42" t="s">
        <v>28</v>
      </c>
      <c r="C42" t="s">
        <v>38</v>
      </c>
      <c r="D42" t="s">
        <v>80</v>
      </c>
      <c r="E42">
        <v>129406</v>
      </c>
      <c r="F42">
        <v>129406</v>
      </c>
      <c r="H42" t="s">
        <v>128</v>
      </c>
      <c r="I42" t="s">
        <v>129</v>
      </c>
      <c r="K42" t="s">
        <v>42</v>
      </c>
      <c r="L42" t="s">
        <v>43</v>
      </c>
      <c r="M42" t="s">
        <v>29</v>
      </c>
      <c r="N42" t="s">
        <v>97</v>
      </c>
      <c r="O42" t="s">
        <v>30</v>
      </c>
      <c r="P42" t="s">
        <v>31</v>
      </c>
      <c r="Q42" t="s">
        <v>32</v>
      </c>
      <c r="R42" t="s">
        <v>33</v>
      </c>
      <c r="S42" s="7" t="s">
        <v>34</v>
      </c>
      <c r="T42">
        <v>182</v>
      </c>
      <c r="U42">
        <v>0</v>
      </c>
      <c r="V42">
        <v>0</v>
      </c>
      <c r="W42">
        <v>182</v>
      </c>
      <c r="X42" s="2"/>
      <c r="Y42">
        <v>7</v>
      </c>
      <c r="AB42">
        <v>0</v>
      </c>
    </row>
    <row r="43" spans="1:30" x14ac:dyDescent="0.25">
      <c r="A43" t="s">
        <v>28</v>
      </c>
      <c r="B43" t="s">
        <v>28</v>
      </c>
      <c r="C43" t="s">
        <v>38</v>
      </c>
      <c r="D43" t="s">
        <v>80</v>
      </c>
      <c r="E43">
        <v>129407</v>
      </c>
      <c r="F43">
        <v>129407</v>
      </c>
      <c r="H43" t="s">
        <v>130</v>
      </c>
      <c r="I43" t="s">
        <v>131</v>
      </c>
      <c r="K43" t="s">
        <v>42</v>
      </c>
      <c r="L43" t="s">
        <v>43</v>
      </c>
      <c r="M43" t="s">
        <v>29</v>
      </c>
      <c r="N43" t="s">
        <v>109</v>
      </c>
      <c r="O43" t="s">
        <v>30</v>
      </c>
      <c r="P43" t="s">
        <v>31</v>
      </c>
      <c r="Q43" t="s">
        <v>32</v>
      </c>
      <c r="R43" t="s">
        <v>33</v>
      </c>
      <c r="S43" s="7" t="s">
        <v>34</v>
      </c>
      <c r="T43">
        <v>255</v>
      </c>
      <c r="U43">
        <v>0</v>
      </c>
      <c r="V43">
        <v>0</v>
      </c>
      <c r="W43">
        <v>255</v>
      </c>
      <c r="X43" s="2"/>
      <c r="Y43">
        <v>5</v>
      </c>
      <c r="AB43">
        <v>1</v>
      </c>
    </row>
    <row r="44" spans="1:30" x14ac:dyDescent="0.25">
      <c r="A44" t="s">
        <v>28</v>
      </c>
      <c r="B44" t="s">
        <v>28</v>
      </c>
      <c r="C44" t="s">
        <v>38</v>
      </c>
      <c r="D44" t="s">
        <v>80</v>
      </c>
      <c r="E44">
        <v>129408</v>
      </c>
      <c r="F44">
        <v>129408</v>
      </c>
      <c r="H44" t="s">
        <v>132</v>
      </c>
      <c r="I44" t="s">
        <v>133</v>
      </c>
      <c r="K44" t="s">
        <v>42</v>
      </c>
      <c r="L44" t="s">
        <v>43</v>
      </c>
      <c r="M44" t="s">
        <v>29</v>
      </c>
      <c r="N44" t="s">
        <v>112</v>
      </c>
      <c r="O44" t="s">
        <v>30</v>
      </c>
      <c r="P44" t="s">
        <v>31</v>
      </c>
      <c r="Q44" t="s">
        <v>32</v>
      </c>
      <c r="R44" t="s">
        <v>33</v>
      </c>
      <c r="S44" s="7" t="s">
        <v>34</v>
      </c>
      <c r="T44">
        <v>149</v>
      </c>
      <c r="U44">
        <v>0</v>
      </c>
      <c r="V44">
        <v>0</v>
      </c>
      <c r="W44">
        <v>149</v>
      </c>
      <c r="X44" s="2"/>
      <c r="Y44">
        <v>12</v>
      </c>
      <c r="AB44">
        <v>4</v>
      </c>
    </row>
    <row r="45" spans="1:30" x14ac:dyDescent="0.25">
      <c r="A45" t="s">
        <v>28</v>
      </c>
      <c r="B45" t="s">
        <v>28</v>
      </c>
      <c r="C45" t="s">
        <v>38</v>
      </c>
      <c r="D45" t="s">
        <v>80</v>
      </c>
      <c r="E45">
        <v>129409</v>
      </c>
      <c r="F45">
        <v>129409</v>
      </c>
      <c r="H45" t="s">
        <v>134</v>
      </c>
      <c r="I45" t="s">
        <v>135</v>
      </c>
      <c r="K45" t="s">
        <v>42</v>
      </c>
      <c r="L45" t="s">
        <v>43</v>
      </c>
      <c r="M45" t="s">
        <v>29</v>
      </c>
      <c r="N45" t="s">
        <v>136</v>
      </c>
      <c r="O45" t="s">
        <v>30</v>
      </c>
      <c r="P45" t="s">
        <v>31</v>
      </c>
      <c r="Q45" t="s">
        <v>32</v>
      </c>
      <c r="R45" t="s">
        <v>33</v>
      </c>
      <c r="S45" s="7" t="s">
        <v>34</v>
      </c>
      <c r="T45">
        <v>661</v>
      </c>
      <c r="U45">
        <v>0</v>
      </c>
      <c r="V45">
        <v>0</v>
      </c>
      <c r="W45">
        <v>661</v>
      </c>
      <c r="X45" s="2"/>
      <c r="Y45">
        <v>22</v>
      </c>
      <c r="AB45">
        <v>2</v>
      </c>
    </row>
    <row r="46" spans="1:30" x14ac:dyDescent="0.25">
      <c r="A46" t="s">
        <v>28</v>
      </c>
      <c r="B46" t="s">
        <v>28</v>
      </c>
      <c r="C46" t="s">
        <v>38</v>
      </c>
      <c r="D46" t="s">
        <v>80</v>
      </c>
      <c r="E46">
        <v>257001</v>
      </c>
      <c r="F46">
        <v>257001</v>
      </c>
      <c r="H46" t="s">
        <v>137</v>
      </c>
      <c r="I46" t="s">
        <v>138</v>
      </c>
      <c r="K46" t="s">
        <v>42</v>
      </c>
      <c r="L46" t="s">
        <v>43</v>
      </c>
      <c r="M46" t="s">
        <v>29</v>
      </c>
      <c r="N46" t="s">
        <v>89</v>
      </c>
      <c r="O46" t="s">
        <v>30</v>
      </c>
      <c r="P46" t="s">
        <v>31</v>
      </c>
      <c r="Q46" t="s">
        <v>32</v>
      </c>
      <c r="R46" t="s">
        <v>33</v>
      </c>
      <c r="S46" s="7" t="s">
        <v>34</v>
      </c>
      <c r="T46">
        <v>702</v>
      </c>
      <c r="U46">
        <v>0</v>
      </c>
      <c r="V46">
        <v>0</v>
      </c>
      <c r="W46">
        <v>702</v>
      </c>
      <c r="X46" s="2"/>
      <c r="Y46">
        <v>14</v>
      </c>
      <c r="AB46">
        <v>1</v>
      </c>
    </row>
    <row r="47" spans="1:30" x14ac:dyDescent="0.25">
      <c r="A47" t="s">
        <v>28</v>
      </c>
      <c r="B47" t="s">
        <v>28</v>
      </c>
      <c r="C47" t="s">
        <v>38</v>
      </c>
      <c r="D47" t="s">
        <v>80</v>
      </c>
      <c r="E47">
        <v>304303</v>
      </c>
      <c r="F47">
        <v>304303</v>
      </c>
      <c r="H47" t="s">
        <v>139</v>
      </c>
      <c r="I47" t="s">
        <v>140</v>
      </c>
      <c r="K47" t="s">
        <v>42</v>
      </c>
      <c r="L47" t="s">
        <v>43</v>
      </c>
      <c r="M47" t="s">
        <v>29</v>
      </c>
      <c r="N47" t="s">
        <v>83</v>
      </c>
      <c r="O47" t="s">
        <v>30</v>
      </c>
      <c r="P47" t="s">
        <v>31</v>
      </c>
      <c r="Q47" t="s">
        <v>32</v>
      </c>
      <c r="R47" t="s">
        <v>33</v>
      </c>
      <c r="S47" s="7" t="s">
        <v>35</v>
      </c>
      <c r="T47">
        <v>0</v>
      </c>
      <c r="U47">
        <v>443</v>
      </c>
      <c r="V47">
        <v>156</v>
      </c>
      <c r="W47">
        <v>599</v>
      </c>
      <c r="X47" s="2"/>
      <c r="Y47">
        <v>0</v>
      </c>
      <c r="Z47" s="8">
        <v>21.447412353923205</v>
      </c>
      <c r="AA47" s="8">
        <v>7.5525876460767947</v>
      </c>
      <c r="AB47">
        <v>0</v>
      </c>
      <c r="AC47" s="8">
        <v>1.4791318864774625</v>
      </c>
      <c r="AD47" s="8">
        <v>0.52086811352253759</v>
      </c>
    </row>
    <row r="48" spans="1:30" x14ac:dyDescent="0.25">
      <c r="A48" t="s">
        <v>28</v>
      </c>
      <c r="B48" t="s">
        <v>28</v>
      </c>
      <c r="C48" t="s">
        <v>38</v>
      </c>
      <c r="D48" t="s">
        <v>80</v>
      </c>
      <c r="E48">
        <v>304305</v>
      </c>
      <c r="F48">
        <v>304305</v>
      </c>
      <c r="H48" t="s">
        <v>141</v>
      </c>
      <c r="I48" t="s">
        <v>142</v>
      </c>
      <c r="K48" t="s">
        <v>42</v>
      </c>
      <c r="L48" t="s">
        <v>43</v>
      </c>
      <c r="M48" t="s">
        <v>29</v>
      </c>
      <c r="N48" t="s">
        <v>94</v>
      </c>
      <c r="O48" t="s">
        <v>30</v>
      </c>
      <c r="P48" t="s">
        <v>31</v>
      </c>
      <c r="Q48" t="s">
        <v>32</v>
      </c>
      <c r="R48" t="s">
        <v>33</v>
      </c>
      <c r="S48" s="7" t="s">
        <v>35</v>
      </c>
      <c r="T48">
        <v>0</v>
      </c>
      <c r="U48">
        <v>334</v>
      </c>
      <c r="V48">
        <v>132</v>
      </c>
      <c r="W48">
        <v>466</v>
      </c>
      <c r="X48" s="2"/>
      <c r="Y48">
        <v>0</v>
      </c>
      <c r="Z48" s="8">
        <v>14.334763948497855</v>
      </c>
      <c r="AA48" s="8">
        <v>5.6652360515021458</v>
      </c>
      <c r="AB48">
        <v>0</v>
      </c>
      <c r="AC48" s="8">
        <v>5.733905579399142</v>
      </c>
      <c r="AD48" s="8">
        <v>2.2660944206008584</v>
      </c>
    </row>
    <row r="49" spans="1:30" x14ac:dyDescent="0.25">
      <c r="A49" t="s">
        <v>28</v>
      </c>
      <c r="B49" t="s">
        <v>28</v>
      </c>
      <c r="C49" t="s">
        <v>38</v>
      </c>
      <c r="D49" t="s">
        <v>80</v>
      </c>
      <c r="E49">
        <v>304314</v>
      </c>
      <c r="F49">
        <v>304314</v>
      </c>
      <c r="H49" t="s">
        <v>143</v>
      </c>
      <c r="I49" t="s">
        <v>114</v>
      </c>
      <c r="K49" t="s">
        <v>42</v>
      </c>
      <c r="L49" t="s">
        <v>43</v>
      </c>
      <c r="M49" t="s">
        <v>29</v>
      </c>
      <c r="N49" t="s">
        <v>115</v>
      </c>
      <c r="O49" t="s">
        <v>30</v>
      </c>
      <c r="P49" t="s">
        <v>31</v>
      </c>
      <c r="Q49" t="s">
        <v>32</v>
      </c>
      <c r="R49" t="s">
        <v>33</v>
      </c>
      <c r="S49" s="7" t="s">
        <v>35</v>
      </c>
      <c r="T49">
        <v>0</v>
      </c>
      <c r="U49">
        <v>308</v>
      </c>
      <c r="V49">
        <v>117</v>
      </c>
      <c r="W49">
        <v>425</v>
      </c>
      <c r="X49" s="2"/>
      <c r="Y49">
        <v>0</v>
      </c>
      <c r="Z49" s="8">
        <v>12.32</v>
      </c>
      <c r="AA49" s="8">
        <v>4.68</v>
      </c>
      <c r="AB49">
        <v>0</v>
      </c>
      <c r="AC49" s="8">
        <v>3.6235294117647059</v>
      </c>
      <c r="AD49" s="8">
        <v>1.3764705882352941</v>
      </c>
    </row>
    <row r="50" spans="1:30" x14ac:dyDescent="0.25">
      <c r="A50" t="s">
        <v>28</v>
      </c>
      <c r="B50" t="s">
        <v>28</v>
      </c>
      <c r="C50" t="s">
        <v>38</v>
      </c>
      <c r="D50" t="s">
        <v>80</v>
      </c>
      <c r="E50">
        <v>304327</v>
      </c>
      <c r="F50">
        <v>304327</v>
      </c>
      <c r="H50" t="s">
        <v>144</v>
      </c>
      <c r="I50" t="s">
        <v>145</v>
      </c>
      <c r="K50" t="s">
        <v>42</v>
      </c>
      <c r="L50" t="s">
        <v>43</v>
      </c>
      <c r="M50" t="s">
        <v>29</v>
      </c>
      <c r="N50" t="s">
        <v>112</v>
      </c>
      <c r="O50" t="s">
        <v>30</v>
      </c>
      <c r="P50" t="s">
        <v>31</v>
      </c>
      <c r="Q50" t="s">
        <v>32</v>
      </c>
      <c r="R50" t="s">
        <v>36</v>
      </c>
      <c r="S50" s="7" t="s">
        <v>35</v>
      </c>
      <c r="T50">
        <v>0</v>
      </c>
      <c r="U50">
        <v>1268</v>
      </c>
      <c r="V50">
        <v>367</v>
      </c>
      <c r="W50">
        <v>1635</v>
      </c>
      <c r="X50" s="2"/>
      <c r="Y50">
        <v>0</v>
      </c>
      <c r="Z50" s="8">
        <v>23.26605504587156</v>
      </c>
      <c r="AA50" s="8">
        <v>6.7339449541284404</v>
      </c>
      <c r="AB50">
        <v>0</v>
      </c>
      <c r="AC50" s="8">
        <v>1.5510703363914373</v>
      </c>
      <c r="AD50" s="8">
        <v>0.44892966360856268</v>
      </c>
    </row>
    <row r="51" spans="1:30" x14ac:dyDescent="0.25">
      <c r="A51" t="s">
        <v>28</v>
      </c>
      <c r="B51" t="s">
        <v>28</v>
      </c>
      <c r="C51" t="s">
        <v>38</v>
      </c>
      <c r="D51" t="s">
        <v>80</v>
      </c>
      <c r="E51">
        <v>304328</v>
      </c>
      <c r="F51">
        <v>304328</v>
      </c>
      <c r="H51" t="s">
        <v>146</v>
      </c>
      <c r="I51" t="s">
        <v>147</v>
      </c>
      <c r="K51" t="s">
        <v>42</v>
      </c>
      <c r="L51" t="s">
        <v>43</v>
      </c>
      <c r="M51" t="s">
        <v>29</v>
      </c>
      <c r="N51" t="s">
        <v>89</v>
      </c>
      <c r="O51" t="s">
        <v>30</v>
      </c>
      <c r="P51" t="s">
        <v>31</v>
      </c>
      <c r="Q51" t="s">
        <v>32</v>
      </c>
      <c r="R51" t="s">
        <v>33</v>
      </c>
      <c r="S51" s="7" t="s">
        <v>35</v>
      </c>
      <c r="T51">
        <v>0</v>
      </c>
      <c r="U51">
        <v>416</v>
      </c>
      <c r="V51">
        <v>289</v>
      </c>
      <c r="W51">
        <v>705</v>
      </c>
      <c r="X51" s="2"/>
      <c r="Y51">
        <v>0</v>
      </c>
      <c r="Z51" s="8">
        <v>12.981560283687942</v>
      </c>
      <c r="AA51" s="8">
        <v>9.0184397163120558</v>
      </c>
      <c r="AB51">
        <v>0</v>
      </c>
      <c r="AC51" s="8">
        <v>2.3602836879432623</v>
      </c>
      <c r="AD51" s="8">
        <v>1.6397163120567375</v>
      </c>
    </row>
    <row r="52" spans="1:30" x14ac:dyDescent="0.25">
      <c r="A52" t="s">
        <v>28</v>
      </c>
      <c r="B52" t="s">
        <v>28</v>
      </c>
      <c r="C52" t="s">
        <v>38</v>
      </c>
      <c r="D52" t="s">
        <v>80</v>
      </c>
      <c r="E52">
        <v>304338</v>
      </c>
      <c r="F52">
        <v>304338</v>
      </c>
      <c r="H52" t="s">
        <v>148</v>
      </c>
      <c r="I52" t="s">
        <v>149</v>
      </c>
      <c r="K52" t="s">
        <v>42</v>
      </c>
      <c r="L52" t="s">
        <v>43</v>
      </c>
      <c r="M52" t="s">
        <v>29</v>
      </c>
      <c r="N52" t="s">
        <v>127</v>
      </c>
      <c r="O52" t="s">
        <v>30</v>
      </c>
      <c r="P52" t="s">
        <v>31</v>
      </c>
      <c r="Q52" t="s">
        <v>32</v>
      </c>
      <c r="R52" t="s">
        <v>33</v>
      </c>
      <c r="S52" s="7" t="s">
        <v>35</v>
      </c>
      <c r="T52">
        <v>0</v>
      </c>
      <c r="U52">
        <v>177</v>
      </c>
      <c r="V52">
        <v>57</v>
      </c>
      <c r="W52">
        <v>234</v>
      </c>
      <c r="X52" s="2"/>
      <c r="Y52">
        <v>0</v>
      </c>
      <c r="Z52" s="8">
        <v>16.641025641025642</v>
      </c>
      <c r="AA52" s="8">
        <v>5.3589743589743586</v>
      </c>
      <c r="AB52">
        <v>0</v>
      </c>
      <c r="AC52" s="8">
        <v>2.2692307692307692</v>
      </c>
      <c r="AD52" s="8">
        <v>0.73076923076923073</v>
      </c>
    </row>
    <row r="53" spans="1:30" x14ac:dyDescent="0.25">
      <c r="A53" t="s">
        <v>28</v>
      </c>
      <c r="B53" t="s">
        <v>28</v>
      </c>
      <c r="C53" t="s">
        <v>38</v>
      </c>
      <c r="D53" t="s">
        <v>80</v>
      </c>
      <c r="E53">
        <v>305680</v>
      </c>
      <c r="F53">
        <v>305680</v>
      </c>
      <c r="H53" t="s">
        <v>150</v>
      </c>
      <c r="I53" t="s">
        <v>151</v>
      </c>
      <c r="K53" t="s">
        <v>42</v>
      </c>
      <c r="L53" t="s">
        <v>43</v>
      </c>
      <c r="M53" t="s">
        <v>29</v>
      </c>
      <c r="N53" t="s">
        <v>89</v>
      </c>
      <c r="O53" t="s">
        <v>30</v>
      </c>
      <c r="P53" t="s">
        <v>31</v>
      </c>
      <c r="Q53" t="s">
        <v>32</v>
      </c>
      <c r="R53" t="s">
        <v>33</v>
      </c>
      <c r="S53" s="7" t="s">
        <v>35</v>
      </c>
      <c r="T53">
        <v>0</v>
      </c>
      <c r="U53">
        <v>978</v>
      </c>
      <c r="V53">
        <v>206</v>
      </c>
      <c r="W53">
        <v>1184</v>
      </c>
      <c r="X53" s="2"/>
      <c r="Y53">
        <v>0</v>
      </c>
      <c r="Z53" s="8">
        <v>18.998310810810811</v>
      </c>
      <c r="AA53" s="8">
        <v>4.0016891891891895</v>
      </c>
      <c r="AB53">
        <v>0</v>
      </c>
      <c r="AC53" s="8">
        <v>0.82601351351351349</v>
      </c>
      <c r="AD53" s="8">
        <v>0.17398648648648649</v>
      </c>
    </row>
    <row r="54" spans="1:30" x14ac:dyDescent="0.25">
      <c r="A54" t="s">
        <v>28</v>
      </c>
      <c r="B54" t="s">
        <v>28</v>
      </c>
      <c r="C54" t="s">
        <v>38</v>
      </c>
      <c r="D54" t="s">
        <v>80</v>
      </c>
      <c r="E54">
        <v>316104</v>
      </c>
      <c r="F54">
        <v>316104</v>
      </c>
      <c r="H54" t="s">
        <v>152</v>
      </c>
      <c r="I54" t="s">
        <v>153</v>
      </c>
      <c r="K54" t="s">
        <v>42</v>
      </c>
      <c r="L54" t="s">
        <v>43</v>
      </c>
      <c r="M54" t="s">
        <v>29</v>
      </c>
      <c r="N54" t="s">
        <v>100</v>
      </c>
      <c r="O54" t="s">
        <v>30</v>
      </c>
      <c r="P54" t="s">
        <v>31</v>
      </c>
      <c r="Q54" t="s">
        <v>32</v>
      </c>
      <c r="R54" t="s">
        <v>33</v>
      </c>
      <c r="S54" s="7" t="s">
        <v>35</v>
      </c>
      <c r="T54">
        <v>0</v>
      </c>
      <c r="U54">
        <v>282</v>
      </c>
      <c r="V54">
        <v>92</v>
      </c>
      <c r="W54">
        <v>374</v>
      </c>
      <c r="X54" s="2"/>
      <c r="Y54">
        <v>0</v>
      </c>
      <c r="Z54" s="8">
        <v>11.310160427807487</v>
      </c>
      <c r="AA54" s="8">
        <v>3.6898395721925135</v>
      </c>
      <c r="AB54">
        <v>0</v>
      </c>
      <c r="AC54" s="8">
        <v>3.7700534759358288</v>
      </c>
      <c r="AD54" s="8">
        <v>1.2299465240641712</v>
      </c>
    </row>
    <row r="55" spans="1:30" x14ac:dyDescent="0.25">
      <c r="A55" t="s">
        <v>28</v>
      </c>
      <c r="B55" t="s">
        <v>28</v>
      </c>
      <c r="C55" t="s">
        <v>38</v>
      </c>
      <c r="D55" t="s">
        <v>80</v>
      </c>
      <c r="E55">
        <v>325101</v>
      </c>
      <c r="F55">
        <v>325101</v>
      </c>
      <c r="H55" t="s">
        <v>154</v>
      </c>
      <c r="I55" t="s">
        <v>155</v>
      </c>
      <c r="K55" t="s">
        <v>42</v>
      </c>
      <c r="L55" t="s">
        <v>43</v>
      </c>
      <c r="M55" t="s">
        <v>29</v>
      </c>
      <c r="N55" t="s">
        <v>89</v>
      </c>
      <c r="O55" t="s">
        <v>30</v>
      </c>
      <c r="P55" t="s">
        <v>31</v>
      </c>
      <c r="Q55" t="s">
        <v>32</v>
      </c>
      <c r="R55" t="s">
        <v>33</v>
      </c>
      <c r="S55" s="7" t="s">
        <v>35</v>
      </c>
      <c r="T55">
        <v>0</v>
      </c>
      <c r="U55">
        <v>226</v>
      </c>
      <c r="V55">
        <v>39</v>
      </c>
      <c r="W55">
        <v>265</v>
      </c>
      <c r="X55" s="2"/>
      <c r="Y55">
        <v>0</v>
      </c>
      <c r="Z55" s="8">
        <v>9.3811320754716991</v>
      </c>
      <c r="AA55" s="8">
        <v>1.6188679245283017</v>
      </c>
      <c r="AB55">
        <v>0</v>
      </c>
      <c r="AC55" s="8">
        <v>1.7056603773584906</v>
      </c>
      <c r="AD55" s="8">
        <v>0.29433962264150942</v>
      </c>
    </row>
    <row r="56" spans="1:30" x14ac:dyDescent="0.25">
      <c r="A56" t="s">
        <v>28</v>
      </c>
      <c r="B56" t="s">
        <v>28</v>
      </c>
      <c r="C56" t="s">
        <v>38</v>
      </c>
      <c r="D56" t="s">
        <v>80</v>
      </c>
      <c r="E56">
        <v>325102</v>
      </c>
      <c r="F56">
        <v>325102</v>
      </c>
      <c r="H56" t="s">
        <v>156</v>
      </c>
      <c r="I56" t="s">
        <v>157</v>
      </c>
      <c r="K56" t="s">
        <v>42</v>
      </c>
      <c r="L56" t="s">
        <v>43</v>
      </c>
      <c r="M56" t="s">
        <v>29</v>
      </c>
      <c r="N56" t="s">
        <v>86</v>
      </c>
      <c r="O56" t="s">
        <v>30</v>
      </c>
      <c r="P56" t="s">
        <v>31</v>
      </c>
      <c r="Q56" t="s">
        <v>32</v>
      </c>
      <c r="R56" t="s">
        <v>33</v>
      </c>
      <c r="S56" s="7" t="s">
        <v>35</v>
      </c>
      <c r="T56">
        <v>0</v>
      </c>
      <c r="U56">
        <v>268</v>
      </c>
      <c r="V56">
        <v>101</v>
      </c>
      <c r="W56">
        <v>369</v>
      </c>
      <c r="X56" s="2"/>
      <c r="Y56">
        <v>0</v>
      </c>
      <c r="Z56" s="8">
        <v>12.346883468834687</v>
      </c>
      <c r="AA56" s="8">
        <v>4.6531165311653115</v>
      </c>
      <c r="AB56">
        <v>0</v>
      </c>
      <c r="AC56" s="8">
        <v>0.72628726287262868</v>
      </c>
      <c r="AD56" s="8">
        <v>0.27371273712737126</v>
      </c>
    </row>
    <row r="57" spans="1:30" x14ac:dyDescent="0.25">
      <c r="A57" t="s">
        <v>28</v>
      </c>
      <c r="B57" t="s">
        <v>28</v>
      </c>
      <c r="C57" t="s">
        <v>38</v>
      </c>
      <c r="D57" t="s">
        <v>80</v>
      </c>
      <c r="E57">
        <v>325106</v>
      </c>
      <c r="F57">
        <v>325106</v>
      </c>
      <c r="H57" t="s">
        <v>158</v>
      </c>
      <c r="I57" t="s">
        <v>159</v>
      </c>
      <c r="K57" t="s">
        <v>42</v>
      </c>
      <c r="L57" t="s">
        <v>43</v>
      </c>
      <c r="M57" t="s">
        <v>29</v>
      </c>
      <c r="N57" t="s">
        <v>136</v>
      </c>
      <c r="O57" t="s">
        <v>30</v>
      </c>
      <c r="P57" t="s">
        <v>31</v>
      </c>
      <c r="Q57" t="s">
        <v>32</v>
      </c>
      <c r="R57" t="s">
        <v>33</v>
      </c>
      <c r="S57" s="7" t="s">
        <v>35</v>
      </c>
      <c r="T57">
        <v>0</v>
      </c>
      <c r="U57">
        <v>369</v>
      </c>
      <c r="V57">
        <v>111</v>
      </c>
      <c r="W57">
        <v>480</v>
      </c>
      <c r="X57" s="2"/>
      <c r="Y57">
        <v>0</v>
      </c>
      <c r="Z57" s="8">
        <v>15.375</v>
      </c>
      <c r="AA57" s="8">
        <v>4.625</v>
      </c>
      <c r="AB57">
        <v>0</v>
      </c>
      <c r="AC57" s="8">
        <v>0</v>
      </c>
      <c r="AD57" s="8">
        <v>0</v>
      </c>
    </row>
    <row r="58" spans="1:30" x14ac:dyDescent="0.25">
      <c r="A58" t="s">
        <v>28</v>
      </c>
      <c r="B58" t="s">
        <v>28</v>
      </c>
      <c r="C58" t="s">
        <v>38</v>
      </c>
      <c r="D58" t="s">
        <v>80</v>
      </c>
      <c r="E58">
        <v>502726</v>
      </c>
      <c r="F58">
        <v>502726</v>
      </c>
      <c r="H58" t="s">
        <v>160</v>
      </c>
      <c r="I58" t="s">
        <v>161</v>
      </c>
      <c r="K58" t="s">
        <v>42</v>
      </c>
      <c r="L58" t="s">
        <v>43</v>
      </c>
      <c r="M58" t="s">
        <v>29</v>
      </c>
      <c r="N58" t="s">
        <v>124</v>
      </c>
      <c r="O58" t="s">
        <v>30</v>
      </c>
      <c r="P58" t="s">
        <v>31</v>
      </c>
      <c r="Q58" t="s">
        <v>32</v>
      </c>
      <c r="R58" s="7" t="s">
        <v>33</v>
      </c>
      <c r="S58" s="7" t="s">
        <v>162</v>
      </c>
      <c r="T58">
        <v>121</v>
      </c>
      <c r="U58">
        <v>12</v>
      </c>
      <c r="V58">
        <v>0</v>
      </c>
      <c r="W58">
        <v>133</v>
      </c>
      <c r="X58" s="2"/>
      <c r="Y58">
        <v>5</v>
      </c>
      <c r="Z58">
        <v>5</v>
      </c>
      <c r="AB58">
        <v>0</v>
      </c>
      <c r="AC58">
        <v>0</v>
      </c>
    </row>
    <row r="59" spans="1:30" x14ac:dyDescent="0.25">
      <c r="A59" t="s">
        <v>28</v>
      </c>
      <c r="B59" t="s">
        <v>28</v>
      </c>
      <c r="C59" t="s">
        <v>38</v>
      </c>
      <c r="D59" t="s">
        <v>80</v>
      </c>
      <c r="E59">
        <v>502727</v>
      </c>
      <c r="F59">
        <v>502727</v>
      </c>
      <c r="H59" t="s">
        <v>163</v>
      </c>
      <c r="I59" t="s">
        <v>164</v>
      </c>
      <c r="K59" t="s">
        <v>42</v>
      </c>
      <c r="L59" t="s">
        <v>43</v>
      </c>
      <c r="M59" t="s">
        <v>29</v>
      </c>
      <c r="N59" t="s">
        <v>165</v>
      </c>
      <c r="O59" t="s">
        <v>30</v>
      </c>
      <c r="P59" t="s">
        <v>31</v>
      </c>
      <c r="Q59" t="s">
        <v>32</v>
      </c>
      <c r="R59" s="7" t="s">
        <v>33</v>
      </c>
      <c r="S59" s="7" t="s">
        <v>162</v>
      </c>
      <c r="T59">
        <v>237</v>
      </c>
      <c r="U59">
        <v>25</v>
      </c>
      <c r="V59">
        <v>0</v>
      </c>
      <c r="W59">
        <v>262</v>
      </c>
      <c r="X59" s="2"/>
      <c r="Y59">
        <v>1</v>
      </c>
      <c r="Z59">
        <v>0</v>
      </c>
      <c r="AB59">
        <v>0</v>
      </c>
      <c r="AC59">
        <v>0</v>
      </c>
    </row>
    <row r="60" spans="1:30" x14ac:dyDescent="0.25">
      <c r="A60" t="s">
        <v>28</v>
      </c>
      <c r="B60" t="s">
        <v>28</v>
      </c>
      <c r="C60" t="s">
        <v>38</v>
      </c>
      <c r="D60" t="s">
        <v>166</v>
      </c>
      <c r="E60">
        <v>102157</v>
      </c>
      <c r="F60">
        <v>102157</v>
      </c>
      <c r="H60" t="s">
        <v>167</v>
      </c>
      <c r="I60" t="s">
        <v>168</v>
      </c>
      <c r="K60" t="s">
        <v>42</v>
      </c>
      <c r="L60" t="s">
        <v>43</v>
      </c>
      <c r="M60" t="s">
        <v>29</v>
      </c>
      <c r="N60" t="s">
        <v>169</v>
      </c>
      <c r="O60" t="s">
        <v>30</v>
      </c>
      <c r="P60" t="s">
        <v>31</v>
      </c>
      <c r="Q60" t="s">
        <v>32</v>
      </c>
      <c r="R60" t="s">
        <v>33</v>
      </c>
      <c r="S60" s="7" t="s">
        <v>34</v>
      </c>
      <c r="T60">
        <v>146</v>
      </c>
      <c r="U60">
        <v>0</v>
      </c>
      <c r="V60">
        <v>0</v>
      </c>
      <c r="W60">
        <v>146</v>
      </c>
      <c r="X60" s="2"/>
      <c r="Y60">
        <v>7</v>
      </c>
      <c r="AB60">
        <v>0</v>
      </c>
    </row>
    <row r="61" spans="1:30" x14ac:dyDescent="0.25">
      <c r="A61" t="s">
        <v>28</v>
      </c>
      <c r="B61" t="s">
        <v>28</v>
      </c>
      <c r="C61" t="s">
        <v>38</v>
      </c>
      <c r="D61" t="s">
        <v>166</v>
      </c>
      <c r="E61">
        <v>102164</v>
      </c>
      <c r="F61">
        <v>102164</v>
      </c>
      <c r="H61" t="s">
        <v>170</v>
      </c>
      <c r="I61" t="s">
        <v>171</v>
      </c>
      <c r="K61" t="s">
        <v>42</v>
      </c>
      <c r="L61" t="s">
        <v>43</v>
      </c>
      <c r="M61" t="s">
        <v>29</v>
      </c>
      <c r="N61" t="s">
        <v>172</v>
      </c>
      <c r="O61" t="s">
        <v>30</v>
      </c>
      <c r="P61" t="s">
        <v>31</v>
      </c>
      <c r="Q61" t="s">
        <v>32</v>
      </c>
      <c r="R61" t="s">
        <v>33</v>
      </c>
      <c r="S61" s="7" t="s">
        <v>34</v>
      </c>
      <c r="T61">
        <v>97</v>
      </c>
      <c r="U61">
        <v>0</v>
      </c>
      <c r="V61">
        <v>0</v>
      </c>
      <c r="W61">
        <v>97</v>
      </c>
      <c r="X61" s="2"/>
      <c r="Y61">
        <v>6</v>
      </c>
      <c r="AB61">
        <v>0</v>
      </c>
    </row>
    <row r="62" spans="1:30" x14ac:dyDescent="0.25">
      <c r="A62" t="s">
        <v>28</v>
      </c>
      <c r="B62" t="s">
        <v>28</v>
      </c>
      <c r="C62" t="s">
        <v>38</v>
      </c>
      <c r="D62" t="s">
        <v>166</v>
      </c>
      <c r="E62">
        <v>129410</v>
      </c>
      <c r="F62">
        <v>129410</v>
      </c>
      <c r="H62" t="s">
        <v>173</v>
      </c>
      <c r="I62" t="s">
        <v>174</v>
      </c>
      <c r="K62" t="s">
        <v>42</v>
      </c>
      <c r="L62" t="s">
        <v>43</v>
      </c>
      <c r="M62" t="s">
        <v>29</v>
      </c>
      <c r="N62" t="s">
        <v>175</v>
      </c>
      <c r="O62" t="s">
        <v>30</v>
      </c>
      <c r="P62" t="s">
        <v>31</v>
      </c>
      <c r="Q62" t="s">
        <v>32</v>
      </c>
      <c r="R62" t="s">
        <v>33</v>
      </c>
      <c r="S62" s="7" t="s">
        <v>34</v>
      </c>
      <c r="T62">
        <v>199</v>
      </c>
      <c r="U62">
        <v>0</v>
      </c>
      <c r="V62">
        <v>0</v>
      </c>
      <c r="W62">
        <v>199</v>
      </c>
      <c r="X62" s="2"/>
      <c r="Y62">
        <v>9</v>
      </c>
      <c r="AB62">
        <v>1</v>
      </c>
    </row>
    <row r="63" spans="1:30" x14ac:dyDescent="0.25">
      <c r="A63" t="s">
        <v>28</v>
      </c>
      <c r="B63" t="s">
        <v>28</v>
      </c>
      <c r="C63" t="s">
        <v>38</v>
      </c>
      <c r="D63" t="s">
        <v>166</v>
      </c>
      <c r="E63">
        <v>129412</v>
      </c>
      <c r="F63">
        <v>129412</v>
      </c>
      <c r="H63" t="s">
        <v>176</v>
      </c>
      <c r="I63" t="s">
        <v>177</v>
      </c>
      <c r="K63" t="s">
        <v>42</v>
      </c>
      <c r="L63" t="s">
        <v>43</v>
      </c>
      <c r="M63" t="s">
        <v>29</v>
      </c>
      <c r="N63" t="s">
        <v>178</v>
      </c>
      <c r="O63" t="s">
        <v>30</v>
      </c>
      <c r="P63" t="s">
        <v>31</v>
      </c>
      <c r="Q63" t="s">
        <v>32</v>
      </c>
      <c r="R63" t="s">
        <v>33</v>
      </c>
      <c r="S63" s="7" t="s">
        <v>34</v>
      </c>
      <c r="T63">
        <v>82</v>
      </c>
      <c r="U63">
        <v>0</v>
      </c>
      <c r="V63">
        <v>0</v>
      </c>
      <c r="W63">
        <v>82</v>
      </c>
      <c r="X63" s="2"/>
      <c r="Y63">
        <v>7</v>
      </c>
      <c r="AB63">
        <v>0</v>
      </c>
    </row>
    <row r="64" spans="1:30" x14ac:dyDescent="0.25">
      <c r="A64" t="s">
        <v>28</v>
      </c>
      <c r="B64" t="s">
        <v>28</v>
      </c>
      <c r="C64" t="s">
        <v>38</v>
      </c>
      <c r="D64" t="s">
        <v>166</v>
      </c>
      <c r="E64">
        <v>129413</v>
      </c>
      <c r="F64">
        <v>129413</v>
      </c>
      <c r="H64" t="s">
        <v>179</v>
      </c>
      <c r="I64" t="s">
        <v>180</v>
      </c>
      <c r="K64" t="s">
        <v>42</v>
      </c>
      <c r="L64" t="s">
        <v>43</v>
      </c>
      <c r="M64" t="s">
        <v>29</v>
      </c>
      <c r="N64" t="s">
        <v>175</v>
      </c>
      <c r="O64" t="s">
        <v>30</v>
      </c>
      <c r="P64" t="s">
        <v>31</v>
      </c>
      <c r="Q64" t="s">
        <v>32</v>
      </c>
      <c r="R64" t="s">
        <v>33</v>
      </c>
      <c r="S64" s="7" t="s">
        <v>34</v>
      </c>
      <c r="T64">
        <v>309</v>
      </c>
      <c r="U64">
        <v>0</v>
      </c>
      <c r="V64">
        <v>0</v>
      </c>
      <c r="W64">
        <v>309</v>
      </c>
      <c r="X64" s="2"/>
      <c r="Y64">
        <v>13</v>
      </c>
      <c r="AB64">
        <v>4</v>
      </c>
    </row>
    <row r="65" spans="1:30" x14ac:dyDescent="0.25">
      <c r="A65" t="s">
        <v>28</v>
      </c>
      <c r="B65" t="s">
        <v>28</v>
      </c>
      <c r="C65" t="s">
        <v>38</v>
      </c>
      <c r="D65" t="s">
        <v>166</v>
      </c>
      <c r="E65">
        <v>129414</v>
      </c>
      <c r="F65">
        <v>129414</v>
      </c>
      <c r="H65" t="s">
        <v>181</v>
      </c>
      <c r="I65" t="s">
        <v>182</v>
      </c>
      <c r="K65" t="s">
        <v>42</v>
      </c>
      <c r="L65" t="s">
        <v>43</v>
      </c>
      <c r="M65" t="s">
        <v>29</v>
      </c>
      <c r="N65" t="s">
        <v>183</v>
      </c>
      <c r="O65" t="s">
        <v>30</v>
      </c>
      <c r="P65" t="s">
        <v>31</v>
      </c>
      <c r="Q65" t="s">
        <v>32</v>
      </c>
      <c r="R65" t="s">
        <v>33</v>
      </c>
      <c r="S65" s="7" t="s">
        <v>34</v>
      </c>
      <c r="T65">
        <v>329</v>
      </c>
      <c r="U65">
        <v>0</v>
      </c>
      <c r="V65">
        <v>0</v>
      </c>
      <c r="W65">
        <v>329</v>
      </c>
      <c r="X65" s="2"/>
      <c r="Y65">
        <v>20</v>
      </c>
      <c r="AB65">
        <v>2</v>
      </c>
    </row>
    <row r="66" spans="1:30" x14ac:dyDescent="0.25">
      <c r="A66" t="s">
        <v>28</v>
      </c>
      <c r="B66" t="s">
        <v>28</v>
      </c>
      <c r="C66" t="s">
        <v>38</v>
      </c>
      <c r="D66" t="s">
        <v>166</v>
      </c>
      <c r="E66">
        <v>129417</v>
      </c>
      <c r="F66">
        <v>129417</v>
      </c>
      <c r="H66" t="s">
        <v>184</v>
      </c>
      <c r="I66" t="s">
        <v>185</v>
      </c>
      <c r="K66" t="s">
        <v>42</v>
      </c>
      <c r="L66" t="s">
        <v>43</v>
      </c>
      <c r="M66" t="s">
        <v>29</v>
      </c>
      <c r="N66" t="s">
        <v>169</v>
      </c>
      <c r="O66" t="s">
        <v>30</v>
      </c>
      <c r="P66" t="s">
        <v>31</v>
      </c>
      <c r="Q66" t="s">
        <v>32</v>
      </c>
      <c r="R66" t="s">
        <v>33</v>
      </c>
      <c r="S66" s="7" t="s">
        <v>34</v>
      </c>
      <c r="T66">
        <v>560</v>
      </c>
      <c r="U66">
        <v>0</v>
      </c>
      <c r="V66">
        <v>0</v>
      </c>
      <c r="W66">
        <v>560</v>
      </c>
      <c r="X66" s="2"/>
      <c r="Y66">
        <v>4</v>
      </c>
      <c r="AB66">
        <v>0</v>
      </c>
    </row>
    <row r="67" spans="1:30" x14ac:dyDescent="0.25">
      <c r="A67" t="s">
        <v>28</v>
      </c>
      <c r="B67" t="s">
        <v>28</v>
      </c>
      <c r="C67" t="s">
        <v>38</v>
      </c>
      <c r="D67" t="s">
        <v>166</v>
      </c>
      <c r="E67">
        <v>129418</v>
      </c>
      <c r="F67">
        <v>129418</v>
      </c>
      <c r="H67" t="s">
        <v>186</v>
      </c>
      <c r="I67" t="s">
        <v>187</v>
      </c>
      <c r="K67" t="s">
        <v>42</v>
      </c>
      <c r="L67" t="s">
        <v>43</v>
      </c>
      <c r="M67" t="s">
        <v>29</v>
      </c>
      <c r="N67" t="s">
        <v>169</v>
      </c>
      <c r="O67" t="s">
        <v>30</v>
      </c>
      <c r="P67" t="s">
        <v>31</v>
      </c>
      <c r="Q67" t="s">
        <v>32</v>
      </c>
      <c r="R67" t="s">
        <v>33</v>
      </c>
      <c r="S67" s="7" t="s">
        <v>34</v>
      </c>
      <c r="T67">
        <v>142</v>
      </c>
      <c r="U67">
        <v>0</v>
      </c>
      <c r="V67">
        <v>0</v>
      </c>
      <c r="W67">
        <v>142</v>
      </c>
      <c r="X67" s="2"/>
      <c r="Y67">
        <v>8</v>
      </c>
      <c r="AB67">
        <v>0</v>
      </c>
    </row>
    <row r="68" spans="1:30" x14ac:dyDescent="0.25">
      <c r="A68" t="s">
        <v>28</v>
      </c>
      <c r="B68" t="s">
        <v>28</v>
      </c>
      <c r="C68" t="s">
        <v>38</v>
      </c>
      <c r="D68" t="s">
        <v>166</v>
      </c>
      <c r="E68">
        <v>129419</v>
      </c>
      <c r="F68">
        <v>129419</v>
      </c>
      <c r="H68" t="s">
        <v>188</v>
      </c>
      <c r="I68" t="s">
        <v>159</v>
      </c>
      <c r="K68" t="s">
        <v>42</v>
      </c>
      <c r="L68" t="s">
        <v>43</v>
      </c>
      <c r="M68" t="s">
        <v>29</v>
      </c>
      <c r="N68" t="s">
        <v>189</v>
      </c>
      <c r="O68" t="s">
        <v>30</v>
      </c>
      <c r="P68" t="s">
        <v>31</v>
      </c>
      <c r="Q68" t="s">
        <v>32</v>
      </c>
      <c r="R68" t="s">
        <v>33</v>
      </c>
      <c r="S68" s="7" t="s">
        <v>34</v>
      </c>
      <c r="T68">
        <v>357</v>
      </c>
      <c r="U68">
        <v>0</v>
      </c>
      <c r="V68">
        <v>0</v>
      </c>
      <c r="W68">
        <v>357</v>
      </c>
      <c r="X68" s="2"/>
      <c r="Y68">
        <v>6</v>
      </c>
      <c r="AB68">
        <v>0</v>
      </c>
    </row>
    <row r="69" spans="1:30" x14ac:dyDescent="0.25">
      <c r="A69" t="s">
        <v>28</v>
      </c>
      <c r="B69" t="s">
        <v>28</v>
      </c>
      <c r="C69" t="s">
        <v>38</v>
      </c>
      <c r="D69" t="s">
        <v>166</v>
      </c>
      <c r="E69">
        <v>129420</v>
      </c>
      <c r="F69">
        <v>129420</v>
      </c>
      <c r="H69" t="s">
        <v>190</v>
      </c>
      <c r="I69" t="s">
        <v>191</v>
      </c>
      <c r="K69" t="s">
        <v>42</v>
      </c>
      <c r="L69" t="s">
        <v>43</v>
      </c>
      <c r="M69" t="s">
        <v>29</v>
      </c>
      <c r="N69" t="s">
        <v>191</v>
      </c>
      <c r="O69" t="s">
        <v>30</v>
      </c>
      <c r="P69" t="s">
        <v>31</v>
      </c>
      <c r="Q69" t="s">
        <v>32</v>
      </c>
      <c r="R69" t="s">
        <v>33</v>
      </c>
      <c r="S69" s="7" t="s">
        <v>34</v>
      </c>
      <c r="T69">
        <v>222</v>
      </c>
      <c r="U69">
        <v>0</v>
      </c>
      <c r="V69">
        <v>0</v>
      </c>
      <c r="W69">
        <v>222</v>
      </c>
      <c r="X69" s="2"/>
      <c r="Y69">
        <v>7</v>
      </c>
      <c r="AB69">
        <v>2</v>
      </c>
    </row>
    <row r="70" spans="1:30" x14ac:dyDescent="0.25">
      <c r="A70" t="s">
        <v>28</v>
      </c>
      <c r="B70" t="s">
        <v>28</v>
      </c>
      <c r="C70" t="s">
        <v>38</v>
      </c>
      <c r="D70" t="s">
        <v>166</v>
      </c>
      <c r="E70">
        <v>129421</v>
      </c>
      <c r="F70">
        <v>129421</v>
      </c>
      <c r="H70" t="s">
        <v>192</v>
      </c>
      <c r="I70" t="s">
        <v>193</v>
      </c>
      <c r="K70" t="s">
        <v>42</v>
      </c>
      <c r="L70" t="s">
        <v>43</v>
      </c>
      <c r="M70" t="s">
        <v>29</v>
      </c>
      <c r="N70" t="s">
        <v>175</v>
      </c>
      <c r="O70" t="s">
        <v>30</v>
      </c>
      <c r="P70" t="s">
        <v>31</v>
      </c>
      <c r="Q70" t="s">
        <v>32</v>
      </c>
      <c r="R70" t="s">
        <v>33</v>
      </c>
      <c r="S70" s="7" t="s">
        <v>34</v>
      </c>
      <c r="T70">
        <v>82</v>
      </c>
      <c r="U70">
        <v>0</v>
      </c>
      <c r="V70">
        <v>0</v>
      </c>
      <c r="W70">
        <v>82</v>
      </c>
      <c r="X70" s="2"/>
      <c r="Y70">
        <v>7</v>
      </c>
      <c r="AB70">
        <v>0</v>
      </c>
    </row>
    <row r="71" spans="1:30" x14ac:dyDescent="0.25">
      <c r="A71" t="s">
        <v>28</v>
      </c>
      <c r="B71" t="s">
        <v>28</v>
      </c>
      <c r="C71" t="s">
        <v>38</v>
      </c>
      <c r="D71" t="s">
        <v>166</v>
      </c>
      <c r="E71">
        <v>129422</v>
      </c>
      <c r="F71">
        <v>129422</v>
      </c>
      <c r="H71" t="s">
        <v>194</v>
      </c>
      <c r="I71" t="s">
        <v>195</v>
      </c>
      <c r="K71" t="s">
        <v>42</v>
      </c>
      <c r="L71" t="s">
        <v>43</v>
      </c>
      <c r="M71" t="s">
        <v>29</v>
      </c>
      <c r="N71" t="s">
        <v>169</v>
      </c>
      <c r="O71" t="s">
        <v>30</v>
      </c>
      <c r="P71" t="s">
        <v>31</v>
      </c>
      <c r="Q71" t="s">
        <v>32</v>
      </c>
      <c r="R71" t="s">
        <v>33</v>
      </c>
      <c r="S71" s="7" t="s">
        <v>34</v>
      </c>
      <c r="T71">
        <v>179</v>
      </c>
      <c r="U71">
        <v>0</v>
      </c>
      <c r="V71">
        <v>0</v>
      </c>
      <c r="W71">
        <v>179</v>
      </c>
      <c r="X71" s="2"/>
      <c r="Y71">
        <v>5</v>
      </c>
      <c r="AB71">
        <v>0</v>
      </c>
    </row>
    <row r="72" spans="1:30" x14ac:dyDescent="0.25">
      <c r="A72" t="s">
        <v>28</v>
      </c>
      <c r="B72" t="s">
        <v>28</v>
      </c>
      <c r="C72" t="s">
        <v>38</v>
      </c>
      <c r="D72" t="s">
        <v>166</v>
      </c>
      <c r="E72">
        <v>304313</v>
      </c>
      <c r="F72">
        <v>304313</v>
      </c>
      <c r="H72" t="s">
        <v>196</v>
      </c>
      <c r="I72" t="s">
        <v>197</v>
      </c>
      <c r="K72" t="s">
        <v>42</v>
      </c>
      <c r="L72" t="s">
        <v>43</v>
      </c>
      <c r="M72" t="s">
        <v>29</v>
      </c>
      <c r="N72" t="s">
        <v>175</v>
      </c>
      <c r="O72" t="s">
        <v>30</v>
      </c>
      <c r="P72" t="s">
        <v>31</v>
      </c>
      <c r="Q72" t="s">
        <v>198</v>
      </c>
      <c r="R72" t="s">
        <v>36</v>
      </c>
      <c r="S72" s="7" t="s">
        <v>35</v>
      </c>
      <c r="T72">
        <v>0</v>
      </c>
      <c r="U72">
        <v>496</v>
      </c>
      <c r="V72">
        <v>230</v>
      </c>
      <c r="W72">
        <v>726</v>
      </c>
      <c r="X72" s="2"/>
      <c r="Y72">
        <v>0</v>
      </c>
      <c r="Z72" s="8">
        <v>8.8815426997245179</v>
      </c>
      <c r="AA72" s="8">
        <v>4.1184573002754821</v>
      </c>
      <c r="AB72">
        <v>0</v>
      </c>
      <c r="AC72" s="8">
        <v>0</v>
      </c>
      <c r="AD72" s="8">
        <v>0</v>
      </c>
    </row>
    <row r="73" spans="1:30" x14ac:dyDescent="0.25">
      <c r="A73" t="s">
        <v>28</v>
      </c>
      <c r="B73" t="s">
        <v>28</v>
      </c>
      <c r="C73" t="s">
        <v>38</v>
      </c>
      <c r="D73" t="s">
        <v>166</v>
      </c>
      <c r="E73">
        <v>304318</v>
      </c>
      <c r="F73">
        <v>304318</v>
      </c>
      <c r="H73" t="s">
        <v>199</v>
      </c>
      <c r="I73" t="s">
        <v>200</v>
      </c>
      <c r="K73" t="s">
        <v>42</v>
      </c>
      <c r="L73" t="s">
        <v>43</v>
      </c>
      <c r="M73" t="s">
        <v>29</v>
      </c>
      <c r="N73" t="s">
        <v>183</v>
      </c>
      <c r="O73" t="s">
        <v>30</v>
      </c>
      <c r="P73" t="s">
        <v>31</v>
      </c>
      <c r="Q73" t="s">
        <v>32</v>
      </c>
      <c r="R73" t="s">
        <v>33</v>
      </c>
      <c r="S73" s="7" t="s">
        <v>35</v>
      </c>
      <c r="T73">
        <v>0</v>
      </c>
      <c r="U73">
        <v>258</v>
      </c>
      <c r="V73">
        <v>111</v>
      </c>
      <c r="W73">
        <v>369</v>
      </c>
      <c r="X73" s="2"/>
      <c r="Y73">
        <v>0</v>
      </c>
      <c r="Z73" s="8">
        <v>10.487804878048781</v>
      </c>
      <c r="AA73" s="8">
        <v>4.51219512195122</v>
      </c>
      <c r="AB73">
        <v>0</v>
      </c>
      <c r="AC73" s="8">
        <v>2.7967479674796749</v>
      </c>
      <c r="AD73" s="8">
        <v>1.2032520325203253</v>
      </c>
    </row>
    <row r="74" spans="1:30" x14ac:dyDescent="0.25">
      <c r="A74" t="s">
        <v>28</v>
      </c>
      <c r="B74" t="s">
        <v>28</v>
      </c>
      <c r="C74" t="s">
        <v>38</v>
      </c>
      <c r="D74" t="s">
        <v>166</v>
      </c>
      <c r="E74">
        <v>325105</v>
      </c>
      <c r="F74">
        <v>325105</v>
      </c>
      <c r="H74" t="s">
        <v>201</v>
      </c>
      <c r="I74" t="s">
        <v>202</v>
      </c>
      <c r="J74">
        <v>304313</v>
      </c>
      <c r="K74" t="s">
        <v>42</v>
      </c>
      <c r="L74" t="s">
        <v>43</v>
      </c>
      <c r="M74" t="s">
        <v>29</v>
      </c>
      <c r="N74" t="s">
        <v>169</v>
      </c>
      <c r="O74" t="s">
        <v>30</v>
      </c>
      <c r="P74" t="s">
        <v>31</v>
      </c>
      <c r="Q74" t="s">
        <v>198</v>
      </c>
      <c r="R74" t="s">
        <v>33</v>
      </c>
      <c r="S74" s="7" t="s">
        <v>35</v>
      </c>
      <c r="T74">
        <v>0</v>
      </c>
      <c r="U74">
        <v>424</v>
      </c>
      <c r="V74">
        <v>156</v>
      </c>
      <c r="W74">
        <v>580</v>
      </c>
      <c r="X74" s="2"/>
      <c r="Y74">
        <v>0</v>
      </c>
      <c r="Z74" s="8">
        <v>17.544827586206896</v>
      </c>
      <c r="AA74" s="8">
        <v>6.455172413793103</v>
      </c>
      <c r="AB74">
        <v>0</v>
      </c>
      <c r="AC74" s="8">
        <v>2.193103448275862</v>
      </c>
      <c r="AD74" s="8">
        <v>0.80689655172413788</v>
      </c>
    </row>
    <row r="75" spans="1:30" x14ac:dyDescent="0.25">
      <c r="A75" t="s">
        <v>28</v>
      </c>
      <c r="B75" t="s">
        <v>28</v>
      </c>
      <c r="C75" t="s">
        <v>38</v>
      </c>
      <c r="D75" t="s">
        <v>166</v>
      </c>
      <c r="E75">
        <v>501085</v>
      </c>
      <c r="F75">
        <v>501085</v>
      </c>
      <c r="H75" t="s">
        <v>203</v>
      </c>
      <c r="I75" t="s">
        <v>204</v>
      </c>
      <c r="K75" t="s">
        <v>42</v>
      </c>
      <c r="L75" t="s">
        <v>43</v>
      </c>
      <c r="M75" t="s">
        <v>29</v>
      </c>
      <c r="N75" t="s">
        <v>205</v>
      </c>
      <c r="O75" t="s">
        <v>30</v>
      </c>
      <c r="P75" t="s">
        <v>31</v>
      </c>
      <c r="Q75" t="s">
        <v>32</v>
      </c>
      <c r="R75" t="s">
        <v>33</v>
      </c>
      <c r="S75" s="7" t="s">
        <v>162</v>
      </c>
      <c r="T75">
        <v>386</v>
      </c>
      <c r="U75">
        <v>143</v>
      </c>
      <c r="V75">
        <v>0</v>
      </c>
      <c r="W75">
        <v>529</v>
      </c>
      <c r="X75" s="2"/>
      <c r="Y75">
        <v>17</v>
      </c>
      <c r="Z75">
        <v>17</v>
      </c>
      <c r="AB75">
        <v>1</v>
      </c>
      <c r="AC75">
        <v>1</v>
      </c>
    </row>
    <row r="76" spans="1:30" x14ac:dyDescent="0.25">
      <c r="A76" t="s">
        <v>28</v>
      </c>
      <c r="B76" t="s">
        <v>28</v>
      </c>
      <c r="C76" t="s">
        <v>38</v>
      </c>
      <c r="D76" t="s">
        <v>166</v>
      </c>
      <c r="E76">
        <v>501086</v>
      </c>
      <c r="F76">
        <v>501086</v>
      </c>
      <c r="H76" t="s">
        <v>206</v>
      </c>
      <c r="I76" t="s">
        <v>207</v>
      </c>
      <c r="K76" t="s">
        <v>42</v>
      </c>
      <c r="L76" t="s">
        <v>43</v>
      </c>
      <c r="M76" t="s">
        <v>29</v>
      </c>
      <c r="N76" t="s">
        <v>208</v>
      </c>
      <c r="O76" t="s">
        <v>30</v>
      </c>
      <c r="P76" t="s">
        <v>31</v>
      </c>
      <c r="Q76" t="s">
        <v>32</v>
      </c>
      <c r="R76" t="s">
        <v>33</v>
      </c>
      <c r="S76" s="7" t="s">
        <v>37</v>
      </c>
      <c r="T76">
        <v>201</v>
      </c>
      <c r="U76">
        <v>96</v>
      </c>
      <c r="V76">
        <v>11</v>
      </c>
      <c r="W76">
        <v>308</v>
      </c>
      <c r="X76" s="2"/>
      <c r="Y76">
        <v>7</v>
      </c>
      <c r="Z76" s="8">
        <v>8.074766355140186</v>
      </c>
      <c r="AA76" s="8">
        <v>0.92523364485981308</v>
      </c>
      <c r="AB76">
        <v>3</v>
      </c>
      <c r="AC76" s="8">
        <v>0.89719626168224298</v>
      </c>
      <c r="AD76" s="8">
        <v>0.10280373831775701</v>
      </c>
    </row>
    <row r="77" spans="1:30" x14ac:dyDescent="0.25">
      <c r="A77" t="s">
        <v>28</v>
      </c>
      <c r="B77" t="s">
        <v>28</v>
      </c>
      <c r="C77" t="s">
        <v>38</v>
      </c>
      <c r="D77" t="s">
        <v>166</v>
      </c>
      <c r="E77">
        <v>501087</v>
      </c>
      <c r="F77">
        <v>501087</v>
      </c>
      <c r="H77" t="s">
        <v>209</v>
      </c>
      <c r="I77" t="s">
        <v>210</v>
      </c>
      <c r="K77" t="s">
        <v>42</v>
      </c>
      <c r="L77" t="s">
        <v>43</v>
      </c>
      <c r="M77" t="s">
        <v>29</v>
      </c>
      <c r="N77" t="s">
        <v>172</v>
      </c>
      <c r="O77" t="s">
        <v>30</v>
      </c>
      <c r="P77" t="s">
        <v>31</v>
      </c>
      <c r="Q77" t="s">
        <v>32</v>
      </c>
      <c r="R77" t="s">
        <v>33</v>
      </c>
      <c r="S77" s="7" t="s">
        <v>37</v>
      </c>
      <c r="T77">
        <v>190</v>
      </c>
      <c r="U77">
        <v>102</v>
      </c>
      <c r="V77">
        <v>54</v>
      </c>
      <c r="W77">
        <v>346</v>
      </c>
      <c r="X77" s="2"/>
      <c r="Y77">
        <v>8</v>
      </c>
      <c r="Z77" s="8">
        <v>5.2307692307692308</v>
      </c>
      <c r="AA77" s="8">
        <v>2.7692307692307692</v>
      </c>
      <c r="AB77">
        <v>1</v>
      </c>
      <c r="AC77" s="8">
        <v>0.65384615384615385</v>
      </c>
      <c r="AD77" s="8">
        <v>0.34615384615384615</v>
      </c>
    </row>
    <row r="78" spans="1:30" x14ac:dyDescent="0.25">
      <c r="A78" t="s">
        <v>28</v>
      </c>
      <c r="B78" t="s">
        <v>28</v>
      </c>
      <c r="C78" t="s">
        <v>38</v>
      </c>
      <c r="D78" t="s">
        <v>39</v>
      </c>
      <c r="E78">
        <v>306039</v>
      </c>
      <c r="F78">
        <v>306039</v>
      </c>
      <c r="H78" t="s">
        <v>211</v>
      </c>
      <c r="I78" t="s">
        <v>212</v>
      </c>
      <c r="K78" t="s">
        <v>42</v>
      </c>
      <c r="L78" t="s">
        <v>43</v>
      </c>
      <c r="M78" t="s">
        <v>213</v>
      </c>
      <c r="N78" t="s">
        <v>191</v>
      </c>
      <c r="O78" t="s">
        <v>30</v>
      </c>
      <c r="P78" t="s">
        <v>31</v>
      </c>
      <c r="Q78" t="s">
        <v>32</v>
      </c>
      <c r="R78" t="s">
        <v>33</v>
      </c>
      <c r="S78" s="7" t="s">
        <v>35</v>
      </c>
      <c r="T78">
        <v>0</v>
      </c>
      <c r="U78">
        <v>108</v>
      </c>
      <c r="V78">
        <v>42</v>
      </c>
      <c r="W78">
        <v>150</v>
      </c>
      <c r="X78" s="2"/>
      <c r="Y78">
        <v>0</v>
      </c>
      <c r="Z78" s="8">
        <v>7.1999999999999993</v>
      </c>
      <c r="AA78" s="8">
        <v>2.8000000000000003</v>
      </c>
      <c r="AB78">
        <v>0</v>
      </c>
      <c r="AC78" s="8">
        <v>1.44</v>
      </c>
      <c r="AD78" s="8">
        <v>0.56000000000000005</v>
      </c>
    </row>
  </sheetData>
  <sheetProtection algorithmName="SHA-512" hashValue="XxZrU68ICF4ZOWi+j49nzB0iNMH+d1yVuSsQnuEj09FWboI7+bBDKahdMhxlz5qQBGKuIBQBuFC6HjGrYFFHHQ==" saltValue="3ZCrXBCch5Naz90QLWESoA==" spinCount="100000" sheet="1" objects="1" scenarios="1" formatColumns="0" formatRows="0" sort="0"/>
  <mergeCells count="2">
    <mergeCell ref="Y4:AA4"/>
    <mergeCell ref="AB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E4447-54CD-4E7F-9B6B-D91474EB97D1}">
  <dimension ref="A1:AF81"/>
  <sheetViews>
    <sheetView tabSelected="1" topLeftCell="A55" workbookViewId="0">
      <selection activeCell="V81" sqref="V81"/>
    </sheetView>
  </sheetViews>
  <sheetFormatPr defaultRowHeight="15" x14ac:dyDescent="0.25"/>
  <cols>
    <col min="2" max="2" width="0" hidden="1" customWidth="1"/>
    <col min="3" max="3" width="25.5703125" bestFit="1" customWidth="1"/>
    <col min="4" max="4" width="0" hidden="1" customWidth="1"/>
    <col min="6" max="7" width="0" hidden="1" customWidth="1"/>
    <col min="8" max="8" width="25.5703125" bestFit="1" customWidth="1"/>
    <col min="9" max="14" width="0" hidden="1" customWidth="1"/>
    <col min="16" max="18" width="0" hidden="1" customWidth="1"/>
    <col min="19" max="19" width="13.5703125" bestFit="1" customWidth="1"/>
    <col min="24" max="24" width="0.5703125" customWidth="1"/>
  </cols>
  <sheetData>
    <row r="1" spans="1:32" x14ac:dyDescent="0.25">
      <c r="A1" s="1" t="s">
        <v>0</v>
      </c>
      <c r="X1" s="2"/>
    </row>
    <row r="2" spans="1:32" x14ac:dyDescent="0.25">
      <c r="A2" s="1" t="s">
        <v>1</v>
      </c>
      <c r="X2" s="2"/>
    </row>
    <row r="3" spans="1:32" x14ac:dyDescent="0.25">
      <c r="A3" s="1" t="s">
        <v>2</v>
      </c>
      <c r="X3" s="2"/>
    </row>
    <row r="4" spans="1:32" x14ac:dyDescent="0.25">
      <c r="A4" s="1"/>
      <c r="X4" s="2"/>
      <c r="Y4" s="15" t="s">
        <v>3</v>
      </c>
      <c r="Z4" s="15"/>
      <c r="AA4" s="15"/>
      <c r="AB4" s="3"/>
      <c r="AC4" s="15" t="s">
        <v>4</v>
      </c>
      <c r="AD4" s="15"/>
      <c r="AE4" s="15"/>
    </row>
    <row r="5" spans="1:32" x14ac:dyDescent="0.25">
      <c r="A5" s="1"/>
      <c r="X5" s="2"/>
      <c r="Y5" s="3" t="s">
        <v>5</v>
      </c>
      <c r="Z5" s="3" t="s">
        <v>6</v>
      </c>
      <c r="AA5" s="3" t="s">
        <v>7</v>
      </c>
      <c r="AB5" s="3"/>
      <c r="AC5" s="3" t="s">
        <v>5</v>
      </c>
      <c r="AD5" s="3" t="s">
        <v>6</v>
      </c>
      <c r="AE5" s="3" t="s">
        <v>7</v>
      </c>
    </row>
    <row r="6" spans="1:32" x14ac:dyDescent="0.25">
      <c r="A6" s="4" t="s">
        <v>8</v>
      </c>
      <c r="B6" s="4" t="s">
        <v>9</v>
      </c>
      <c r="C6" s="4" t="s">
        <v>10</v>
      </c>
      <c r="D6" s="4" t="s">
        <v>11</v>
      </c>
      <c r="E6" s="4" t="s">
        <v>12</v>
      </c>
      <c r="F6" s="4" t="s">
        <v>13</v>
      </c>
      <c r="G6" s="4" t="s">
        <v>14</v>
      </c>
      <c r="H6" s="4" t="s">
        <v>15</v>
      </c>
      <c r="I6" s="4" t="s">
        <v>16</v>
      </c>
      <c r="J6" s="4" t="s">
        <v>17</v>
      </c>
      <c r="K6" s="4" t="s">
        <v>18</v>
      </c>
      <c r="L6" s="4" t="s">
        <v>19</v>
      </c>
      <c r="M6" s="4" t="s">
        <v>20</v>
      </c>
      <c r="N6" s="4" t="s">
        <v>21</v>
      </c>
      <c r="O6" s="4" t="s">
        <v>22</v>
      </c>
      <c r="P6" s="4" t="s">
        <v>23</v>
      </c>
      <c r="Q6" s="4" t="s">
        <v>24</v>
      </c>
      <c r="R6" s="4" t="s">
        <v>25</v>
      </c>
      <c r="S6" s="4" t="s">
        <v>26</v>
      </c>
      <c r="T6" s="4" t="s">
        <v>5</v>
      </c>
      <c r="U6" s="4" t="s">
        <v>6</v>
      </c>
      <c r="V6" s="4" t="s">
        <v>7</v>
      </c>
      <c r="W6" s="4" t="s">
        <v>27</v>
      </c>
      <c r="X6" s="5">
        <v>1</v>
      </c>
      <c r="Y6" s="6" t="s">
        <v>5</v>
      </c>
      <c r="Z6" s="6" t="s">
        <v>6</v>
      </c>
      <c r="AA6" s="6" t="s">
        <v>7</v>
      </c>
      <c r="AB6" s="6"/>
      <c r="AC6" s="6" t="s">
        <v>5</v>
      </c>
      <c r="AD6" s="6" t="s">
        <v>6</v>
      </c>
      <c r="AE6" s="6" t="s">
        <v>7</v>
      </c>
      <c r="AF6" s="1" t="s">
        <v>14</v>
      </c>
    </row>
    <row r="7" spans="1:32" x14ac:dyDescent="0.25">
      <c r="A7" t="s">
        <v>28</v>
      </c>
      <c r="B7" t="s">
        <v>28</v>
      </c>
      <c r="C7" t="s">
        <v>38</v>
      </c>
      <c r="D7" t="s">
        <v>39</v>
      </c>
      <c r="E7">
        <v>129374</v>
      </c>
      <c r="F7">
        <v>129374</v>
      </c>
      <c r="H7" t="s">
        <v>40</v>
      </c>
      <c r="I7" t="s">
        <v>41</v>
      </c>
      <c r="K7" t="s">
        <v>42</v>
      </c>
      <c r="L7" t="s">
        <v>43</v>
      </c>
      <c r="M7" t="s">
        <v>29</v>
      </c>
      <c r="N7" t="s">
        <v>44</v>
      </c>
      <c r="O7" t="s">
        <v>30</v>
      </c>
      <c r="P7" t="s">
        <v>31</v>
      </c>
      <c r="Q7" t="s">
        <v>32</v>
      </c>
      <c r="R7" t="s">
        <v>33</v>
      </c>
      <c r="S7" s="7" t="s">
        <v>34</v>
      </c>
      <c r="T7">
        <v>412</v>
      </c>
      <c r="U7">
        <v>0</v>
      </c>
      <c r="V7">
        <v>0</v>
      </c>
      <c r="W7">
        <v>412</v>
      </c>
      <c r="X7" s="2"/>
      <c r="Y7">
        <v>15</v>
      </c>
      <c r="AC7">
        <v>5</v>
      </c>
    </row>
    <row r="8" spans="1:32" x14ac:dyDescent="0.25">
      <c r="A8" t="s">
        <v>28</v>
      </c>
      <c r="B8" t="s">
        <v>28</v>
      </c>
      <c r="C8" t="s">
        <v>38</v>
      </c>
      <c r="D8" t="s">
        <v>39</v>
      </c>
      <c r="E8">
        <v>129375</v>
      </c>
      <c r="F8">
        <v>129375</v>
      </c>
      <c r="G8" s="7" t="s">
        <v>45</v>
      </c>
      <c r="H8" t="s">
        <v>46</v>
      </c>
      <c r="I8" t="s">
        <v>47</v>
      </c>
      <c r="K8" t="s">
        <v>42</v>
      </c>
      <c r="L8" t="s">
        <v>43</v>
      </c>
      <c r="M8" t="s">
        <v>29</v>
      </c>
      <c r="N8" t="s">
        <v>44</v>
      </c>
      <c r="O8" t="s">
        <v>30</v>
      </c>
      <c r="P8" t="s">
        <v>31</v>
      </c>
      <c r="Q8" t="s">
        <v>32</v>
      </c>
      <c r="R8" t="s">
        <v>33</v>
      </c>
      <c r="S8" s="7" t="s">
        <v>34</v>
      </c>
      <c r="T8">
        <v>178</v>
      </c>
      <c r="U8">
        <v>0</v>
      </c>
      <c r="V8">
        <v>0</v>
      </c>
      <c r="W8">
        <v>178</v>
      </c>
      <c r="X8" s="2"/>
      <c r="Y8">
        <v>0</v>
      </c>
      <c r="AC8">
        <v>0</v>
      </c>
    </row>
    <row r="9" spans="1:32" x14ac:dyDescent="0.25">
      <c r="A9" t="s">
        <v>28</v>
      </c>
      <c r="B9" t="s">
        <v>28</v>
      </c>
      <c r="C9" t="s">
        <v>38</v>
      </c>
      <c r="D9" t="s">
        <v>39</v>
      </c>
      <c r="E9">
        <v>129376</v>
      </c>
      <c r="F9">
        <v>129376</v>
      </c>
      <c r="H9" t="s">
        <v>48</v>
      </c>
      <c r="I9" t="s">
        <v>49</v>
      </c>
      <c r="K9" t="s">
        <v>42</v>
      </c>
      <c r="L9" t="s">
        <v>43</v>
      </c>
      <c r="M9" t="s">
        <v>29</v>
      </c>
      <c r="N9" t="s">
        <v>50</v>
      </c>
      <c r="O9" t="s">
        <v>30</v>
      </c>
      <c r="P9" t="s">
        <v>31</v>
      </c>
      <c r="Q9" t="s">
        <v>32</v>
      </c>
      <c r="R9" t="s">
        <v>33</v>
      </c>
      <c r="S9" s="7" t="s">
        <v>34</v>
      </c>
      <c r="T9">
        <v>282</v>
      </c>
      <c r="U9">
        <v>0</v>
      </c>
      <c r="V9">
        <v>0</v>
      </c>
      <c r="W9">
        <v>282</v>
      </c>
      <c r="X9" s="2"/>
      <c r="Y9">
        <v>7</v>
      </c>
      <c r="AC9">
        <v>0</v>
      </c>
    </row>
    <row r="10" spans="1:32" x14ac:dyDescent="0.25">
      <c r="A10" t="s">
        <v>28</v>
      </c>
      <c r="B10" t="s">
        <v>28</v>
      </c>
      <c r="C10" t="s">
        <v>38</v>
      </c>
      <c r="D10" t="s">
        <v>39</v>
      </c>
      <c r="E10">
        <v>129377</v>
      </c>
      <c r="F10">
        <v>129377</v>
      </c>
      <c r="H10" t="s">
        <v>51</v>
      </c>
      <c r="I10" t="s">
        <v>52</v>
      </c>
      <c r="K10" t="s">
        <v>42</v>
      </c>
      <c r="L10" t="s">
        <v>43</v>
      </c>
      <c r="M10" t="s">
        <v>29</v>
      </c>
      <c r="N10" t="s">
        <v>53</v>
      </c>
      <c r="O10" t="s">
        <v>30</v>
      </c>
      <c r="P10" t="s">
        <v>31</v>
      </c>
      <c r="Q10" t="s">
        <v>32</v>
      </c>
      <c r="R10" t="s">
        <v>33</v>
      </c>
      <c r="S10" s="7" t="s">
        <v>34</v>
      </c>
      <c r="T10">
        <v>283</v>
      </c>
      <c r="U10">
        <v>0</v>
      </c>
      <c r="V10">
        <v>0</v>
      </c>
      <c r="W10">
        <v>283</v>
      </c>
      <c r="X10" s="2"/>
      <c r="Y10">
        <v>9</v>
      </c>
      <c r="AC10">
        <v>2</v>
      </c>
    </row>
    <row r="11" spans="1:32" x14ac:dyDescent="0.25">
      <c r="A11" t="s">
        <v>28</v>
      </c>
      <c r="B11" t="s">
        <v>28</v>
      </c>
      <c r="C11" t="s">
        <v>38</v>
      </c>
      <c r="D11" t="s">
        <v>39</v>
      </c>
      <c r="E11">
        <v>129380</v>
      </c>
      <c r="F11">
        <v>129380</v>
      </c>
      <c r="H11" t="s">
        <v>54</v>
      </c>
      <c r="I11" t="s">
        <v>55</v>
      </c>
      <c r="K11" t="s">
        <v>42</v>
      </c>
      <c r="L11" t="s">
        <v>43</v>
      </c>
      <c r="M11" t="s">
        <v>29</v>
      </c>
      <c r="N11" t="s">
        <v>50</v>
      </c>
      <c r="O11" t="s">
        <v>30</v>
      </c>
      <c r="P11" t="s">
        <v>31</v>
      </c>
      <c r="Q11" t="s">
        <v>32</v>
      </c>
      <c r="R11" t="s">
        <v>33</v>
      </c>
      <c r="S11" s="7" t="s">
        <v>34</v>
      </c>
      <c r="T11">
        <v>1020</v>
      </c>
      <c r="U11">
        <v>0</v>
      </c>
      <c r="V11">
        <v>0</v>
      </c>
      <c r="W11">
        <v>1020</v>
      </c>
      <c r="X11" s="2"/>
      <c r="Y11">
        <v>42</v>
      </c>
      <c r="AC11">
        <v>19</v>
      </c>
    </row>
    <row r="12" spans="1:32" x14ac:dyDescent="0.25">
      <c r="A12" t="s">
        <v>28</v>
      </c>
      <c r="B12" t="s">
        <v>28</v>
      </c>
      <c r="C12" t="s">
        <v>38</v>
      </c>
      <c r="D12" t="s">
        <v>39</v>
      </c>
      <c r="E12">
        <v>129381</v>
      </c>
      <c r="F12">
        <v>129381</v>
      </c>
      <c r="H12" t="s">
        <v>56</v>
      </c>
      <c r="I12" t="s">
        <v>57</v>
      </c>
      <c r="K12" t="s">
        <v>42</v>
      </c>
      <c r="L12" t="s">
        <v>43</v>
      </c>
      <c r="M12" t="s">
        <v>29</v>
      </c>
      <c r="N12" t="s">
        <v>50</v>
      </c>
      <c r="O12" t="s">
        <v>30</v>
      </c>
      <c r="P12" t="s">
        <v>31</v>
      </c>
      <c r="Q12" t="s">
        <v>32</v>
      </c>
      <c r="R12" t="s">
        <v>33</v>
      </c>
      <c r="S12" s="7" t="s">
        <v>34</v>
      </c>
      <c r="T12">
        <v>1179</v>
      </c>
      <c r="U12">
        <v>0</v>
      </c>
      <c r="V12">
        <v>0</v>
      </c>
      <c r="W12">
        <v>1179</v>
      </c>
      <c r="X12" s="2"/>
      <c r="Y12">
        <v>35</v>
      </c>
      <c r="AC12">
        <v>5</v>
      </c>
    </row>
    <row r="13" spans="1:32" x14ac:dyDescent="0.25">
      <c r="A13" t="s">
        <v>28</v>
      </c>
      <c r="B13" t="s">
        <v>28</v>
      </c>
      <c r="C13" t="s">
        <v>38</v>
      </c>
      <c r="D13" t="s">
        <v>39</v>
      </c>
      <c r="E13">
        <v>129382</v>
      </c>
      <c r="F13">
        <v>129382</v>
      </c>
      <c r="H13" t="s">
        <v>58</v>
      </c>
      <c r="I13" t="s">
        <v>59</v>
      </c>
      <c r="K13" t="s">
        <v>42</v>
      </c>
      <c r="L13" t="s">
        <v>43</v>
      </c>
      <c r="M13" t="s">
        <v>29</v>
      </c>
      <c r="N13" t="s">
        <v>50</v>
      </c>
      <c r="O13" t="s">
        <v>30</v>
      </c>
      <c r="P13" t="s">
        <v>31</v>
      </c>
      <c r="Q13" t="s">
        <v>32</v>
      </c>
      <c r="R13" t="s">
        <v>33</v>
      </c>
      <c r="S13" s="7" t="s">
        <v>34</v>
      </c>
      <c r="T13">
        <v>1991</v>
      </c>
      <c r="U13">
        <v>0</v>
      </c>
      <c r="V13">
        <v>0</v>
      </c>
      <c r="W13">
        <v>1991</v>
      </c>
      <c r="X13" s="2"/>
      <c r="Y13">
        <v>41</v>
      </c>
      <c r="AC13">
        <v>2</v>
      </c>
    </row>
    <row r="14" spans="1:32" x14ac:dyDescent="0.25">
      <c r="A14" t="s">
        <v>28</v>
      </c>
      <c r="B14" t="s">
        <v>28</v>
      </c>
      <c r="C14" t="s">
        <v>38</v>
      </c>
      <c r="D14" t="s">
        <v>39</v>
      </c>
      <c r="E14">
        <v>129383</v>
      </c>
      <c r="F14">
        <v>129383</v>
      </c>
      <c r="H14" t="s">
        <v>60</v>
      </c>
      <c r="I14" t="s">
        <v>61</v>
      </c>
      <c r="K14" t="s">
        <v>42</v>
      </c>
      <c r="L14" t="s">
        <v>43</v>
      </c>
      <c r="M14" t="s">
        <v>29</v>
      </c>
      <c r="N14" t="s">
        <v>50</v>
      </c>
      <c r="O14" t="s">
        <v>30</v>
      </c>
      <c r="P14" t="s">
        <v>31</v>
      </c>
      <c r="Q14" t="s">
        <v>32</v>
      </c>
      <c r="R14" t="s">
        <v>33</v>
      </c>
      <c r="S14" s="7" t="s">
        <v>34</v>
      </c>
      <c r="T14">
        <v>955</v>
      </c>
      <c r="U14">
        <v>0</v>
      </c>
      <c r="V14">
        <v>0</v>
      </c>
      <c r="W14">
        <v>955</v>
      </c>
      <c r="X14" s="2"/>
      <c r="Y14">
        <v>29</v>
      </c>
      <c r="AC14">
        <v>6</v>
      </c>
    </row>
    <row r="15" spans="1:32" x14ac:dyDescent="0.25">
      <c r="A15" t="s">
        <v>28</v>
      </c>
      <c r="B15" t="s">
        <v>28</v>
      </c>
      <c r="C15" t="s">
        <v>38</v>
      </c>
      <c r="D15" t="s">
        <v>39</v>
      </c>
      <c r="E15">
        <v>129384</v>
      </c>
      <c r="F15">
        <v>129384</v>
      </c>
      <c r="H15" t="s">
        <v>62</v>
      </c>
      <c r="I15" t="s">
        <v>63</v>
      </c>
      <c r="K15" t="s">
        <v>42</v>
      </c>
      <c r="L15" t="s">
        <v>43</v>
      </c>
      <c r="M15" t="s">
        <v>29</v>
      </c>
      <c r="N15" t="s">
        <v>50</v>
      </c>
      <c r="O15" t="s">
        <v>30</v>
      </c>
      <c r="P15" t="s">
        <v>31</v>
      </c>
      <c r="Q15" t="s">
        <v>32</v>
      </c>
      <c r="R15" t="s">
        <v>33</v>
      </c>
      <c r="S15" s="7" t="s">
        <v>34</v>
      </c>
      <c r="T15">
        <v>106</v>
      </c>
      <c r="U15">
        <v>0</v>
      </c>
      <c r="V15">
        <v>0</v>
      </c>
      <c r="W15">
        <v>106</v>
      </c>
      <c r="X15" s="2"/>
      <c r="Y15">
        <v>8</v>
      </c>
      <c r="AC15">
        <v>0</v>
      </c>
    </row>
    <row r="16" spans="1:32" x14ac:dyDescent="0.25">
      <c r="A16" t="s">
        <v>28</v>
      </c>
      <c r="B16" t="s">
        <v>28</v>
      </c>
      <c r="C16" t="s">
        <v>38</v>
      </c>
      <c r="D16" t="s">
        <v>39</v>
      </c>
      <c r="E16">
        <v>129385</v>
      </c>
      <c r="F16">
        <v>129385</v>
      </c>
      <c r="H16" t="s">
        <v>64</v>
      </c>
      <c r="I16" t="s">
        <v>65</v>
      </c>
      <c r="K16" t="s">
        <v>42</v>
      </c>
      <c r="L16" t="s">
        <v>43</v>
      </c>
      <c r="M16" t="s">
        <v>29</v>
      </c>
      <c r="N16" t="s">
        <v>44</v>
      </c>
      <c r="O16" t="s">
        <v>30</v>
      </c>
      <c r="P16" t="s">
        <v>31</v>
      </c>
      <c r="Q16" t="s">
        <v>32</v>
      </c>
      <c r="R16" t="s">
        <v>33</v>
      </c>
      <c r="S16" s="7" t="s">
        <v>34</v>
      </c>
      <c r="T16">
        <v>828</v>
      </c>
      <c r="U16">
        <v>0</v>
      </c>
      <c r="V16">
        <v>0</v>
      </c>
      <c r="W16">
        <v>828</v>
      </c>
      <c r="X16" s="2"/>
      <c r="Y16">
        <v>12</v>
      </c>
      <c r="AC16">
        <v>0</v>
      </c>
    </row>
    <row r="17" spans="1:31" x14ac:dyDescent="0.25">
      <c r="A17" t="s">
        <v>28</v>
      </c>
      <c r="B17" t="s">
        <v>28</v>
      </c>
      <c r="C17" t="s">
        <v>38</v>
      </c>
      <c r="D17" t="s">
        <v>39</v>
      </c>
      <c r="E17">
        <v>129386</v>
      </c>
      <c r="F17">
        <v>129386</v>
      </c>
      <c r="H17" t="s">
        <v>66</v>
      </c>
      <c r="I17" t="s">
        <v>67</v>
      </c>
      <c r="K17" t="s">
        <v>42</v>
      </c>
      <c r="L17" t="s">
        <v>43</v>
      </c>
      <c r="M17" t="s">
        <v>29</v>
      </c>
      <c r="N17" t="s">
        <v>53</v>
      </c>
      <c r="O17" t="s">
        <v>30</v>
      </c>
      <c r="P17" t="s">
        <v>31</v>
      </c>
      <c r="Q17" t="s">
        <v>32</v>
      </c>
      <c r="R17" t="s">
        <v>33</v>
      </c>
      <c r="S17" s="7" t="s">
        <v>34</v>
      </c>
      <c r="T17">
        <v>158</v>
      </c>
      <c r="U17">
        <v>0</v>
      </c>
      <c r="V17">
        <v>0</v>
      </c>
      <c r="W17">
        <v>158</v>
      </c>
      <c r="X17" s="2"/>
      <c r="Y17">
        <v>7</v>
      </c>
      <c r="AC17">
        <v>0</v>
      </c>
    </row>
    <row r="18" spans="1:31" x14ac:dyDescent="0.25">
      <c r="A18" t="s">
        <v>28</v>
      </c>
      <c r="B18" t="s">
        <v>28</v>
      </c>
      <c r="C18" t="s">
        <v>38</v>
      </c>
      <c r="D18" t="s">
        <v>39</v>
      </c>
      <c r="E18">
        <v>205504</v>
      </c>
      <c r="F18">
        <v>205504</v>
      </c>
      <c r="H18" t="s">
        <v>68</v>
      </c>
      <c r="I18" t="s">
        <v>57</v>
      </c>
      <c r="K18" t="s">
        <v>42</v>
      </c>
      <c r="L18" t="s">
        <v>43</v>
      </c>
      <c r="M18" t="s">
        <v>29</v>
      </c>
      <c r="N18" t="s">
        <v>50</v>
      </c>
      <c r="O18" t="s">
        <v>30</v>
      </c>
      <c r="P18" t="s">
        <v>31</v>
      </c>
      <c r="Q18" t="s">
        <v>32</v>
      </c>
      <c r="R18" t="s">
        <v>33</v>
      </c>
      <c r="S18" s="7" t="s">
        <v>34</v>
      </c>
      <c r="T18">
        <v>1017</v>
      </c>
      <c r="U18">
        <v>0</v>
      </c>
      <c r="V18">
        <v>0</v>
      </c>
      <c r="W18">
        <v>1017</v>
      </c>
      <c r="X18" s="2"/>
      <c r="Y18">
        <v>20</v>
      </c>
      <c r="AC18">
        <v>0</v>
      </c>
    </row>
    <row r="19" spans="1:31" x14ac:dyDescent="0.25">
      <c r="A19" t="s">
        <v>28</v>
      </c>
      <c r="B19" t="s">
        <v>28</v>
      </c>
      <c r="C19" t="s">
        <v>38</v>
      </c>
      <c r="D19" t="s">
        <v>39</v>
      </c>
      <c r="E19">
        <v>304325</v>
      </c>
      <c r="F19">
        <v>304325</v>
      </c>
      <c r="H19" t="s">
        <v>69</v>
      </c>
      <c r="I19" t="s">
        <v>70</v>
      </c>
      <c r="K19" t="s">
        <v>42</v>
      </c>
      <c r="L19" t="s">
        <v>43</v>
      </c>
      <c r="M19" t="s">
        <v>29</v>
      </c>
      <c r="N19" t="s">
        <v>53</v>
      </c>
      <c r="O19" t="s">
        <v>30</v>
      </c>
      <c r="P19" t="s">
        <v>31</v>
      </c>
      <c r="Q19" t="s">
        <v>32</v>
      </c>
      <c r="R19" t="s">
        <v>36</v>
      </c>
      <c r="S19" s="7" t="s">
        <v>35</v>
      </c>
      <c r="T19">
        <v>0</v>
      </c>
      <c r="U19">
        <v>3060</v>
      </c>
      <c r="V19">
        <v>1603</v>
      </c>
      <c r="W19">
        <v>4663</v>
      </c>
      <c r="X19" s="2"/>
      <c r="Y19">
        <v>0</v>
      </c>
      <c r="Z19" s="8">
        <v>74.153978125670164</v>
      </c>
      <c r="AA19" s="8">
        <v>38.846021874329836</v>
      </c>
      <c r="AB19" s="8"/>
      <c r="AC19">
        <v>0</v>
      </c>
      <c r="AD19" s="8">
        <v>0.65622989491743511</v>
      </c>
      <c r="AE19" s="8">
        <v>0.34377010508256489</v>
      </c>
    </row>
    <row r="20" spans="1:31" x14ac:dyDescent="0.25">
      <c r="A20" t="s">
        <v>28</v>
      </c>
      <c r="B20" t="s">
        <v>28</v>
      </c>
      <c r="C20" t="s">
        <v>38</v>
      </c>
      <c r="D20" t="s">
        <v>39</v>
      </c>
      <c r="E20">
        <v>304326</v>
      </c>
      <c r="F20">
        <v>304326</v>
      </c>
      <c r="H20" t="s">
        <v>71</v>
      </c>
      <c r="I20" t="s">
        <v>72</v>
      </c>
      <c r="K20" t="s">
        <v>42</v>
      </c>
      <c r="L20" t="s">
        <v>43</v>
      </c>
      <c r="M20" t="s">
        <v>29</v>
      </c>
      <c r="N20" t="s">
        <v>53</v>
      </c>
      <c r="O20" t="s">
        <v>30</v>
      </c>
      <c r="P20" t="s">
        <v>31</v>
      </c>
      <c r="Q20" t="s">
        <v>32</v>
      </c>
      <c r="R20" t="s">
        <v>36</v>
      </c>
      <c r="S20" s="7" t="s">
        <v>35</v>
      </c>
      <c r="T20">
        <v>0</v>
      </c>
      <c r="U20">
        <v>613</v>
      </c>
      <c r="V20">
        <v>439</v>
      </c>
      <c r="W20">
        <v>1052</v>
      </c>
      <c r="X20" s="2"/>
      <c r="Y20">
        <v>0</v>
      </c>
      <c r="Z20" s="8">
        <v>27.969581749049432</v>
      </c>
      <c r="AA20" s="8">
        <v>20.030418250950568</v>
      </c>
      <c r="AB20" s="8"/>
      <c r="AC20">
        <v>0</v>
      </c>
      <c r="AD20" s="8">
        <v>9.3231939163498101</v>
      </c>
      <c r="AE20" s="8">
        <v>6.6768060836501899</v>
      </c>
    </row>
    <row r="21" spans="1:31" x14ac:dyDescent="0.25">
      <c r="A21" t="s">
        <v>28</v>
      </c>
      <c r="B21" t="s">
        <v>28</v>
      </c>
      <c r="C21" t="s">
        <v>38</v>
      </c>
      <c r="D21" t="s">
        <v>39</v>
      </c>
      <c r="E21">
        <v>325104</v>
      </c>
      <c r="F21">
        <v>325104</v>
      </c>
      <c r="H21" t="s">
        <v>73</v>
      </c>
      <c r="I21" t="s">
        <v>74</v>
      </c>
      <c r="K21" t="s">
        <v>42</v>
      </c>
      <c r="L21" t="s">
        <v>43</v>
      </c>
      <c r="M21" t="s">
        <v>29</v>
      </c>
      <c r="N21" t="s">
        <v>44</v>
      </c>
      <c r="O21" t="s">
        <v>30</v>
      </c>
      <c r="P21" t="s">
        <v>31</v>
      </c>
      <c r="Q21" t="s">
        <v>32</v>
      </c>
      <c r="R21" t="s">
        <v>36</v>
      </c>
      <c r="S21" s="7" t="s">
        <v>35</v>
      </c>
      <c r="T21">
        <v>0</v>
      </c>
      <c r="U21">
        <v>549</v>
      </c>
      <c r="V21">
        <v>224</v>
      </c>
      <c r="W21">
        <v>773</v>
      </c>
      <c r="X21" s="2"/>
      <c r="Y21">
        <v>0</v>
      </c>
      <c r="Z21" s="8">
        <v>15.6248382923674</v>
      </c>
      <c r="AA21" s="8">
        <v>6.3751617076325999</v>
      </c>
      <c r="AB21" s="8"/>
      <c r="AC21">
        <v>0</v>
      </c>
      <c r="AD21" s="8">
        <v>1.4204398447606728</v>
      </c>
      <c r="AE21" s="8">
        <v>0.57956015523932725</v>
      </c>
    </row>
    <row r="22" spans="1:31" x14ac:dyDescent="0.25">
      <c r="A22" t="s">
        <v>28</v>
      </c>
      <c r="B22" t="s">
        <v>28</v>
      </c>
      <c r="C22" t="s">
        <v>38</v>
      </c>
      <c r="D22" t="s">
        <v>39</v>
      </c>
      <c r="E22">
        <v>500454</v>
      </c>
      <c r="F22">
        <v>500454</v>
      </c>
      <c r="H22" t="s">
        <v>75</v>
      </c>
      <c r="I22" t="s">
        <v>76</v>
      </c>
      <c r="K22" t="s">
        <v>42</v>
      </c>
      <c r="L22" t="s">
        <v>43</v>
      </c>
      <c r="M22" t="s">
        <v>29</v>
      </c>
      <c r="N22" t="s">
        <v>53</v>
      </c>
      <c r="O22" t="s">
        <v>30</v>
      </c>
      <c r="P22" t="s">
        <v>31</v>
      </c>
      <c r="Q22" t="s">
        <v>32</v>
      </c>
      <c r="R22" t="s">
        <v>33</v>
      </c>
      <c r="S22" s="7" t="s">
        <v>37</v>
      </c>
      <c r="T22">
        <v>208</v>
      </c>
      <c r="U22">
        <v>94</v>
      </c>
      <c r="V22">
        <v>37</v>
      </c>
      <c r="W22">
        <v>339</v>
      </c>
      <c r="X22" s="2"/>
      <c r="Y22">
        <v>15</v>
      </c>
      <c r="Z22" s="8">
        <v>10.763358778625953</v>
      </c>
      <c r="AA22" s="8">
        <v>4.2366412213740459</v>
      </c>
      <c r="AB22" s="8"/>
      <c r="AC22">
        <v>4</v>
      </c>
      <c r="AD22" s="8">
        <v>2.8702290076335877</v>
      </c>
      <c r="AE22" s="8">
        <v>1.1297709923664123</v>
      </c>
    </row>
    <row r="23" spans="1:31" x14ac:dyDescent="0.25">
      <c r="A23" t="s">
        <v>28</v>
      </c>
      <c r="B23" t="s">
        <v>28</v>
      </c>
      <c r="C23" t="s">
        <v>38</v>
      </c>
      <c r="D23" t="s">
        <v>39</v>
      </c>
      <c r="E23">
        <v>501424</v>
      </c>
      <c r="F23">
        <v>501424</v>
      </c>
      <c r="H23" t="s">
        <v>77</v>
      </c>
      <c r="I23" t="s">
        <v>78</v>
      </c>
      <c r="K23" t="s">
        <v>42</v>
      </c>
      <c r="L23" t="s">
        <v>43</v>
      </c>
      <c r="M23" t="s">
        <v>29</v>
      </c>
      <c r="N23" t="s">
        <v>79</v>
      </c>
      <c r="O23" t="s">
        <v>30</v>
      </c>
      <c r="P23" t="s">
        <v>31</v>
      </c>
      <c r="Q23" t="s">
        <v>32</v>
      </c>
      <c r="R23" t="s">
        <v>33</v>
      </c>
      <c r="S23" s="7" t="s">
        <v>37</v>
      </c>
      <c r="T23">
        <v>307</v>
      </c>
      <c r="U23">
        <v>120</v>
      </c>
      <c r="V23">
        <v>47</v>
      </c>
      <c r="W23">
        <v>474</v>
      </c>
      <c r="X23" s="2"/>
      <c r="Y23">
        <v>18</v>
      </c>
      <c r="Z23" s="8">
        <v>12.934131736526947</v>
      </c>
      <c r="AA23" s="8">
        <v>5.0658682634730541</v>
      </c>
      <c r="AB23" s="8"/>
      <c r="AC23">
        <v>0</v>
      </c>
      <c r="AD23" s="8">
        <v>0</v>
      </c>
      <c r="AE23" s="8">
        <v>0</v>
      </c>
    </row>
    <row r="24" spans="1:31" x14ac:dyDescent="0.25">
      <c r="A24" t="s">
        <v>28</v>
      </c>
      <c r="B24" t="s">
        <v>28</v>
      </c>
      <c r="C24" t="s">
        <v>38</v>
      </c>
      <c r="D24" t="s">
        <v>80</v>
      </c>
      <c r="E24">
        <v>129387</v>
      </c>
      <c r="F24">
        <v>129387</v>
      </c>
      <c r="H24" t="s">
        <v>81</v>
      </c>
      <c r="I24" t="s">
        <v>82</v>
      </c>
      <c r="K24" t="s">
        <v>42</v>
      </c>
      <c r="L24" t="s">
        <v>43</v>
      </c>
      <c r="M24" t="s">
        <v>29</v>
      </c>
      <c r="N24" t="s">
        <v>83</v>
      </c>
      <c r="O24" t="s">
        <v>30</v>
      </c>
      <c r="P24" t="s">
        <v>31</v>
      </c>
      <c r="Q24" t="s">
        <v>32</v>
      </c>
      <c r="R24" t="s">
        <v>33</v>
      </c>
      <c r="S24" s="7" t="s">
        <v>34</v>
      </c>
      <c r="T24">
        <v>227</v>
      </c>
      <c r="U24">
        <v>0</v>
      </c>
      <c r="V24">
        <v>0</v>
      </c>
      <c r="W24">
        <v>227</v>
      </c>
      <c r="X24" s="2"/>
      <c r="Y24">
        <v>5</v>
      </c>
      <c r="AC24">
        <v>0</v>
      </c>
    </row>
    <row r="25" spans="1:31" x14ac:dyDescent="0.25">
      <c r="A25" t="s">
        <v>28</v>
      </c>
      <c r="B25" t="s">
        <v>28</v>
      </c>
      <c r="C25" t="s">
        <v>38</v>
      </c>
      <c r="D25" t="s">
        <v>80</v>
      </c>
      <c r="E25">
        <v>129388</v>
      </c>
      <c r="F25">
        <v>129388</v>
      </c>
      <c r="H25" t="s">
        <v>84</v>
      </c>
      <c r="I25" t="s">
        <v>85</v>
      </c>
      <c r="K25" t="s">
        <v>42</v>
      </c>
      <c r="L25" t="s">
        <v>43</v>
      </c>
      <c r="M25" t="s">
        <v>29</v>
      </c>
      <c r="N25" t="s">
        <v>86</v>
      </c>
      <c r="O25" t="s">
        <v>30</v>
      </c>
      <c r="P25" t="s">
        <v>31</v>
      </c>
      <c r="Q25" t="s">
        <v>32</v>
      </c>
      <c r="R25" t="s">
        <v>33</v>
      </c>
      <c r="S25" s="7" t="s">
        <v>34</v>
      </c>
      <c r="T25">
        <v>342</v>
      </c>
      <c r="U25">
        <v>0</v>
      </c>
      <c r="V25">
        <v>0</v>
      </c>
      <c r="W25">
        <v>342</v>
      </c>
      <c r="X25" s="2"/>
      <c r="Y25">
        <v>6</v>
      </c>
      <c r="AC25">
        <v>0</v>
      </c>
    </row>
    <row r="26" spans="1:31" x14ac:dyDescent="0.25">
      <c r="A26" t="s">
        <v>28</v>
      </c>
      <c r="B26" t="s">
        <v>28</v>
      </c>
      <c r="C26" t="s">
        <v>38</v>
      </c>
      <c r="D26" t="s">
        <v>80</v>
      </c>
      <c r="E26">
        <v>129389</v>
      </c>
      <c r="F26">
        <v>129389</v>
      </c>
      <c r="H26" t="s">
        <v>87</v>
      </c>
      <c r="I26" t="s">
        <v>88</v>
      </c>
      <c r="K26" t="s">
        <v>42</v>
      </c>
      <c r="L26" t="s">
        <v>43</v>
      </c>
      <c r="M26" t="s">
        <v>29</v>
      </c>
      <c r="N26" t="s">
        <v>89</v>
      </c>
      <c r="O26" t="s">
        <v>30</v>
      </c>
      <c r="P26" t="s">
        <v>31</v>
      </c>
      <c r="Q26" t="s">
        <v>32</v>
      </c>
      <c r="R26" t="s">
        <v>33</v>
      </c>
      <c r="S26" s="7" t="s">
        <v>34</v>
      </c>
      <c r="T26">
        <v>931</v>
      </c>
      <c r="U26">
        <v>0</v>
      </c>
      <c r="V26">
        <v>0</v>
      </c>
      <c r="W26">
        <v>931</v>
      </c>
      <c r="X26" s="2"/>
      <c r="Y26">
        <v>15</v>
      </c>
      <c r="AC26">
        <v>1</v>
      </c>
    </row>
    <row r="27" spans="1:31" x14ac:dyDescent="0.25">
      <c r="A27" t="s">
        <v>28</v>
      </c>
      <c r="B27" t="s">
        <v>28</v>
      </c>
      <c r="C27" t="s">
        <v>38</v>
      </c>
      <c r="D27" t="s">
        <v>80</v>
      </c>
      <c r="E27">
        <v>129390</v>
      </c>
      <c r="F27">
        <v>129390</v>
      </c>
      <c r="H27" t="s">
        <v>90</v>
      </c>
      <c r="I27" t="s">
        <v>91</v>
      </c>
      <c r="K27" t="s">
        <v>42</v>
      </c>
      <c r="L27" t="s">
        <v>43</v>
      </c>
      <c r="M27" t="s">
        <v>29</v>
      </c>
      <c r="N27" t="s">
        <v>83</v>
      </c>
      <c r="O27" t="s">
        <v>30</v>
      </c>
      <c r="P27" t="s">
        <v>31</v>
      </c>
      <c r="Q27" t="s">
        <v>32</v>
      </c>
      <c r="R27" t="s">
        <v>33</v>
      </c>
      <c r="S27" s="7" t="s">
        <v>34</v>
      </c>
      <c r="T27">
        <v>689</v>
      </c>
      <c r="U27">
        <v>0</v>
      </c>
      <c r="V27">
        <v>0</v>
      </c>
      <c r="W27">
        <v>689</v>
      </c>
      <c r="X27" s="2"/>
      <c r="Y27">
        <v>22</v>
      </c>
      <c r="AC27">
        <v>2</v>
      </c>
    </row>
    <row r="28" spans="1:31" x14ac:dyDescent="0.25">
      <c r="A28" t="s">
        <v>28</v>
      </c>
      <c r="B28" t="s">
        <v>28</v>
      </c>
      <c r="C28" t="s">
        <v>38</v>
      </c>
      <c r="D28" t="s">
        <v>80</v>
      </c>
      <c r="E28">
        <v>129391</v>
      </c>
      <c r="F28">
        <v>129391</v>
      </c>
      <c r="H28" t="s">
        <v>92</v>
      </c>
      <c r="I28" t="s">
        <v>93</v>
      </c>
      <c r="K28" t="s">
        <v>42</v>
      </c>
      <c r="L28" t="s">
        <v>43</v>
      </c>
      <c r="M28" t="s">
        <v>29</v>
      </c>
      <c r="N28" t="s">
        <v>94</v>
      </c>
      <c r="O28" t="s">
        <v>30</v>
      </c>
      <c r="P28" t="s">
        <v>31</v>
      </c>
      <c r="Q28" t="s">
        <v>32</v>
      </c>
      <c r="R28" t="s">
        <v>33</v>
      </c>
      <c r="S28" s="7" t="s">
        <v>34</v>
      </c>
      <c r="T28">
        <v>279</v>
      </c>
      <c r="U28">
        <v>0</v>
      </c>
      <c r="V28">
        <v>0</v>
      </c>
      <c r="W28">
        <v>279</v>
      </c>
      <c r="X28" s="2"/>
      <c r="Y28">
        <v>7</v>
      </c>
      <c r="AC28">
        <v>2</v>
      </c>
    </row>
    <row r="29" spans="1:31" x14ac:dyDescent="0.25">
      <c r="A29" t="s">
        <v>28</v>
      </c>
      <c r="B29" t="s">
        <v>28</v>
      </c>
      <c r="C29" t="s">
        <v>38</v>
      </c>
      <c r="D29" t="s">
        <v>80</v>
      </c>
      <c r="E29">
        <v>129392</v>
      </c>
      <c r="F29">
        <v>129392</v>
      </c>
      <c r="H29" t="s">
        <v>95</v>
      </c>
      <c r="I29" t="s">
        <v>96</v>
      </c>
      <c r="K29" t="s">
        <v>42</v>
      </c>
      <c r="L29" t="s">
        <v>43</v>
      </c>
      <c r="M29" t="s">
        <v>29</v>
      </c>
      <c r="N29" t="s">
        <v>97</v>
      </c>
      <c r="O29" t="s">
        <v>30</v>
      </c>
      <c r="P29" t="s">
        <v>31</v>
      </c>
      <c r="Q29" t="s">
        <v>32</v>
      </c>
      <c r="R29" t="s">
        <v>33</v>
      </c>
      <c r="S29" s="7" t="s">
        <v>34</v>
      </c>
      <c r="T29">
        <v>373</v>
      </c>
      <c r="U29">
        <v>0</v>
      </c>
      <c r="V29">
        <v>0</v>
      </c>
      <c r="W29">
        <v>373</v>
      </c>
      <c r="X29" s="2"/>
      <c r="Y29">
        <v>11</v>
      </c>
      <c r="AC29">
        <v>0</v>
      </c>
    </row>
    <row r="30" spans="1:31" x14ac:dyDescent="0.25">
      <c r="A30" t="s">
        <v>28</v>
      </c>
      <c r="B30" t="s">
        <v>28</v>
      </c>
      <c r="C30" t="s">
        <v>38</v>
      </c>
      <c r="D30" t="s">
        <v>80</v>
      </c>
      <c r="E30">
        <v>129393</v>
      </c>
      <c r="F30">
        <v>129393</v>
      </c>
      <c r="H30" t="s">
        <v>98</v>
      </c>
      <c r="I30" t="s">
        <v>99</v>
      </c>
      <c r="K30" t="s">
        <v>42</v>
      </c>
      <c r="L30" t="s">
        <v>43</v>
      </c>
      <c r="M30" t="s">
        <v>29</v>
      </c>
      <c r="N30" t="s">
        <v>100</v>
      </c>
      <c r="O30" t="s">
        <v>30</v>
      </c>
      <c r="P30" t="s">
        <v>31</v>
      </c>
      <c r="Q30" t="s">
        <v>32</v>
      </c>
      <c r="R30" t="s">
        <v>33</v>
      </c>
      <c r="S30" s="7" t="s">
        <v>34</v>
      </c>
      <c r="T30">
        <v>69</v>
      </c>
      <c r="U30">
        <v>0</v>
      </c>
      <c r="V30">
        <v>0</v>
      </c>
      <c r="W30">
        <v>69</v>
      </c>
      <c r="X30" s="2"/>
      <c r="Y30">
        <v>4</v>
      </c>
      <c r="AC30">
        <v>0</v>
      </c>
    </row>
    <row r="31" spans="1:31" x14ac:dyDescent="0.25">
      <c r="A31" t="s">
        <v>28</v>
      </c>
      <c r="B31" t="s">
        <v>28</v>
      </c>
      <c r="C31" t="s">
        <v>38</v>
      </c>
      <c r="D31" t="s">
        <v>80</v>
      </c>
      <c r="E31">
        <v>129394</v>
      </c>
      <c r="F31">
        <v>129394</v>
      </c>
      <c r="H31" t="s">
        <v>101</v>
      </c>
      <c r="I31" t="s">
        <v>102</v>
      </c>
      <c r="K31" t="s">
        <v>42</v>
      </c>
      <c r="L31" t="s">
        <v>43</v>
      </c>
      <c r="M31" t="s">
        <v>29</v>
      </c>
      <c r="N31" t="s">
        <v>94</v>
      </c>
      <c r="O31" t="s">
        <v>30</v>
      </c>
      <c r="P31" t="s">
        <v>31</v>
      </c>
      <c r="Q31" t="s">
        <v>32</v>
      </c>
      <c r="R31" t="s">
        <v>33</v>
      </c>
      <c r="S31" s="7" t="s">
        <v>34</v>
      </c>
      <c r="T31">
        <v>112</v>
      </c>
      <c r="U31">
        <v>0</v>
      </c>
      <c r="V31">
        <v>0</v>
      </c>
      <c r="W31">
        <v>112</v>
      </c>
      <c r="X31" s="2"/>
      <c r="Y31">
        <v>12</v>
      </c>
      <c r="AC31">
        <v>1</v>
      </c>
    </row>
    <row r="32" spans="1:31" x14ac:dyDescent="0.25">
      <c r="A32" t="s">
        <v>28</v>
      </c>
      <c r="B32" t="s">
        <v>28</v>
      </c>
      <c r="C32" t="s">
        <v>38</v>
      </c>
      <c r="D32" t="s">
        <v>80</v>
      </c>
      <c r="E32">
        <v>129395</v>
      </c>
      <c r="F32">
        <v>129395</v>
      </c>
      <c r="H32" t="s">
        <v>103</v>
      </c>
      <c r="I32" t="s">
        <v>104</v>
      </c>
      <c r="K32" t="s">
        <v>42</v>
      </c>
      <c r="L32" t="s">
        <v>43</v>
      </c>
      <c r="M32" t="s">
        <v>29</v>
      </c>
      <c r="N32" t="s">
        <v>89</v>
      </c>
      <c r="O32" t="s">
        <v>30</v>
      </c>
      <c r="P32" t="s">
        <v>31</v>
      </c>
      <c r="Q32" t="s">
        <v>32</v>
      </c>
      <c r="R32" t="s">
        <v>33</v>
      </c>
      <c r="S32" s="7" t="s">
        <v>34</v>
      </c>
      <c r="T32">
        <v>774</v>
      </c>
      <c r="U32">
        <v>0</v>
      </c>
      <c r="V32">
        <v>0</v>
      </c>
      <c r="W32">
        <v>774</v>
      </c>
      <c r="X32" s="2"/>
      <c r="Y32">
        <v>23</v>
      </c>
      <c r="AC32">
        <v>5</v>
      </c>
    </row>
    <row r="33" spans="1:31" x14ac:dyDescent="0.25">
      <c r="A33" t="s">
        <v>28</v>
      </c>
      <c r="B33" t="s">
        <v>28</v>
      </c>
      <c r="C33" t="s">
        <v>38</v>
      </c>
      <c r="D33" t="s">
        <v>80</v>
      </c>
      <c r="E33">
        <v>129396</v>
      </c>
      <c r="F33">
        <v>129396</v>
      </c>
      <c r="H33" t="s">
        <v>105</v>
      </c>
      <c r="I33" t="s">
        <v>106</v>
      </c>
      <c r="K33" t="s">
        <v>42</v>
      </c>
      <c r="L33" t="s">
        <v>43</v>
      </c>
      <c r="M33" t="s">
        <v>29</v>
      </c>
      <c r="N33" t="s">
        <v>100</v>
      </c>
      <c r="O33" t="s">
        <v>30</v>
      </c>
      <c r="P33" t="s">
        <v>31</v>
      </c>
      <c r="Q33" t="s">
        <v>32</v>
      </c>
      <c r="R33" t="s">
        <v>33</v>
      </c>
      <c r="S33" s="7" t="s">
        <v>34</v>
      </c>
      <c r="T33">
        <v>530</v>
      </c>
      <c r="U33">
        <v>0</v>
      </c>
      <c r="V33">
        <v>0</v>
      </c>
      <c r="W33">
        <v>530</v>
      </c>
      <c r="X33" s="2"/>
      <c r="Y33">
        <v>14</v>
      </c>
      <c r="AC33">
        <v>1</v>
      </c>
    </row>
    <row r="34" spans="1:31" x14ac:dyDescent="0.25">
      <c r="A34" t="s">
        <v>28</v>
      </c>
      <c r="B34" t="s">
        <v>28</v>
      </c>
      <c r="C34" t="s">
        <v>38</v>
      </c>
      <c r="D34" t="s">
        <v>80</v>
      </c>
      <c r="E34">
        <v>129397</v>
      </c>
      <c r="F34">
        <v>129397</v>
      </c>
      <c r="H34" t="s">
        <v>107</v>
      </c>
      <c r="I34" t="s">
        <v>108</v>
      </c>
      <c r="K34" t="s">
        <v>42</v>
      </c>
      <c r="L34" t="s">
        <v>43</v>
      </c>
      <c r="M34" t="s">
        <v>29</v>
      </c>
      <c r="N34" t="s">
        <v>109</v>
      </c>
      <c r="O34" t="s">
        <v>30</v>
      </c>
      <c r="P34" t="s">
        <v>31</v>
      </c>
      <c r="Q34" t="s">
        <v>32</v>
      </c>
      <c r="R34" t="s">
        <v>33</v>
      </c>
      <c r="S34" s="7" t="s">
        <v>34</v>
      </c>
      <c r="T34">
        <v>167</v>
      </c>
      <c r="U34">
        <v>0</v>
      </c>
      <c r="V34">
        <v>0</v>
      </c>
      <c r="W34">
        <v>167</v>
      </c>
      <c r="X34" s="2"/>
      <c r="Y34">
        <v>10</v>
      </c>
      <c r="AC34">
        <v>0</v>
      </c>
    </row>
    <row r="35" spans="1:31" x14ac:dyDescent="0.25">
      <c r="A35" t="s">
        <v>28</v>
      </c>
      <c r="B35" t="s">
        <v>28</v>
      </c>
      <c r="C35" t="s">
        <v>38</v>
      </c>
      <c r="D35" t="s">
        <v>80</v>
      </c>
      <c r="E35">
        <v>129398</v>
      </c>
      <c r="F35">
        <v>129398</v>
      </c>
      <c r="H35" t="s">
        <v>110</v>
      </c>
      <c r="I35" t="s">
        <v>111</v>
      </c>
      <c r="K35" t="s">
        <v>42</v>
      </c>
      <c r="L35" t="s">
        <v>43</v>
      </c>
      <c r="M35" t="s">
        <v>29</v>
      </c>
      <c r="N35" t="s">
        <v>112</v>
      </c>
      <c r="O35" t="s">
        <v>30</v>
      </c>
      <c r="P35" t="s">
        <v>31</v>
      </c>
      <c r="Q35" t="s">
        <v>32</v>
      </c>
      <c r="R35" t="s">
        <v>33</v>
      </c>
      <c r="S35" s="7" t="s">
        <v>34</v>
      </c>
      <c r="T35">
        <v>616</v>
      </c>
      <c r="U35">
        <v>0</v>
      </c>
      <c r="V35">
        <v>0</v>
      </c>
      <c r="W35">
        <v>616</v>
      </c>
      <c r="X35" s="2"/>
      <c r="Y35">
        <v>17</v>
      </c>
      <c r="AC35">
        <v>1</v>
      </c>
    </row>
    <row r="36" spans="1:31" x14ac:dyDescent="0.25">
      <c r="A36" t="s">
        <v>28</v>
      </c>
      <c r="B36" t="s">
        <v>28</v>
      </c>
      <c r="C36" t="s">
        <v>38</v>
      </c>
      <c r="D36" t="s">
        <v>80</v>
      </c>
      <c r="E36">
        <v>129399</v>
      </c>
      <c r="F36">
        <v>129399</v>
      </c>
      <c r="H36" t="s">
        <v>113</v>
      </c>
      <c r="I36" t="s">
        <v>114</v>
      </c>
      <c r="K36" t="s">
        <v>42</v>
      </c>
      <c r="L36" t="s">
        <v>43</v>
      </c>
      <c r="M36" t="s">
        <v>29</v>
      </c>
      <c r="N36" t="s">
        <v>115</v>
      </c>
      <c r="O36" t="s">
        <v>30</v>
      </c>
      <c r="P36" t="s">
        <v>31</v>
      </c>
      <c r="Q36" t="s">
        <v>32</v>
      </c>
      <c r="R36" t="s">
        <v>33</v>
      </c>
      <c r="S36" s="7" t="s">
        <v>34</v>
      </c>
      <c r="T36">
        <v>617</v>
      </c>
      <c r="U36">
        <v>0</v>
      </c>
      <c r="V36">
        <v>0</v>
      </c>
      <c r="W36">
        <v>617</v>
      </c>
      <c r="X36" s="2"/>
      <c r="Y36">
        <v>18</v>
      </c>
      <c r="AC36">
        <v>2</v>
      </c>
    </row>
    <row r="37" spans="1:31" x14ac:dyDescent="0.25">
      <c r="A37" t="s">
        <v>28</v>
      </c>
      <c r="B37" t="s">
        <v>28</v>
      </c>
      <c r="C37" t="s">
        <v>38</v>
      </c>
      <c r="D37" t="s">
        <v>80</v>
      </c>
      <c r="E37">
        <v>129400</v>
      </c>
      <c r="F37">
        <v>129400</v>
      </c>
      <c r="H37" t="s">
        <v>116</v>
      </c>
      <c r="I37" t="s">
        <v>117</v>
      </c>
      <c r="K37" t="s">
        <v>42</v>
      </c>
      <c r="L37" t="s">
        <v>43</v>
      </c>
      <c r="M37" t="s">
        <v>29</v>
      </c>
      <c r="N37" t="s">
        <v>112</v>
      </c>
      <c r="O37" t="s">
        <v>30</v>
      </c>
      <c r="P37" t="s">
        <v>31</v>
      </c>
      <c r="Q37" t="s">
        <v>32</v>
      </c>
      <c r="R37" t="s">
        <v>33</v>
      </c>
      <c r="S37" s="7" t="s">
        <v>34</v>
      </c>
      <c r="T37">
        <v>1334</v>
      </c>
      <c r="U37">
        <v>0</v>
      </c>
      <c r="V37">
        <v>0</v>
      </c>
      <c r="W37">
        <v>1334</v>
      </c>
      <c r="X37" s="2"/>
      <c r="Y37">
        <v>32</v>
      </c>
      <c r="AC37">
        <v>6</v>
      </c>
    </row>
    <row r="38" spans="1:31" x14ac:dyDescent="0.25">
      <c r="A38" t="s">
        <v>28</v>
      </c>
      <c r="B38" t="s">
        <v>28</v>
      </c>
      <c r="C38" t="s">
        <v>38</v>
      </c>
      <c r="D38" t="s">
        <v>80</v>
      </c>
      <c r="E38">
        <v>129401</v>
      </c>
      <c r="F38">
        <v>129401</v>
      </c>
      <c r="H38" t="s">
        <v>118</v>
      </c>
      <c r="I38" t="s">
        <v>119</v>
      </c>
      <c r="K38" t="s">
        <v>42</v>
      </c>
      <c r="L38" t="s">
        <v>43</v>
      </c>
      <c r="M38" t="s">
        <v>29</v>
      </c>
      <c r="N38" t="s">
        <v>86</v>
      </c>
      <c r="O38" t="s">
        <v>30</v>
      </c>
      <c r="P38" t="s">
        <v>31</v>
      </c>
      <c r="Q38" t="s">
        <v>32</v>
      </c>
      <c r="R38" t="s">
        <v>33</v>
      </c>
      <c r="S38" s="7" t="s">
        <v>34</v>
      </c>
      <c r="T38">
        <v>205</v>
      </c>
      <c r="U38">
        <v>0</v>
      </c>
      <c r="V38">
        <v>0</v>
      </c>
      <c r="W38">
        <v>205</v>
      </c>
      <c r="X38" s="2"/>
      <c r="Y38">
        <v>3</v>
      </c>
      <c r="AC38">
        <v>1</v>
      </c>
    </row>
    <row r="39" spans="1:31" x14ac:dyDescent="0.25">
      <c r="A39" t="s">
        <v>28</v>
      </c>
      <c r="B39" t="s">
        <v>28</v>
      </c>
      <c r="C39" t="s">
        <v>38</v>
      </c>
      <c r="D39" t="s">
        <v>80</v>
      </c>
      <c r="E39">
        <v>129402</v>
      </c>
      <c r="F39">
        <v>129402</v>
      </c>
      <c r="G39" s="7" t="s">
        <v>45</v>
      </c>
      <c r="H39" t="s">
        <v>120</v>
      </c>
      <c r="I39" t="s">
        <v>121</v>
      </c>
      <c r="K39" t="s">
        <v>42</v>
      </c>
      <c r="L39" t="s">
        <v>43</v>
      </c>
      <c r="M39" t="s">
        <v>29</v>
      </c>
      <c r="N39" t="s">
        <v>100</v>
      </c>
      <c r="O39" t="s">
        <v>30</v>
      </c>
      <c r="P39" t="s">
        <v>31</v>
      </c>
      <c r="Q39" t="s">
        <v>32</v>
      </c>
      <c r="R39" t="s">
        <v>33</v>
      </c>
      <c r="S39" s="7" t="s">
        <v>34</v>
      </c>
      <c r="T39">
        <v>57</v>
      </c>
      <c r="U39">
        <v>0</v>
      </c>
      <c r="V39">
        <v>0</v>
      </c>
      <c r="W39">
        <v>57</v>
      </c>
      <c r="X39" s="2"/>
      <c r="Y39">
        <v>0</v>
      </c>
      <c r="AC39">
        <v>0</v>
      </c>
    </row>
    <row r="40" spans="1:31" x14ac:dyDescent="0.25">
      <c r="A40" t="s">
        <v>28</v>
      </c>
      <c r="B40" t="s">
        <v>28</v>
      </c>
      <c r="C40" t="s">
        <v>38</v>
      </c>
      <c r="D40" t="s">
        <v>80</v>
      </c>
      <c r="E40">
        <v>129403</v>
      </c>
      <c r="F40">
        <v>129403</v>
      </c>
      <c r="H40" t="s">
        <v>122</v>
      </c>
      <c r="I40" t="s">
        <v>123</v>
      </c>
      <c r="K40" t="s">
        <v>42</v>
      </c>
      <c r="L40" t="s">
        <v>43</v>
      </c>
      <c r="M40" t="s">
        <v>29</v>
      </c>
      <c r="N40" t="s">
        <v>124</v>
      </c>
      <c r="O40" t="s">
        <v>30</v>
      </c>
      <c r="P40" t="s">
        <v>31</v>
      </c>
      <c r="Q40" t="s">
        <v>32</v>
      </c>
      <c r="R40" t="s">
        <v>33</v>
      </c>
      <c r="S40" s="7" t="s">
        <v>34</v>
      </c>
      <c r="T40">
        <v>128</v>
      </c>
      <c r="U40">
        <v>0</v>
      </c>
      <c r="V40">
        <v>0</v>
      </c>
      <c r="W40">
        <v>128</v>
      </c>
      <c r="X40" s="2"/>
      <c r="Y40">
        <v>13</v>
      </c>
      <c r="AC40">
        <v>1</v>
      </c>
    </row>
    <row r="41" spans="1:31" x14ac:dyDescent="0.25">
      <c r="A41" t="s">
        <v>28</v>
      </c>
      <c r="B41" t="s">
        <v>28</v>
      </c>
      <c r="C41" t="s">
        <v>38</v>
      </c>
      <c r="D41" t="s">
        <v>80</v>
      </c>
      <c r="E41">
        <v>129405</v>
      </c>
      <c r="F41">
        <v>129405</v>
      </c>
      <c r="H41" t="s">
        <v>125</v>
      </c>
      <c r="I41" t="s">
        <v>126</v>
      </c>
      <c r="K41" t="s">
        <v>42</v>
      </c>
      <c r="L41" t="s">
        <v>43</v>
      </c>
      <c r="M41" t="s">
        <v>29</v>
      </c>
      <c r="N41" t="s">
        <v>127</v>
      </c>
      <c r="O41" t="s">
        <v>30</v>
      </c>
      <c r="P41" t="s">
        <v>31</v>
      </c>
      <c r="Q41" t="s">
        <v>32</v>
      </c>
      <c r="R41" t="s">
        <v>33</v>
      </c>
      <c r="S41" s="7" t="s">
        <v>34</v>
      </c>
      <c r="T41">
        <v>403</v>
      </c>
      <c r="U41">
        <v>0</v>
      </c>
      <c r="V41">
        <v>0</v>
      </c>
      <c r="W41">
        <v>403</v>
      </c>
      <c r="X41" s="2"/>
      <c r="Y41">
        <v>15</v>
      </c>
      <c r="AC41">
        <v>1</v>
      </c>
    </row>
    <row r="42" spans="1:31" x14ac:dyDescent="0.25">
      <c r="A42" t="s">
        <v>28</v>
      </c>
      <c r="B42" t="s">
        <v>28</v>
      </c>
      <c r="C42" t="s">
        <v>38</v>
      </c>
      <c r="D42" t="s">
        <v>80</v>
      </c>
      <c r="E42">
        <v>129406</v>
      </c>
      <c r="F42">
        <v>129406</v>
      </c>
      <c r="H42" t="s">
        <v>128</v>
      </c>
      <c r="I42" t="s">
        <v>129</v>
      </c>
      <c r="K42" t="s">
        <v>42</v>
      </c>
      <c r="L42" t="s">
        <v>43</v>
      </c>
      <c r="M42" t="s">
        <v>29</v>
      </c>
      <c r="N42" t="s">
        <v>97</v>
      </c>
      <c r="O42" t="s">
        <v>30</v>
      </c>
      <c r="P42" t="s">
        <v>31</v>
      </c>
      <c r="Q42" t="s">
        <v>32</v>
      </c>
      <c r="R42" t="s">
        <v>33</v>
      </c>
      <c r="S42" s="7" t="s">
        <v>34</v>
      </c>
      <c r="T42">
        <v>182</v>
      </c>
      <c r="U42">
        <v>0</v>
      </c>
      <c r="V42">
        <v>0</v>
      </c>
      <c r="W42">
        <v>182</v>
      </c>
      <c r="X42" s="2"/>
      <c r="Y42">
        <v>7</v>
      </c>
      <c r="AC42">
        <v>0</v>
      </c>
    </row>
    <row r="43" spans="1:31" x14ac:dyDescent="0.25">
      <c r="A43" t="s">
        <v>28</v>
      </c>
      <c r="B43" t="s">
        <v>28</v>
      </c>
      <c r="C43" t="s">
        <v>38</v>
      </c>
      <c r="D43" t="s">
        <v>80</v>
      </c>
      <c r="E43">
        <v>129407</v>
      </c>
      <c r="F43">
        <v>129407</v>
      </c>
      <c r="H43" t="s">
        <v>130</v>
      </c>
      <c r="I43" t="s">
        <v>131</v>
      </c>
      <c r="K43" t="s">
        <v>42</v>
      </c>
      <c r="L43" t="s">
        <v>43</v>
      </c>
      <c r="M43" t="s">
        <v>29</v>
      </c>
      <c r="N43" t="s">
        <v>109</v>
      </c>
      <c r="O43" t="s">
        <v>30</v>
      </c>
      <c r="P43" t="s">
        <v>31</v>
      </c>
      <c r="Q43" t="s">
        <v>32</v>
      </c>
      <c r="R43" t="s">
        <v>33</v>
      </c>
      <c r="S43" s="7" t="s">
        <v>34</v>
      </c>
      <c r="T43">
        <v>255</v>
      </c>
      <c r="U43">
        <v>0</v>
      </c>
      <c r="V43">
        <v>0</v>
      </c>
      <c r="W43">
        <v>255</v>
      </c>
      <c r="X43" s="2"/>
      <c r="Y43">
        <v>5</v>
      </c>
      <c r="AC43">
        <v>1</v>
      </c>
    </row>
    <row r="44" spans="1:31" x14ac:dyDescent="0.25">
      <c r="A44" t="s">
        <v>28</v>
      </c>
      <c r="B44" t="s">
        <v>28</v>
      </c>
      <c r="C44" t="s">
        <v>38</v>
      </c>
      <c r="D44" t="s">
        <v>80</v>
      </c>
      <c r="E44">
        <v>129408</v>
      </c>
      <c r="F44">
        <v>129408</v>
      </c>
      <c r="H44" t="s">
        <v>132</v>
      </c>
      <c r="I44" t="s">
        <v>133</v>
      </c>
      <c r="K44" t="s">
        <v>42</v>
      </c>
      <c r="L44" t="s">
        <v>43</v>
      </c>
      <c r="M44" t="s">
        <v>29</v>
      </c>
      <c r="N44" t="s">
        <v>112</v>
      </c>
      <c r="O44" t="s">
        <v>30</v>
      </c>
      <c r="P44" t="s">
        <v>31</v>
      </c>
      <c r="Q44" t="s">
        <v>32</v>
      </c>
      <c r="R44" t="s">
        <v>33</v>
      </c>
      <c r="S44" s="7" t="s">
        <v>34</v>
      </c>
      <c r="T44">
        <v>149</v>
      </c>
      <c r="U44">
        <v>0</v>
      </c>
      <c r="V44">
        <v>0</v>
      </c>
      <c r="W44">
        <v>149</v>
      </c>
      <c r="X44" s="2"/>
      <c r="Y44">
        <v>12</v>
      </c>
      <c r="AC44">
        <v>4</v>
      </c>
    </row>
    <row r="45" spans="1:31" x14ac:dyDescent="0.25">
      <c r="A45" t="s">
        <v>28</v>
      </c>
      <c r="B45" t="s">
        <v>28</v>
      </c>
      <c r="C45" t="s">
        <v>38</v>
      </c>
      <c r="D45" t="s">
        <v>80</v>
      </c>
      <c r="E45">
        <v>129409</v>
      </c>
      <c r="F45">
        <v>129409</v>
      </c>
      <c r="H45" t="s">
        <v>134</v>
      </c>
      <c r="I45" t="s">
        <v>135</v>
      </c>
      <c r="K45" t="s">
        <v>42</v>
      </c>
      <c r="L45" t="s">
        <v>43</v>
      </c>
      <c r="M45" t="s">
        <v>29</v>
      </c>
      <c r="N45" t="s">
        <v>136</v>
      </c>
      <c r="O45" t="s">
        <v>30</v>
      </c>
      <c r="P45" t="s">
        <v>31</v>
      </c>
      <c r="Q45" t="s">
        <v>32</v>
      </c>
      <c r="R45" t="s">
        <v>33</v>
      </c>
      <c r="S45" s="7" t="s">
        <v>34</v>
      </c>
      <c r="T45">
        <v>661</v>
      </c>
      <c r="U45">
        <v>0</v>
      </c>
      <c r="V45">
        <v>0</v>
      </c>
      <c r="W45">
        <v>661</v>
      </c>
      <c r="X45" s="2"/>
      <c r="Y45">
        <v>22</v>
      </c>
      <c r="AC45">
        <v>2</v>
      </c>
    </row>
    <row r="46" spans="1:31" x14ac:dyDescent="0.25">
      <c r="A46" t="s">
        <v>28</v>
      </c>
      <c r="B46" t="s">
        <v>28</v>
      </c>
      <c r="C46" t="s">
        <v>38</v>
      </c>
      <c r="D46" t="s">
        <v>80</v>
      </c>
      <c r="E46">
        <v>257001</v>
      </c>
      <c r="F46">
        <v>257001</v>
      </c>
      <c r="H46" t="s">
        <v>137</v>
      </c>
      <c r="I46" t="s">
        <v>138</v>
      </c>
      <c r="K46" t="s">
        <v>42</v>
      </c>
      <c r="L46" t="s">
        <v>43</v>
      </c>
      <c r="M46" t="s">
        <v>29</v>
      </c>
      <c r="N46" t="s">
        <v>89</v>
      </c>
      <c r="O46" t="s">
        <v>30</v>
      </c>
      <c r="P46" t="s">
        <v>31</v>
      </c>
      <c r="Q46" t="s">
        <v>32</v>
      </c>
      <c r="R46" t="s">
        <v>33</v>
      </c>
      <c r="S46" s="7" t="s">
        <v>34</v>
      </c>
      <c r="T46">
        <v>702</v>
      </c>
      <c r="U46">
        <v>0</v>
      </c>
      <c r="V46">
        <v>0</v>
      </c>
      <c r="W46">
        <v>702</v>
      </c>
      <c r="X46" s="2"/>
      <c r="Y46">
        <v>14</v>
      </c>
      <c r="AC46">
        <v>1</v>
      </c>
    </row>
    <row r="47" spans="1:31" x14ac:dyDescent="0.25">
      <c r="A47" t="s">
        <v>28</v>
      </c>
      <c r="B47" t="s">
        <v>28</v>
      </c>
      <c r="C47" t="s">
        <v>38</v>
      </c>
      <c r="D47" t="s">
        <v>80</v>
      </c>
      <c r="E47">
        <v>304303</v>
      </c>
      <c r="F47">
        <v>304303</v>
      </c>
      <c r="H47" t="s">
        <v>139</v>
      </c>
      <c r="I47" t="s">
        <v>140</v>
      </c>
      <c r="K47" t="s">
        <v>42</v>
      </c>
      <c r="L47" t="s">
        <v>43</v>
      </c>
      <c r="M47" t="s">
        <v>29</v>
      </c>
      <c r="N47" t="s">
        <v>83</v>
      </c>
      <c r="O47" t="s">
        <v>30</v>
      </c>
      <c r="P47" t="s">
        <v>31</v>
      </c>
      <c r="Q47" t="s">
        <v>32</v>
      </c>
      <c r="R47" t="s">
        <v>33</v>
      </c>
      <c r="S47" s="7" t="s">
        <v>35</v>
      </c>
      <c r="T47">
        <v>0</v>
      </c>
      <c r="U47">
        <v>443</v>
      </c>
      <c r="V47">
        <v>156</v>
      </c>
      <c r="W47">
        <v>599</v>
      </c>
      <c r="X47" s="2"/>
      <c r="Y47">
        <v>0</v>
      </c>
      <c r="Z47" s="8">
        <v>21.447412353923205</v>
      </c>
      <c r="AA47" s="8">
        <v>7.5525876460767947</v>
      </c>
      <c r="AB47" s="8"/>
      <c r="AC47">
        <v>0</v>
      </c>
      <c r="AD47" s="8">
        <v>1.4791318864774625</v>
      </c>
      <c r="AE47" s="8">
        <v>0.52086811352253759</v>
      </c>
    </row>
    <row r="48" spans="1:31" x14ac:dyDescent="0.25">
      <c r="A48" t="s">
        <v>28</v>
      </c>
      <c r="B48" t="s">
        <v>28</v>
      </c>
      <c r="C48" t="s">
        <v>38</v>
      </c>
      <c r="D48" t="s">
        <v>80</v>
      </c>
      <c r="E48">
        <v>304305</v>
      </c>
      <c r="F48">
        <v>304305</v>
      </c>
      <c r="H48" t="s">
        <v>141</v>
      </c>
      <c r="I48" t="s">
        <v>142</v>
      </c>
      <c r="K48" t="s">
        <v>42</v>
      </c>
      <c r="L48" t="s">
        <v>43</v>
      </c>
      <c r="M48" t="s">
        <v>29</v>
      </c>
      <c r="N48" t="s">
        <v>94</v>
      </c>
      <c r="O48" t="s">
        <v>30</v>
      </c>
      <c r="P48" t="s">
        <v>31</v>
      </c>
      <c r="Q48" t="s">
        <v>32</v>
      </c>
      <c r="R48" t="s">
        <v>33</v>
      </c>
      <c r="S48" s="7" t="s">
        <v>35</v>
      </c>
      <c r="T48">
        <v>0</v>
      </c>
      <c r="U48">
        <v>334</v>
      </c>
      <c r="V48">
        <v>132</v>
      </c>
      <c r="W48">
        <v>466</v>
      </c>
      <c r="X48" s="2"/>
      <c r="Y48">
        <v>0</v>
      </c>
      <c r="Z48" s="8">
        <v>14.334763948497855</v>
      </c>
      <c r="AA48" s="8">
        <v>5.6652360515021458</v>
      </c>
      <c r="AB48" s="8"/>
      <c r="AC48">
        <v>0</v>
      </c>
      <c r="AD48" s="8">
        <v>5.733905579399142</v>
      </c>
      <c r="AE48" s="8">
        <v>2.2660944206008584</v>
      </c>
    </row>
    <row r="49" spans="1:31" x14ac:dyDescent="0.25">
      <c r="A49" t="s">
        <v>28</v>
      </c>
      <c r="B49" t="s">
        <v>28</v>
      </c>
      <c r="C49" t="s">
        <v>38</v>
      </c>
      <c r="D49" t="s">
        <v>80</v>
      </c>
      <c r="E49">
        <v>304314</v>
      </c>
      <c r="F49">
        <v>304314</v>
      </c>
      <c r="H49" t="s">
        <v>143</v>
      </c>
      <c r="I49" t="s">
        <v>114</v>
      </c>
      <c r="K49" t="s">
        <v>42</v>
      </c>
      <c r="L49" t="s">
        <v>43</v>
      </c>
      <c r="M49" t="s">
        <v>29</v>
      </c>
      <c r="N49" t="s">
        <v>115</v>
      </c>
      <c r="O49" t="s">
        <v>30</v>
      </c>
      <c r="P49" t="s">
        <v>31</v>
      </c>
      <c r="Q49" t="s">
        <v>32</v>
      </c>
      <c r="R49" t="s">
        <v>33</v>
      </c>
      <c r="S49" s="7" t="s">
        <v>35</v>
      </c>
      <c r="T49">
        <v>0</v>
      </c>
      <c r="U49">
        <v>308</v>
      </c>
      <c r="V49">
        <v>117</v>
      </c>
      <c r="W49">
        <v>425</v>
      </c>
      <c r="X49" s="2"/>
      <c r="Y49">
        <v>0</v>
      </c>
      <c r="Z49" s="8">
        <v>12.32</v>
      </c>
      <c r="AA49" s="8">
        <v>4.68</v>
      </c>
      <c r="AB49" s="8"/>
      <c r="AC49">
        <v>0</v>
      </c>
      <c r="AD49" s="8">
        <v>3.6235294117647059</v>
      </c>
      <c r="AE49" s="8">
        <v>1.3764705882352941</v>
      </c>
    </row>
    <row r="50" spans="1:31" x14ac:dyDescent="0.25">
      <c r="A50" t="s">
        <v>28</v>
      </c>
      <c r="B50" t="s">
        <v>28</v>
      </c>
      <c r="C50" t="s">
        <v>38</v>
      </c>
      <c r="D50" t="s">
        <v>80</v>
      </c>
      <c r="E50">
        <v>304327</v>
      </c>
      <c r="F50">
        <v>304327</v>
      </c>
      <c r="H50" t="s">
        <v>144</v>
      </c>
      <c r="I50" t="s">
        <v>145</v>
      </c>
      <c r="K50" t="s">
        <v>42</v>
      </c>
      <c r="L50" t="s">
        <v>43</v>
      </c>
      <c r="M50" t="s">
        <v>29</v>
      </c>
      <c r="N50" t="s">
        <v>112</v>
      </c>
      <c r="O50" t="s">
        <v>30</v>
      </c>
      <c r="P50" t="s">
        <v>31</v>
      </c>
      <c r="Q50" t="s">
        <v>32</v>
      </c>
      <c r="R50" t="s">
        <v>36</v>
      </c>
      <c r="S50" s="7" t="s">
        <v>35</v>
      </c>
      <c r="T50">
        <v>0</v>
      </c>
      <c r="U50">
        <v>1268</v>
      </c>
      <c r="V50">
        <v>367</v>
      </c>
      <c r="W50">
        <v>1635</v>
      </c>
      <c r="X50" s="2"/>
      <c r="Y50">
        <v>0</v>
      </c>
      <c r="Z50" s="8">
        <v>23.26605504587156</v>
      </c>
      <c r="AA50" s="8">
        <v>6.7339449541284404</v>
      </c>
      <c r="AB50" s="8"/>
      <c r="AC50">
        <v>0</v>
      </c>
      <c r="AD50" s="8">
        <v>1.5510703363914373</v>
      </c>
      <c r="AE50" s="8">
        <v>0.44892966360856268</v>
      </c>
    </row>
    <row r="51" spans="1:31" x14ac:dyDescent="0.25">
      <c r="A51" t="s">
        <v>28</v>
      </c>
      <c r="B51" t="s">
        <v>28</v>
      </c>
      <c r="C51" t="s">
        <v>38</v>
      </c>
      <c r="D51" t="s">
        <v>80</v>
      </c>
      <c r="E51">
        <v>304328</v>
      </c>
      <c r="F51">
        <v>304328</v>
      </c>
      <c r="H51" t="s">
        <v>146</v>
      </c>
      <c r="I51" t="s">
        <v>147</v>
      </c>
      <c r="K51" t="s">
        <v>42</v>
      </c>
      <c r="L51" t="s">
        <v>43</v>
      </c>
      <c r="M51" t="s">
        <v>29</v>
      </c>
      <c r="N51" t="s">
        <v>89</v>
      </c>
      <c r="O51" t="s">
        <v>30</v>
      </c>
      <c r="P51" t="s">
        <v>31</v>
      </c>
      <c r="Q51" t="s">
        <v>32</v>
      </c>
      <c r="R51" t="s">
        <v>33</v>
      </c>
      <c r="S51" s="7" t="s">
        <v>35</v>
      </c>
      <c r="T51">
        <v>0</v>
      </c>
      <c r="U51">
        <v>416</v>
      </c>
      <c r="V51">
        <v>289</v>
      </c>
      <c r="W51">
        <v>705</v>
      </c>
      <c r="X51" s="2"/>
      <c r="Y51">
        <v>0</v>
      </c>
      <c r="Z51" s="8">
        <v>12.981560283687942</v>
      </c>
      <c r="AA51" s="8">
        <v>9.0184397163120558</v>
      </c>
      <c r="AB51" s="8"/>
      <c r="AC51">
        <v>0</v>
      </c>
      <c r="AD51" s="8">
        <v>2.3602836879432623</v>
      </c>
      <c r="AE51" s="8">
        <v>1.6397163120567375</v>
      </c>
    </row>
    <row r="52" spans="1:31" x14ac:dyDescent="0.25">
      <c r="A52" t="s">
        <v>28</v>
      </c>
      <c r="B52" t="s">
        <v>28</v>
      </c>
      <c r="C52" t="s">
        <v>38</v>
      </c>
      <c r="D52" t="s">
        <v>80</v>
      </c>
      <c r="E52">
        <v>304338</v>
      </c>
      <c r="F52">
        <v>304338</v>
      </c>
      <c r="H52" t="s">
        <v>148</v>
      </c>
      <c r="I52" t="s">
        <v>149</v>
      </c>
      <c r="K52" t="s">
        <v>42</v>
      </c>
      <c r="L52" t="s">
        <v>43</v>
      </c>
      <c r="M52" t="s">
        <v>29</v>
      </c>
      <c r="N52" t="s">
        <v>127</v>
      </c>
      <c r="O52" t="s">
        <v>30</v>
      </c>
      <c r="P52" t="s">
        <v>31</v>
      </c>
      <c r="Q52" t="s">
        <v>32</v>
      </c>
      <c r="R52" t="s">
        <v>33</v>
      </c>
      <c r="S52" s="7" t="s">
        <v>35</v>
      </c>
      <c r="T52">
        <v>0</v>
      </c>
      <c r="U52">
        <v>177</v>
      </c>
      <c r="V52">
        <v>57</v>
      </c>
      <c r="W52">
        <v>234</v>
      </c>
      <c r="X52" s="2"/>
      <c r="Y52">
        <v>0</v>
      </c>
      <c r="Z52" s="8">
        <v>16.641025641025642</v>
      </c>
      <c r="AA52" s="8">
        <v>5.3589743589743586</v>
      </c>
      <c r="AB52" s="8"/>
      <c r="AC52">
        <v>0</v>
      </c>
      <c r="AD52" s="8">
        <v>2.2692307692307692</v>
      </c>
      <c r="AE52" s="8">
        <v>0.73076923076923073</v>
      </c>
    </row>
    <row r="53" spans="1:31" x14ac:dyDescent="0.25">
      <c r="A53" t="s">
        <v>28</v>
      </c>
      <c r="B53" t="s">
        <v>28</v>
      </c>
      <c r="C53" t="s">
        <v>38</v>
      </c>
      <c r="D53" t="s">
        <v>80</v>
      </c>
      <c r="E53">
        <v>305680</v>
      </c>
      <c r="F53">
        <v>305680</v>
      </c>
      <c r="H53" t="s">
        <v>150</v>
      </c>
      <c r="I53" t="s">
        <v>151</v>
      </c>
      <c r="K53" t="s">
        <v>42</v>
      </c>
      <c r="L53" t="s">
        <v>43</v>
      </c>
      <c r="M53" t="s">
        <v>29</v>
      </c>
      <c r="N53" t="s">
        <v>89</v>
      </c>
      <c r="O53" t="s">
        <v>30</v>
      </c>
      <c r="P53" t="s">
        <v>31</v>
      </c>
      <c r="Q53" t="s">
        <v>32</v>
      </c>
      <c r="R53" t="s">
        <v>33</v>
      </c>
      <c r="S53" s="7" t="s">
        <v>35</v>
      </c>
      <c r="T53">
        <v>0</v>
      </c>
      <c r="U53">
        <v>978</v>
      </c>
      <c r="V53">
        <v>206</v>
      </c>
      <c r="W53">
        <v>1184</v>
      </c>
      <c r="X53" s="2"/>
      <c r="Y53">
        <v>0</v>
      </c>
      <c r="Z53" s="8">
        <v>18.998310810810811</v>
      </c>
      <c r="AA53" s="8">
        <v>4.0016891891891895</v>
      </c>
      <c r="AB53" s="8"/>
      <c r="AC53">
        <v>0</v>
      </c>
      <c r="AD53" s="8">
        <v>0.82601351351351349</v>
      </c>
      <c r="AE53" s="8">
        <v>0.17398648648648649</v>
      </c>
    </row>
    <row r="54" spans="1:31" x14ac:dyDescent="0.25">
      <c r="A54" t="s">
        <v>28</v>
      </c>
      <c r="B54" t="s">
        <v>28</v>
      </c>
      <c r="C54" t="s">
        <v>38</v>
      </c>
      <c r="D54" t="s">
        <v>80</v>
      </c>
      <c r="E54">
        <v>316104</v>
      </c>
      <c r="F54">
        <v>316104</v>
      </c>
      <c r="H54" t="s">
        <v>152</v>
      </c>
      <c r="I54" t="s">
        <v>153</v>
      </c>
      <c r="K54" t="s">
        <v>42</v>
      </c>
      <c r="L54" t="s">
        <v>43</v>
      </c>
      <c r="M54" t="s">
        <v>29</v>
      </c>
      <c r="N54" t="s">
        <v>100</v>
      </c>
      <c r="O54" t="s">
        <v>30</v>
      </c>
      <c r="P54" t="s">
        <v>31</v>
      </c>
      <c r="Q54" t="s">
        <v>32</v>
      </c>
      <c r="R54" t="s">
        <v>33</v>
      </c>
      <c r="S54" s="7" t="s">
        <v>35</v>
      </c>
      <c r="T54">
        <v>0</v>
      </c>
      <c r="U54">
        <v>282</v>
      </c>
      <c r="V54">
        <v>92</v>
      </c>
      <c r="W54">
        <v>374</v>
      </c>
      <c r="X54" s="2"/>
      <c r="Y54">
        <v>0</v>
      </c>
      <c r="Z54" s="8">
        <v>11.310160427807487</v>
      </c>
      <c r="AA54" s="8">
        <v>3.6898395721925135</v>
      </c>
      <c r="AB54" s="8"/>
      <c r="AC54">
        <v>0</v>
      </c>
      <c r="AD54" s="8">
        <v>3.7700534759358288</v>
      </c>
      <c r="AE54" s="8">
        <v>1.2299465240641712</v>
      </c>
    </row>
    <row r="55" spans="1:31" x14ac:dyDescent="0.25">
      <c r="A55" t="s">
        <v>28</v>
      </c>
      <c r="B55" t="s">
        <v>28</v>
      </c>
      <c r="C55" t="s">
        <v>38</v>
      </c>
      <c r="D55" t="s">
        <v>80</v>
      </c>
      <c r="E55">
        <v>325101</v>
      </c>
      <c r="F55">
        <v>325101</v>
      </c>
      <c r="H55" t="s">
        <v>154</v>
      </c>
      <c r="I55" t="s">
        <v>155</v>
      </c>
      <c r="K55" t="s">
        <v>42</v>
      </c>
      <c r="L55" t="s">
        <v>43</v>
      </c>
      <c r="M55" t="s">
        <v>29</v>
      </c>
      <c r="N55" t="s">
        <v>89</v>
      </c>
      <c r="O55" t="s">
        <v>30</v>
      </c>
      <c r="P55" t="s">
        <v>31</v>
      </c>
      <c r="Q55" t="s">
        <v>32</v>
      </c>
      <c r="R55" t="s">
        <v>33</v>
      </c>
      <c r="S55" s="7" t="s">
        <v>35</v>
      </c>
      <c r="T55">
        <v>0</v>
      </c>
      <c r="U55">
        <v>226</v>
      </c>
      <c r="V55">
        <v>39</v>
      </c>
      <c r="W55">
        <v>265</v>
      </c>
      <c r="X55" s="2"/>
      <c r="Y55">
        <v>0</v>
      </c>
      <c r="Z55" s="8">
        <v>9.3811320754716991</v>
      </c>
      <c r="AA55" s="8">
        <v>1.6188679245283017</v>
      </c>
      <c r="AB55" s="8"/>
      <c r="AC55">
        <v>0</v>
      </c>
      <c r="AD55" s="8">
        <v>1.7056603773584906</v>
      </c>
      <c r="AE55" s="8">
        <v>0.29433962264150942</v>
      </c>
    </row>
    <row r="56" spans="1:31" x14ac:dyDescent="0.25">
      <c r="A56" t="s">
        <v>28</v>
      </c>
      <c r="B56" t="s">
        <v>28</v>
      </c>
      <c r="C56" t="s">
        <v>38</v>
      </c>
      <c r="D56" t="s">
        <v>80</v>
      </c>
      <c r="E56">
        <v>325102</v>
      </c>
      <c r="F56">
        <v>325102</v>
      </c>
      <c r="H56" t="s">
        <v>156</v>
      </c>
      <c r="I56" t="s">
        <v>157</v>
      </c>
      <c r="K56" t="s">
        <v>42</v>
      </c>
      <c r="L56" t="s">
        <v>43</v>
      </c>
      <c r="M56" t="s">
        <v>29</v>
      </c>
      <c r="N56" t="s">
        <v>86</v>
      </c>
      <c r="O56" t="s">
        <v>30</v>
      </c>
      <c r="P56" t="s">
        <v>31</v>
      </c>
      <c r="Q56" t="s">
        <v>32</v>
      </c>
      <c r="R56" t="s">
        <v>33</v>
      </c>
      <c r="S56" s="7" t="s">
        <v>35</v>
      </c>
      <c r="T56">
        <v>0</v>
      </c>
      <c r="U56">
        <v>268</v>
      </c>
      <c r="V56">
        <v>101</v>
      </c>
      <c r="W56">
        <v>369</v>
      </c>
      <c r="X56" s="2"/>
      <c r="Y56">
        <v>0</v>
      </c>
      <c r="Z56" s="8">
        <v>12.346883468834687</v>
      </c>
      <c r="AA56" s="8">
        <v>4.6531165311653115</v>
      </c>
      <c r="AB56" s="8"/>
      <c r="AC56">
        <v>0</v>
      </c>
      <c r="AD56" s="8">
        <v>0.72628726287262868</v>
      </c>
      <c r="AE56" s="8">
        <v>0.27371273712737126</v>
      </c>
    </row>
    <row r="57" spans="1:31" x14ac:dyDescent="0.25">
      <c r="A57" t="s">
        <v>28</v>
      </c>
      <c r="B57" t="s">
        <v>28</v>
      </c>
      <c r="C57" t="s">
        <v>38</v>
      </c>
      <c r="D57" t="s">
        <v>80</v>
      </c>
      <c r="E57">
        <v>325106</v>
      </c>
      <c r="F57">
        <v>325106</v>
      </c>
      <c r="H57" t="s">
        <v>158</v>
      </c>
      <c r="I57" t="s">
        <v>159</v>
      </c>
      <c r="K57" t="s">
        <v>42</v>
      </c>
      <c r="L57" t="s">
        <v>43</v>
      </c>
      <c r="M57" t="s">
        <v>29</v>
      </c>
      <c r="N57" t="s">
        <v>136</v>
      </c>
      <c r="O57" t="s">
        <v>30</v>
      </c>
      <c r="P57" t="s">
        <v>31</v>
      </c>
      <c r="Q57" t="s">
        <v>32</v>
      </c>
      <c r="R57" t="s">
        <v>33</v>
      </c>
      <c r="S57" s="7" t="s">
        <v>35</v>
      </c>
      <c r="T57">
        <v>0</v>
      </c>
      <c r="U57">
        <v>369</v>
      </c>
      <c r="V57">
        <v>111</v>
      </c>
      <c r="W57">
        <v>480</v>
      </c>
      <c r="X57" s="2"/>
      <c r="Y57">
        <v>0</v>
      </c>
      <c r="Z57" s="8">
        <v>15.375</v>
      </c>
      <c r="AA57" s="8">
        <v>4.625</v>
      </c>
      <c r="AB57" s="8"/>
      <c r="AC57">
        <v>0</v>
      </c>
      <c r="AD57" s="8">
        <v>0</v>
      </c>
      <c r="AE57" s="8">
        <v>0</v>
      </c>
    </row>
    <row r="58" spans="1:31" x14ac:dyDescent="0.25">
      <c r="A58" t="s">
        <v>28</v>
      </c>
      <c r="B58" t="s">
        <v>28</v>
      </c>
      <c r="C58" t="s">
        <v>38</v>
      </c>
      <c r="D58" t="s">
        <v>80</v>
      </c>
      <c r="E58">
        <v>502726</v>
      </c>
      <c r="F58">
        <v>502726</v>
      </c>
      <c r="H58" t="s">
        <v>160</v>
      </c>
      <c r="I58" t="s">
        <v>161</v>
      </c>
      <c r="K58" t="s">
        <v>42</v>
      </c>
      <c r="L58" t="s">
        <v>43</v>
      </c>
      <c r="M58" t="s">
        <v>29</v>
      </c>
      <c r="N58" t="s">
        <v>124</v>
      </c>
      <c r="O58" t="s">
        <v>30</v>
      </c>
      <c r="P58" t="s">
        <v>31</v>
      </c>
      <c r="Q58" t="s">
        <v>32</v>
      </c>
      <c r="R58" s="7" t="s">
        <v>33</v>
      </c>
      <c r="S58" s="7" t="s">
        <v>162</v>
      </c>
      <c r="T58">
        <v>121</v>
      </c>
      <c r="U58">
        <v>12</v>
      </c>
      <c r="V58">
        <v>0</v>
      </c>
      <c r="W58">
        <v>133</v>
      </c>
      <c r="X58" s="2"/>
      <c r="Y58">
        <v>5</v>
      </c>
      <c r="Z58">
        <v>5</v>
      </c>
      <c r="AC58">
        <v>0</v>
      </c>
      <c r="AD58">
        <v>0</v>
      </c>
    </row>
    <row r="59" spans="1:31" x14ac:dyDescent="0.25">
      <c r="A59" t="s">
        <v>28</v>
      </c>
      <c r="B59" t="s">
        <v>28</v>
      </c>
      <c r="C59" t="s">
        <v>38</v>
      </c>
      <c r="D59" t="s">
        <v>80</v>
      </c>
      <c r="E59">
        <v>502727</v>
      </c>
      <c r="F59">
        <v>502727</v>
      </c>
      <c r="H59" t="s">
        <v>163</v>
      </c>
      <c r="I59" t="s">
        <v>164</v>
      </c>
      <c r="K59" t="s">
        <v>42</v>
      </c>
      <c r="L59" t="s">
        <v>43</v>
      </c>
      <c r="M59" t="s">
        <v>29</v>
      </c>
      <c r="N59" t="s">
        <v>165</v>
      </c>
      <c r="O59" t="s">
        <v>30</v>
      </c>
      <c r="P59" t="s">
        <v>31</v>
      </c>
      <c r="Q59" t="s">
        <v>32</v>
      </c>
      <c r="R59" s="7" t="s">
        <v>33</v>
      </c>
      <c r="S59" s="7" t="s">
        <v>162</v>
      </c>
      <c r="T59">
        <v>237</v>
      </c>
      <c r="U59">
        <v>25</v>
      </c>
      <c r="V59">
        <v>0</v>
      </c>
      <c r="W59">
        <v>262</v>
      </c>
      <c r="X59" s="2"/>
      <c r="Y59">
        <v>1</v>
      </c>
      <c r="Z59">
        <v>0</v>
      </c>
      <c r="AC59">
        <v>0</v>
      </c>
      <c r="AD59">
        <v>0</v>
      </c>
    </row>
    <row r="60" spans="1:31" x14ac:dyDescent="0.25">
      <c r="A60" t="s">
        <v>28</v>
      </c>
      <c r="B60" t="s">
        <v>28</v>
      </c>
      <c r="C60" t="s">
        <v>38</v>
      </c>
      <c r="D60" t="s">
        <v>166</v>
      </c>
      <c r="E60">
        <v>102157</v>
      </c>
      <c r="F60">
        <v>102157</v>
      </c>
      <c r="H60" t="s">
        <v>167</v>
      </c>
      <c r="I60" t="s">
        <v>168</v>
      </c>
      <c r="K60" t="s">
        <v>42</v>
      </c>
      <c r="L60" t="s">
        <v>43</v>
      </c>
      <c r="M60" t="s">
        <v>29</v>
      </c>
      <c r="N60" t="s">
        <v>169</v>
      </c>
      <c r="O60" t="s">
        <v>30</v>
      </c>
      <c r="P60" t="s">
        <v>31</v>
      </c>
      <c r="Q60" t="s">
        <v>32</v>
      </c>
      <c r="R60" t="s">
        <v>33</v>
      </c>
      <c r="S60" s="7" t="s">
        <v>34</v>
      </c>
      <c r="T60">
        <v>146</v>
      </c>
      <c r="U60">
        <v>0</v>
      </c>
      <c r="V60">
        <v>0</v>
      </c>
      <c r="W60">
        <v>146</v>
      </c>
      <c r="X60" s="2"/>
      <c r="Y60">
        <v>7</v>
      </c>
      <c r="AC60">
        <v>0</v>
      </c>
    </row>
    <row r="61" spans="1:31" x14ac:dyDescent="0.25">
      <c r="A61" t="s">
        <v>28</v>
      </c>
      <c r="B61" t="s">
        <v>28</v>
      </c>
      <c r="C61" t="s">
        <v>38</v>
      </c>
      <c r="D61" t="s">
        <v>166</v>
      </c>
      <c r="E61">
        <v>102164</v>
      </c>
      <c r="F61">
        <v>102164</v>
      </c>
      <c r="H61" t="s">
        <v>170</v>
      </c>
      <c r="I61" t="s">
        <v>171</v>
      </c>
      <c r="K61" t="s">
        <v>42</v>
      </c>
      <c r="L61" t="s">
        <v>43</v>
      </c>
      <c r="M61" t="s">
        <v>29</v>
      </c>
      <c r="N61" t="s">
        <v>172</v>
      </c>
      <c r="O61" t="s">
        <v>30</v>
      </c>
      <c r="P61" t="s">
        <v>31</v>
      </c>
      <c r="Q61" t="s">
        <v>32</v>
      </c>
      <c r="R61" t="s">
        <v>33</v>
      </c>
      <c r="S61" s="7" t="s">
        <v>34</v>
      </c>
      <c r="T61">
        <v>97</v>
      </c>
      <c r="U61">
        <v>0</v>
      </c>
      <c r="V61">
        <v>0</v>
      </c>
      <c r="W61">
        <v>97</v>
      </c>
      <c r="X61" s="2"/>
      <c r="Y61">
        <v>6</v>
      </c>
      <c r="AC61">
        <v>0</v>
      </c>
    </row>
    <row r="62" spans="1:31" x14ac:dyDescent="0.25">
      <c r="A62" t="s">
        <v>28</v>
      </c>
      <c r="B62" t="s">
        <v>28</v>
      </c>
      <c r="C62" t="s">
        <v>38</v>
      </c>
      <c r="D62" t="s">
        <v>166</v>
      </c>
      <c r="E62">
        <v>129410</v>
      </c>
      <c r="F62">
        <v>129410</v>
      </c>
      <c r="H62" t="s">
        <v>173</v>
      </c>
      <c r="I62" t="s">
        <v>174</v>
      </c>
      <c r="K62" t="s">
        <v>42</v>
      </c>
      <c r="L62" t="s">
        <v>43</v>
      </c>
      <c r="M62" t="s">
        <v>29</v>
      </c>
      <c r="N62" t="s">
        <v>175</v>
      </c>
      <c r="O62" t="s">
        <v>30</v>
      </c>
      <c r="P62" t="s">
        <v>31</v>
      </c>
      <c r="Q62" t="s">
        <v>32</v>
      </c>
      <c r="R62" t="s">
        <v>33</v>
      </c>
      <c r="S62" s="7" t="s">
        <v>34</v>
      </c>
      <c r="T62">
        <v>199</v>
      </c>
      <c r="U62">
        <v>0</v>
      </c>
      <c r="V62">
        <v>0</v>
      </c>
      <c r="W62">
        <v>199</v>
      </c>
      <c r="X62" s="2"/>
      <c r="Y62">
        <v>9</v>
      </c>
      <c r="AC62">
        <v>1</v>
      </c>
    </row>
    <row r="63" spans="1:31" x14ac:dyDescent="0.25">
      <c r="A63" t="s">
        <v>28</v>
      </c>
      <c r="B63" t="s">
        <v>28</v>
      </c>
      <c r="C63" t="s">
        <v>38</v>
      </c>
      <c r="D63" t="s">
        <v>166</v>
      </c>
      <c r="E63">
        <v>129412</v>
      </c>
      <c r="F63">
        <v>129412</v>
      </c>
      <c r="H63" t="s">
        <v>176</v>
      </c>
      <c r="I63" t="s">
        <v>177</v>
      </c>
      <c r="K63" t="s">
        <v>42</v>
      </c>
      <c r="L63" t="s">
        <v>43</v>
      </c>
      <c r="M63" t="s">
        <v>29</v>
      </c>
      <c r="N63" t="s">
        <v>178</v>
      </c>
      <c r="O63" t="s">
        <v>30</v>
      </c>
      <c r="P63" t="s">
        <v>31</v>
      </c>
      <c r="Q63" t="s">
        <v>32</v>
      </c>
      <c r="R63" t="s">
        <v>33</v>
      </c>
      <c r="S63" s="7" t="s">
        <v>34</v>
      </c>
      <c r="T63">
        <v>82</v>
      </c>
      <c r="U63">
        <v>0</v>
      </c>
      <c r="V63">
        <v>0</v>
      </c>
      <c r="W63">
        <v>82</v>
      </c>
      <c r="X63" s="2"/>
      <c r="Y63">
        <v>7</v>
      </c>
      <c r="AC63">
        <v>0</v>
      </c>
    </row>
    <row r="64" spans="1:31" x14ac:dyDescent="0.25">
      <c r="A64" t="s">
        <v>28</v>
      </c>
      <c r="B64" t="s">
        <v>28</v>
      </c>
      <c r="C64" t="s">
        <v>38</v>
      </c>
      <c r="D64" t="s">
        <v>166</v>
      </c>
      <c r="E64">
        <v>129413</v>
      </c>
      <c r="F64">
        <v>129413</v>
      </c>
      <c r="H64" t="s">
        <v>179</v>
      </c>
      <c r="I64" t="s">
        <v>180</v>
      </c>
      <c r="K64" t="s">
        <v>42</v>
      </c>
      <c r="L64" t="s">
        <v>43</v>
      </c>
      <c r="M64" t="s">
        <v>29</v>
      </c>
      <c r="N64" t="s">
        <v>175</v>
      </c>
      <c r="O64" t="s">
        <v>30</v>
      </c>
      <c r="P64" t="s">
        <v>31</v>
      </c>
      <c r="Q64" t="s">
        <v>32</v>
      </c>
      <c r="R64" t="s">
        <v>33</v>
      </c>
      <c r="S64" s="7" t="s">
        <v>34</v>
      </c>
      <c r="T64">
        <v>309</v>
      </c>
      <c r="U64">
        <v>0</v>
      </c>
      <c r="V64">
        <v>0</v>
      </c>
      <c r="W64">
        <v>309</v>
      </c>
      <c r="X64" s="2"/>
      <c r="Y64">
        <v>13</v>
      </c>
      <c r="AC64">
        <v>4</v>
      </c>
    </row>
    <row r="65" spans="1:31" x14ac:dyDescent="0.25">
      <c r="A65" t="s">
        <v>28</v>
      </c>
      <c r="B65" t="s">
        <v>28</v>
      </c>
      <c r="C65" t="s">
        <v>38</v>
      </c>
      <c r="D65" t="s">
        <v>166</v>
      </c>
      <c r="E65">
        <v>129414</v>
      </c>
      <c r="F65">
        <v>129414</v>
      </c>
      <c r="H65" t="s">
        <v>181</v>
      </c>
      <c r="I65" t="s">
        <v>182</v>
      </c>
      <c r="K65" t="s">
        <v>42</v>
      </c>
      <c r="L65" t="s">
        <v>43</v>
      </c>
      <c r="M65" t="s">
        <v>29</v>
      </c>
      <c r="N65" t="s">
        <v>183</v>
      </c>
      <c r="O65" t="s">
        <v>30</v>
      </c>
      <c r="P65" t="s">
        <v>31</v>
      </c>
      <c r="Q65" t="s">
        <v>32</v>
      </c>
      <c r="R65" t="s">
        <v>33</v>
      </c>
      <c r="S65" s="7" t="s">
        <v>34</v>
      </c>
      <c r="T65">
        <v>329</v>
      </c>
      <c r="U65">
        <v>0</v>
      </c>
      <c r="V65">
        <v>0</v>
      </c>
      <c r="W65">
        <v>329</v>
      </c>
      <c r="X65" s="2"/>
      <c r="Y65">
        <v>20</v>
      </c>
      <c r="AC65">
        <v>2</v>
      </c>
    </row>
    <row r="66" spans="1:31" x14ac:dyDescent="0.25">
      <c r="A66" t="s">
        <v>28</v>
      </c>
      <c r="B66" t="s">
        <v>28</v>
      </c>
      <c r="C66" t="s">
        <v>38</v>
      </c>
      <c r="D66" t="s">
        <v>166</v>
      </c>
      <c r="E66">
        <v>129417</v>
      </c>
      <c r="F66">
        <v>129417</v>
      </c>
      <c r="H66" t="s">
        <v>184</v>
      </c>
      <c r="I66" t="s">
        <v>185</v>
      </c>
      <c r="K66" t="s">
        <v>42</v>
      </c>
      <c r="L66" t="s">
        <v>43</v>
      </c>
      <c r="M66" t="s">
        <v>29</v>
      </c>
      <c r="N66" t="s">
        <v>169</v>
      </c>
      <c r="O66" t="s">
        <v>30</v>
      </c>
      <c r="P66" t="s">
        <v>31</v>
      </c>
      <c r="Q66" t="s">
        <v>32</v>
      </c>
      <c r="R66" t="s">
        <v>33</v>
      </c>
      <c r="S66" s="7" t="s">
        <v>34</v>
      </c>
      <c r="T66">
        <v>560</v>
      </c>
      <c r="U66">
        <v>0</v>
      </c>
      <c r="V66">
        <v>0</v>
      </c>
      <c r="W66">
        <v>560</v>
      </c>
      <c r="X66" s="2"/>
      <c r="Y66">
        <v>4</v>
      </c>
      <c r="AC66">
        <v>0</v>
      </c>
    </row>
    <row r="67" spans="1:31" x14ac:dyDescent="0.25">
      <c r="A67" t="s">
        <v>28</v>
      </c>
      <c r="B67" t="s">
        <v>28</v>
      </c>
      <c r="C67" t="s">
        <v>38</v>
      </c>
      <c r="D67" t="s">
        <v>166</v>
      </c>
      <c r="E67">
        <v>129418</v>
      </c>
      <c r="F67">
        <v>129418</v>
      </c>
      <c r="H67" t="s">
        <v>186</v>
      </c>
      <c r="I67" t="s">
        <v>187</v>
      </c>
      <c r="K67" t="s">
        <v>42</v>
      </c>
      <c r="L67" t="s">
        <v>43</v>
      </c>
      <c r="M67" t="s">
        <v>29</v>
      </c>
      <c r="N67" t="s">
        <v>169</v>
      </c>
      <c r="O67" t="s">
        <v>30</v>
      </c>
      <c r="P67" t="s">
        <v>31</v>
      </c>
      <c r="Q67" t="s">
        <v>32</v>
      </c>
      <c r="R67" t="s">
        <v>33</v>
      </c>
      <c r="S67" s="7" t="s">
        <v>34</v>
      </c>
      <c r="T67">
        <v>142</v>
      </c>
      <c r="U67">
        <v>0</v>
      </c>
      <c r="V67">
        <v>0</v>
      </c>
      <c r="W67">
        <v>142</v>
      </c>
      <c r="X67" s="2"/>
      <c r="Y67">
        <v>8</v>
      </c>
      <c r="AC67">
        <v>0</v>
      </c>
    </row>
    <row r="68" spans="1:31" x14ac:dyDescent="0.25">
      <c r="A68" t="s">
        <v>28</v>
      </c>
      <c r="B68" t="s">
        <v>28</v>
      </c>
      <c r="C68" t="s">
        <v>38</v>
      </c>
      <c r="D68" t="s">
        <v>166</v>
      </c>
      <c r="E68">
        <v>129419</v>
      </c>
      <c r="F68">
        <v>129419</v>
      </c>
      <c r="H68" t="s">
        <v>188</v>
      </c>
      <c r="I68" t="s">
        <v>159</v>
      </c>
      <c r="K68" t="s">
        <v>42</v>
      </c>
      <c r="L68" t="s">
        <v>43</v>
      </c>
      <c r="M68" t="s">
        <v>29</v>
      </c>
      <c r="N68" t="s">
        <v>189</v>
      </c>
      <c r="O68" t="s">
        <v>30</v>
      </c>
      <c r="P68" t="s">
        <v>31</v>
      </c>
      <c r="Q68" t="s">
        <v>32</v>
      </c>
      <c r="R68" t="s">
        <v>33</v>
      </c>
      <c r="S68" s="7" t="s">
        <v>34</v>
      </c>
      <c r="T68">
        <v>357</v>
      </c>
      <c r="U68">
        <v>0</v>
      </c>
      <c r="V68">
        <v>0</v>
      </c>
      <c r="W68">
        <v>357</v>
      </c>
      <c r="X68" s="2"/>
      <c r="Y68">
        <v>6</v>
      </c>
      <c r="AC68">
        <v>0</v>
      </c>
    </row>
    <row r="69" spans="1:31" x14ac:dyDescent="0.25">
      <c r="A69" t="s">
        <v>28</v>
      </c>
      <c r="B69" t="s">
        <v>28</v>
      </c>
      <c r="C69" t="s">
        <v>38</v>
      </c>
      <c r="D69" t="s">
        <v>166</v>
      </c>
      <c r="E69">
        <v>129420</v>
      </c>
      <c r="F69">
        <v>129420</v>
      </c>
      <c r="H69" t="s">
        <v>190</v>
      </c>
      <c r="I69" t="s">
        <v>191</v>
      </c>
      <c r="K69" t="s">
        <v>42</v>
      </c>
      <c r="L69" t="s">
        <v>43</v>
      </c>
      <c r="M69" t="s">
        <v>29</v>
      </c>
      <c r="N69" t="s">
        <v>191</v>
      </c>
      <c r="O69" t="s">
        <v>30</v>
      </c>
      <c r="P69" t="s">
        <v>31</v>
      </c>
      <c r="Q69" t="s">
        <v>32</v>
      </c>
      <c r="R69" t="s">
        <v>33</v>
      </c>
      <c r="S69" s="7" t="s">
        <v>34</v>
      </c>
      <c r="T69">
        <v>222</v>
      </c>
      <c r="U69">
        <v>0</v>
      </c>
      <c r="V69">
        <v>0</v>
      </c>
      <c r="W69">
        <v>222</v>
      </c>
      <c r="X69" s="2"/>
      <c r="Y69">
        <v>7</v>
      </c>
      <c r="AC69">
        <v>2</v>
      </c>
    </row>
    <row r="70" spans="1:31" x14ac:dyDescent="0.25">
      <c r="A70" t="s">
        <v>28</v>
      </c>
      <c r="B70" t="s">
        <v>28</v>
      </c>
      <c r="C70" t="s">
        <v>38</v>
      </c>
      <c r="D70" t="s">
        <v>166</v>
      </c>
      <c r="E70">
        <v>129421</v>
      </c>
      <c r="F70">
        <v>129421</v>
      </c>
      <c r="H70" t="s">
        <v>192</v>
      </c>
      <c r="I70" t="s">
        <v>193</v>
      </c>
      <c r="K70" t="s">
        <v>42</v>
      </c>
      <c r="L70" t="s">
        <v>43</v>
      </c>
      <c r="M70" t="s">
        <v>29</v>
      </c>
      <c r="N70" t="s">
        <v>175</v>
      </c>
      <c r="O70" t="s">
        <v>30</v>
      </c>
      <c r="P70" t="s">
        <v>31</v>
      </c>
      <c r="Q70" t="s">
        <v>32</v>
      </c>
      <c r="R70" t="s">
        <v>33</v>
      </c>
      <c r="S70" s="7" t="s">
        <v>34</v>
      </c>
      <c r="T70">
        <v>82</v>
      </c>
      <c r="U70">
        <v>0</v>
      </c>
      <c r="V70">
        <v>0</v>
      </c>
      <c r="W70">
        <v>82</v>
      </c>
      <c r="X70" s="2"/>
      <c r="Y70">
        <v>7</v>
      </c>
      <c r="AC70">
        <v>0</v>
      </c>
    </row>
    <row r="71" spans="1:31" x14ac:dyDescent="0.25">
      <c r="A71" t="s">
        <v>28</v>
      </c>
      <c r="B71" t="s">
        <v>28</v>
      </c>
      <c r="C71" t="s">
        <v>38</v>
      </c>
      <c r="D71" t="s">
        <v>166</v>
      </c>
      <c r="E71">
        <v>129422</v>
      </c>
      <c r="F71">
        <v>129422</v>
      </c>
      <c r="H71" t="s">
        <v>194</v>
      </c>
      <c r="I71" t="s">
        <v>195</v>
      </c>
      <c r="K71" t="s">
        <v>42</v>
      </c>
      <c r="L71" t="s">
        <v>43</v>
      </c>
      <c r="M71" t="s">
        <v>29</v>
      </c>
      <c r="N71" t="s">
        <v>169</v>
      </c>
      <c r="O71" t="s">
        <v>30</v>
      </c>
      <c r="P71" t="s">
        <v>31</v>
      </c>
      <c r="Q71" t="s">
        <v>32</v>
      </c>
      <c r="R71" t="s">
        <v>33</v>
      </c>
      <c r="S71" s="7" t="s">
        <v>34</v>
      </c>
      <c r="T71">
        <v>179</v>
      </c>
      <c r="U71">
        <v>0</v>
      </c>
      <c r="V71">
        <v>0</v>
      </c>
      <c r="W71">
        <v>179</v>
      </c>
      <c r="X71" s="2"/>
      <c r="Y71">
        <v>5</v>
      </c>
      <c r="AC71">
        <v>0</v>
      </c>
    </row>
    <row r="72" spans="1:31" x14ac:dyDescent="0.25">
      <c r="A72" t="s">
        <v>28</v>
      </c>
      <c r="B72" t="s">
        <v>28</v>
      </c>
      <c r="C72" t="s">
        <v>38</v>
      </c>
      <c r="D72" t="s">
        <v>166</v>
      </c>
      <c r="E72">
        <v>304313</v>
      </c>
      <c r="F72">
        <v>304313</v>
      </c>
      <c r="H72" t="s">
        <v>196</v>
      </c>
      <c r="I72" t="s">
        <v>197</v>
      </c>
      <c r="K72" t="s">
        <v>42</v>
      </c>
      <c r="L72" t="s">
        <v>43</v>
      </c>
      <c r="M72" t="s">
        <v>29</v>
      </c>
      <c r="N72" t="s">
        <v>175</v>
      </c>
      <c r="O72" t="s">
        <v>30</v>
      </c>
      <c r="P72" t="s">
        <v>31</v>
      </c>
      <c r="Q72" t="s">
        <v>198</v>
      </c>
      <c r="R72" t="s">
        <v>36</v>
      </c>
      <c r="S72" s="7" t="s">
        <v>35</v>
      </c>
      <c r="T72">
        <v>0</v>
      </c>
      <c r="U72">
        <v>496</v>
      </c>
      <c r="V72">
        <v>230</v>
      </c>
      <c r="W72">
        <v>726</v>
      </c>
      <c r="X72" s="2"/>
      <c r="Y72">
        <v>0</v>
      </c>
      <c r="Z72" s="8">
        <v>8.8815426997245179</v>
      </c>
      <c r="AA72" s="8">
        <v>4.1184573002754821</v>
      </c>
      <c r="AB72" s="8"/>
      <c r="AC72">
        <v>0</v>
      </c>
      <c r="AD72" s="8">
        <v>0</v>
      </c>
      <c r="AE72" s="8">
        <v>0</v>
      </c>
    </row>
    <row r="73" spans="1:31" x14ac:dyDescent="0.25">
      <c r="A73" t="s">
        <v>28</v>
      </c>
      <c r="B73" t="s">
        <v>28</v>
      </c>
      <c r="C73" t="s">
        <v>38</v>
      </c>
      <c r="D73" t="s">
        <v>166</v>
      </c>
      <c r="E73">
        <v>304318</v>
      </c>
      <c r="F73">
        <v>304318</v>
      </c>
      <c r="H73" t="s">
        <v>199</v>
      </c>
      <c r="I73" t="s">
        <v>200</v>
      </c>
      <c r="K73" t="s">
        <v>42</v>
      </c>
      <c r="L73" t="s">
        <v>43</v>
      </c>
      <c r="M73" t="s">
        <v>29</v>
      </c>
      <c r="N73" t="s">
        <v>183</v>
      </c>
      <c r="O73" t="s">
        <v>30</v>
      </c>
      <c r="P73" t="s">
        <v>31</v>
      </c>
      <c r="Q73" t="s">
        <v>32</v>
      </c>
      <c r="R73" t="s">
        <v>33</v>
      </c>
      <c r="S73" s="7" t="s">
        <v>35</v>
      </c>
      <c r="T73">
        <v>0</v>
      </c>
      <c r="U73">
        <v>258</v>
      </c>
      <c r="V73">
        <v>111</v>
      </c>
      <c r="W73">
        <v>369</v>
      </c>
      <c r="X73" s="2"/>
      <c r="Y73">
        <v>0</v>
      </c>
      <c r="Z73" s="8">
        <v>10.487804878048781</v>
      </c>
      <c r="AA73" s="8">
        <v>4.51219512195122</v>
      </c>
      <c r="AB73" s="8"/>
      <c r="AC73">
        <v>0</v>
      </c>
      <c r="AD73" s="8">
        <v>2.7967479674796749</v>
      </c>
      <c r="AE73" s="8">
        <v>1.2032520325203253</v>
      </c>
    </row>
    <row r="74" spans="1:31" x14ac:dyDescent="0.25">
      <c r="A74" t="s">
        <v>28</v>
      </c>
      <c r="B74" t="s">
        <v>28</v>
      </c>
      <c r="C74" t="s">
        <v>38</v>
      </c>
      <c r="D74" t="s">
        <v>166</v>
      </c>
      <c r="E74">
        <v>325105</v>
      </c>
      <c r="F74">
        <v>325105</v>
      </c>
      <c r="H74" t="s">
        <v>201</v>
      </c>
      <c r="I74" t="s">
        <v>202</v>
      </c>
      <c r="J74">
        <v>304313</v>
      </c>
      <c r="K74" t="s">
        <v>42</v>
      </c>
      <c r="L74" t="s">
        <v>43</v>
      </c>
      <c r="M74" t="s">
        <v>29</v>
      </c>
      <c r="N74" t="s">
        <v>169</v>
      </c>
      <c r="O74" t="s">
        <v>30</v>
      </c>
      <c r="P74" t="s">
        <v>31</v>
      </c>
      <c r="Q74" t="s">
        <v>198</v>
      </c>
      <c r="R74" t="s">
        <v>33</v>
      </c>
      <c r="S74" s="7" t="s">
        <v>35</v>
      </c>
      <c r="T74">
        <v>0</v>
      </c>
      <c r="U74">
        <v>424</v>
      </c>
      <c r="V74">
        <v>156</v>
      </c>
      <c r="W74">
        <v>580</v>
      </c>
      <c r="X74" s="2"/>
      <c r="Y74">
        <v>0</v>
      </c>
      <c r="Z74" s="8">
        <v>17.544827586206896</v>
      </c>
      <c r="AA74" s="8">
        <v>6.455172413793103</v>
      </c>
      <c r="AB74" s="8"/>
      <c r="AC74">
        <v>0</v>
      </c>
      <c r="AD74" s="8">
        <v>2.193103448275862</v>
      </c>
      <c r="AE74" s="8">
        <v>0.80689655172413788</v>
      </c>
    </row>
    <row r="75" spans="1:31" x14ac:dyDescent="0.25">
      <c r="A75" t="s">
        <v>28</v>
      </c>
      <c r="B75" t="s">
        <v>28</v>
      </c>
      <c r="C75" t="s">
        <v>38</v>
      </c>
      <c r="D75" t="s">
        <v>166</v>
      </c>
      <c r="E75">
        <v>501085</v>
      </c>
      <c r="F75">
        <v>501085</v>
      </c>
      <c r="H75" t="s">
        <v>203</v>
      </c>
      <c r="I75" t="s">
        <v>204</v>
      </c>
      <c r="K75" t="s">
        <v>42</v>
      </c>
      <c r="L75" t="s">
        <v>43</v>
      </c>
      <c r="M75" t="s">
        <v>29</v>
      </c>
      <c r="N75" t="s">
        <v>205</v>
      </c>
      <c r="O75" t="s">
        <v>30</v>
      </c>
      <c r="P75" t="s">
        <v>31</v>
      </c>
      <c r="Q75" t="s">
        <v>32</v>
      </c>
      <c r="R75" t="s">
        <v>33</v>
      </c>
      <c r="S75" s="7" t="s">
        <v>162</v>
      </c>
      <c r="T75">
        <v>386</v>
      </c>
      <c r="U75">
        <v>143</v>
      </c>
      <c r="V75">
        <v>0</v>
      </c>
      <c r="W75">
        <v>529</v>
      </c>
      <c r="X75" s="2"/>
      <c r="Y75">
        <v>17</v>
      </c>
      <c r="Z75">
        <v>17</v>
      </c>
      <c r="AC75">
        <v>1</v>
      </c>
      <c r="AD75">
        <v>1</v>
      </c>
    </row>
    <row r="76" spans="1:31" x14ac:dyDescent="0.25">
      <c r="A76" t="s">
        <v>28</v>
      </c>
      <c r="B76" t="s">
        <v>28</v>
      </c>
      <c r="C76" t="s">
        <v>38</v>
      </c>
      <c r="D76" t="s">
        <v>166</v>
      </c>
      <c r="E76">
        <v>501086</v>
      </c>
      <c r="F76">
        <v>501086</v>
      </c>
      <c r="H76" t="s">
        <v>206</v>
      </c>
      <c r="I76" t="s">
        <v>207</v>
      </c>
      <c r="K76" t="s">
        <v>42</v>
      </c>
      <c r="L76" t="s">
        <v>43</v>
      </c>
      <c r="M76" t="s">
        <v>29</v>
      </c>
      <c r="N76" t="s">
        <v>208</v>
      </c>
      <c r="O76" t="s">
        <v>30</v>
      </c>
      <c r="P76" t="s">
        <v>31</v>
      </c>
      <c r="Q76" t="s">
        <v>32</v>
      </c>
      <c r="R76" t="s">
        <v>33</v>
      </c>
      <c r="S76" s="7" t="s">
        <v>37</v>
      </c>
      <c r="T76">
        <v>201</v>
      </c>
      <c r="U76">
        <v>96</v>
      </c>
      <c r="V76">
        <v>11</v>
      </c>
      <c r="W76">
        <v>308</v>
      </c>
      <c r="X76" s="2"/>
      <c r="Y76">
        <v>7</v>
      </c>
      <c r="Z76" s="8">
        <v>8.074766355140186</v>
      </c>
      <c r="AA76" s="8">
        <v>0.92523364485981308</v>
      </c>
      <c r="AB76" s="8"/>
      <c r="AC76">
        <v>3</v>
      </c>
      <c r="AD76" s="8">
        <v>0.89719626168224298</v>
      </c>
      <c r="AE76" s="8">
        <v>0.10280373831775701</v>
      </c>
    </row>
    <row r="77" spans="1:31" x14ac:dyDescent="0.25">
      <c r="A77" t="s">
        <v>28</v>
      </c>
      <c r="B77" t="s">
        <v>28</v>
      </c>
      <c r="C77" t="s">
        <v>38</v>
      </c>
      <c r="D77" t="s">
        <v>166</v>
      </c>
      <c r="E77">
        <v>501087</v>
      </c>
      <c r="F77">
        <v>501087</v>
      </c>
      <c r="H77" t="s">
        <v>209</v>
      </c>
      <c r="I77" t="s">
        <v>210</v>
      </c>
      <c r="K77" t="s">
        <v>42</v>
      </c>
      <c r="L77" t="s">
        <v>43</v>
      </c>
      <c r="M77" t="s">
        <v>29</v>
      </c>
      <c r="N77" t="s">
        <v>172</v>
      </c>
      <c r="O77" t="s">
        <v>30</v>
      </c>
      <c r="P77" t="s">
        <v>31</v>
      </c>
      <c r="Q77" t="s">
        <v>32</v>
      </c>
      <c r="R77" t="s">
        <v>33</v>
      </c>
      <c r="S77" s="7" t="s">
        <v>37</v>
      </c>
      <c r="T77">
        <v>190</v>
      </c>
      <c r="U77">
        <v>102</v>
      </c>
      <c r="V77">
        <v>54</v>
      </c>
      <c r="W77">
        <v>346</v>
      </c>
      <c r="X77" s="2"/>
      <c r="Y77">
        <v>8</v>
      </c>
      <c r="Z77" s="8">
        <v>5.2307692307692308</v>
      </c>
      <c r="AA77" s="8">
        <v>2.7692307692307692</v>
      </c>
      <c r="AB77" s="8"/>
      <c r="AC77">
        <v>1</v>
      </c>
      <c r="AD77" s="8">
        <v>0.65384615384615385</v>
      </c>
      <c r="AE77" s="8">
        <v>0.34615384615384615</v>
      </c>
    </row>
    <row r="78" spans="1:31" x14ac:dyDescent="0.25">
      <c r="A78" t="s">
        <v>28</v>
      </c>
      <c r="B78" t="s">
        <v>28</v>
      </c>
      <c r="C78" t="s">
        <v>38</v>
      </c>
      <c r="D78" t="s">
        <v>39</v>
      </c>
      <c r="E78">
        <v>306039</v>
      </c>
      <c r="F78">
        <v>306039</v>
      </c>
      <c r="H78" t="s">
        <v>211</v>
      </c>
      <c r="I78" t="s">
        <v>212</v>
      </c>
      <c r="K78" t="s">
        <v>42</v>
      </c>
      <c r="L78" t="s">
        <v>43</v>
      </c>
      <c r="M78" t="s">
        <v>213</v>
      </c>
      <c r="N78" t="s">
        <v>191</v>
      </c>
      <c r="O78" t="s">
        <v>30</v>
      </c>
      <c r="P78" t="s">
        <v>31</v>
      </c>
      <c r="Q78" t="s">
        <v>32</v>
      </c>
      <c r="R78" t="s">
        <v>33</v>
      </c>
      <c r="S78" s="7" t="s">
        <v>35</v>
      </c>
      <c r="T78">
        <v>0</v>
      </c>
      <c r="U78">
        <v>108</v>
      </c>
      <c r="V78">
        <v>42</v>
      </c>
      <c r="W78">
        <v>150</v>
      </c>
      <c r="X78" s="2"/>
      <c r="Y78">
        <v>0</v>
      </c>
      <c r="Z78" s="8">
        <v>7.1999999999999993</v>
      </c>
      <c r="AA78" s="8">
        <v>2.8000000000000003</v>
      </c>
      <c r="AB78" s="8"/>
      <c r="AC78">
        <v>0</v>
      </c>
      <c r="AD78" s="8">
        <v>1.44</v>
      </c>
      <c r="AE78" s="8">
        <v>0.56000000000000005</v>
      </c>
    </row>
    <row r="79" spans="1:31" x14ac:dyDescent="0.25">
      <c r="T79" s="9">
        <f t="shared" ref="T79:V79" si="0">SUM(T7:T78)</f>
        <v>22565</v>
      </c>
      <c r="U79" s="9">
        <f t="shared" si="0"/>
        <v>11169</v>
      </c>
      <c r="V79" s="9">
        <f t="shared" si="0"/>
        <v>4621</v>
      </c>
      <c r="W79" s="9">
        <f>SUM(W7:W78)</f>
        <v>38355</v>
      </c>
      <c r="Y79" s="10">
        <f t="shared" ref="Y79:AA79" si="1">SUM(Y7:Y78)</f>
        <v>682</v>
      </c>
      <c r="Z79" s="10">
        <f t="shared" si="1"/>
        <v>389.26790348806037</v>
      </c>
      <c r="AA79" s="10">
        <f t="shared" si="1"/>
        <v>153.7320965119396</v>
      </c>
      <c r="AB79" s="11">
        <f>SUM(Y79:AA79)</f>
        <v>1224.9999999999998</v>
      </c>
    </row>
    <row r="80" spans="1:31" x14ac:dyDescent="0.25">
      <c r="V80">
        <f>SUM(U79:V79)</f>
        <v>15790</v>
      </c>
      <c r="Y80" s="16">
        <f>T79/Y79</f>
        <v>33.086510263929618</v>
      </c>
      <c r="AA80" s="16">
        <f>SUM(Z79:AA79)</f>
        <v>543</v>
      </c>
      <c r="AB80">
        <f>W79/AB79</f>
        <v>31.310204081632659</v>
      </c>
    </row>
    <row r="81" spans="27:27" x14ac:dyDescent="0.25">
      <c r="AA81" s="16">
        <f>V80/AA80</f>
        <v>29.079189686924494</v>
      </c>
    </row>
  </sheetData>
  <mergeCells count="2">
    <mergeCell ref="Y4:AA4"/>
    <mergeCell ref="AC4:A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3F4B9-A4C1-4D8C-8C72-54CF21758206}">
  <dimension ref="A1:G3"/>
  <sheetViews>
    <sheetView workbookViewId="0">
      <selection activeCell="F3" sqref="F3"/>
    </sheetView>
  </sheetViews>
  <sheetFormatPr defaultRowHeight="15" x14ac:dyDescent="0.25"/>
  <cols>
    <col min="4" max="4" width="16.5703125" customWidth="1"/>
  </cols>
  <sheetData>
    <row r="1" spans="1:7" x14ac:dyDescent="0.25">
      <c r="A1" s="14" t="s">
        <v>216</v>
      </c>
      <c r="B1" s="14"/>
      <c r="C1" s="14"/>
      <c r="D1" t="s">
        <v>218</v>
      </c>
      <c r="E1" t="s">
        <v>219</v>
      </c>
    </row>
    <row r="2" spans="1:7" x14ac:dyDescent="0.25">
      <c r="A2" s="12" t="s">
        <v>214</v>
      </c>
      <c r="B2" s="12" t="s">
        <v>215</v>
      </c>
      <c r="C2" s="12" t="s">
        <v>217</v>
      </c>
      <c r="E2" s="12" t="s">
        <v>214</v>
      </c>
      <c r="F2" s="12" t="s">
        <v>215</v>
      </c>
      <c r="G2" s="12" t="s">
        <v>217</v>
      </c>
    </row>
    <row r="3" spans="1:7" x14ac:dyDescent="0.25">
      <c r="A3">
        <v>21661</v>
      </c>
      <c r="B3">
        <v>21258</v>
      </c>
      <c r="C3">
        <v>42919</v>
      </c>
      <c r="D3" s="9">
        <v>1225</v>
      </c>
      <c r="E3" s="13">
        <f>A3/D3</f>
        <v>17.682448979591836</v>
      </c>
      <c r="F3" s="13">
        <f>B3/D3</f>
        <v>17.353469387755101</v>
      </c>
      <c r="G3" s="13">
        <f>C3/D3</f>
        <v>35.035918367346937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DB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Ivy Rose Rufin</cp:lastModifiedBy>
  <dcterms:created xsi:type="dcterms:W3CDTF">2026-01-29T02:32:37Z</dcterms:created>
  <dcterms:modified xsi:type="dcterms:W3CDTF">2026-03-31T02:57:54Z</dcterms:modified>
</cp:coreProperties>
</file>