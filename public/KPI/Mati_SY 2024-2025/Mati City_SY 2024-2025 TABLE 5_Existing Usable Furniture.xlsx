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4-2025/NSBI 2024-2025/"/>
    </mc:Choice>
  </mc:AlternateContent>
  <xr:revisionPtr revIDLastSave="0" documentId="8_{3020DA75-D81B-416A-B1EB-DCAFE0B0DD02}" xr6:coauthVersionLast="47" xr6:coauthVersionMax="47" xr10:uidLastSave="{00000000-0000-0000-0000-000000000000}"/>
  <bookViews>
    <workbookView xWindow="-105" yWindow="0" windowWidth="19935" windowHeight="15585" xr2:uid="{BD9C11CB-6332-470E-B377-7D46D9ED6D15}"/>
  </bookViews>
  <sheets>
    <sheet name="DB" sheetId="1" r:id="rId1"/>
  </sheets>
  <definedNames>
    <definedName name="_xlnm._FilterDatabase" localSheetId="0" hidden="1">DB!$A$7:$AS$79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9" i="1" l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</calcChain>
</file>

<file path=xl/sharedStrings.xml><?xml version="1.0" encoding="utf-8"?>
<sst xmlns="http://schemas.openxmlformats.org/spreadsheetml/2006/main" count="1140" uniqueCount="241">
  <si>
    <t>TABLE 5 - NUMBER OF EXISTING NUMBER OF USABLE FURNITURES</t>
  </si>
  <si>
    <t>SY 2024-2025</t>
  </si>
  <si>
    <t>Enrollment &amp; Schools is based on LIS, generated as of January 30, 2025</t>
  </si>
  <si>
    <t>FURNITURE is based on NSBI as of July 07, 2025</t>
  </si>
  <si>
    <t>SY 2024-2025 ENROLLMENT</t>
  </si>
  <si>
    <t>Kinder Modular Table</t>
  </si>
  <si>
    <t>Kinder Chair</t>
  </si>
  <si>
    <t>Arm Chair</t>
  </si>
  <si>
    <t>School Desk</t>
  </si>
  <si>
    <t>Other Classroom Table</t>
  </si>
  <si>
    <t>Other Classroom Chair</t>
  </si>
  <si>
    <t>DepEd New Design 2-Seater Table &amp; Chair (ES)</t>
  </si>
  <si>
    <t>DepEd New Design 2-Seater Table &amp; Chair (JHS)</t>
  </si>
  <si>
    <t>DepEd New Design 2-Seater Table &amp; Chair (SHS)</t>
  </si>
  <si>
    <t>TOTAL SEAT
(KinderChair + ArmChair + SchoolDesk(x2) + DND2STC(x2)</t>
  </si>
  <si>
    <t>Region</t>
  </si>
  <si>
    <t>Old Region</t>
  </si>
  <si>
    <t>Division</t>
  </si>
  <si>
    <t>District</t>
  </si>
  <si>
    <t>LIS SCHOOL ID</t>
  </si>
  <si>
    <t>NSBI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</si>
  <si>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</si>
  <si>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</si>
  <si>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</si>
  <si>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</si>
  <si>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</si>
  <si>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</si>
  <si>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</si>
  <si>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</si>
  <si>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</si>
  <si>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</si>
  <si>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</si>
  <si>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IU/NON-IU</t>
  </si>
  <si>
    <t>Modified COC</t>
  </si>
  <si>
    <t>ES</t>
  </si>
  <si>
    <t>JHS</t>
  </si>
  <si>
    <t>SHS</t>
  </si>
  <si>
    <t>K to 12</t>
  </si>
  <si>
    <t>a</t>
  </si>
  <si>
    <t>num_kinder_modtable</t>
  </si>
  <si>
    <t>num_kinder_chair</t>
  </si>
  <si>
    <t>num_armchair_es</t>
  </si>
  <si>
    <t>num_armchair_jhs</t>
  </si>
  <si>
    <t>num_armchair_shs</t>
  </si>
  <si>
    <t>num_schooldesk_es</t>
  </si>
  <si>
    <t>num_schooldesk_jhs</t>
  </si>
  <si>
    <t>num_schooldesk_shs</t>
  </si>
  <si>
    <t>num_otherclasstable_es</t>
  </si>
  <si>
    <t>num_otherclasstable_jhs</t>
  </si>
  <si>
    <t>num_otherclasstable_shs</t>
  </si>
  <si>
    <t>num_otherclasschair_es</t>
  </si>
  <si>
    <t>num_otherclasschair_jhs</t>
  </si>
  <si>
    <t>num_otherclasschair_shs</t>
  </si>
  <si>
    <t>num_newtnc_elem</t>
  </si>
  <si>
    <t>num_newtnc_jhs</t>
  </si>
  <si>
    <t>num_newtnc_shs</t>
  </si>
  <si>
    <t>Region XI</t>
  </si>
  <si>
    <t>2nd District</t>
  </si>
  <si>
    <t>Public</t>
  </si>
  <si>
    <t>DepED Managed</t>
  </si>
  <si>
    <t>School with no Annexes</t>
  </si>
  <si>
    <t>NON-IU</t>
  </si>
  <si>
    <t>Purely ES</t>
  </si>
  <si>
    <t>JHS with SHS</t>
  </si>
  <si>
    <t>IU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</si>
  <si>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</si>
  <si>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</si>
  <si>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</si>
  <si>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</si>
  <si>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</si>
  <si>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</si>
  <si>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</si>
  <si>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</si>
  <si>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</si>
  <si>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</si>
  <si>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</si>
  <si>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</si>
  <si>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</si>
  <si>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</si>
  <si>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</si>
  <si>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</si>
  <si>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</si>
  <si>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</si>
  <si>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</si>
  <si>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</si>
  <si>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</si>
  <si>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</si>
  <si>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</si>
  <si>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</si>
  <si>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</si>
  <si>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</si>
  <si>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</si>
  <si>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</si>
  <si>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</si>
  <si>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</si>
  <si>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</si>
  <si>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</si>
  <si>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</si>
  <si>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SCHOOL OF ARTS &amp; TRADES</t>
  </si>
  <si>
    <t>Garcia Avenue</t>
  </si>
  <si>
    <t>Badas NHS</t>
  </si>
  <si>
    <t>Camansi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</si>
  <si>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</si>
  <si>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</si>
  <si>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</si>
  <si>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</si>
  <si>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</si>
  <si>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</si>
  <si>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</si>
  <si>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</si>
  <si>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</si>
  <si>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</si>
  <si>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</si>
  <si>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</si>
  <si>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</si>
  <si>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</si>
  <si>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</si>
  <si>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</si>
  <si>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</si>
  <si>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</si>
  <si>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</si>
  <si>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</si>
  <si>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</si>
  <si>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</si>
  <si>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</si>
  <si>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</si>
  <si>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</si>
  <si>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</si>
  <si>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</si>
  <si>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</si>
  <si>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</si>
  <si>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</si>
  <si>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</si>
  <si>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</si>
  <si>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</si>
  <si>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</si>
  <si>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</si>
  <si>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</si>
  <si>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</si>
  <si>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</si>
  <si>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</si>
  <si>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</si>
  <si>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</si>
  <si>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PATERNO MADANLO 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</si>
  <si>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</si>
  <si>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</si>
  <si>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</si>
  <si>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</si>
  <si>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</si>
  <si>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</si>
  <si>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</si>
  <si>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TAGABAKID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</si>
  <si>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</si>
  <si>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</si>
  <si>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</si>
  <si>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</si>
  <si>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</si>
  <si>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</si>
  <si>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</si>
  <si>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</si>
  <si>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</si>
  <si>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</si>
  <si>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</si>
  <si>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</si>
  <si>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</si>
  <si>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</si>
  <si>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</si>
  <si>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</si>
  <si>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</si>
  <si>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</si>
  <si>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</si>
  <si>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</si>
  <si>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</si>
  <si>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</si>
  <si>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</si>
  <si>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</si>
  <si>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</si>
  <si>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</si>
  <si>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</si>
  <si>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</si>
  <si>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</si>
  <si>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</si>
  <si>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</si>
  <si>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</si>
  <si>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</si>
  <si>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</si>
  <si>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</si>
  <si>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Bugakan Integrated School</t>
  </si>
  <si>
    <t>Brgy. Taga-bakid, Mati City</t>
  </si>
  <si>
    <t>ES and JHS (K to 10)</t>
  </si>
  <si>
    <t>Tagbinonga Integrated School</t>
  </si>
  <si>
    <t>No. 3, Purok Casubucan</t>
  </si>
  <si>
    <t>TAGBINONGA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</si>
  <si>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</si>
  <si>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</si>
  <si>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</si>
  <si>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</si>
  <si>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</si>
  <si>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</si>
  <si>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</si>
  <si>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</si>
  <si>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</si>
  <si>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</si>
  <si>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</si>
  <si>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</si>
  <si>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</si>
  <si>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</si>
  <si>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</si>
  <si>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</si>
  <si>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</si>
  <si>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</si>
  <si>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</si>
  <si>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</si>
  <si>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</si>
  <si>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</si>
  <si>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</si>
  <si>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</si>
  <si>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</si>
  <si>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</si>
  <si>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</si>
  <si>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</si>
  <si>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</si>
  <si>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</si>
  <si>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</si>
  <si>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</si>
  <si>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Mother school</t>
  </si>
  <si>
    <t>Libudon NHS</t>
  </si>
  <si>
    <t>Purok 5- San Francisco</t>
  </si>
  <si>
    <t>Macambol NHS</t>
  </si>
  <si>
    <t>Purok Baas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</si>
  <si>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</si>
  <si>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</si>
  <si>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</si>
  <si>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</si>
  <si>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</si>
  <si>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</si>
  <si>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</si>
  <si>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</si>
  <si>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</si>
  <si>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Purok 4 Centro, Sanghay</t>
  </si>
  <si>
    <t>1st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</si>
</sst>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3301-7922-463A-A14F-83CE132D7481}">
  <dimension ref="A1:AS79"/>
  <sheetViews>
    <sheetView tabSelected="1" zoomScale="80" zoomScaleNormal="80" workbookViewId="0">
      <pane xSplit="19" ySplit="7" topLeftCell="T8" activePane="bottomRight" state="frozen"/>
      <selection pane="topRight" activeCell="T1" sqref="T1"/>
      <selection pane="bottomLeft" activeCell="A8" sqref="A8"/>
      <selection pane="bottomRight" activeCell="T8" sqref="T8"/>
    </sheetView>
  </sheetViews>
  <sheetFormatPr defaultRowHeight="15" x14ac:dyDescent="0.25"/>
  <cols>
    <col min="1" max="1" width="10.28515625" bestFit="1" customWidth="1"/>
    <col min="2" max="2" width="0" hidden="1" customWidth="1"/>
    <col min="3" max="3" width="28.85546875" bestFit="1" customWidth="1"/>
    <col min="4" max="4" width="0" hidden="1" customWidth="1"/>
    <col min="6" max="7" width="0" hidden="1" customWidth="1"/>
    <col min="8" max="8" width="28.85546875" bestFit="1" customWidth="1"/>
    <col min="9" max="18" width="8.7109375" hidden="1" customWidth="1"/>
    <col min="19" max="19" width="0" hidden="1" customWidth="1"/>
    <col min="24" max="24" width="1" style="2" customWidth="1"/>
    <col min="25" max="38" width="11" customWidth="1"/>
    <col min="39" max="41" width="14.140625" customWidth="1"/>
    <col min="42" max="42" width="2" style="2" customWidth="1"/>
    <col min="43" max="45" width="14.5703125" customWidth="1"/>
  </cols>
  <sheetData>
    <row r="1" spans="1:45" x14ac:dyDescent="0.25">
      <c r="A1" s="1" t="s">
        <v>0</v>
      </c>
    </row>
    <row r="2" spans="1:45" x14ac:dyDescent="0.25">
      <c r="A2" s="1" t="s">
        <v>1</v>
      </c>
    </row>
    <row r="3" spans="1:45" x14ac:dyDescent="0.25">
      <c r="A3" s="1" t="s">
        <v>2</v>
      </c>
    </row>
    <row r="4" spans="1:45" x14ac:dyDescent="0.25">
      <c r="A4" s="1" t="s">
        <v>3</v>
      </c>
    </row>
    <row r="5" spans="1:45" x14ac:dyDescent="0.25">
      <c r="A5" s="1"/>
    </row>
    <row r="6" spans="1:45" s="4" customFormat="1" ht="51.95" customHeight="1" x14ac:dyDescent="0.25">
      <c r="A6" s="3"/>
      <c r="T6" s="5" t="s">
        <v>4</v>
      </c>
      <c r="U6" s="5"/>
      <c r="V6" s="5"/>
      <c r="W6" s="5"/>
      <c r="X6" s="6"/>
      <c r="Y6" s="3" t="s">
        <v>5</v>
      </c>
      <c r="Z6" s="3" t="s">
        <v>6</v>
      </c>
      <c r="AA6" s="5" t="s">
        <v>7</v>
      </c>
      <c r="AB6" s="5"/>
      <c r="AC6" s="5"/>
      <c r="AD6" s="5" t="s">
        <v>8</v>
      </c>
      <c r="AE6" s="5"/>
      <c r="AF6" s="5"/>
      <c r="AG6" s="5" t="s">
        <v>9</v>
      </c>
      <c r="AH6" s="5"/>
      <c r="AI6" s="5"/>
      <c r="AJ6" s="5" t="s">
        <v>10</v>
      </c>
      <c r="AK6" s="5"/>
      <c r="AL6" s="5"/>
      <c r="AM6" s="3" t="s">
        <v>11</v>
      </c>
      <c r="AN6" s="3" t="s">
        <v>12</v>
      </c>
      <c r="AO6" s="3" t="s">
        <v>13</v>
      </c>
      <c r="AP6" s="6"/>
      <c r="AQ6" s="5" t="s">
        <v>14</v>
      </c>
      <c r="AR6" s="5"/>
      <c r="AS6" s="5"/>
    </row>
    <row r="7" spans="1:45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22</v>
      </c>
      <c r="I7" s="1" t="s">
        <v>23</v>
      </c>
      <c r="J7" s="1" t="s">
        <v>24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29</v>
      </c>
      <c r="P7" s="1" t="s">
        <v>30</v>
      </c>
      <c r="Q7" s="1" t="s">
        <v>31</v>
      </c>
      <c r="R7" s="1" t="s">
        <v>32</v>
      </c>
      <c r="S7" s="1" t="s">
        <v>33</v>
      </c>
      <c r="T7" s="1" t="s">
        <v>34</v>
      </c>
      <c r="U7" s="1" t="s">
        <v>35</v>
      </c>
      <c r="V7" s="1" t="s">
        <v>36</v>
      </c>
      <c r="W7" s="1" t="s">
        <v>37</v>
      </c>
      <c r="X7" s="7" t="s">
        <v>38</v>
      </c>
      <c r="Y7" s="1" t="s">
        <v>39</v>
      </c>
      <c r="Z7" s="1" t="s">
        <v>40</v>
      </c>
      <c r="AA7" s="1" t="s">
        <v>41</v>
      </c>
      <c r="AB7" s="1" t="s">
        <v>42</v>
      </c>
      <c r="AC7" s="1" t="s">
        <v>43</v>
      </c>
      <c r="AD7" s="1" t="s">
        <v>44</v>
      </c>
      <c r="AE7" s="1" t="s">
        <v>45</v>
      </c>
      <c r="AF7" s="1" t="s">
        <v>46</v>
      </c>
      <c r="AG7" s="1" t="s">
        <v>47</v>
      </c>
      <c r="AH7" s="1" t="s">
        <v>48</v>
      </c>
      <c r="AI7" s="1" t="s">
        <v>49</v>
      </c>
      <c r="AJ7" s="1" t="s">
        <v>50</v>
      </c>
      <c r="AK7" s="1" t="s">
        <v>51</v>
      </c>
      <c r="AL7" s="1" t="s">
        <v>52</v>
      </c>
      <c r="AM7" s="1" t="s">
        <v>53</v>
      </c>
      <c r="AN7" s="1" t="s">
        <v>54</v>
      </c>
      <c r="AO7" s="1" t="s">
        <v>55</v>
      </c>
      <c r="AP7" s="7" t="s">
        <v>38</v>
      </c>
      <c r="AQ7" s="8" t="s">
        <v>34</v>
      </c>
      <c r="AR7" s="8" t="s">
        <v>35</v>
      </c>
      <c r="AS7" s="8" t="s">
        <v>36</v>
      </c>
    </row>
    <row r="8" spans="1:45" x14ac:dyDescent="0.25">
      <c r="A8" t="s">
        <v>56</v>
      </c>
      <c r="B8" t="s">
        <v>56</v>
      </c>
      <c r="C8" t="s">
        <v>66</v>
      </c>
      <c r="D8" t="s">
        <v>67</v>
      </c>
      <c r="E8">
        <v>129374</v>
      </c>
      <c r="F8">
        <v>129374</v>
      </c>
      <c r="H8" t="s">
        <v>68</v>
      </c>
      <c r="I8" t="s">
        <v>69</v>
      </c>
      <c r="K8" t="s">
        <v>70</v>
      </c>
      <c r="L8" t="s">
        <v>71</v>
      </c>
      <c r="M8" t="s">
        <v>57</v>
      </c>
      <c r="N8" t="s">
        <v>72</v>
      </c>
      <c r="O8" t="s">
        <v>58</v>
      </c>
      <c r="P8" t="s">
        <v>59</v>
      </c>
      <c r="Q8" t="s">
        <v>60</v>
      </c>
      <c r="R8" t="s">
        <v>61</v>
      </c>
      <c r="S8" s="9" t="s">
        <v>62</v>
      </c>
      <c r="T8">
        <v>412</v>
      </c>
      <c r="U8">
        <v>0</v>
      </c>
      <c r="V8">
        <v>0</v>
      </c>
      <c r="W8">
        <f>SUM(T8:V8)</f>
        <v>412</v>
      </c>
      <c r="Y8">
        <v>0</v>
      </c>
      <c r="Z8">
        <v>0</v>
      </c>
      <c r="AA8">
        <v>50</v>
      </c>
      <c r="AD8">
        <v>10</v>
      </c>
      <c r="AG8">
        <v>0</v>
      </c>
      <c r="AJ8">
        <v>0</v>
      </c>
      <c r="AM8">
        <v>0</v>
      </c>
      <c r="AN8">
        <v>0</v>
      </c>
      <c r="AO8">
        <v>0</v>
      </c>
      <c r="AQ8" s="10">
        <v>70</v>
      </c>
      <c r="AR8" s="10">
        <v>0</v>
      </c>
      <c r="AS8" s="10">
        <v>0</v>
      </c>
    </row>
    <row r="9" spans="1:45" x14ac:dyDescent="0.25">
      <c r="A9" t="s">
        <v>56</v>
      </c>
      <c r="B9" t="s">
        <v>56</v>
      </c>
      <c r="C9" t="s">
        <v>66</v>
      </c>
      <c r="D9" t="s">
        <v>67</v>
      </c>
      <c r="E9">
        <v>129375</v>
      </c>
      <c r="F9">
        <v>129375</v>
      </c>
      <c r="H9" t="s">
        <v>73</v>
      </c>
      <c r="I9" t="s">
        <v>74</v>
      </c>
      <c r="K9" t="s">
        <v>70</v>
      </c>
      <c r="L9" t="s">
        <v>71</v>
      </c>
      <c r="M9" t="s">
        <v>57</v>
      </c>
      <c r="N9" t="s">
        <v>72</v>
      </c>
      <c r="O9" t="s">
        <v>58</v>
      </c>
      <c r="P9" t="s">
        <v>59</v>
      </c>
      <c r="Q9" t="s">
        <v>60</v>
      </c>
      <c r="R9" t="s">
        <v>61</v>
      </c>
      <c r="S9" s="9" t="s">
        <v>62</v>
      </c>
      <c r="T9">
        <v>178</v>
      </c>
      <c r="U9">
        <v>0</v>
      </c>
      <c r="V9">
        <v>0</v>
      </c>
      <c r="W9">
        <f>SUM(T9:V9)</f>
        <v>178</v>
      </c>
      <c r="Y9">
        <v>0</v>
      </c>
      <c r="Z9">
        <v>0</v>
      </c>
      <c r="AA9">
        <v>20</v>
      </c>
      <c r="AD9">
        <v>15</v>
      </c>
      <c r="AG9">
        <v>0</v>
      </c>
      <c r="AJ9">
        <v>0</v>
      </c>
      <c r="AM9">
        <v>0</v>
      </c>
      <c r="AN9">
        <v>0</v>
      </c>
      <c r="AO9">
        <v>0</v>
      </c>
      <c r="AQ9" s="10">
        <v>50</v>
      </c>
      <c r="AR9" s="10">
        <v>0</v>
      </c>
      <c r="AS9" s="10">
        <v>0</v>
      </c>
    </row>
    <row r="10" spans="1:45" x14ac:dyDescent="0.25">
      <c r="A10" t="s">
        <v>56</v>
      </c>
      <c r="B10" t="s">
        <v>56</v>
      </c>
      <c r="C10" t="s">
        <v>66</v>
      </c>
      <c r="D10" t="s">
        <v>67</v>
      </c>
      <c r="E10">
        <v>129376</v>
      </c>
      <c r="F10">
        <v>129376</v>
      </c>
      <c r="H10" t="s">
        <v>75</v>
      </c>
      <c r="I10" t="s">
        <v>76</v>
      </c>
      <c r="K10" t="s">
        <v>70</v>
      </c>
      <c r="L10" t="s">
        <v>71</v>
      </c>
      <c r="M10" t="s">
        <v>57</v>
      </c>
      <c r="N10" t="s">
        <v>77</v>
      </c>
      <c r="O10" t="s">
        <v>58</v>
      </c>
      <c r="P10" t="s">
        <v>59</v>
      </c>
      <c r="Q10" t="s">
        <v>60</v>
      </c>
      <c r="R10" t="s">
        <v>61</v>
      </c>
      <c r="S10" s="9" t="s">
        <v>62</v>
      </c>
      <c r="T10">
        <v>282</v>
      </c>
      <c r="U10">
        <v>0</v>
      </c>
      <c r="V10">
        <v>0</v>
      </c>
      <c r="W10">
        <f>SUM(T10:V10)</f>
        <v>282</v>
      </c>
      <c r="Y10">
        <v>0</v>
      </c>
      <c r="Z10">
        <v>0</v>
      </c>
      <c r="AA10">
        <v>65</v>
      </c>
      <c r="AD10">
        <v>15</v>
      </c>
      <c r="AG10">
        <v>10</v>
      </c>
      <c r="AJ10">
        <v>15</v>
      </c>
      <c r="AM10">
        <v>0</v>
      </c>
      <c r="AN10">
        <v>0</v>
      </c>
      <c r="AO10">
        <v>0</v>
      </c>
      <c r="AQ10" s="10">
        <v>95</v>
      </c>
      <c r="AR10" s="10">
        <v>0</v>
      </c>
      <c r="AS10" s="10">
        <v>0</v>
      </c>
    </row>
    <row r="11" spans="1:45" x14ac:dyDescent="0.25">
      <c r="A11" t="s">
        <v>56</v>
      </c>
      <c r="B11" t="s">
        <v>56</v>
      </c>
      <c r="C11" t="s">
        <v>66</v>
      </c>
      <c r="D11" t="s">
        <v>67</v>
      </c>
      <c r="E11">
        <v>129377</v>
      </c>
      <c r="F11">
        <v>129377</v>
      </c>
      <c r="H11" t="s">
        <v>78</v>
      </c>
      <c r="I11" t="s">
        <v>79</v>
      </c>
      <c r="K11" t="s">
        <v>70</v>
      </c>
      <c r="L11" t="s">
        <v>71</v>
      </c>
      <c r="M11" t="s">
        <v>57</v>
      </c>
      <c r="N11" t="s">
        <v>80</v>
      </c>
      <c r="O11" t="s">
        <v>58</v>
      </c>
      <c r="P11" t="s">
        <v>59</v>
      </c>
      <c r="Q11" t="s">
        <v>60</v>
      </c>
      <c r="R11" t="s">
        <v>61</v>
      </c>
      <c r="S11" s="9" t="s">
        <v>62</v>
      </c>
      <c r="T11">
        <v>283</v>
      </c>
      <c r="U11">
        <v>0</v>
      </c>
      <c r="V11">
        <v>0</v>
      </c>
      <c r="W11">
        <f>SUM(T11:V11)</f>
        <v>283</v>
      </c>
      <c r="Y11">
        <v>6</v>
      </c>
      <c r="Z11">
        <v>22</v>
      </c>
      <c r="AA11">
        <v>93</v>
      </c>
      <c r="AD11">
        <v>95</v>
      </c>
      <c r="AG11">
        <v>28</v>
      </c>
      <c r="AJ11">
        <v>46</v>
      </c>
      <c r="AM11">
        <v>0</v>
      </c>
      <c r="AN11">
        <v>0</v>
      </c>
      <c r="AO11">
        <v>0</v>
      </c>
      <c r="AQ11" s="10">
        <v>305</v>
      </c>
      <c r="AR11" s="10">
        <v>0</v>
      </c>
      <c r="AS11" s="10">
        <v>0</v>
      </c>
    </row>
    <row r="12" spans="1:45" x14ac:dyDescent="0.25">
      <c r="A12" t="s">
        <v>56</v>
      </c>
      <c r="B12" t="s">
        <v>56</v>
      </c>
      <c r="C12" t="s">
        <v>66</v>
      </c>
      <c r="D12" t="s">
        <v>67</v>
      </c>
      <c r="E12">
        <v>129380</v>
      </c>
      <c r="F12">
        <v>129380</v>
      </c>
      <c r="H12" t="s">
        <v>81</v>
      </c>
      <c r="I12" t="s">
        <v>82</v>
      </c>
      <c r="K12" t="s">
        <v>70</v>
      </c>
      <c r="L12" t="s">
        <v>71</v>
      </c>
      <c r="M12" t="s">
        <v>57</v>
      </c>
      <c r="N12" t="s">
        <v>77</v>
      </c>
      <c r="O12" t="s">
        <v>58</v>
      </c>
      <c r="P12" t="s">
        <v>59</v>
      </c>
      <c r="Q12" t="s">
        <v>60</v>
      </c>
      <c r="R12" t="s">
        <v>61</v>
      </c>
      <c r="S12" s="9" t="s">
        <v>62</v>
      </c>
      <c r="T12">
        <v>1020</v>
      </c>
      <c r="U12">
        <v>0</v>
      </c>
      <c r="V12">
        <v>0</v>
      </c>
      <c r="W12">
        <f>SUM(T12:V12)</f>
        <v>1020</v>
      </c>
      <c r="Y12">
        <v>39</v>
      </c>
      <c r="Z12">
        <v>73</v>
      </c>
      <c r="AA12">
        <v>690</v>
      </c>
      <c r="AD12">
        <v>190</v>
      </c>
      <c r="AG12">
        <v>64</v>
      </c>
      <c r="AJ12">
        <v>127</v>
      </c>
      <c r="AM12">
        <v>0</v>
      </c>
      <c r="AN12">
        <v>0</v>
      </c>
      <c r="AO12">
        <v>0</v>
      </c>
      <c r="AQ12" s="10">
        <v>1143</v>
      </c>
      <c r="AR12" s="10">
        <v>0</v>
      </c>
      <c r="AS12" s="10">
        <v>0</v>
      </c>
    </row>
    <row r="13" spans="1:45" x14ac:dyDescent="0.25">
      <c r="A13" t="s">
        <v>56</v>
      </c>
      <c r="B13" t="s">
        <v>56</v>
      </c>
      <c r="C13" t="s">
        <v>66</v>
      </c>
      <c r="D13" t="s">
        <v>67</v>
      </c>
      <c r="E13">
        <v>129381</v>
      </c>
      <c r="F13">
        <v>129381</v>
      </c>
      <c r="H13" t="s">
        <v>83</v>
      </c>
      <c r="I13" t="s">
        <v>84</v>
      </c>
      <c r="K13" t="s">
        <v>70</v>
      </c>
      <c r="L13" t="s">
        <v>71</v>
      </c>
      <c r="M13" t="s">
        <v>57</v>
      </c>
      <c r="N13" t="s">
        <v>77</v>
      </c>
      <c r="O13" t="s">
        <v>58</v>
      </c>
      <c r="P13" t="s">
        <v>59</v>
      </c>
      <c r="Q13" t="s">
        <v>60</v>
      </c>
      <c r="R13" t="s">
        <v>61</v>
      </c>
      <c r="S13" s="9" t="s">
        <v>62</v>
      </c>
      <c r="T13">
        <v>1179</v>
      </c>
      <c r="U13">
        <v>0</v>
      </c>
      <c r="V13">
        <v>0</v>
      </c>
      <c r="W13">
        <f>SUM(T13:V13)</f>
        <v>1179</v>
      </c>
      <c r="Y13">
        <v>3</v>
      </c>
      <c r="Z13">
        <v>5</v>
      </c>
      <c r="AA13">
        <v>11</v>
      </c>
      <c r="AD13">
        <v>6</v>
      </c>
      <c r="AG13">
        <v>225</v>
      </c>
      <c r="AJ13">
        <v>225</v>
      </c>
      <c r="AM13">
        <v>25</v>
      </c>
      <c r="AN13">
        <v>0</v>
      </c>
      <c r="AO13">
        <v>0</v>
      </c>
      <c r="AQ13" s="10">
        <v>78</v>
      </c>
      <c r="AR13" s="10">
        <v>0</v>
      </c>
      <c r="AS13" s="10">
        <v>0</v>
      </c>
    </row>
    <row r="14" spans="1:45" x14ac:dyDescent="0.25">
      <c r="A14" t="s">
        <v>56</v>
      </c>
      <c r="B14" t="s">
        <v>56</v>
      </c>
      <c r="C14" t="s">
        <v>66</v>
      </c>
      <c r="D14" t="s">
        <v>67</v>
      </c>
      <c r="E14">
        <v>129382</v>
      </c>
      <c r="F14">
        <v>129382</v>
      </c>
      <c r="H14" t="s">
        <v>85</v>
      </c>
      <c r="I14" t="s">
        <v>86</v>
      </c>
      <c r="K14" t="s">
        <v>70</v>
      </c>
      <c r="L14" t="s">
        <v>71</v>
      </c>
      <c r="M14" t="s">
        <v>57</v>
      </c>
      <c r="N14" t="s">
        <v>77</v>
      </c>
      <c r="O14" t="s">
        <v>58</v>
      </c>
      <c r="P14" t="s">
        <v>59</v>
      </c>
      <c r="Q14" t="s">
        <v>60</v>
      </c>
      <c r="R14" t="s">
        <v>61</v>
      </c>
      <c r="S14" s="9" t="s">
        <v>62</v>
      </c>
      <c r="T14">
        <v>1991</v>
      </c>
      <c r="U14">
        <v>0</v>
      </c>
      <c r="V14">
        <v>0</v>
      </c>
      <c r="W14">
        <f>SUM(T14:V14)</f>
        <v>1991</v>
      </c>
      <c r="Y14">
        <v>10</v>
      </c>
      <c r="Z14">
        <v>37</v>
      </c>
      <c r="AA14">
        <v>380</v>
      </c>
      <c r="AD14">
        <v>100</v>
      </c>
      <c r="AG14">
        <v>50</v>
      </c>
      <c r="AJ14">
        <v>110</v>
      </c>
      <c r="AM14">
        <v>200</v>
      </c>
      <c r="AN14">
        <v>0</v>
      </c>
      <c r="AO14">
        <v>0</v>
      </c>
      <c r="AQ14" s="10">
        <v>1017</v>
      </c>
      <c r="AR14" s="10">
        <v>0</v>
      </c>
      <c r="AS14" s="10">
        <v>0</v>
      </c>
    </row>
    <row r="15" spans="1:45" x14ac:dyDescent="0.25">
      <c r="A15" t="s">
        <v>56</v>
      </c>
      <c r="B15" t="s">
        <v>56</v>
      </c>
      <c r="C15" t="s">
        <v>66</v>
      </c>
      <c r="D15" t="s">
        <v>67</v>
      </c>
      <c r="E15">
        <v>129383</v>
      </c>
      <c r="F15">
        <v>129383</v>
      </c>
      <c r="H15" t="s">
        <v>87</v>
      </c>
      <c r="I15" t="s">
        <v>88</v>
      </c>
      <c r="K15" t="s">
        <v>70</v>
      </c>
      <c r="L15" t="s">
        <v>71</v>
      </c>
      <c r="M15" t="s">
        <v>57</v>
      </c>
      <c r="N15" t="s">
        <v>77</v>
      </c>
      <c r="O15" t="s">
        <v>58</v>
      </c>
      <c r="P15" t="s">
        <v>59</v>
      </c>
      <c r="Q15" t="s">
        <v>60</v>
      </c>
      <c r="R15" t="s">
        <v>61</v>
      </c>
      <c r="S15" s="9" t="s">
        <v>62</v>
      </c>
      <c r="T15">
        <v>955</v>
      </c>
      <c r="U15">
        <v>0</v>
      </c>
      <c r="V15">
        <v>0</v>
      </c>
      <c r="W15">
        <f>SUM(T15:V15)</f>
        <v>955</v>
      </c>
      <c r="Y15">
        <v>15</v>
      </c>
      <c r="Z15">
        <v>30</v>
      </c>
      <c r="AA15">
        <v>500</v>
      </c>
      <c r="AD15">
        <v>100</v>
      </c>
      <c r="AG15">
        <v>0</v>
      </c>
      <c r="AJ15">
        <v>50</v>
      </c>
      <c r="AM15">
        <v>0</v>
      </c>
      <c r="AN15">
        <v>0</v>
      </c>
      <c r="AO15">
        <v>0</v>
      </c>
      <c r="AQ15" s="10">
        <v>730</v>
      </c>
      <c r="AR15" s="10">
        <v>0</v>
      </c>
      <c r="AS15" s="10">
        <v>0</v>
      </c>
    </row>
    <row r="16" spans="1:45" x14ac:dyDescent="0.25">
      <c r="A16" t="s">
        <v>56</v>
      </c>
      <c r="B16" t="s">
        <v>56</v>
      </c>
      <c r="C16" t="s">
        <v>66</v>
      </c>
      <c r="D16" t="s">
        <v>67</v>
      </c>
      <c r="E16">
        <v>129384</v>
      </c>
      <c r="F16">
        <v>129384</v>
      </c>
      <c r="H16" t="s">
        <v>89</v>
      </c>
      <c r="I16" t="s">
        <v>90</v>
      </c>
      <c r="K16" t="s">
        <v>70</v>
      </c>
      <c r="L16" t="s">
        <v>71</v>
      </c>
      <c r="M16" t="s">
        <v>57</v>
      </c>
      <c r="N16" t="s">
        <v>77</v>
      </c>
      <c r="O16" t="s">
        <v>58</v>
      </c>
      <c r="P16" t="s">
        <v>59</v>
      </c>
      <c r="Q16" t="s">
        <v>60</v>
      </c>
      <c r="R16" t="s">
        <v>61</v>
      </c>
      <c r="S16" s="9" t="s">
        <v>62</v>
      </c>
      <c r="T16">
        <v>106</v>
      </c>
      <c r="U16">
        <v>0</v>
      </c>
      <c r="V16">
        <v>0</v>
      </c>
      <c r="W16">
        <f>SUM(T16:V16)</f>
        <v>106</v>
      </c>
      <c r="Y16">
        <v>0</v>
      </c>
      <c r="Z16">
        <v>5</v>
      </c>
      <c r="AA16">
        <v>3</v>
      </c>
      <c r="AD16">
        <v>5</v>
      </c>
      <c r="AG16">
        <v>2</v>
      </c>
      <c r="AJ16">
        <v>10</v>
      </c>
      <c r="AM16">
        <v>0</v>
      </c>
      <c r="AN16">
        <v>0</v>
      </c>
      <c r="AO16">
        <v>0</v>
      </c>
      <c r="AQ16" s="10">
        <v>18</v>
      </c>
      <c r="AR16" s="10">
        <v>0</v>
      </c>
      <c r="AS16" s="10">
        <v>0</v>
      </c>
    </row>
    <row r="17" spans="1:45" x14ac:dyDescent="0.25">
      <c r="A17" t="s">
        <v>56</v>
      </c>
      <c r="B17" t="s">
        <v>56</v>
      </c>
      <c r="C17" t="s">
        <v>66</v>
      </c>
      <c r="D17" t="s">
        <v>67</v>
      </c>
      <c r="E17">
        <v>129385</v>
      </c>
      <c r="F17">
        <v>129385</v>
      </c>
      <c r="H17" t="s">
        <v>91</v>
      </c>
      <c r="I17" t="s">
        <v>92</v>
      </c>
      <c r="K17" t="s">
        <v>70</v>
      </c>
      <c r="L17" t="s">
        <v>71</v>
      </c>
      <c r="M17" t="s">
        <v>57</v>
      </c>
      <c r="N17" t="s">
        <v>72</v>
      </c>
      <c r="O17" t="s">
        <v>58</v>
      </c>
      <c r="P17" t="s">
        <v>59</v>
      </c>
      <c r="Q17" t="s">
        <v>60</v>
      </c>
      <c r="R17" t="s">
        <v>61</v>
      </c>
      <c r="S17" s="9" t="s">
        <v>62</v>
      </c>
      <c r="T17">
        <v>828</v>
      </c>
      <c r="U17">
        <v>0</v>
      </c>
      <c r="V17">
        <v>0</v>
      </c>
      <c r="W17">
        <f>SUM(T17:V17)</f>
        <v>828</v>
      </c>
      <c r="Y17">
        <v>0</v>
      </c>
      <c r="Z17">
        <v>0</v>
      </c>
      <c r="AA17">
        <v>0</v>
      </c>
      <c r="AD17">
        <v>0</v>
      </c>
      <c r="AG17">
        <v>90</v>
      </c>
      <c r="AJ17">
        <v>90</v>
      </c>
      <c r="AM17">
        <v>0</v>
      </c>
      <c r="AN17">
        <v>0</v>
      </c>
      <c r="AO17">
        <v>0</v>
      </c>
      <c r="AQ17" s="10">
        <v>0</v>
      </c>
      <c r="AR17" s="10">
        <v>0</v>
      </c>
      <c r="AS17" s="10">
        <v>0</v>
      </c>
    </row>
    <row r="18" spans="1:45" x14ac:dyDescent="0.25">
      <c r="A18" t="s">
        <v>56</v>
      </c>
      <c r="B18" t="s">
        <v>56</v>
      </c>
      <c r="C18" t="s">
        <v>66</v>
      </c>
      <c r="D18" t="s">
        <v>67</v>
      </c>
      <c r="E18">
        <v>129386</v>
      </c>
      <c r="F18">
        <v>129386</v>
      </c>
      <c r="H18" t="s">
        <v>93</v>
      </c>
      <c r="I18" t="s">
        <v>94</v>
      </c>
      <c r="K18" t="s">
        <v>70</v>
      </c>
      <c r="L18" t="s">
        <v>71</v>
      </c>
      <c r="M18" t="s">
        <v>57</v>
      </c>
      <c r="N18" t="s">
        <v>80</v>
      </c>
      <c r="O18" t="s">
        <v>58</v>
      </c>
      <c r="P18" t="s">
        <v>59</v>
      </c>
      <c r="Q18" t="s">
        <v>60</v>
      </c>
      <c r="R18" t="s">
        <v>61</v>
      </c>
      <c r="S18" s="9" t="s">
        <v>62</v>
      </c>
      <c r="T18">
        <v>158</v>
      </c>
      <c r="U18">
        <v>0</v>
      </c>
      <c r="V18">
        <v>0</v>
      </c>
      <c r="W18">
        <f>SUM(T18:V18)</f>
        <v>158</v>
      </c>
      <c r="Y18">
        <v>10</v>
      </c>
      <c r="Z18">
        <v>4</v>
      </c>
      <c r="AA18">
        <v>50</v>
      </c>
      <c r="AD18">
        <v>12</v>
      </c>
      <c r="AG18">
        <v>0</v>
      </c>
      <c r="AJ18">
        <v>0</v>
      </c>
      <c r="AM18">
        <v>0</v>
      </c>
      <c r="AN18">
        <v>0</v>
      </c>
      <c r="AO18">
        <v>0</v>
      </c>
      <c r="AQ18" s="10">
        <v>78</v>
      </c>
      <c r="AR18" s="10">
        <v>0</v>
      </c>
      <c r="AS18" s="10">
        <v>0</v>
      </c>
    </row>
    <row r="19" spans="1:45" x14ac:dyDescent="0.25">
      <c r="A19" t="s">
        <v>56</v>
      </c>
      <c r="B19" t="s">
        <v>56</v>
      </c>
      <c r="C19" t="s">
        <v>66</v>
      </c>
      <c r="D19" t="s">
        <v>67</v>
      </c>
      <c r="E19">
        <v>205504</v>
      </c>
      <c r="F19">
        <v>205504</v>
      </c>
      <c r="H19" t="s">
        <v>95</v>
      </c>
      <c r="I19" t="s">
        <v>84</v>
      </c>
      <c r="K19" t="s">
        <v>70</v>
      </c>
      <c r="L19" t="s">
        <v>71</v>
      </c>
      <c r="M19" t="s">
        <v>57</v>
      </c>
      <c r="N19" t="s">
        <v>77</v>
      </c>
      <c r="O19" t="s">
        <v>58</v>
      </c>
      <c r="P19" t="s">
        <v>59</v>
      </c>
      <c r="Q19" t="s">
        <v>60</v>
      </c>
      <c r="R19" t="s">
        <v>61</v>
      </c>
      <c r="S19" s="9" t="s">
        <v>62</v>
      </c>
      <c r="T19">
        <v>1017</v>
      </c>
      <c r="U19">
        <v>0</v>
      </c>
      <c r="V19">
        <v>0</v>
      </c>
      <c r="W19">
        <f>SUM(T19:V19)</f>
        <v>1017</v>
      </c>
      <c r="Y19">
        <v>25</v>
      </c>
      <c r="Z19">
        <v>50</v>
      </c>
      <c r="AA19">
        <v>0</v>
      </c>
      <c r="AD19">
        <v>0</v>
      </c>
      <c r="AG19">
        <v>2</v>
      </c>
      <c r="AJ19">
        <v>90</v>
      </c>
      <c r="AM19">
        <v>0</v>
      </c>
      <c r="AN19">
        <v>0</v>
      </c>
      <c r="AO19">
        <v>0</v>
      </c>
      <c r="AQ19" s="10">
        <v>50</v>
      </c>
      <c r="AR19" s="10">
        <v>0</v>
      </c>
      <c r="AS19" s="10">
        <v>0</v>
      </c>
    </row>
    <row r="20" spans="1:45" x14ac:dyDescent="0.25">
      <c r="A20" t="s">
        <v>56</v>
      </c>
      <c r="B20" t="s">
        <v>56</v>
      </c>
      <c r="C20" t="s">
        <v>66</v>
      </c>
      <c r="D20" t="s">
        <v>67</v>
      </c>
      <c r="E20">
        <v>304325</v>
      </c>
      <c r="F20">
        <v>304325</v>
      </c>
      <c r="H20" t="s">
        <v>96</v>
      </c>
      <c r="I20" t="s">
        <v>97</v>
      </c>
      <c r="K20" t="s">
        <v>70</v>
      </c>
      <c r="L20" t="s">
        <v>71</v>
      </c>
      <c r="M20" t="s">
        <v>57</v>
      </c>
      <c r="N20" t="s">
        <v>80</v>
      </c>
      <c r="O20" t="s">
        <v>58</v>
      </c>
      <c r="P20" t="s">
        <v>59</v>
      </c>
      <c r="Q20" t="s">
        <v>60</v>
      </c>
      <c r="R20" t="s">
        <v>64</v>
      </c>
      <c r="S20" s="9" t="s">
        <v>63</v>
      </c>
      <c r="T20">
        <v>0</v>
      </c>
      <c r="U20">
        <v>3060</v>
      </c>
      <c r="V20">
        <v>1603</v>
      </c>
      <c r="W20">
        <f>SUM(T20:V20)</f>
        <v>4663</v>
      </c>
      <c r="Y20">
        <v>0</v>
      </c>
      <c r="Z20">
        <v>0</v>
      </c>
      <c r="AA20">
        <v>0</v>
      </c>
      <c r="AB20" s="10">
        <v>0</v>
      </c>
      <c r="AC20" s="10">
        <v>0</v>
      </c>
      <c r="AD20">
        <v>0</v>
      </c>
      <c r="AE20" s="10">
        <v>0</v>
      </c>
      <c r="AF20" s="10">
        <v>0</v>
      </c>
      <c r="AG20">
        <v>0</v>
      </c>
      <c r="AH20" s="10">
        <v>0</v>
      </c>
      <c r="AI20" s="10">
        <v>0</v>
      </c>
      <c r="AJ20">
        <v>0</v>
      </c>
      <c r="AK20" s="10">
        <v>209.99356637357923</v>
      </c>
      <c r="AL20" s="10">
        <v>110.00643362642077</v>
      </c>
      <c r="AM20">
        <v>0</v>
      </c>
      <c r="AN20">
        <v>0</v>
      </c>
      <c r="AO20">
        <v>0</v>
      </c>
      <c r="AQ20" s="10">
        <v>0</v>
      </c>
      <c r="AR20" s="10">
        <v>0</v>
      </c>
      <c r="AS20" s="10">
        <v>0</v>
      </c>
    </row>
    <row r="21" spans="1:45" x14ac:dyDescent="0.25">
      <c r="A21" t="s">
        <v>56</v>
      </c>
      <c r="B21" t="s">
        <v>56</v>
      </c>
      <c r="C21" t="s">
        <v>66</v>
      </c>
      <c r="D21" t="s">
        <v>67</v>
      </c>
      <c r="E21">
        <v>304326</v>
      </c>
      <c r="F21">
        <v>304326</v>
      </c>
      <c r="H21" t="s">
        <v>98</v>
      </c>
      <c r="I21" t="s">
        <v>99</v>
      </c>
      <c r="K21" t="s">
        <v>70</v>
      </c>
      <c r="L21" t="s">
        <v>71</v>
      </c>
      <c r="M21" t="s">
        <v>57</v>
      </c>
      <c r="N21" t="s">
        <v>80</v>
      </c>
      <c r="O21" t="s">
        <v>58</v>
      </c>
      <c r="P21" t="s">
        <v>59</v>
      </c>
      <c r="Q21" t="s">
        <v>60</v>
      </c>
      <c r="R21" t="s">
        <v>64</v>
      </c>
      <c r="S21" s="9" t="s">
        <v>63</v>
      </c>
      <c r="T21">
        <v>0</v>
      </c>
      <c r="U21">
        <v>613</v>
      </c>
      <c r="V21">
        <v>439</v>
      </c>
      <c r="W21">
        <f>SUM(T21:V21)</f>
        <v>1052</v>
      </c>
      <c r="Y21">
        <v>0</v>
      </c>
      <c r="Z21">
        <v>0</v>
      </c>
      <c r="AA21">
        <v>0</v>
      </c>
      <c r="AB21" s="10">
        <v>174.80988593155894</v>
      </c>
      <c r="AC21" s="10">
        <v>125.19011406844106</v>
      </c>
      <c r="AD21">
        <v>0</v>
      </c>
      <c r="AE21" s="10">
        <v>11.653992395437262</v>
      </c>
      <c r="AF21" s="10">
        <v>8.3460076045627378</v>
      </c>
      <c r="AG21">
        <v>0</v>
      </c>
      <c r="AH21" s="10">
        <v>11.653992395437262</v>
      </c>
      <c r="AI21" s="10">
        <v>8.3460076045627378</v>
      </c>
      <c r="AJ21">
        <v>0</v>
      </c>
      <c r="AK21" s="10">
        <v>116.53992395437263</v>
      </c>
      <c r="AL21" s="10">
        <v>83.460076045627375</v>
      </c>
      <c r="AM21">
        <v>0</v>
      </c>
      <c r="AN21">
        <v>100</v>
      </c>
      <c r="AO21">
        <v>100</v>
      </c>
      <c r="AQ21" s="10">
        <v>0</v>
      </c>
      <c r="AR21" s="10">
        <v>398.11787072243345</v>
      </c>
      <c r="AS21" s="10">
        <v>341.88212927756655</v>
      </c>
    </row>
    <row r="22" spans="1:45" x14ac:dyDescent="0.25">
      <c r="A22" t="s">
        <v>56</v>
      </c>
      <c r="B22" t="s">
        <v>56</v>
      </c>
      <c r="C22" t="s">
        <v>66</v>
      </c>
      <c r="D22" t="s">
        <v>67</v>
      </c>
      <c r="E22">
        <v>325104</v>
      </c>
      <c r="F22">
        <v>325104</v>
      </c>
      <c r="H22" t="s">
        <v>100</v>
      </c>
      <c r="I22" t="s">
        <v>101</v>
      </c>
      <c r="K22" t="s">
        <v>70</v>
      </c>
      <c r="L22" t="s">
        <v>71</v>
      </c>
      <c r="M22" t="s">
        <v>57</v>
      </c>
      <c r="N22" t="s">
        <v>72</v>
      </c>
      <c r="O22" t="s">
        <v>58</v>
      </c>
      <c r="P22" t="s">
        <v>59</v>
      </c>
      <c r="Q22" t="s">
        <v>60</v>
      </c>
      <c r="R22" t="s">
        <v>64</v>
      </c>
      <c r="S22" s="9" t="s">
        <v>63</v>
      </c>
      <c r="T22">
        <v>0</v>
      </c>
      <c r="U22">
        <v>549</v>
      </c>
      <c r="V22">
        <v>224</v>
      </c>
      <c r="W22">
        <f>SUM(T22:V22)</f>
        <v>773</v>
      </c>
      <c r="Y22">
        <v>0</v>
      </c>
      <c r="Z22">
        <v>0</v>
      </c>
      <c r="AA22">
        <v>0</v>
      </c>
      <c r="AB22" s="10">
        <v>319.59896507115138</v>
      </c>
      <c r="AC22" s="10">
        <v>130.40103492884862</v>
      </c>
      <c r="AD22">
        <v>0</v>
      </c>
      <c r="AE22" s="10">
        <v>319.59896507115138</v>
      </c>
      <c r="AF22" s="10">
        <v>130.40103492884862</v>
      </c>
      <c r="AG22">
        <v>0</v>
      </c>
      <c r="AH22" s="10">
        <v>7.102199223803364</v>
      </c>
      <c r="AI22" s="10">
        <v>2.897800776196636</v>
      </c>
      <c r="AJ22">
        <v>0</v>
      </c>
      <c r="AK22" s="10">
        <v>7.102199223803364</v>
      </c>
      <c r="AL22" s="10">
        <v>2.897800776196636</v>
      </c>
      <c r="AM22">
        <v>0</v>
      </c>
      <c r="AN22">
        <v>0</v>
      </c>
      <c r="AO22">
        <v>0</v>
      </c>
      <c r="AQ22" s="10">
        <v>0</v>
      </c>
      <c r="AR22" s="10">
        <v>958.79689521345415</v>
      </c>
      <c r="AS22" s="10">
        <v>391.20310478654585</v>
      </c>
    </row>
    <row r="23" spans="1:45" x14ac:dyDescent="0.25">
      <c r="A23" t="s">
        <v>56</v>
      </c>
      <c r="B23" t="s">
        <v>56</v>
      </c>
      <c r="C23" t="s">
        <v>66</v>
      </c>
      <c r="D23" t="s">
        <v>67</v>
      </c>
      <c r="E23">
        <v>500454</v>
      </c>
      <c r="F23">
        <v>500454</v>
      </c>
      <c r="H23" t="s">
        <v>102</v>
      </c>
      <c r="I23" t="s">
        <v>103</v>
      </c>
      <c r="K23" t="s">
        <v>70</v>
      </c>
      <c r="L23" t="s">
        <v>71</v>
      </c>
      <c r="M23" t="s">
        <v>57</v>
      </c>
      <c r="N23" t="s">
        <v>80</v>
      </c>
      <c r="O23" t="s">
        <v>58</v>
      </c>
      <c r="P23" t="s">
        <v>59</v>
      </c>
      <c r="Q23" t="s">
        <v>60</v>
      </c>
      <c r="R23" t="s">
        <v>61</v>
      </c>
      <c r="S23" s="9" t="s">
        <v>65</v>
      </c>
      <c r="T23">
        <v>208</v>
      </c>
      <c r="U23">
        <v>94</v>
      </c>
      <c r="V23">
        <v>37</v>
      </c>
      <c r="W23">
        <f>SUM(T23:V23)</f>
        <v>339</v>
      </c>
      <c r="Y23">
        <v>0</v>
      </c>
      <c r="Z23">
        <v>0</v>
      </c>
      <c r="AA23">
        <v>0</v>
      </c>
      <c r="AB23" s="10">
        <v>0</v>
      </c>
      <c r="AC23" s="10">
        <v>0</v>
      </c>
      <c r="AD23">
        <v>0</v>
      </c>
      <c r="AE23" s="10">
        <v>0</v>
      </c>
      <c r="AF23" s="10">
        <v>0</v>
      </c>
      <c r="AG23">
        <v>263</v>
      </c>
      <c r="AH23" s="10">
        <v>188.7175572519084</v>
      </c>
      <c r="AI23" s="10">
        <v>74.282442748091611</v>
      </c>
      <c r="AJ23">
        <v>261</v>
      </c>
      <c r="AK23" s="10">
        <v>187.2824427480916</v>
      </c>
      <c r="AL23" s="10">
        <v>73.717557251908403</v>
      </c>
      <c r="AM23">
        <v>37</v>
      </c>
      <c r="AN23">
        <v>25</v>
      </c>
      <c r="AO23">
        <v>18</v>
      </c>
      <c r="AQ23" s="10">
        <v>74</v>
      </c>
      <c r="AR23" s="10">
        <v>50</v>
      </c>
      <c r="AS23" s="10">
        <v>36</v>
      </c>
    </row>
    <row r="24" spans="1:45" x14ac:dyDescent="0.25">
      <c r="A24" t="s">
        <v>56</v>
      </c>
      <c r="B24" t="s">
        <v>56</v>
      </c>
      <c r="C24" t="s">
        <v>66</v>
      </c>
      <c r="D24" t="s">
        <v>67</v>
      </c>
      <c r="E24">
        <v>501424</v>
      </c>
      <c r="F24">
        <v>501424</v>
      </c>
      <c r="H24" t="s">
        <v>104</v>
      </c>
      <c r="I24" t="s">
        <v>105</v>
      </c>
      <c r="K24" t="s">
        <v>70</v>
      </c>
      <c r="L24" t="s">
        <v>71</v>
      </c>
      <c r="M24" t="s">
        <v>57</v>
      </c>
      <c r="N24" t="s">
        <v>106</v>
      </c>
      <c r="O24" t="s">
        <v>58</v>
      </c>
      <c r="P24" t="s">
        <v>59</v>
      </c>
      <c r="Q24" t="s">
        <v>60</v>
      </c>
      <c r="R24" t="s">
        <v>61</v>
      </c>
      <c r="S24" s="9" t="s">
        <v>65</v>
      </c>
      <c r="T24">
        <v>307</v>
      </c>
      <c r="U24">
        <v>120</v>
      </c>
      <c r="V24">
        <v>47</v>
      </c>
      <c r="W24">
        <f>SUM(T24:V24)</f>
        <v>474</v>
      </c>
      <c r="Y24">
        <v>7</v>
      </c>
      <c r="Z24">
        <v>10</v>
      </c>
      <c r="AA24">
        <v>0</v>
      </c>
      <c r="AB24" s="10">
        <v>0</v>
      </c>
      <c r="AC24" s="10">
        <v>0</v>
      </c>
      <c r="AD24">
        <v>0</v>
      </c>
      <c r="AE24" s="10">
        <v>0</v>
      </c>
      <c r="AF24" s="10">
        <v>0</v>
      </c>
      <c r="AG24">
        <v>0</v>
      </c>
      <c r="AH24" s="10">
        <v>0</v>
      </c>
      <c r="AI24" s="10">
        <v>0</v>
      </c>
      <c r="AJ24">
        <v>0</v>
      </c>
      <c r="AK24" s="10">
        <v>0</v>
      </c>
      <c r="AL24" s="10">
        <v>0</v>
      </c>
      <c r="AM24">
        <v>0</v>
      </c>
      <c r="AN24">
        <v>108</v>
      </c>
      <c r="AO24">
        <v>47</v>
      </c>
      <c r="AQ24" s="10">
        <v>10</v>
      </c>
      <c r="AR24" s="10">
        <v>216</v>
      </c>
      <c r="AS24" s="10">
        <v>94</v>
      </c>
    </row>
    <row r="25" spans="1:45" x14ac:dyDescent="0.25">
      <c r="A25" t="s">
        <v>56</v>
      </c>
      <c r="B25" t="s">
        <v>56</v>
      </c>
      <c r="C25" t="s">
        <v>66</v>
      </c>
      <c r="D25" t="s">
        <v>107</v>
      </c>
      <c r="E25">
        <v>129387</v>
      </c>
      <c r="F25">
        <v>129387</v>
      </c>
      <c r="H25" t="s">
        <v>108</v>
      </c>
      <c r="I25" t="s">
        <v>109</v>
      </c>
      <c r="K25" t="s">
        <v>70</v>
      </c>
      <c r="L25" t="s">
        <v>71</v>
      </c>
      <c r="M25" t="s">
        <v>57</v>
      </c>
      <c r="N25" t="s">
        <v>110</v>
      </c>
      <c r="O25" t="s">
        <v>58</v>
      </c>
      <c r="P25" t="s">
        <v>59</v>
      </c>
      <c r="Q25" t="s">
        <v>60</v>
      </c>
      <c r="R25" t="s">
        <v>61</v>
      </c>
      <c r="S25" s="9" t="s">
        <v>62</v>
      </c>
      <c r="T25">
        <v>227</v>
      </c>
      <c r="U25">
        <v>0</v>
      </c>
      <c r="V25">
        <v>0</v>
      </c>
      <c r="W25">
        <f>SUM(T25:V25)</f>
        <v>227</v>
      </c>
      <c r="Y25">
        <v>10</v>
      </c>
      <c r="Z25">
        <v>20</v>
      </c>
      <c r="AA25">
        <v>2</v>
      </c>
      <c r="AD25">
        <v>4</v>
      </c>
      <c r="AG25">
        <v>1</v>
      </c>
      <c r="AJ25">
        <v>4</v>
      </c>
      <c r="AM25">
        <v>0</v>
      </c>
      <c r="AN25">
        <v>0</v>
      </c>
      <c r="AO25">
        <v>0</v>
      </c>
      <c r="AQ25" s="10">
        <v>30</v>
      </c>
      <c r="AR25" s="10">
        <v>0</v>
      </c>
      <c r="AS25" s="10">
        <v>0</v>
      </c>
    </row>
    <row r="26" spans="1:45" x14ac:dyDescent="0.25">
      <c r="A26" t="s">
        <v>56</v>
      </c>
      <c r="B26" t="s">
        <v>56</v>
      </c>
      <c r="C26" t="s">
        <v>66</v>
      </c>
      <c r="D26" t="s">
        <v>107</v>
      </c>
      <c r="E26">
        <v>129388</v>
      </c>
      <c r="F26">
        <v>129388</v>
      </c>
      <c r="H26" t="s">
        <v>111</v>
      </c>
      <c r="I26" t="s">
        <v>112</v>
      </c>
      <c r="K26" t="s">
        <v>70</v>
      </c>
      <c r="L26" t="s">
        <v>71</v>
      </c>
      <c r="M26" t="s">
        <v>57</v>
      </c>
      <c r="N26" t="s">
        <v>113</v>
      </c>
      <c r="O26" t="s">
        <v>58</v>
      </c>
      <c r="P26" t="s">
        <v>59</v>
      </c>
      <c r="Q26" t="s">
        <v>60</v>
      </c>
      <c r="R26" t="s">
        <v>61</v>
      </c>
      <c r="S26" s="9" t="s">
        <v>62</v>
      </c>
      <c r="T26">
        <v>342</v>
      </c>
      <c r="U26">
        <v>0</v>
      </c>
      <c r="V26">
        <v>0</v>
      </c>
      <c r="W26">
        <f>SUM(T26:V26)</f>
        <v>342</v>
      </c>
      <c r="Y26">
        <v>0</v>
      </c>
      <c r="Z26">
        <v>0</v>
      </c>
      <c r="AA26">
        <v>135</v>
      </c>
      <c r="AD26">
        <v>21</v>
      </c>
      <c r="AG26">
        <v>5</v>
      </c>
      <c r="AJ26">
        <v>5</v>
      </c>
      <c r="AM26">
        <v>0</v>
      </c>
      <c r="AN26">
        <v>0</v>
      </c>
      <c r="AO26">
        <v>0</v>
      </c>
      <c r="AQ26" s="10">
        <v>177</v>
      </c>
      <c r="AR26" s="10">
        <v>0</v>
      </c>
      <c r="AS26" s="10">
        <v>0</v>
      </c>
    </row>
    <row r="27" spans="1:45" x14ac:dyDescent="0.25">
      <c r="A27" t="s">
        <v>56</v>
      </c>
      <c r="B27" t="s">
        <v>56</v>
      </c>
      <c r="C27" t="s">
        <v>66</v>
      </c>
      <c r="D27" t="s">
        <v>107</v>
      </c>
      <c r="E27">
        <v>129389</v>
      </c>
      <c r="F27">
        <v>129389</v>
      </c>
      <c r="H27" t="s">
        <v>114</v>
      </c>
      <c r="I27" t="s">
        <v>115</v>
      </c>
      <c r="K27" t="s">
        <v>70</v>
      </c>
      <c r="L27" t="s">
        <v>71</v>
      </c>
      <c r="M27" t="s">
        <v>57</v>
      </c>
      <c r="N27" t="s">
        <v>116</v>
      </c>
      <c r="O27" t="s">
        <v>58</v>
      </c>
      <c r="P27" t="s">
        <v>59</v>
      </c>
      <c r="Q27" t="s">
        <v>60</v>
      </c>
      <c r="R27" t="s">
        <v>61</v>
      </c>
      <c r="S27" s="9" t="s">
        <v>62</v>
      </c>
      <c r="T27">
        <v>931</v>
      </c>
      <c r="U27">
        <v>0</v>
      </c>
      <c r="V27">
        <v>0</v>
      </c>
      <c r="W27">
        <f>SUM(T27:V27)</f>
        <v>931</v>
      </c>
      <c r="Y27">
        <v>0</v>
      </c>
      <c r="Z27">
        <v>0</v>
      </c>
      <c r="AA27">
        <v>0</v>
      </c>
      <c r="AD27">
        <v>0</v>
      </c>
      <c r="AG27">
        <v>0</v>
      </c>
      <c r="AJ27">
        <v>0</v>
      </c>
      <c r="AM27">
        <v>225</v>
      </c>
      <c r="AN27">
        <v>0</v>
      </c>
      <c r="AO27">
        <v>0</v>
      </c>
      <c r="AQ27" s="10">
        <v>450</v>
      </c>
      <c r="AR27" s="10">
        <v>0</v>
      </c>
      <c r="AS27" s="10">
        <v>0</v>
      </c>
    </row>
    <row r="28" spans="1:45" x14ac:dyDescent="0.25">
      <c r="A28" t="s">
        <v>56</v>
      </c>
      <c r="B28" t="s">
        <v>56</v>
      </c>
      <c r="C28" t="s">
        <v>66</v>
      </c>
      <c r="D28" t="s">
        <v>107</v>
      </c>
      <c r="E28">
        <v>129390</v>
      </c>
      <c r="F28">
        <v>129390</v>
      </c>
      <c r="H28" t="s">
        <v>117</v>
      </c>
      <c r="I28" t="s">
        <v>118</v>
      </c>
      <c r="K28" t="s">
        <v>70</v>
      </c>
      <c r="L28" t="s">
        <v>71</v>
      </c>
      <c r="M28" t="s">
        <v>57</v>
      </c>
      <c r="N28" t="s">
        <v>110</v>
      </c>
      <c r="O28" t="s">
        <v>58</v>
      </c>
      <c r="P28" t="s">
        <v>59</v>
      </c>
      <c r="Q28" t="s">
        <v>60</v>
      </c>
      <c r="R28" t="s">
        <v>61</v>
      </c>
      <c r="S28" s="9" t="s">
        <v>62</v>
      </c>
      <c r="T28">
        <v>689</v>
      </c>
      <c r="U28">
        <v>0</v>
      </c>
      <c r="V28">
        <v>0</v>
      </c>
      <c r="W28">
        <f>SUM(T28:V28)</f>
        <v>689</v>
      </c>
      <c r="Y28">
        <v>5</v>
      </c>
      <c r="Z28">
        <v>30</v>
      </c>
      <c r="AA28">
        <v>20</v>
      </c>
      <c r="AD28">
        <v>25</v>
      </c>
      <c r="AG28">
        <v>80</v>
      </c>
      <c r="AJ28">
        <v>120</v>
      </c>
      <c r="AM28">
        <v>0</v>
      </c>
      <c r="AN28">
        <v>0</v>
      </c>
      <c r="AO28">
        <v>0</v>
      </c>
      <c r="AQ28" s="10">
        <v>100</v>
      </c>
      <c r="AR28" s="10">
        <v>0</v>
      </c>
      <c r="AS28" s="10">
        <v>0</v>
      </c>
    </row>
    <row r="29" spans="1:45" x14ac:dyDescent="0.25">
      <c r="A29" t="s">
        <v>56</v>
      </c>
      <c r="B29" t="s">
        <v>56</v>
      </c>
      <c r="C29" t="s">
        <v>66</v>
      </c>
      <c r="D29" t="s">
        <v>107</v>
      </c>
      <c r="E29">
        <v>129391</v>
      </c>
      <c r="F29">
        <v>129391</v>
      </c>
      <c r="H29" t="s">
        <v>119</v>
      </c>
      <c r="I29" t="s">
        <v>120</v>
      </c>
      <c r="K29" t="s">
        <v>70</v>
      </c>
      <c r="L29" t="s">
        <v>71</v>
      </c>
      <c r="M29" t="s">
        <v>57</v>
      </c>
      <c r="N29" t="s">
        <v>121</v>
      </c>
      <c r="O29" t="s">
        <v>58</v>
      </c>
      <c r="P29" t="s">
        <v>59</v>
      </c>
      <c r="Q29" t="s">
        <v>60</v>
      </c>
      <c r="R29" t="s">
        <v>61</v>
      </c>
      <c r="S29" s="9" t="s">
        <v>62</v>
      </c>
      <c r="T29">
        <v>279</v>
      </c>
      <c r="U29">
        <v>0</v>
      </c>
      <c r="V29">
        <v>0</v>
      </c>
      <c r="W29">
        <f>SUM(T29:V29)</f>
        <v>279</v>
      </c>
      <c r="Y29">
        <v>10</v>
      </c>
      <c r="Z29">
        <v>30</v>
      </c>
      <c r="AA29">
        <v>50</v>
      </c>
      <c r="AD29">
        <v>10</v>
      </c>
      <c r="AG29">
        <v>2</v>
      </c>
      <c r="AJ29">
        <v>2</v>
      </c>
      <c r="AM29">
        <v>0</v>
      </c>
      <c r="AN29">
        <v>0</v>
      </c>
      <c r="AO29">
        <v>0</v>
      </c>
      <c r="AQ29" s="10">
        <v>100</v>
      </c>
      <c r="AR29" s="10">
        <v>0</v>
      </c>
      <c r="AS29" s="10">
        <v>0</v>
      </c>
    </row>
    <row r="30" spans="1:45" x14ac:dyDescent="0.25">
      <c r="A30" t="s">
        <v>56</v>
      </c>
      <c r="B30" t="s">
        <v>56</v>
      </c>
      <c r="C30" t="s">
        <v>66</v>
      </c>
      <c r="D30" t="s">
        <v>107</v>
      </c>
      <c r="E30">
        <v>129392</v>
      </c>
      <c r="F30">
        <v>129392</v>
      </c>
      <c r="H30" t="s">
        <v>122</v>
      </c>
      <c r="I30" t="s">
        <v>123</v>
      </c>
      <c r="K30" t="s">
        <v>70</v>
      </c>
      <c r="L30" t="s">
        <v>71</v>
      </c>
      <c r="M30" t="s">
        <v>57</v>
      </c>
      <c r="N30" t="s">
        <v>124</v>
      </c>
      <c r="O30" t="s">
        <v>58</v>
      </c>
      <c r="P30" t="s">
        <v>59</v>
      </c>
      <c r="Q30" t="s">
        <v>60</v>
      </c>
      <c r="R30" t="s">
        <v>61</v>
      </c>
      <c r="S30" s="9" t="s">
        <v>62</v>
      </c>
      <c r="T30">
        <v>373</v>
      </c>
      <c r="U30">
        <v>0</v>
      </c>
      <c r="V30">
        <v>0</v>
      </c>
      <c r="W30">
        <f>SUM(T30:V30)</f>
        <v>373</v>
      </c>
      <c r="Y30">
        <v>9</v>
      </c>
      <c r="Z30">
        <v>10</v>
      </c>
      <c r="AA30">
        <v>40</v>
      </c>
      <c r="AD30">
        <v>9</v>
      </c>
      <c r="AG30">
        <v>30</v>
      </c>
      <c r="AJ30">
        <v>25</v>
      </c>
      <c r="AM30">
        <v>0</v>
      </c>
      <c r="AN30">
        <v>0</v>
      </c>
      <c r="AO30">
        <v>0</v>
      </c>
      <c r="AQ30" s="10">
        <v>68</v>
      </c>
      <c r="AR30" s="10">
        <v>0</v>
      </c>
      <c r="AS30" s="10">
        <v>0</v>
      </c>
    </row>
    <row r="31" spans="1:45" x14ac:dyDescent="0.25">
      <c r="A31" t="s">
        <v>56</v>
      </c>
      <c r="B31" t="s">
        <v>56</v>
      </c>
      <c r="C31" t="s">
        <v>66</v>
      </c>
      <c r="D31" t="s">
        <v>107</v>
      </c>
      <c r="E31">
        <v>129393</v>
      </c>
      <c r="F31">
        <v>129393</v>
      </c>
      <c r="H31" t="s">
        <v>125</v>
      </c>
      <c r="I31" t="s">
        <v>126</v>
      </c>
      <c r="K31" t="s">
        <v>70</v>
      </c>
      <c r="L31" t="s">
        <v>71</v>
      </c>
      <c r="M31" t="s">
        <v>57</v>
      </c>
      <c r="N31" t="s">
        <v>127</v>
      </c>
      <c r="O31" t="s">
        <v>58</v>
      </c>
      <c r="P31" t="s">
        <v>59</v>
      </c>
      <c r="Q31" t="s">
        <v>60</v>
      </c>
      <c r="R31" t="s">
        <v>61</v>
      </c>
      <c r="S31" s="9" t="s">
        <v>62</v>
      </c>
      <c r="T31">
        <v>69</v>
      </c>
      <c r="U31">
        <v>0</v>
      </c>
      <c r="V31">
        <v>0</v>
      </c>
      <c r="W31">
        <f>SUM(T31:V31)</f>
        <v>69</v>
      </c>
      <c r="Y31">
        <v>0</v>
      </c>
      <c r="Z31">
        <v>0</v>
      </c>
      <c r="AA31">
        <v>0</v>
      </c>
      <c r="AD31">
        <v>10</v>
      </c>
      <c r="AG31">
        <v>30</v>
      </c>
      <c r="AJ31">
        <v>150</v>
      </c>
      <c r="AM31">
        <v>0</v>
      </c>
      <c r="AN31">
        <v>0</v>
      </c>
      <c r="AO31">
        <v>0</v>
      </c>
      <c r="AQ31" s="10">
        <v>20</v>
      </c>
      <c r="AR31" s="10">
        <v>0</v>
      </c>
      <c r="AS31" s="10">
        <v>0</v>
      </c>
    </row>
    <row r="32" spans="1:45" x14ac:dyDescent="0.25">
      <c r="A32" t="s">
        <v>56</v>
      </c>
      <c r="B32" t="s">
        <v>56</v>
      </c>
      <c r="C32" t="s">
        <v>66</v>
      </c>
      <c r="D32" t="s">
        <v>107</v>
      </c>
      <c r="E32">
        <v>129394</v>
      </c>
      <c r="F32">
        <v>129394</v>
      </c>
      <c r="H32" t="s">
        <v>128</v>
      </c>
      <c r="I32" t="s">
        <v>129</v>
      </c>
      <c r="K32" t="s">
        <v>70</v>
      </c>
      <c r="L32" t="s">
        <v>71</v>
      </c>
      <c r="M32" t="s">
        <v>57</v>
      </c>
      <c r="N32" t="s">
        <v>121</v>
      </c>
      <c r="O32" t="s">
        <v>58</v>
      </c>
      <c r="P32" t="s">
        <v>59</v>
      </c>
      <c r="Q32" t="s">
        <v>60</v>
      </c>
      <c r="R32" t="s">
        <v>61</v>
      </c>
      <c r="S32" s="9" t="s">
        <v>62</v>
      </c>
      <c r="T32">
        <v>112</v>
      </c>
      <c r="U32">
        <v>0</v>
      </c>
      <c r="V32">
        <v>0</v>
      </c>
      <c r="W32">
        <f>SUM(T32:V32)</f>
        <v>112</v>
      </c>
      <c r="Y32">
        <v>0</v>
      </c>
      <c r="Z32">
        <v>0</v>
      </c>
      <c r="AA32">
        <v>0</v>
      </c>
      <c r="AD32">
        <v>0</v>
      </c>
      <c r="AG32">
        <v>225</v>
      </c>
      <c r="AJ32">
        <v>225</v>
      </c>
      <c r="AM32">
        <v>0</v>
      </c>
      <c r="AN32">
        <v>0</v>
      </c>
      <c r="AO32">
        <v>0</v>
      </c>
      <c r="AQ32" s="10">
        <v>0</v>
      </c>
      <c r="AR32" s="10">
        <v>0</v>
      </c>
      <c r="AS32" s="10">
        <v>0</v>
      </c>
    </row>
    <row r="33" spans="1:45" x14ac:dyDescent="0.25">
      <c r="A33" t="s">
        <v>56</v>
      </c>
      <c r="B33" t="s">
        <v>56</v>
      </c>
      <c r="C33" t="s">
        <v>66</v>
      </c>
      <c r="D33" t="s">
        <v>107</v>
      </c>
      <c r="E33">
        <v>129395</v>
      </c>
      <c r="F33">
        <v>129395</v>
      </c>
      <c r="H33" t="s">
        <v>130</v>
      </c>
      <c r="I33" t="s">
        <v>131</v>
      </c>
      <c r="K33" t="s">
        <v>70</v>
      </c>
      <c r="L33" t="s">
        <v>71</v>
      </c>
      <c r="M33" t="s">
        <v>57</v>
      </c>
      <c r="N33" t="s">
        <v>116</v>
      </c>
      <c r="O33" t="s">
        <v>58</v>
      </c>
      <c r="P33" t="s">
        <v>59</v>
      </c>
      <c r="Q33" t="s">
        <v>60</v>
      </c>
      <c r="R33" t="s">
        <v>61</v>
      </c>
      <c r="S33" s="9" t="s">
        <v>62</v>
      </c>
      <c r="T33">
        <v>774</v>
      </c>
      <c r="U33">
        <v>0</v>
      </c>
      <c r="V33">
        <v>0</v>
      </c>
      <c r="W33">
        <f>SUM(T33:V33)</f>
        <v>774</v>
      </c>
      <c r="Y33">
        <v>7</v>
      </c>
      <c r="Z33">
        <v>30</v>
      </c>
      <c r="AA33">
        <v>437</v>
      </c>
      <c r="AD33">
        <v>12</v>
      </c>
      <c r="AG33">
        <v>25</v>
      </c>
      <c r="AJ33">
        <v>59</v>
      </c>
      <c r="AM33">
        <v>0</v>
      </c>
      <c r="AN33">
        <v>0</v>
      </c>
      <c r="AO33">
        <v>0</v>
      </c>
      <c r="AQ33" s="10">
        <v>491</v>
      </c>
      <c r="AR33" s="10">
        <v>0</v>
      </c>
      <c r="AS33" s="10">
        <v>0</v>
      </c>
    </row>
    <row r="34" spans="1:45" x14ac:dyDescent="0.25">
      <c r="A34" t="s">
        <v>56</v>
      </c>
      <c r="B34" t="s">
        <v>56</v>
      </c>
      <c r="C34" t="s">
        <v>66</v>
      </c>
      <c r="D34" t="s">
        <v>107</v>
      </c>
      <c r="E34">
        <v>129396</v>
      </c>
      <c r="F34">
        <v>129396</v>
      </c>
      <c r="H34" t="s">
        <v>132</v>
      </c>
      <c r="I34" t="s">
        <v>133</v>
      </c>
      <c r="K34" t="s">
        <v>70</v>
      </c>
      <c r="L34" t="s">
        <v>71</v>
      </c>
      <c r="M34" t="s">
        <v>57</v>
      </c>
      <c r="N34" t="s">
        <v>127</v>
      </c>
      <c r="O34" t="s">
        <v>58</v>
      </c>
      <c r="P34" t="s">
        <v>59</v>
      </c>
      <c r="Q34" t="s">
        <v>60</v>
      </c>
      <c r="R34" t="s">
        <v>61</v>
      </c>
      <c r="S34" s="9" t="s">
        <v>62</v>
      </c>
      <c r="T34">
        <v>530</v>
      </c>
      <c r="U34">
        <v>0</v>
      </c>
      <c r="V34">
        <v>0</v>
      </c>
      <c r="W34">
        <f>SUM(T34:V34)</f>
        <v>530</v>
      </c>
      <c r="Y34">
        <v>10</v>
      </c>
      <c r="Z34">
        <v>30</v>
      </c>
      <c r="AA34">
        <v>70</v>
      </c>
      <c r="AD34">
        <v>30</v>
      </c>
      <c r="AG34">
        <v>0</v>
      </c>
      <c r="AJ34">
        <v>0</v>
      </c>
      <c r="AM34">
        <v>0</v>
      </c>
      <c r="AN34">
        <v>0</v>
      </c>
      <c r="AO34">
        <v>0</v>
      </c>
      <c r="AQ34" s="10">
        <v>160</v>
      </c>
      <c r="AR34" s="10">
        <v>0</v>
      </c>
      <c r="AS34" s="10">
        <v>0</v>
      </c>
    </row>
    <row r="35" spans="1:45" x14ac:dyDescent="0.25">
      <c r="A35" t="s">
        <v>56</v>
      </c>
      <c r="B35" t="s">
        <v>56</v>
      </c>
      <c r="C35" t="s">
        <v>66</v>
      </c>
      <c r="D35" t="s">
        <v>107</v>
      </c>
      <c r="E35">
        <v>129397</v>
      </c>
      <c r="F35">
        <v>129397</v>
      </c>
      <c r="H35" t="s">
        <v>134</v>
      </c>
      <c r="I35" t="s">
        <v>135</v>
      </c>
      <c r="K35" t="s">
        <v>70</v>
      </c>
      <c r="L35" t="s">
        <v>71</v>
      </c>
      <c r="M35" t="s">
        <v>57</v>
      </c>
      <c r="N35" t="s">
        <v>136</v>
      </c>
      <c r="O35" t="s">
        <v>58</v>
      </c>
      <c r="P35" t="s">
        <v>59</v>
      </c>
      <c r="Q35" t="s">
        <v>60</v>
      </c>
      <c r="R35" t="s">
        <v>61</v>
      </c>
      <c r="S35" s="9" t="s">
        <v>62</v>
      </c>
      <c r="T35">
        <v>167</v>
      </c>
      <c r="U35">
        <v>0</v>
      </c>
      <c r="V35">
        <v>0</v>
      </c>
      <c r="W35">
        <f>SUM(T35:V35)</f>
        <v>167</v>
      </c>
      <c r="Y35">
        <v>0</v>
      </c>
      <c r="Z35">
        <v>3</v>
      </c>
      <c r="AA35">
        <v>0</v>
      </c>
      <c r="AD35">
        <v>0</v>
      </c>
      <c r="AG35">
        <v>4</v>
      </c>
      <c r="AJ35">
        <v>6</v>
      </c>
      <c r="AM35">
        <v>0</v>
      </c>
      <c r="AN35">
        <v>0</v>
      </c>
      <c r="AO35">
        <v>0</v>
      </c>
      <c r="AQ35" s="10">
        <v>3</v>
      </c>
      <c r="AR35" s="10">
        <v>0</v>
      </c>
      <c r="AS35" s="10">
        <v>0</v>
      </c>
    </row>
    <row r="36" spans="1:45" x14ac:dyDescent="0.25">
      <c r="A36" t="s">
        <v>56</v>
      </c>
      <c r="B36" t="s">
        <v>56</v>
      </c>
      <c r="C36" t="s">
        <v>66</v>
      </c>
      <c r="D36" t="s">
        <v>107</v>
      </c>
      <c r="E36">
        <v>129398</v>
      </c>
      <c r="F36">
        <v>129398</v>
      </c>
      <c r="H36" t="s">
        <v>137</v>
      </c>
      <c r="I36" t="s">
        <v>138</v>
      </c>
      <c r="K36" t="s">
        <v>70</v>
      </c>
      <c r="L36" t="s">
        <v>71</v>
      </c>
      <c r="M36" t="s">
        <v>57</v>
      </c>
      <c r="N36" t="s">
        <v>139</v>
      </c>
      <c r="O36" t="s">
        <v>58</v>
      </c>
      <c r="P36" t="s">
        <v>59</v>
      </c>
      <c r="Q36" t="s">
        <v>60</v>
      </c>
      <c r="R36" t="s">
        <v>61</v>
      </c>
      <c r="S36" s="9" t="s">
        <v>62</v>
      </c>
      <c r="T36">
        <v>616</v>
      </c>
      <c r="U36">
        <v>0</v>
      </c>
      <c r="V36">
        <v>0</v>
      </c>
      <c r="W36">
        <f>SUM(T36:V36)</f>
        <v>616</v>
      </c>
      <c r="Y36">
        <v>13</v>
      </c>
      <c r="Z36">
        <v>70</v>
      </c>
      <c r="AA36">
        <v>100</v>
      </c>
      <c r="AD36">
        <v>100</v>
      </c>
      <c r="AG36">
        <v>90</v>
      </c>
      <c r="AJ36">
        <v>90</v>
      </c>
      <c r="AM36">
        <v>0</v>
      </c>
      <c r="AN36">
        <v>0</v>
      </c>
      <c r="AO36">
        <v>0</v>
      </c>
      <c r="AQ36" s="10">
        <v>370</v>
      </c>
      <c r="AR36" s="10">
        <v>0</v>
      </c>
      <c r="AS36" s="10">
        <v>0</v>
      </c>
    </row>
    <row r="37" spans="1:45" x14ac:dyDescent="0.25">
      <c r="A37" t="s">
        <v>56</v>
      </c>
      <c r="B37" t="s">
        <v>56</v>
      </c>
      <c r="C37" t="s">
        <v>66</v>
      </c>
      <c r="D37" t="s">
        <v>107</v>
      </c>
      <c r="E37">
        <v>129399</v>
      </c>
      <c r="F37">
        <v>129399</v>
      </c>
      <c r="H37" t="s">
        <v>140</v>
      </c>
      <c r="I37" t="s">
        <v>141</v>
      </c>
      <c r="K37" t="s">
        <v>70</v>
      </c>
      <c r="L37" t="s">
        <v>71</v>
      </c>
      <c r="M37" t="s">
        <v>57</v>
      </c>
      <c r="N37" t="s">
        <v>142</v>
      </c>
      <c r="O37" t="s">
        <v>58</v>
      </c>
      <c r="P37" t="s">
        <v>59</v>
      </c>
      <c r="Q37" t="s">
        <v>60</v>
      </c>
      <c r="R37" t="s">
        <v>61</v>
      </c>
      <c r="S37" s="9" t="s">
        <v>62</v>
      </c>
      <c r="T37">
        <v>617</v>
      </c>
      <c r="U37">
        <v>0</v>
      </c>
      <c r="V37">
        <v>0</v>
      </c>
      <c r="W37">
        <f>SUM(T37:V37)</f>
        <v>617</v>
      </c>
      <c r="Y37">
        <v>2</v>
      </c>
      <c r="Z37">
        <v>12</v>
      </c>
      <c r="AA37">
        <v>126</v>
      </c>
      <c r="AD37">
        <v>5</v>
      </c>
      <c r="AG37">
        <v>0</v>
      </c>
      <c r="AJ37">
        <v>0</v>
      </c>
      <c r="AM37">
        <v>0</v>
      </c>
      <c r="AN37">
        <v>0</v>
      </c>
      <c r="AO37">
        <v>0</v>
      </c>
      <c r="AQ37" s="10">
        <v>148</v>
      </c>
      <c r="AR37" s="10">
        <v>0</v>
      </c>
      <c r="AS37" s="10">
        <v>0</v>
      </c>
    </row>
    <row r="38" spans="1:45" x14ac:dyDescent="0.25">
      <c r="A38" t="s">
        <v>56</v>
      </c>
      <c r="B38" t="s">
        <v>56</v>
      </c>
      <c r="C38" t="s">
        <v>66</v>
      </c>
      <c r="D38" t="s">
        <v>107</v>
      </c>
      <c r="E38">
        <v>129400</v>
      </c>
      <c r="F38">
        <v>129400</v>
      </c>
      <c r="H38" t="s">
        <v>143</v>
      </c>
      <c r="I38" t="s">
        <v>144</v>
      </c>
      <c r="K38" t="s">
        <v>70</v>
      </c>
      <c r="L38" t="s">
        <v>71</v>
      </c>
      <c r="M38" t="s">
        <v>57</v>
      </c>
      <c r="N38" t="s">
        <v>139</v>
      </c>
      <c r="O38" t="s">
        <v>58</v>
      </c>
      <c r="P38" t="s">
        <v>59</v>
      </c>
      <c r="Q38" t="s">
        <v>60</v>
      </c>
      <c r="R38" t="s">
        <v>61</v>
      </c>
      <c r="S38" s="9" t="s">
        <v>62</v>
      </c>
      <c r="T38">
        <v>1334</v>
      </c>
      <c r="U38">
        <v>0</v>
      </c>
      <c r="V38">
        <v>0</v>
      </c>
      <c r="W38">
        <f>SUM(T38:V38)</f>
        <v>1334</v>
      </c>
      <c r="Y38">
        <v>5</v>
      </c>
      <c r="Z38">
        <v>20</v>
      </c>
      <c r="AA38">
        <v>200</v>
      </c>
      <c r="AD38">
        <v>75</v>
      </c>
      <c r="AG38">
        <v>0</v>
      </c>
      <c r="AJ38">
        <v>0</v>
      </c>
      <c r="AM38">
        <v>40</v>
      </c>
      <c r="AN38">
        <v>0</v>
      </c>
      <c r="AO38">
        <v>0</v>
      </c>
      <c r="AQ38" s="10">
        <v>450</v>
      </c>
      <c r="AR38" s="10">
        <v>0</v>
      </c>
      <c r="AS38" s="10">
        <v>0</v>
      </c>
    </row>
    <row r="39" spans="1:45" x14ac:dyDescent="0.25">
      <c r="A39" t="s">
        <v>56</v>
      </c>
      <c r="B39" t="s">
        <v>56</v>
      </c>
      <c r="C39" t="s">
        <v>66</v>
      </c>
      <c r="D39" t="s">
        <v>107</v>
      </c>
      <c r="E39">
        <v>129401</v>
      </c>
      <c r="F39">
        <v>129401</v>
      </c>
      <c r="H39" t="s">
        <v>145</v>
      </c>
      <c r="I39" t="s">
        <v>146</v>
      </c>
      <c r="K39" t="s">
        <v>70</v>
      </c>
      <c r="L39" t="s">
        <v>71</v>
      </c>
      <c r="M39" t="s">
        <v>57</v>
      </c>
      <c r="N39" t="s">
        <v>113</v>
      </c>
      <c r="O39" t="s">
        <v>58</v>
      </c>
      <c r="P39" t="s">
        <v>59</v>
      </c>
      <c r="Q39" t="s">
        <v>60</v>
      </c>
      <c r="R39" t="s">
        <v>61</v>
      </c>
      <c r="S39" s="9" t="s">
        <v>62</v>
      </c>
      <c r="T39">
        <v>205</v>
      </c>
      <c r="U39">
        <v>0</v>
      </c>
      <c r="V39">
        <v>0</v>
      </c>
      <c r="W39">
        <f>SUM(T39:V39)</f>
        <v>205</v>
      </c>
      <c r="Y39">
        <v>10</v>
      </c>
      <c r="Z39">
        <v>25</v>
      </c>
      <c r="AA39">
        <v>20</v>
      </c>
      <c r="AD39">
        <v>20</v>
      </c>
      <c r="AG39">
        <v>3</v>
      </c>
      <c r="AJ39">
        <v>3</v>
      </c>
      <c r="AM39">
        <v>0</v>
      </c>
      <c r="AN39">
        <v>0</v>
      </c>
      <c r="AO39">
        <v>0</v>
      </c>
      <c r="AQ39" s="10">
        <v>85</v>
      </c>
      <c r="AR39" s="10">
        <v>0</v>
      </c>
      <c r="AS39" s="10">
        <v>0</v>
      </c>
    </row>
    <row r="40" spans="1:45" x14ac:dyDescent="0.25">
      <c r="A40" t="s">
        <v>56</v>
      </c>
      <c r="B40" t="s">
        <v>56</v>
      </c>
      <c r="C40" t="s">
        <v>66</v>
      </c>
      <c r="D40" t="s">
        <v>107</v>
      </c>
      <c r="E40">
        <v>129402</v>
      </c>
      <c r="F40">
        <v>129402</v>
      </c>
      <c r="H40" t="s">
        <v>147</v>
      </c>
      <c r="I40" t="s">
        <v>148</v>
      </c>
      <c r="K40" t="s">
        <v>70</v>
      </c>
      <c r="L40" t="s">
        <v>71</v>
      </c>
      <c r="M40" t="s">
        <v>57</v>
      </c>
      <c r="N40" t="s">
        <v>127</v>
      </c>
      <c r="O40" t="s">
        <v>58</v>
      </c>
      <c r="P40" t="s">
        <v>59</v>
      </c>
      <c r="Q40" t="s">
        <v>60</v>
      </c>
      <c r="R40" t="s">
        <v>61</v>
      </c>
      <c r="S40" s="9" t="s">
        <v>62</v>
      </c>
      <c r="T40">
        <v>57</v>
      </c>
      <c r="U40">
        <v>0</v>
      </c>
      <c r="V40">
        <v>0</v>
      </c>
      <c r="W40">
        <f>SUM(T40:V40)</f>
        <v>57</v>
      </c>
      <c r="Y40">
        <v>0</v>
      </c>
      <c r="Z40">
        <v>0</v>
      </c>
      <c r="AA40">
        <v>0</v>
      </c>
      <c r="AD40">
        <v>0</v>
      </c>
      <c r="AG40">
        <v>0</v>
      </c>
      <c r="AJ40">
        <v>0</v>
      </c>
      <c r="AM40">
        <v>0</v>
      </c>
      <c r="AN40">
        <v>0</v>
      </c>
      <c r="AO40">
        <v>0</v>
      </c>
      <c r="AQ40" s="10">
        <v>0</v>
      </c>
      <c r="AR40" s="10">
        <v>0</v>
      </c>
      <c r="AS40" s="10">
        <v>0</v>
      </c>
    </row>
    <row r="41" spans="1:45" x14ac:dyDescent="0.25">
      <c r="A41" t="s">
        <v>56</v>
      </c>
      <c r="B41" t="s">
        <v>56</v>
      </c>
      <c r="C41" t="s">
        <v>66</v>
      </c>
      <c r="D41" t="s">
        <v>107</v>
      </c>
      <c r="E41">
        <v>129403</v>
      </c>
      <c r="F41">
        <v>129403</v>
      </c>
      <c r="H41" t="s">
        <v>149</v>
      </c>
      <c r="I41" t="s">
        <v>150</v>
      </c>
      <c r="K41" t="s">
        <v>70</v>
      </c>
      <c r="L41" t="s">
        <v>71</v>
      </c>
      <c r="M41" t="s">
        <v>57</v>
      </c>
      <c r="N41" t="s">
        <v>151</v>
      </c>
      <c r="O41" t="s">
        <v>58</v>
      </c>
      <c r="P41" t="s">
        <v>59</v>
      </c>
      <c r="Q41" t="s">
        <v>60</v>
      </c>
      <c r="R41" t="s">
        <v>61</v>
      </c>
      <c r="S41" s="9" t="s">
        <v>62</v>
      </c>
      <c r="T41">
        <v>128</v>
      </c>
      <c r="U41">
        <v>0</v>
      </c>
      <c r="V41">
        <v>0</v>
      </c>
      <c r="W41">
        <f>SUM(T41:V41)</f>
        <v>128</v>
      </c>
      <c r="Y41">
        <v>0</v>
      </c>
      <c r="Z41">
        <v>0</v>
      </c>
      <c r="AA41">
        <v>0</v>
      </c>
      <c r="AD41">
        <v>0</v>
      </c>
      <c r="AG41">
        <v>0</v>
      </c>
      <c r="AJ41">
        <v>0</v>
      </c>
      <c r="AM41">
        <v>0</v>
      </c>
      <c r="AN41">
        <v>0</v>
      </c>
      <c r="AO41">
        <v>0</v>
      </c>
      <c r="AQ41" s="10">
        <v>0</v>
      </c>
      <c r="AR41" s="10">
        <v>0</v>
      </c>
      <c r="AS41" s="10">
        <v>0</v>
      </c>
    </row>
    <row r="42" spans="1:45" x14ac:dyDescent="0.25">
      <c r="A42" t="s">
        <v>56</v>
      </c>
      <c r="B42" t="s">
        <v>56</v>
      </c>
      <c r="C42" t="s">
        <v>66</v>
      </c>
      <c r="D42" t="s">
        <v>107</v>
      </c>
      <c r="E42">
        <v>129405</v>
      </c>
      <c r="F42">
        <v>129405</v>
      </c>
      <c r="H42" t="s">
        <v>152</v>
      </c>
      <c r="I42" t="s">
        <v>153</v>
      </c>
      <c r="K42" t="s">
        <v>70</v>
      </c>
      <c r="L42" t="s">
        <v>71</v>
      </c>
      <c r="M42" t="s">
        <v>57</v>
      </c>
      <c r="N42" t="s">
        <v>154</v>
      </c>
      <c r="O42" t="s">
        <v>58</v>
      </c>
      <c r="P42" t="s">
        <v>59</v>
      </c>
      <c r="Q42" t="s">
        <v>60</v>
      </c>
      <c r="R42" t="s">
        <v>61</v>
      </c>
      <c r="S42" s="9" t="s">
        <v>62</v>
      </c>
      <c r="T42">
        <v>403</v>
      </c>
      <c r="U42">
        <v>0</v>
      </c>
      <c r="V42">
        <v>0</v>
      </c>
      <c r="W42">
        <f>SUM(T42:V42)</f>
        <v>403</v>
      </c>
      <c r="Y42">
        <v>10</v>
      </c>
      <c r="Z42">
        <v>10</v>
      </c>
      <c r="AA42">
        <v>50</v>
      </c>
      <c r="AD42">
        <v>0</v>
      </c>
      <c r="AG42">
        <v>0</v>
      </c>
      <c r="AJ42">
        <v>0</v>
      </c>
      <c r="AM42">
        <v>0</v>
      </c>
      <c r="AN42">
        <v>0</v>
      </c>
      <c r="AO42">
        <v>0</v>
      </c>
      <c r="AQ42" s="10">
        <v>60</v>
      </c>
      <c r="AR42" s="10">
        <v>0</v>
      </c>
      <c r="AS42" s="10">
        <v>0</v>
      </c>
    </row>
    <row r="43" spans="1:45" x14ac:dyDescent="0.25">
      <c r="A43" t="s">
        <v>56</v>
      </c>
      <c r="B43" t="s">
        <v>56</v>
      </c>
      <c r="C43" t="s">
        <v>66</v>
      </c>
      <c r="D43" t="s">
        <v>107</v>
      </c>
      <c r="E43">
        <v>129406</v>
      </c>
      <c r="F43">
        <v>129406</v>
      </c>
      <c r="H43" t="s">
        <v>155</v>
      </c>
      <c r="I43" t="s">
        <v>156</v>
      </c>
      <c r="K43" t="s">
        <v>70</v>
      </c>
      <c r="L43" t="s">
        <v>71</v>
      </c>
      <c r="M43" t="s">
        <v>57</v>
      </c>
      <c r="N43" t="s">
        <v>124</v>
      </c>
      <c r="O43" t="s">
        <v>58</v>
      </c>
      <c r="P43" t="s">
        <v>59</v>
      </c>
      <c r="Q43" t="s">
        <v>60</v>
      </c>
      <c r="R43" t="s">
        <v>61</v>
      </c>
      <c r="S43" s="9" t="s">
        <v>62</v>
      </c>
      <c r="T43">
        <v>182</v>
      </c>
      <c r="U43">
        <v>0</v>
      </c>
      <c r="V43">
        <v>0</v>
      </c>
      <c r="W43">
        <f>SUM(T43:V43)</f>
        <v>182</v>
      </c>
      <c r="Y43">
        <v>0</v>
      </c>
      <c r="Z43">
        <v>0</v>
      </c>
      <c r="AA43">
        <v>0</v>
      </c>
      <c r="AD43">
        <v>0</v>
      </c>
      <c r="AG43">
        <v>0</v>
      </c>
      <c r="AJ43">
        <v>0</v>
      </c>
      <c r="AM43">
        <v>0</v>
      </c>
      <c r="AN43">
        <v>0</v>
      </c>
      <c r="AO43">
        <v>0</v>
      </c>
      <c r="AQ43" s="10">
        <v>0</v>
      </c>
      <c r="AR43" s="10">
        <v>0</v>
      </c>
      <c r="AS43" s="10">
        <v>0</v>
      </c>
    </row>
    <row r="44" spans="1:45" x14ac:dyDescent="0.25">
      <c r="A44" t="s">
        <v>56</v>
      </c>
      <c r="B44" t="s">
        <v>56</v>
      </c>
      <c r="C44" t="s">
        <v>66</v>
      </c>
      <c r="D44" t="s">
        <v>107</v>
      </c>
      <c r="E44">
        <v>129407</v>
      </c>
      <c r="F44">
        <v>129407</v>
      </c>
      <c r="H44" t="s">
        <v>157</v>
      </c>
      <c r="I44" t="s">
        <v>158</v>
      </c>
      <c r="K44" t="s">
        <v>70</v>
      </c>
      <c r="L44" t="s">
        <v>71</v>
      </c>
      <c r="M44" t="s">
        <v>57</v>
      </c>
      <c r="N44" t="s">
        <v>136</v>
      </c>
      <c r="O44" t="s">
        <v>58</v>
      </c>
      <c r="P44" t="s">
        <v>59</v>
      </c>
      <c r="Q44" t="s">
        <v>60</v>
      </c>
      <c r="R44" t="s">
        <v>61</v>
      </c>
      <c r="S44" s="9" t="s">
        <v>62</v>
      </c>
      <c r="T44">
        <v>255</v>
      </c>
      <c r="U44">
        <v>0</v>
      </c>
      <c r="V44">
        <v>0</v>
      </c>
      <c r="W44">
        <f>SUM(T44:V44)</f>
        <v>255</v>
      </c>
      <c r="Y44">
        <v>26</v>
      </c>
      <c r="Z44">
        <v>20</v>
      </c>
      <c r="AA44">
        <v>0</v>
      </c>
      <c r="AD44">
        <v>0</v>
      </c>
      <c r="AG44">
        <v>240</v>
      </c>
      <c r="AJ44">
        <v>246</v>
      </c>
      <c r="AM44">
        <v>0</v>
      </c>
      <c r="AN44">
        <v>0</v>
      </c>
      <c r="AO44">
        <v>0</v>
      </c>
      <c r="AQ44" s="10">
        <v>20</v>
      </c>
      <c r="AR44" s="10">
        <v>0</v>
      </c>
      <c r="AS44" s="10">
        <v>0</v>
      </c>
    </row>
    <row r="45" spans="1:45" x14ac:dyDescent="0.25">
      <c r="A45" t="s">
        <v>56</v>
      </c>
      <c r="B45" t="s">
        <v>56</v>
      </c>
      <c r="C45" t="s">
        <v>66</v>
      </c>
      <c r="D45" t="s">
        <v>107</v>
      </c>
      <c r="E45">
        <v>129408</v>
      </c>
      <c r="F45">
        <v>129408</v>
      </c>
      <c r="H45" t="s">
        <v>159</v>
      </c>
      <c r="I45" t="s">
        <v>160</v>
      </c>
      <c r="K45" t="s">
        <v>70</v>
      </c>
      <c r="L45" t="s">
        <v>71</v>
      </c>
      <c r="M45" t="s">
        <v>57</v>
      </c>
      <c r="N45" t="s">
        <v>139</v>
      </c>
      <c r="O45" t="s">
        <v>58</v>
      </c>
      <c r="P45" t="s">
        <v>59</v>
      </c>
      <c r="Q45" t="s">
        <v>60</v>
      </c>
      <c r="R45" t="s">
        <v>61</v>
      </c>
      <c r="S45" s="9" t="s">
        <v>62</v>
      </c>
      <c r="T45">
        <v>149</v>
      </c>
      <c r="U45">
        <v>0</v>
      </c>
      <c r="V45">
        <v>0</v>
      </c>
      <c r="W45">
        <f>SUM(T45:V45)</f>
        <v>149</v>
      </c>
      <c r="Y45">
        <v>13</v>
      </c>
      <c r="Z45">
        <v>30</v>
      </c>
      <c r="AA45">
        <v>0</v>
      </c>
      <c r="AD45">
        <v>0</v>
      </c>
      <c r="AG45">
        <v>84</v>
      </c>
      <c r="AJ45">
        <v>84</v>
      </c>
      <c r="AM45">
        <v>0</v>
      </c>
      <c r="AN45">
        <v>0</v>
      </c>
      <c r="AO45">
        <v>0</v>
      </c>
      <c r="AQ45" s="10">
        <v>30</v>
      </c>
      <c r="AR45" s="10">
        <v>0</v>
      </c>
      <c r="AS45" s="10">
        <v>0</v>
      </c>
    </row>
    <row r="46" spans="1:45" x14ac:dyDescent="0.25">
      <c r="A46" t="s">
        <v>56</v>
      </c>
      <c r="B46" t="s">
        <v>56</v>
      </c>
      <c r="C46" t="s">
        <v>66</v>
      </c>
      <c r="D46" t="s">
        <v>107</v>
      </c>
      <c r="E46">
        <v>129409</v>
      </c>
      <c r="F46">
        <v>129409</v>
      </c>
      <c r="H46" t="s">
        <v>161</v>
      </c>
      <c r="I46" t="s">
        <v>162</v>
      </c>
      <c r="K46" t="s">
        <v>70</v>
      </c>
      <c r="L46" t="s">
        <v>71</v>
      </c>
      <c r="M46" t="s">
        <v>57</v>
      </c>
      <c r="N46" t="s">
        <v>163</v>
      </c>
      <c r="O46" t="s">
        <v>58</v>
      </c>
      <c r="P46" t="s">
        <v>59</v>
      </c>
      <c r="Q46" t="s">
        <v>60</v>
      </c>
      <c r="R46" t="s">
        <v>61</v>
      </c>
      <c r="S46" s="9" t="s">
        <v>62</v>
      </c>
      <c r="T46">
        <v>661</v>
      </c>
      <c r="U46">
        <v>0</v>
      </c>
      <c r="V46">
        <v>0</v>
      </c>
      <c r="W46">
        <f>SUM(T46:V46)</f>
        <v>661</v>
      </c>
      <c r="Y46">
        <v>0</v>
      </c>
      <c r="Z46">
        <v>0</v>
      </c>
      <c r="AA46">
        <v>10</v>
      </c>
      <c r="AD46">
        <v>0</v>
      </c>
      <c r="AG46">
        <v>9</v>
      </c>
      <c r="AJ46">
        <v>9</v>
      </c>
      <c r="AM46">
        <v>30</v>
      </c>
      <c r="AN46">
        <v>0</v>
      </c>
      <c r="AO46">
        <v>0</v>
      </c>
      <c r="AQ46" s="10">
        <v>70</v>
      </c>
      <c r="AR46" s="10">
        <v>0</v>
      </c>
      <c r="AS46" s="10">
        <v>0</v>
      </c>
    </row>
    <row r="47" spans="1:45" x14ac:dyDescent="0.25">
      <c r="A47" t="s">
        <v>56</v>
      </c>
      <c r="B47" t="s">
        <v>56</v>
      </c>
      <c r="C47" t="s">
        <v>66</v>
      </c>
      <c r="D47" t="s">
        <v>107</v>
      </c>
      <c r="E47">
        <v>257001</v>
      </c>
      <c r="F47">
        <v>257001</v>
      </c>
      <c r="H47" t="s">
        <v>164</v>
      </c>
      <c r="I47" t="s">
        <v>165</v>
      </c>
      <c r="K47" t="s">
        <v>70</v>
      </c>
      <c r="L47" t="s">
        <v>71</v>
      </c>
      <c r="M47" t="s">
        <v>57</v>
      </c>
      <c r="N47" t="s">
        <v>116</v>
      </c>
      <c r="O47" t="s">
        <v>58</v>
      </c>
      <c r="P47" t="s">
        <v>59</v>
      </c>
      <c r="Q47" t="s">
        <v>60</v>
      </c>
      <c r="R47" t="s">
        <v>61</v>
      </c>
      <c r="S47" s="9" t="s">
        <v>62</v>
      </c>
      <c r="T47">
        <v>702</v>
      </c>
      <c r="U47">
        <v>0</v>
      </c>
      <c r="V47">
        <v>0</v>
      </c>
      <c r="W47">
        <f>SUM(T47:V47)</f>
        <v>702</v>
      </c>
      <c r="Y47">
        <v>0</v>
      </c>
      <c r="Z47">
        <v>0</v>
      </c>
      <c r="AA47">
        <v>240</v>
      </c>
      <c r="AD47">
        <v>0</v>
      </c>
      <c r="AG47">
        <v>0</v>
      </c>
      <c r="AJ47">
        <v>0</v>
      </c>
      <c r="AM47">
        <v>40</v>
      </c>
      <c r="AN47">
        <v>0</v>
      </c>
      <c r="AO47">
        <v>0</v>
      </c>
      <c r="AQ47" s="10">
        <v>320</v>
      </c>
      <c r="AR47" s="10">
        <v>0</v>
      </c>
      <c r="AS47" s="10">
        <v>0</v>
      </c>
    </row>
    <row r="48" spans="1:45" x14ac:dyDescent="0.25">
      <c r="A48" t="s">
        <v>56</v>
      </c>
      <c r="B48" t="s">
        <v>56</v>
      </c>
      <c r="C48" t="s">
        <v>66</v>
      </c>
      <c r="D48" t="s">
        <v>107</v>
      </c>
      <c r="E48">
        <v>304303</v>
      </c>
      <c r="F48">
        <v>304303</v>
      </c>
      <c r="H48" t="s">
        <v>166</v>
      </c>
      <c r="I48" t="s">
        <v>167</v>
      </c>
      <c r="K48" t="s">
        <v>70</v>
      </c>
      <c r="L48" t="s">
        <v>71</v>
      </c>
      <c r="M48" t="s">
        <v>57</v>
      </c>
      <c r="N48" t="s">
        <v>110</v>
      </c>
      <c r="O48" t="s">
        <v>58</v>
      </c>
      <c r="P48" t="s">
        <v>59</v>
      </c>
      <c r="Q48" t="s">
        <v>60</v>
      </c>
      <c r="R48" t="s">
        <v>61</v>
      </c>
      <c r="S48" s="9" t="s">
        <v>63</v>
      </c>
      <c r="T48">
        <v>0</v>
      </c>
      <c r="U48">
        <v>443</v>
      </c>
      <c r="V48">
        <v>156</v>
      </c>
      <c r="W48">
        <f>SUM(T48:V48)</f>
        <v>599</v>
      </c>
      <c r="Y48">
        <v>0</v>
      </c>
      <c r="Z48">
        <v>0</v>
      </c>
      <c r="AA48">
        <v>0</v>
      </c>
      <c r="AB48" s="10">
        <v>44.373956594323879</v>
      </c>
      <c r="AC48" s="10">
        <v>15.626043405676128</v>
      </c>
      <c r="AD48">
        <v>0</v>
      </c>
      <c r="AE48" s="10">
        <v>0</v>
      </c>
      <c r="AF48" s="10">
        <v>0</v>
      </c>
      <c r="AG48">
        <v>0</v>
      </c>
      <c r="AH48" s="10">
        <v>0</v>
      </c>
      <c r="AI48" s="10">
        <v>0</v>
      </c>
      <c r="AJ48">
        <v>0</v>
      </c>
      <c r="AK48" s="10">
        <v>0</v>
      </c>
      <c r="AL48" s="10">
        <v>0</v>
      </c>
      <c r="AM48">
        <v>0</v>
      </c>
      <c r="AN48">
        <v>225</v>
      </c>
      <c r="AO48">
        <v>124</v>
      </c>
      <c r="AQ48" s="10">
        <v>0</v>
      </c>
      <c r="AR48" s="10">
        <v>494.37395659432389</v>
      </c>
      <c r="AS48" s="10">
        <v>263.62604340567611</v>
      </c>
    </row>
    <row r="49" spans="1:45" x14ac:dyDescent="0.25">
      <c r="A49" t="s">
        <v>56</v>
      </c>
      <c r="B49" t="s">
        <v>56</v>
      </c>
      <c r="C49" t="s">
        <v>66</v>
      </c>
      <c r="D49" t="s">
        <v>107</v>
      </c>
      <c r="E49">
        <v>304305</v>
      </c>
      <c r="F49">
        <v>304305</v>
      </c>
      <c r="H49" t="s">
        <v>168</v>
      </c>
      <c r="I49" t="s">
        <v>169</v>
      </c>
      <c r="K49" t="s">
        <v>70</v>
      </c>
      <c r="L49" t="s">
        <v>71</v>
      </c>
      <c r="M49" t="s">
        <v>57</v>
      </c>
      <c r="N49" t="s">
        <v>121</v>
      </c>
      <c r="O49" t="s">
        <v>58</v>
      </c>
      <c r="P49" t="s">
        <v>59</v>
      </c>
      <c r="Q49" t="s">
        <v>60</v>
      </c>
      <c r="R49" t="s">
        <v>61</v>
      </c>
      <c r="S49" s="9" t="s">
        <v>63</v>
      </c>
      <c r="T49">
        <v>0</v>
      </c>
      <c r="U49">
        <v>334</v>
      </c>
      <c r="V49">
        <v>132</v>
      </c>
      <c r="W49">
        <f>SUM(T49:V49)</f>
        <v>466</v>
      </c>
      <c r="Y49">
        <v>0</v>
      </c>
      <c r="Z49">
        <v>0</v>
      </c>
      <c r="AA49">
        <v>0</v>
      </c>
      <c r="AB49" s="10">
        <v>0</v>
      </c>
      <c r="AC49" s="10">
        <v>0</v>
      </c>
      <c r="AD49">
        <v>0</v>
      </c>
      <c r="AE49" s="10">
        <v>0</v>
      </c>
      <c r="AF49" s="10">
        <v>0</v>
      </c>
      <c r="AG49">
        <v>0</v>
      </c>
      <c r="AH49" s="10">
        <v>0</v>
      </c>
      <c r="AI49" s="10">
        <v>0</v>
      </c>
      <c r="AJ49">
        <v>0</v>
      </c>
      <c r="AK49" s="10">
        <v>161.26609442060087</v>
      </c>
      <c r="AL49" s="10">
        <v>63.733905579399142</v>
      </c>
      <c r="AM49">
        <v>0</v>
      </c>
      <c r="AN49">
        <v>0</v>
      </c>
      <c r="AO49">
        <v>0</v>
      </c>
      <c r="AQ49" s="10">
        <v>0</v>
      </c>
      <c r="AR49" s="10">
        <v>0</v>
      </c>
      <c r="AS49" s="10">
        <v>0</v>
      </c>
    </row>
    <row r="50" spans="1:45" x14ac:dyDescent="0.25">
      <c r="A50" t="s">
        <v>56</v>
      </c>
      <c r="B50" t="s">
        <v>56</v>
      </c>
      <c r="C50" t="s">
        <v>66</v>
      </c>
      <c r="D50" t="s">
        <v>107</v>
      </c>
      <c r="E50">
        <v>304314</v>
      </c>
      <c r="F50">
        <v>304314</v>
      </c>
      <c r="H50" t="s">
        <v>170</v>
      </c>
      <c r="I50" t="s">
        <v>141</v>
      </c>
      <c r="K50" t="s">
        <v>70</v>
      </c>
      <c r="L50" t="s">
        <v>71</v>
      </c>
      <c r="M50" t="s">
        <v>57</v>
      </c>
      <c r="N50" t="s">
        <v>142</v>
      </c>
      <c r="O50" t="s">
        <v>58</v>
      </c>
      <c r="P50" t="s">
        <v>59</v>
      </c>
      <c r="Q50" t="s">
        <v>60</v>
      </c>
      <c r="R50" t="s">
        <v>61</v>
      </c>
      <c r="S50" s="9" t="s">
        <v>63</v>
      </c>
      <c r="T50">
        <v>0</v>
      </c>
      <c r="U50">
        <v>308</v>
      </c>
      <c r="V50">
        <v>117</v>
      </c>
      <c r="W50">
        <f>SUM(T50:V50)</f>
        <v>425</v>
      </c>
      <c r="Y50">
        <v>0</v>
      </c>
      <c r="Z50">
        <v>0</v>
      </c>
      <c r="AA50">
        <v>0</v>
      </c>
      <c r="AB50" s="10">
        <v>0</v>
      </c>
      <c r="AC50" s="10">
        <v>0</v>
      </c>
      <c r="AD50">
        <v>0</v>
      </c>
      <c r="AE50" s="10">
        <v>0</v>
      </c>
      <c r="AF50" s="10">
        <v>0</v>
      </c>
      <c r="AG50">
        <v>0</v>
      </c>
      <c r="AH50" s="10">
        <v>163.05882352941177</v>
      </c>
      <c r="AI50" s="10">
        <v>61.941176470588232</v>
      </c>
      <c r="AJ50">
        <v>0</v>
      </c>
      <c r="AK50" s="10">
        <v>163.05882352941177</v>
      </c>
      <c r="AL50" s="10">
        <v>61.941176470588232</v>
      </c>
      <c r="AM50">
        <v>0</v>
      </c>
      <c r="AN50">
        <v>0</v>
      </c>
      <c r="AO50">
        <v>0</v>
      </c>
      <c r="AQ50" s="10">
        <v>0</v>
      </c>
      <c r="AR50" s="10">
        <v>0</v>
      </c>
      <c r="AS50" s="10">
        <v>0</v>
      </c>
    </row>
    <row r="51" spans="1:45" x14ac:dyDescent="0.25">
      <c r="A51" t="s">
        <v>56</v>
      </c>
      <c r="B51" t="s">
        <v>56</v>
      </c>
      <c r="C51" t="s">
        <v>66</v>
      </c>
      <c r="D51" t="s">
        <v>107</v>
      </c>
      <c r="E51">
        <v>304327</v>
      </c>
      <c r="F51">
        <v>304327</v>
      </c>
      <c r="H51" t="s">
        <v>171</v>
      </c>
      <c r="I51" t="s">
        <v>172</v>
      </c>
      <c r="K51" t="s">
        <v>70</v>
      </c>
      <c r="L51" t="s">
        <v>71</v>
      </c>
      <c r="M51" t="s">
        <v>57</v>
      </c>
      <c r="N51" t="s">
        <v>139</v>
      </c>
      <c r="O51" t="s">
        <v>58</v>
      </c>
      <c r="P51" t="s">
        <v>59</v>
      </c>
      <c r="Q51" t="s">
        <v>60</v>
      </c>
      <c r="R51" t="s">
        <v>64</v>
      </c>
      <c r="S51" s="9" t="s">
        <v>63</v>
      </c>
      <c r="T51">
        <v>0</v>
      </c>
      <c r="U51">
        <v>1268</v>
      </c>
      <c r="V51">
        <v>367</v>
      </c>
      <c r="W51">
        <f>SUM(T51:V51)</f>
        <v>1635</v>
      </c>
      <c r="Y51">
        <v>0</v>
      </c>
      <c r="Z51">
        <v>0</v>
      </c>
      <c r="AA51">
        <v>0</v>
      </c>
      <c r="AB51" s="10">
        <v>348.99082568807341</v>
      </c>
      <c r="AC51" s="10">
        <v>101.0091743119266</v>
      </c>
      <c r="AD51">
        <v>0</v>
      </c>
      <c r="AE51" s="10">
        <v>0</v>
      </c>
      <c r="AF51" s="10">
        <v>0</v>
      </c>
      <c r="AG51">
        <v>0</v>
      </c>
      <c r="AH51" s="10">
        <v>0</v>
      </c>
      <c r="AI51" s="10">
        <v>0</v>
      </c>
      <c r="AJ51">
        <v>0</v>
      </c>
      <c r="AK51" s="10">
        <v>0</v>
      </c>
      <c r="AL51" s="10">
        <v>0</v>
      </c>
      <c r="AM51">
        <v>0</v>
      </c>
      <c r="AN51">
        <v>23</v>
      </c>
      <c r="AO51">
        <v>23</v>
      </c>
      <c r="AQ51" s="10">
        <v>0</v>
      </c>
      <c r="AR51" s="10">
        <v>394.99082568807341</v>
      </c>
      <c r="AS51" s="10">
        <v>147.00917431192659</v>
      </c>
    </row>
    <row r="52" spans="1:45" x14ac:dyDescent="0.25">
      <c r="A52" t="s">
        <v>56</v>
      </c>
      <c r="B52" t="s">
        <v>56</v>
      </c>
      <c r="C52" t="s">
        <v>66</v>
      </c>
      <c r="D52" t="s">
        <v>107</v>
      </c>
      <c r="E52">
        <v>304328</v>
      </c>
      <c r="F52">
        <v>304328</v>
      </c>
      <c r="H52" t="s">
        <v>173</v>
      </c>
      <c r="I52" t="s">
        <v>174</v>
      </c>
      <c r="K52" t="s">
        <v>70</v>
      </c>
      <c r="L52" t="s">
        <v>71</v>
      </c>
      <c r="M52" t="s">
        <v>57</v>
      </c>
      <c r="N52" t="s">
        <v>116</v>
      </c>
      <c r="O52" t="s">
        <v>58</v>
      </c>
      <c r="P52" t="s">
        <v>59</v>
      </c>
      <c r="Q52" t="s">
        <v>60</v>
      </c>
      <c r="R52" t="s">
        <v>61</v>
      </c>
      <c r="S52" s="9" t="s">
        <v>63</v>
      </c>
      <c r="T52">
        <v>0</v>
      </c>
      <c r="U52">
        <v>416</v>
      </c>
      <c r="V52">
        <v>289</v>
      </c>
      <c r="W52">
        <f>SUM(T52:V52)</f>
        <v>705</v>
      </c>
      <c r="Y52">
        <v>0</v>
      </c>
      <c r="Z52">
        <v>0</v>
      </c>
      <c r="AA52">
        <v>0</v>
      </c>
      <c r="AB52" s="10">
        <v>0</v>
      </c>
      <c r="AC52" s="10">
        <v>0</v>
      </c>
      <c r="AD52">
        <v>0</v>
      </c>
      <c r="AE52" s="10">
        <v>0</v>
      </c>
      <c r="AF52" s="10">
        <v>0</v>
      </c>
      <c r="AG52">
        <v>0</v>
      </c>
      <c r="AH52" s="10">
        <v>132.7659574468085</v>
      </c>
      <c r="AI52" s="10">
        <v>92.234042553191486</v>
      </c>
      <c r="AJ52">
        <v>0</v>
      </c>
      <c r="AK52" s="10">
        <v>132.7659574468085</v>
      </c>
      <c r="AL52" s="10">
        <v>92.234042553191486</v>
      </c>
      <c r="AM52">
        <v>0</v>
      </c>
      <c r="AN52">
        <v>0</v>
      </c>
      <c r="AO52">
        <v>0</v>
      </c>
      <c r="AQ52" s="10">
        <v>0</v>
      </c>
      <c r="AR52" s="10">
        <v>0</v>
      </c>
      <c r="AS52" s="10">
        <v>0</v>
      </c>
    </row>
    <row r="53" spans="1:45" x14ac:dyDescent="0.25">
      <c r="A53" t="s">
        <v>56</v>
      </c>
      <c r="B53" t="s">
        <v>56</v>
      </c>
      <c r="C53" t="s">
        <v>66</v>
      </c>
      <c r="D53" t="s">
        <v>107</v>
      </c>
      <c r="E53">
        <v>304338</v>
      </c>
      <c r="F53">
        <v>304338</v>
      </c>
      <c r="H53" t="s">
        <v>175</v>
      </c>
      <c r="I53" t="s">
        <v>176</v>
      </c>
      <c r="K53" t="s">
        <v>70</v>
      </c>
      <c r="L53" t="s">
        <v>71</v>
      </c>
      <c r="M53" t="s">
        <v>57</v>
      </c>
      <c r="N53" t="s">
        <v>154</v>
      </c>
      <c r="O53" t="s">
        <v>58</v>
      </c>
      <c r="P53" t="s">
        <v>59</v>
      </c>
      <c r="Q53" t="s">
        <v>60</v>
      </c>
      <c r="R53" t="s">
        <v>61</v>
      </c>
      <c r="S53" s="9" t="s">
        <v>63</v>
      </c>
      <c r="T53">
        <v>0</v>
      </c>
      <c r="U53">
        <v>177</v>
      </c>
      <c r="V53">
        <v>57</v>
      </c>
      <c r="W53">
        <f>SUM(T53:V53)</f>
        <v>234</v>
      </c>
      <c r="Y53">
        <v>0</v>
      </c>
      <c r="Z53">
        <v>0</v>
      </c>
      <c r="AA53">
        <v>0</v>
      </c>
      <c r="AB53" s="10">
        <v>83.205128205128204</v>
      </c>
      <c r="AC53" s="10">
        <v>26.794871794871796</v>
      </c>
      <c r="AD53">
        <v>0</v>
      </c>
      <c r="AE53" s="10">
        <v>0</v>
      </c>
      <c r="AF53" s="10">
        <v>0</v>
      </c>
      <c r="AG53">
        <v>0</v>
      </c>
      <c r="AH53" s="10">
        <v>166.41025641025641</v>
      </c>
      <c r="AI53" s="10">
        <v>53.589743589743591</v>
      </c>
      <c r="AJ53">
        <v>0</v>
      </c>
      <c r="AK53" s="10">
        <v>170.19230769230768</v>
      </c>
      <c r="AL53" s="10">
        <v>54.807692307692307</v>
      </c>
      <c r="AM53">
        <v>0</v>
      </c>
      <c r="AN53">
        <v>46</v>
      </c>
      <c r="AO53">
        <v>0</v>
      </c>
      <c r="AQ53" s="10">
        <v>0</v>
      </c>
      <c r="AR53" s="10">
        <v>175.2051282051282</v>
      </c>
      <c r="AS53" s="10">
        <v>26.794871794871796</v>
      </c>
    </row>
    <row r="54" spans="1:45" x14ac:dyDescent="0.25">
      <c r="A54" t="s">
        <v>56</v>
      </c>
      <c r="B54" t="s">
        <v>56</v>
      </c>
      <c r="C54" t="s">
        <v>66</v>
      </c>
      <c r="D54" t="s">
        <v>107</v>
      </c>
      <c r="E54">
        <v>305680</v>
      </c>
      <c r="F54">
        <v>305680</v>
      </c>
      <c r="H54" t="s">
        <v>177</v>
      </c>
      <c r="I54" t="s">
        <v>178</v>
      </c>
      <c r="K54" t="s">
        <v>70</v>
      </c>
      <c r="L54" t="s">
        <v>71</v>
      </c>
      <c r="M54" t="s">
        <v>57</v>
      </c>
      <c r="N54" t="s">
        <v>116</v>
      </c>
      <c r="O54" t="s">
        <v>58</v>
      </c>
      <c r="P54" t="s">
        <v>59</v>
      </c>
      <c r="Q54" t="s">
        <v>60</v>
      </c>
      <c r="R54" t="s">
        <v>61</v>
      </c>
      <c r="S54" s="9" t="s">
        <v>63</v>
      </c>
      <c r="T54">
        <v>0</v>
      </c>
      <c r="U54">
        <v>978</v>
      </c>
      <c r="V54">
        <v>206</v>
      </c>
      <c r="W54">
        <f>SUM(T54:V54)</f>
        <v>1184</v>
      </c>
      <c r="Y54">
        <v>0</v>
      </c>
      <c r="Z54">
        <v>0</v>
      </c>
      <c r="AA54">
        <v>0</v>
      </c>
      <c r="AB54" s="10">
        <v>165.20270270270271</v>
      </c>
      <c r="AC54" s="10">
        <v>34.797297297297298</v>
      </c>
      <c r="AD54">
        <v>0</v>
      </c>
      <c r="AE54" s="10">
        <v>21.476351351351351</v>
      </c>
      <c r="AF54" s="10">
        <v>4.5236486486486482</v>
      </c>
      <c r="AG54">
        <v>0</v>
      </c>
      <c r="AH54" s="10">
        <v>72.689189189189193</v>
      </c>
      <c r="AI54" s="10">
        <v>15.310810810810811</v>
      </c>
      <c r="AJ54">
        <v>0</v>
      </c>
      <c r="AK54" s="10">
        <v>25.606418918918919</v>
      </c>
      <c r="AL54" s="10">
        <v>5.3935810810810807</v>
      </c>
      <c r="AM54">
        <v>0</v>
      </c>
      <c r="AN54">
        <v>0</v>
      </c>
      <c r="AO54">
        <v>0</v>
      </c>
      <c r="AQ54" s="10">
        <v>0</v>
      </c>
      <c r="AR54" s="10">
        <v>208.15540540540542</v>
      </c>
      <c r="AS54" s="10">
        <v>43.844594594594589</v>
      </c>
    </row>
    <row r="55" spans="1:45" x14ac:dyDescent="0.25">
      <c r="A55" t="s">
        <v>56</v>
      </c>
      <c r="B55" t="s">
        <v>56</v>
      </c>
      <c r="C55" t="s">
        <v>66</v>
      </c>
      <c r="D55" t="s">
        <v>107</v>
      </c>
      <c r="E55">
        <v>316104</v>
      </c>
      <c r="F55">
        <v>316104</v>
      </c>
      <c r="H55" t="s">
        <v>179</v>
      </c>
      <c r="I55" t="s">
        <v>180</v>
      </c>
      <c r="K55" t="s">
        <v>70</v>
      </c>
      <c r="L55" t="s">
        <v>71</v>
      </c>
      <c r="M55" t="s">
        <v>57</v>
      </c>
      <c r="N55" t="s">
        <v>127</v>
      </c>
      <c r="O55" t="s">
        <v>58</v>
      </c>
      <c r="P55" t="s">
        <v>59</v>
      </c>
      <c r="Q55" t="s">
        <v>60</v>
      </c>
      <c r="R55" t="s">
        <v>61</v>
      </c>
      <c r="S55" s="9" t="s">
        <v>63</v>
      </c>
      <c r="T55">
        <v>0</v>
      </c>
      <c r="U55">
        <v>282</v>
      </c>
      <c r="V55">
        <v>92</v>
      </c>
      <c r="W55">
        <f>SUM(T55:V55)</f>
        <v>374</v>
      </c>
      <c r="Y55">
        <v>0</v>
      </c>
      <c r="Z55">
        <v>0</v>
      </c>
      <c r="AA55">
        <v>0</v>
      </c>
      <c r="AB55" s="10">
        <v>0</v>
      </c>
      <c r="AC55" s="10">
        <v>0</v>
      </c>
      <c r="AD55">
        <v>0</v>
      </c>
      <c r="AE55" s="10">
        <v>0</v>
      </c>
      <c r="AF55" s="10">
        <v>0</v>
      </c>
      <c r="AG55">
        <v>0</v>
      </c>
      <c r="AH55" s="10">
        <v>414.70588235294116</v>
      </c>
      <c r="AI55" s="10">
        <v>135.29411764705884</v>
      </c>
      <c r="AJ55">
        <v>0</v>
      </c>
      <c r="AK55" s="10">
        <v>0</v>
      </c>
      <c r="AL55" s="10">
        <v>0</v>
      </c>
      <c r="AM55">
        <v>0</v>
      </c>
      <c r="AN55">
        <v>46</v>
      </c>
      <c r="AO55">
        <v>0</v>
      </c>
      <c r="AQ55" s="10">
        <v>0</v>
      </c>
      <c r="AR55" s="10">
        <v>92</v>
      </c>
      <c r="AS55" s="10">
        <v>0</v>
      </c>
    </row>
    <row r="56" spans="1:45" x14ac:dyDescent="0.25">
      <c r="A56" t="s">
        <v>56</v>
      </c>
      <c r="B56" t="s">
        <v>56</v>
      </c>
      <c r="C56" t="s">
        <v>66</v>
      </c>
      <c r="D56" t="s">
        <v>107</v>
      </c>
      <c r="E56">
        <v>325101</v>
      </c>
      <c r="F56">
        <v>325101</v>
      </c>
      <c r="H56" t="s">
        <v>181</v>
      </c>
      <c r="I56" t="s">
        <v>182</v>
      </c>
      <c r="K56" t="s">
        <v>70</v>
      </c>
      <c r="L56" t="s">
        <v>71</v>
      </c>
      <c r="M56" t="s">
        <v>57</v>
      </c>
      <c r="N56" t="s">
        <v>116</v>
      </c>
      <c r="O56" t="s">
        <v>58</v>
      </c>
      <c r="P56" t="s">
        <v>59</v>
      </c>
      <c r="Q56" t="s">
        <v>60</v>
      </c>
      <c r="R56" t="s">
        <v>61</v>
      </c>
      <c r="S56" s="9" t="s">
        <v>63</v>
      </c>
      <c r="T56">
        <v>0</v>
      </c>
      <c r="U56">
        <v>226</v>
      </c>
      <c r="V56">
        <v>39</v>
      </c>
      <c r="W56">
        <f>SUM(T56:V56)</f>
        <v>265</v>
      </c>
      <c r="Y56">
        <v>0</v>
      </c>
      <c r="Z56">
        <v>0</v>
      </c>
      <c r="AA56">
        <v>0</v>
      </c>
      <c r="AB56" s="10">
        <v>170.56603773584905</v>
      </c>
      <c r="AC56" s="10">
        <v>29.433962264150942</v>
      </c>
      <c r="AD56">
        <v>0</v>
      </c>
      <c r="AE56" s="10">
        <v>0</v>
      </c>
      <c r="AF56" s="10">
        <v>0</v>
      </c>
      <c r="AG56">
        <v>0</v>
      </c>
      <c r="AH56" s="10">
        <v>32.407547169811323</v>
      </c>
      <c r="AI56" s="10">
        <v>5.5924528301886793</v>
      </c>
      <c r="AJ56">
        <v>0</v>
      </c>
      <c r="AK56" s="10">
        <v>16.203773584905662</v>
      </c>
      <c r="AL56" s="10">
        <v>2.7962264150943397</v>
      </c>
      <c r="AM56">
        <v>0</v>
      </c>
      <c r="AN56">
        <v>0</v>
      </c>
      <c r="AO56">
        <v>0</v>
      </c>
      <c r="AQ56" s="10">
        <v>0</v>
      </c>
      <c r="AR56" s="10">
        <v>170.56603773584905</v>
      </c>
      <c r="AS56" s="10">
        <v>29.433962264150942</v>
      </c>
    </row>
    <row r="57" spans="1:45" x14ac:dyDescent="0.25">
      <c r="A57" t="s">
        <v>56</v>
      </c>
      <c r="B57" t="s">
        <v>56</v>
      </c>
      <c r="C57" t="s">
        <v>66</v>
      </c>
      <c r="D57" t="s">
        <v>107</v>
      </c>
      <c r="E57">
        <v>325102</v>
      </c>
      <c r="F57">
        <v>325102</v>
      </c>
      <c r="H57" t="s">
        <v>183</v>
      </c>
      <c r="I57" t="s">
        <v>184</v>
      </c>
      <c r="K57" t="s">
        <v>70</v>
      </c>
      <c r="L57" t="s">
        <v>71</v>
      </c>
      <c r="M57" t="s">
        <v>57</v>
      </c>
      <c r="N57" t="s">
        <v>113</v>
      </c>
      <c r="O57" t="s">
        <v>58</v>
      </c>
      <c r="P57" t="s">
        <v>59</v>
      </c>
      <c r="Q57" t="s">
        <v>60</v>
      </c>
      <c r="R57" t="s">
        <v>61</v>
      </c>
      <c r="S57" s="9" t="s">
        <v>63</v>
      </c>
      <c r="T57">
        <v>0</v>
      </c>
      <c r="U57">
        <v>268</v>
      </c>
      <c r="V57">
        <v>101</v>
      </c>
      <c r="W57">
        <f>SUM(T57:V57)</f>
        <v>369</v>
      </c>
      <c r="Y57">
        <v>0</v>
      </c>
      <c r="Z57">
        <v>0</v>
      </c>
      <c r="AA57">
        <v>0</v>
      </c>
      <c r="AB57" s="10">
        <v>65.365853658536579</v>
      </c>
      <c r="AC57" s="10">
        <v>24.634146341463413</v>
      </c>
      <c r="AD57">
        <v>0</v>
      </c>
      <c r="AE57" s="10">
        <v>0</v>
      </c>
      <c r="AF57" s="10">
        <v>0</v>
      </c>
      <c r="AG57">
        <v>0</v>
      </c>
      <c r="AH57" s="10">
        <v>67.544715447154474</v>
      </c>
      <c r="AI57" s="10">
        <v>25.455284552845526</v>
      </c>
      <c r="AJ57">
        <v>0</v>
      </c>
      <c r="AK57" s="10">
        <v>43.577235772357724</v>
      </c>
      <c r="AL57" s="10">
        <v>16.422764227642276</v>
      </c>
      <c r="AM57">
        <v>0</v>
      </c>
      <c r="AN57">
        <v>0</v>
      </c>
      <c r="AO57">
        <v>0</v>
      </c>
      <c r="AQ57" s="10">
        <v>0</v>
      </c>
      <c r="AR57" s="10">
        <v>65.365853658536579</v>
      </c>
      <c r="AS57" s="10">
        <v>24.634146341463413</v>
      </c>
    </row>
    <row r="58" spans="1:45" x14ac:dyDescent="0.25">
      <c r="A58" t="s">
        <v>56</v>
      </c>
      <c r="B58" t="s">
        <v>56</v>
      </c>
      <c r="C58" t="s">
        <v>66</v>
      </c>
      <c r="D58" t="s">
        <v>107</v>
      </c>
      <c r="E58">
        <v>325106</v>
      </c>
      <c r="F58">
        <v>325106</v>
      </c>
      <c r="H58" t="s">
        <v>185</v>
      </c>
      <c r="I58" t="s">
        <v>186</v>
      </c>
      <c r="K58" t="s">
        <v>70</v>
      </c>
      <c r="L58" t="s">
        <v>71</v>
      </c>
      <c r="M58" t="s">
        <v>57</v>
      </c>
      <c r="N58" t="s">
        <v>163</v>
      </c>
      <c r="O58" t="s">
        <v>58</v>
      </c>
      <c r="P58" t="s">
        <v>59</v>
      </c>
      <c r="Q58" t="s">
        <v>60</v>
      </c>
      <c r="R58" t="s">
        <v>61</v>
      </c>
      <c r="S58" s="9" t="s">
        <v>63</v>
      </c>
      <c r="T58">
        <v>0</v>
      </c>
      <c r="U58">
        <v>369</v>
      </c>
      <c r="V58">
        <v>111</v>
      </c>
      <c r="W58">
        <f>SUM(T58:V58)</f>
        <v>480</v>
      </c>
      <c r="Y58">
        <v>0</v>
      </c>
      <c r="Z58">
        <v>0</v>
      </c>
      <c r="AA58">
        <v>0</v>
      </c>
      <c r="AB58" s="10">
        <v>267.52500000000003</v>
      </c>
      <c r="AC58" s="10">
        <v>80.475000000000009</v>
      </c>
      <c r="AD58">
        <v>0</v>
      </c>
      <c r="AE58" s="10">
        <v>0</v>
      </c>
      <c r="AF58" s="10">
        <v>0</v>
      </c>
      <c r="AG58">
        <v>0</v>
      </c>
      <c r="AH58" s="10">
        <v>9.2250000000000014</v>
      </c>
      <c r="AI58" s="10">
        <v>2.7750000000000004</v>
      </c>
      <c r="AJ58">
        <v>0</v>
      </c>
      <c r="AK58" s="10">
        <v>8.4562500000000007</v>
      </c>
      <c r="AL58" s="10">
        <v>2.5437500000000002</v>
      </c>
      <c r="AM58">
        <v>0</v>
      </c>
      <c r="AN58">
        <v>39</v>
      </c>
      <c r="AO58">
        <v>0</v>
      </c>
      <c r="AQ58" s="10">
        <v>0</v>
      </c>
      <c r="AR58" s="10">
        <v>345.52500000000003</v>
      </c>
      <c r="AS58" s="10">
        <v>80.475000000000009</v>
      </c>
    </row>
    <row r="59" spans="1:45" x14ac:dyDescent="0.25">
      <c r="A59" t="s">
        <v>56</v>
      </c>
      <c r="B59" t="s">
        <v>56</v>
      </c>
      <c r="C59" t="s">
        <v>66</v>
      </c>
      <c r="D59" t="s">
        <v>107</v>
      </c>
      <c r="E59">
        <v>502726</v>
      </c>
      <c r="F59">
        <v>502726</v>
      </c>
      <c r="H59" t="s">
        <v>187</v>
      </c>
      <c r="I59" t="s">
        <v>188</v>
      </c>
      <c r="K59" t="s">
        <v>70</v>
      </c>
      <c r="L59" t="s">
        <v>71</v>
      </c>
      <c r="M59" t="s">
        <v>57</v>
      </c>
      <c r="N59" t="s">
        <v>151</v>
      </c>
      <c r="O59" t="s">
        <v>58</v>
      </c>
      <c r="P59" t="s">
        <v>59</v>
      </c>
      <c r="Q59" t="s">
        <v>60</v>
      </c>
      <c r="R59" s="9" t="s">
        <v>61</v>
      </c>
      <c r="S59" s="9" t="s">
        <v>189</v>
      </c>
      <c r="T59">
        <v>121</v>
      </c>
      <c r="U59">
        <v>12</v>
      </c>
      <c r="V59">
        <v>0</v>
      </c>
      <c r="W59">
        <f>SUM(T59:V59)</f>
        <v>133</v>
      </c>
      <c r="Y59">
        <v>0</v>
      </c>
      <c r="Z59">
        <v>0</v>
      </c>
      <c r="AA59">
        <v>0</v>
      </c>
      <c r="AB59">
        <v>0</v>
      </c>
      <c r="AD59">
        <v>0</v>
      </c>
      <c r="AE59">
        <v>0</v>
      </c>
      <c r="AG59">
        <v>225</v>
      </c>
      <c r="AH59">
        <v>225</v>
      </c>
      <c r="AJ59">
        <v>225</v>
      </c>
      <c r="AK59">
        <v>225</v>
      </c>
      <c r="AM59">
        <v>0</v>
      </c>
      <c r="AN59">
        <v>0</v>
      </c>
      <c r="AO59">
        <v>0</v>
      </c>
      <c r="AQ59" s="10">
        <v>0</v>
      </c>
      <c r="AR59" s="10">
        <v>0</v>
      </c>
      <c r="AS59" s="10">
        <v>0</v>
      </c>
    </row>
    <row r="60" spans="1:45" x14ac:dyDescent="0.25">
      <c r="A60" t="s">
        <v>56</v>
      </c>
      <c r="B60" t="s">
        <v>56</v>
      </c>
      <c r="C60" t="s">
        <v>66</v>
      </c>
      <c r="D60" t="s">
        <v>107</v>
      </c>
      <c r="E60">
        <v>502727</v>
      </c>
      <c r="F60">
        <v>502727</v>
      </c>
      <c r="H60" t="s">
        <v>190</v>
      </c>
      <c r="I60" t="s">
        <v>191</v>
      </c>
      <c r="K60" t="s">
        <v>70</v>
      </c>
      <c r="L60" t="s">
        <v>71</v>
      </c>
      <c r="M60" t="s">
        <v>57</v>
      </c>
      <c r="N60" t="s">
        <v>192</v>
      </c>
      <c r="O60" t="s">
        <v>58</v>
      </c>
      <c r="P60" t="s">
        <v>59</v>
      </c>
      <c r="Q60" t="s">
        <v>60</v>
      </c>
      <c r="R60" s="9" t="s">
        <v>61</v>
      </c>
      <c r="S60" s="9" t="s">
        <v>189</v>
      </c>
      <c r="T60">
        <v>237</v>
      </c>
      <c r="U60">
        <v>25</v>
      </c>
      <c r="V60">
        <v>0</v>
      </c>
      <c r="W60">
        <f>SUM(T60:V60)</f>
        <v>262</v>
      </c>
      <c r="Y60">
        <v>0</v>
      </c>
      <c r="Z60">
        <v>0</v>
      </c>
      <c r="AA60">
        <v>0</v>
      </c>
      <c r="AB60">
        <v>0</v>
      </c>
      <c r="AD60">
        <v>0</v>
      </c>
      <c r="AE60">
        <v>0</v>
      </c>
      <c r="AG60">
        <v>180</v>
      </c>
      <c r="AH60">
        <v>0</v>
      </c>
      <c r="AJ60">
        <v>180</v>
      </c>
      <c r="AK60">
        <v>0</v>
      </c>
      <c r="AM60">
        <v>0</v>
      </c>
      <c r="AN60">
        <v>0</v>
      </c>
      <c r="AO60">
        <v>0</v>
      </c>
      <c r="AQ60" s="10">
        <v>0</v>
      </c>
      <c r="AR60" s="10">
        <v>0</v>
      </c>
      <c r="AS60" s="10">
        <v>0</v>
      </c>
    </row>
    <row r="61" spans="1:45" x14ac:dyDescent="0.25">
      <c r="A61" t="s">
        <v>56</v>
      </c>
      <c r="B61" t="s">
        <v>56</v>
      </c>
      <c r="C61" t="s">
        <v>66</v>
      </c>
      <c r="D61" t="s">
        <v>193</v>
      </c>
      <c r="E61">
        <v>102157</v>
      </c>
      <c r="F61">
        <v>102157</v>
      </c>
      <c r="H61" t="s">
        <v>194</v>
      </c>
      <c r="I61" t="s">
        <v>195</v>
      </c>
      <c r="K61" t="s">
        <v>70</v>
      </c>
      <c r="L61" t="s">
        <v>71</v>
      </c>
      <c r="M61" t="s">
        <v>57</v>
      </c>
      <c r="N61" t="s">
        <v>196</v>
      </c>
      <c r="O61" t="s">
        <v>58</v>
      </c>
      <c r="P61" t="s">
        <v>59</v>
      </c>
      <c r="Q61" t="s">
        <v>60</v>
      </c>
      <c r="R61" t="s">
        <v>61</v>
      </c>
      <c r="S61" s="9" t="s">
        <v>62</v>
      </c>
      <c r="T61">
        <v>146</v>
      </c>
      <c r="U61">
        <v>0</v>
      </c>
      <c r="V61">
        <v>0</v>
      </c>
      <c r="W61">
        <f>SUM(T61:V61)</f>
        <v>146</v>
      </c>
      <c r="Y61">
        <v>0</v>
      </c>
      <c r="Z61">
        <v>0</v>
      </c>
      <c r="AA61">
        <v>0</v>
      </c>
      <c r="AD61">
        <v>0</v>
      </c>
      <c r="AG61">
        <v>0</v>
      </c>
      <c r="AJ61">
        <v>0</v>
      </c>
      <c r="AM61">
        <v>0</v>
      </c>
      <c r="AN61">
        <v>0</v>
      </c>
      <c r="AO61">
        <v>0</v>
      </c>
      <c r="AQ61" s="10">
        <v>0</v>
      </c>
      <c r="AR61" s="10">
        <v>0</v>
      </c>
      <c r="AS61" s="10">
        <v>0</v>
      </c>
    </row>
    <row r="62" spans="1:45" x14ac:dyDescent="0.25">
      <c r="A62" t="s">
        <v>56</v>
      </c>
      <c r="B62" t="s">
        <v>56</v>
      </c>
      <c r="C62" t="s">
        <v>66</v>
      </c>
      <c r="D62" t="s">
        <v>193</v>
      </c>
      <c r="E62">
        <v>102164</v>
      </c>
      <c r="F62">
        <v>102164</v>
      </c>
      <c r="H62" t="s">
        <v>197</v>
      </c>
      <c r="I62" t="s">
        <v>198</v>
      </c>
      <c r="K62" t="s">
        <v>70</v>
      </c>
      <c r="L62" t="s">
        <v>71</v>
      </c>
      <c r="M62" t="s">
        <v>57</v>
      </c>
      <c r="N62" t="s">
        <v>199</v>
      </c>
      <c r="O62" t="s">
        <v>58</v>
      </c>
      <c r="P62" t="s">
        <v>59</v>
      </c>
      <c r="Q62" t="s">
        <v>60</v>
      </c>
      <c r="R62" t="s">
        <v>61</v>
      </c>
      <c r="S62" s="9" t="s">
        <v>62</v>
      </c>
      <c r="T62">
        <v>97</v>
      </c>
      <c r="U62">
        <v>0</v>
      </c>
      <c r="V62">
        <v>0</v>
      </c>
      <c r="W62">
        <f>SUM(T62:V62)</f>
        <v>97</v>
      </c>
      <c r="Y62">
        <v>0</v>
      </c>
      <c r="Z62">
        <v>0</v>
      </c>
      <c r="AA62">
        <v>89</v>
      </c>
      <c r="AD62">
        <v>0</v>
      </c>
      <c r="AG62">
        <v>225</v>
      </c>
      <c r="AJ62">
        <v>225</v>
      </c>
      <c r="AM62">
        <v>0</v>
      </c>
      <c r="AN62">
        <v>0</v>
      </c>
      <c r="AO62">
        <v>0</v>
      </c>
      <c r="AQ62" s="10">
        <v>89</v>
      </c>
      <c r="AR62" s="10">
        <v>0</v>
      </c>
      <c r="AS62" s="10">
        <v>0</v>
      </c>
    </row>
    <row r="63" spans="1:45" x14ac:dyDescent="0.25">
      <c r="A63" t="s">
        <v>56</v>
      </c>
      <c r="B63" t="s">
        <v>56</v>
      </c>
      <c r="C63" t="s">
        <v>66</v>
      </c>
      <c r="D63" t="s">
        <v>193</v>
      </c>
      <c r="E63">
        <v>129410</v>
      </c>
      <c r="F63">
        <v>129410</v>
      </c>
      <c r="H63" t="s">
        <v>200</v>
      </c>
      <c r="I63" t="s">
        <v>201</v>
      </c>
      <c r="K63" t="s">
        <v>70</v>
      </c>
      <c r="L63" t="s">
        <v>71</v>
      </c>
      <c r="M63" t="s">
        <v>57</v>
      </c>
      <c r="N63" t="s">
        <v>202</v>
      </c>
      <c r="O63" t="s">
        <v>58</v>
      </c>
      <c r="P63" t="s">
        <v>59</v>
      </c>
      <c r="Q63" t="s">
        <v>60</v>
      </c>
      <c r="R63" t="s">
        <v>61</v>
      </c>
      <c r="S63" s="9" t="s">
        <v>62</v>
      </c>
      <c r="T63">
        <v>199</v>
      </c>
      <c r="U63">
        <v>0</v>
      </c>
      <c r="V63">
        <v>0</v>
      </c>
      <c r="W63">
        <f>SUM(T63:V63)</f>
        <v>199</v>
      </c>
      <c r="Y63">
        <v>10</v>
      </c>
      <c r="Z63">
        <v>30</v>
      </c>
      <c r="AA63">
        <v>60</v>
      </c>
      <c r="AD63">
        <v>42</v>
      </c>
      <c r="AG63">
        <v>36</v>
      </c>
      <c r="AJ63">
        <v>9</v>
      </c>
      <c r="AM63">
        <v>0</v>
      </c>
      <c r="AN63">
        <v>0</v>
      </c>
      <c r="AO63">
        <v>0</v>
      </c>
      <c r="AQ63" s="10">
        <v>174</v>
      </c>
      <c r="AR63" s="10">
        <v>0</v>
      </c>
      <c r="AS63" s="10">
        <v>0</v>
      </c>
    </row>
    <row r="64" spans="1:45" x14ac:dyDescent="0.25">
      <c r="A64" t="s">
        <v>56</v>
      </c>
      <c r="B64" t="s">
        <v>56</v>
      </c>
      <c r="C64" t="s">
        <v>66</v>
      </c>
      <c r="D64" t="s">
        <v>193</v>
      </c>
      <c r="E64">
        <v>129412</v>
      </c>
      <c r="F64">
        <v>129412</v>
      </c>
      <c r="H64" t="s">
        <v>203</v>
      </c>
      <c r="I64" t="s">
        <v>204</v>
      </c>
      <c r="K64" t="s">
        <v>70</v>
      </c>
      <c r="L64" t="s">
        <v>71</v>
      </c>
      <c r="M64" t="s">
        <v>57</v>
      </c>
      <c r="N64" t="s">
        <v>205</v>
      </c>
      <c r="O64" t="s">
        <v>58</v>
      </c>
      <c r="P64" t="s">
        <v>59</v>
      </c>
      <c r="Q64" t="s">
        <v>60</v>
      </c>
      <c r="R64" t="s">
        <v>61</v>
      </c>
      <c r="S64" s="9" t="s">
        <v>62</v>
      </c>
      <c r="T64">
        <v>82</v>
      </c>
      <c r="U64">
        <v>0</v>
      </c>
      <c r="V64">
        <v>0</v>
      </c>
      <c r="W64">
        <f>SUM(T64:V64)</f>
        <v>82</v>
      </c>
      <c r="Y64">
        <v>10</v>
      </c>
      <c r="Z64">
        <v>24</v>
      </c>
      <c r="AA64">
        <v>40</v>
      </c>
      <c r="AD64">
        <v>36</v>
      </c>
      <c r="AG64">
        <v>0</v>
      </c>
      <c r="AJ64">
        <v>0</v>
      </c>
      <c r="AM64">
        <v>0</v>
      </c>
      <c r="AN64">
        <v>0</v>
      </c>
      <c r="AO64">
        <v>0</v>
      </c>
      <c r="AQ64" s="10">
        <v>136</v>
      </c>
      <c r="AR64" s="10">
        <v>0</v>
      </c>
      <c r="AS64" s="10">
        <v>0</v>
      </c>
    </row>
    <row r="65" spans="1:45" x14ac:dyDescent="0.25">
      <c r="A65" t="s">
        <v>56</v>
      </c>
      <c r="B65" t="s">
        <v>56</v>
      </c>
      <c r="C65" t="s">
        <v>66</v>
      </c>
      <c r="D65" t="s">
        <v>193</v>
      </c>
      <c r="E65">
        <v>129413</v>
      </c>
      <c r="F65">
        <v>129413</v>
      </c>
      <c r="H65" t="s">
        <v>206</v>
      </c>
      <c r="I65" t="s">
        <v>207</v>
      </c>
      <c r="K65" t="s">
        <v>70</v>
      </c>
      <c r="L65" t="s">
        <v>71</v>
      </c>
      <c r="M65" t="s">
        <v>57</v>
      </c>
      <c r="N65" t="s">
        <v>202</v>
      </c>
      <c r="O65" t="s">
        <v>58</v>
      </c>
      <c r="P65" t="s">
        <v>59</v>
      </c>
      <c r="Q65" t="s">
        <v>60</v>
      </c>
      <c r="R65" t="s">
        <v>61</v>
      </c>
      <c r="S65" s="9" t="s">
        <v>62</v>
      </c>
      <c r="T65">
        <v>309</v>
      </c>
      <c r="U65">
        <v>0</v>
      </c>
      <c r="V65">
        <v>0</v>
      </c>
      <c r="W65">
        <f>SUM(T65:V65)</f>
        <v>309</v>
      </c>
      <c r="Y65">
        <v>0</v>
      </c>
      <c r="Z65">
        <v>0</v>
      </c>
      <c r="AA65">
        <v>0</v>
      </c>
      <c r="AD65">
        <v>0</v>
      </c>
      <c r="AG65">
        <v>225</v>
      </c>
      <c r="AJ65">
        <v>225</v>
      </c>
      <c r="AM65">
        <v>0</v>
      </c>
      <c r="AN65">
        <v>0</v>
      </c>
      <c r="AO65">
        <v>0</v>
      </c>
      <c r="AQ65" s="10">
        <v>0</v>
      </c>
      <c r="AR65" s="10">
        <v>0</v>
      </c>
      <c r="AS65" s="10">
        <v>0</v>
      </c>
    </row>
    <row r="66" spans="1:45" x14ac:dyDescent="0.25">
      <c r="A66" t="s">
        <v>56</v>
      </c>
      <c r="B66" t="s">
        <v>56</v>
      </c>
      <c r="C66" t="s">
        <v>66</v>
      </c>
      <c r="D66" t="s">
        <v>193</v>
      </c>
      <c r="E66">
        <v>129414</v>
      </c>
      <c r="F66">
        <v>129414</v>
      </c>
      <c r="H66" t="s">
        <v>208</v>
      </c>
      <c r="I66" t="s">
        <v>209</v>
      </c>
      <c r="K66" t="s">
        <v>70</v>
      </c>
      <c r="L66" t="s">
        <v>71</v>
      </c>
      <c r="M66" t="s">
        <v>57</v>
      </c>
      <c r="N66" t="s">
        <v>210</v>
      </c>
      <c r="O66" t="s">
        <v>58</v>
      </c>
      <c r="P66" t="s">
        <v>59</v>
      </c>
      <c r="Q66" t="s">
        <v>60</v>
      </c>
      <c r="R66" t="s">
        <v>61</v>
      </c>
      <c r="S66" s="9" t="s">
        <v>62</v>
      </c>
      <c r="T66">
        <v>329</v>
      </c>
      <c r="U66">
        <v>0</v>
      </c>
      <c r="V66">
        <v>0</v>
      </c>
      <c r="W66">
        <f>SUM(T66:V66)</f>
        <v>329</v>
      </c>
      <c r="Y66">
        <v>2</v>
      </c>
      <c r="Z66">
        <v>10</v>
      </c>
      <c r="AA66">
        <v>35</v>
      </c>
      <c r="AD66">
        <v>50</v>
      </c>
      <c r="AG66">
        <v>2</v>
      </c>
      <c r="AJ66">
        <v>30</v>
      </c>
      <c r="AM66">
        <v>90</v>
      </c>
      <c r="AN66">
        <v>0</v>
      </c>
      <c r="AO66">
        <v>0</v>
      </c>
      <c r="AQ66" s="10">
        <v>325</v>
      </c>
      <c r="AR66" s="10">
        <v>0</v>
      </c>
      <c r="AS66" s="10">
        <v>0</v>
      </c>
    </row>
    <row r="67" spans="1:45" x14ac:dyDescent="0.25">
      <c r="A67" t="s">
        <v>56</v>
      </c>
      <c r="B67" t="s">
        <v>56</v>
      </c>
      <c r="C67" t="s">
        <v>66</v>
      </c>
      <c r="D67" t="s">
        <v>193</v>
      </c>
      <c r="E67">
        <v>129417</v>
      </c>
      <c r="F67">
        <v>129417</v>
      </c>
      <c r="H67" t="s">
        <v>211</v>
      </c>
      <c r="I67" t="s">
        <v>212</v>
      </c>
      <c r="K67" t="s">
        <v>70</v>
      </c>
      <c r="L67" t="s">
        <v>71</v>
      </c>
      <c r="M67" t="s">
        <v>57</v>
      </c>
      <c r="N67" t="s">
        <v>196</v>
      </c>
      <c r="O67" t="s">
        <v>58</v>
      </c>
      <c r="P67" t="s">
        <v>59</v>
      </c>
      <c r="Q67" t="s">
        <v>60</v>
      </c>
      <c r="R67" t="s">
        <v>61</v>
      </c>
      <c r="S67" s="9" t="s">
        <v>62</v>
      </c>
      <c r="T67">
        <v>560</v>
      </c>
      <c r="U67">
        <v>0</v>
      </c>
      <c r="V67">
        <v>0</v>
      </c>
      <c r="W67">
        <f>SUM(T67:V67)</f>
        <v>560</v>
      </c>
      <c r="Y67">
        <v>0</v>
      </c>
      <c r="Z67">
        <v>0</v>
      </c>
      <c r="AA67">
        <v>6</v>
      </c>
      <c r="AD67">
        <v>5</v>
      </c>
      <c r="AG67">
        <v>0</v>
      </c>
      <c r="AJ67">
        <v>0</v>
      </c>
      <c r="AM67">
        <v>0</v>
      </c>
      <c r="AN67">
        <v>0</v>
      </c>
      <c r="AO67">
        <v>0</v>
      </c>
      <c r="AQ67" s="10">
        <v>16</v>
      </c>
      <c r="AR67" s="10">
        <v>0</v>
      </c>
      <c r="AS67" s="10">
        <v>0</v>
      </c>
    </row>
    <row r="68" spans="1:45" x14ac:dyDescent="0.25">
      <c r="A68" t="s">
        <v>56</v>
      </c>
      <c r="B68" t="s">
        <v>56</v>
      </c>
      <c r="C68" t="s">
        <v>66</v>
      </c>
      <c r="D68" t="s">
        <v>193</v>
      </c>
      <c r="E68">
        <v>129418</v>
      </c>
      <c r="F68">
        <v>129418</v>
      </c>
      <c r="H68" t="s">
        <v>213</v>
      </c>
      <c r="I68" t="s">
        <v>214</v>
      </c>
      <c r="K68" t="s">
        <v>70</v>
      </c>
      <c r="L68" t="s">
        <v>71</v>
      </c>
      <c r="M68" t="s">
        <v>57</v>
      </c>
      <c r="N68" t="s">
        <v>196</v>
      </c>
      <c r="O68" t="s">
        <v>58</v>
      </c>
      <c r="P68" t="s">
        <v>59</v>
      </c>
      <c r="Q68" t="s">
        <v>60</v>
      </c>
      <c r="R68" t="s">
        <v>61</v>
      </c>
      <c r="S68" s="9" t="s">
        <v>62</v>
      </c>
      <c r="T68">
        <v>142</v>
      </c>
      <c r="U68">
        <v>0</v>
      </c>
      <c r="V68">
        <v>0</v>
      </c>
      <c r="W68">
        <f>SUM(T68:V68)</f>
        <v>142</v>
      </c>
      <c r="Y68">
        <v>0</v>
      </c>
      <c r="Z68">
        <v>0</v>
      </c>
      <c r="AA68">
        <v>102</v>
      </c>
      <c r="AD68">
        <v>0</v>
      </c>
      <c r="AG68">
        <v>222</v>
      </c>
      <c r="AJ68">
        <v>222</v>
      </c>
      <c r="AM68">
        <v>0</v>
      </c>
      <c r="AN68">
        <v>0</v>
      </c>
      <c r="AO68">
        <v>0</v>
      </c>
      <c r="AQ68" s="10">
        <v>102</v>
      </c>
      <c r="AR68" s="10">
        <v>0</v>
      </c>
      <c r="AS68" s="10">
        <v>0</v>
      </c>
    </row>
    <row r="69" spans="1:45" x14ac:dyDescent="0.25">
      <c r="A69" t="s">
        <v>56</v>
      </c>
      <c r="B69" t="s">
        <v>56</v>
      </c>
      <c r="C69" t="s">
        <v>66</v>
      </c>
      <c r="D69" t="s">
        <v>193</v>
      </c>
      <c r="E69">
        <v>129419</v>
      </c>
      <c r="F69">
        <v>129419</v>
      </c>
      <c r="H69" t="s">
        <v>215</v>
      </c>
      <c r="I69" t="s">
        <v>186</v>
      </c>
      <c r="K69" t="s">
        <v>70</v>
      </c>
      <c r="L69" t="s">
        <v>71</v>
      </c>
      <c r="M69" t="s">
        <v>57</v>
      </c>
      <c r="N69" t="s">
        <v>216</v>
      </c>
      <c r="O69" t="s">
        <v>58</v>
      </c>
      <c r="P69" t="s">
        <v>59</v>
      </c>
      <c r="Q69" t="s">
        <v>60</v>
      </c>
      <c r="R69" t="s">
        <v>61</v>
      </c>
      <c r="S69" s="9" t="s">
        <v>62</v>
      </c>
      <c r="T69">
        <v>357</v>
      </c>
      <c r="U69">
        <v>0</v>
      </c>
      <c r="V69">
        <v>0</v>
      </c>
      <c r="W69">
        <f>SUM(T69:V69)</f>
        <v>357</v>
      </c>
      <c r="Y69">
        <v>2</v>
      </c>
      <c r="Z69">
        <v>2</v>
      </c>
      <c r="AA69">
        <v>40</v>
      </c>
      <c r="AD69">
        <v>50</v>
      </c>
      <c r="AG69">
        <v>0</v>
      </c>
      <c r="AJ69">
        <v>0</v>
      </c>
      <c r="AM69">
        <v>0</v>
      </c>
      <c r="AN69">
        <v>0</v>
      </c>
      <c r="AO69">
        <v>0</v>
      </c>
      <c r="AQ69" s="10">
        <v>142</v>
      </c>
      <c r="AR69" s="10">
        <v>0</v>
      </c>
      <c r="AS69" s="10">
        <v>0</v>
      </c>
    </row>
    <row r="70" spans="1:45" x14ac:dyDescent="0.25">
      <c r="A70" t="s">
        <v>56</v>
      </c>
      <c r="B70" t="s">
        <v>56</v>
      </c>
      <c r="C70" t="s">
        <v>66</v>
      </c>
      <c r="D70" t="s">
        <v>193</v>
      </c>
      <c r="E70">
        <v>129420</v>
      </c>
      <c r="F70">
        <v>129420</v>
      </c>
      <c r="H70" t="s">
        <v>217</v>
      </c>
      <c r="I70" t="s">
        <v>218</v>
      </c>
      <c r="K70" t="s">
        <v>70</v>
      </c>
      <c r="L70" t="s">
        <v>71</v>
      </c>
      <c r="M70" t="s">
        <v>57</v>
      </c>
      <c r="N70" t="s">
        <v>218</v>
      </c>
      <c r="O70" t="s">
        <v>58</v>
      </c>
      <c r="P70" t="s">
        <v>59</v>
      </c>
      <c r="Q70" t="s">
        <v>60</v>
      </c>
      <c r="R70" t="s">
        <v>61</v>
      </c>
      <c r="S70" s="9" t="s">
        <v>62</v>
      </c>
      <c r="T70">
        <v>222</v>
      </c>
      <c r="U70">
        <v>0</v>
      </c>
      <c r="V70">
        <v>0</v>
      </c>
      <c r="W70">
        <f>SUM(T70:V70)</f>
        <v>222</v>
      </c>
      <c r="Y70">
        <v>1</v>
      </c>
      <c r="Z70">
        <v>25</v>
      </c>
      <c r="AA70">
        <v>115</v>
      </c>
      <c r="AD70">
        <v>32</v>
      </c>
      <c r="AG70">
        <v>13</v>
      </c>
      <c r="AJ70">
        <v>0</v>
      </c>
      <c r="AM70">
        <v>0</v>
      </c>
      <c r="AN70">
        <v>0</v>
      </c>
      <c r="AO70">
        <v>0</v>
      </c>
      <c r="AQ70" s="10">
        <v>204</v>
      </c>
      <c r="AR70" s="10">
        <v>0</v>
      </c>
      <c r="AS70" s="10">
        <v>0</v>
      </c>
    </row>
    <row r="71" spans="1:45" x14ac:dyDescent="0.25">
      <c r="A71" t="s">
        <v>56</v>
      </c>
      <c r="B71" t="s">
        <v>56</v>
      </c>
      <c r="C71" t="s">
        <v>66</v>
      </c>
      <c r="D71" t="s">
        <v>193</v>
      </c>
      <c r="E71">
        <v>129421</v>
      </c>
      <c r="F71">
        <v>129421</v>
      </c>
      <c r="H71" t="s">
        <v>219</v>
      </c>
      <c r="I71" t="s">
        <v>220</v>
      </c>
      <c r="K71" t="s">
        <v>70</v>
      </c>
      <c r="L71" t="s">
        <v>71</v>
      </c>
      <c r="M71" t="s">
        <v>57</v>
      </c>
      <c r="N71" t="s">
        <v>202</v>
      </c>
      <c r="O71" t="s">
        <v>58</v>
      </c>
      <c r="P71" t="s">
        <v>59</v>
      </c>
      <c r="Q71" t="s">
        <v>60</v>
      </c>
      <c r="R71" t="s">
        <v>61</v>
      </c>
      <c r="S71" s="9" t="s">
        <v>62</v>
      </c>
      <c r="T71">
        <v>82</v>
      </c>
      <c r="U71">
        <v>0</v>
      </c>
      <c r="V71">
        <v>0</v>
      </c>
      <c r="W71">
        <f>SUM(T71:V71)</f>
        <v>82</v>
      </c>
      <c r="Y71">
        <v>6</v>
      </c>
      <c r="Z71">
        <v>10</v>
      </c>
      <c r="AA71">
        <v>90</v>
      </c>
      <c r="AD71">
        <v>0</v>
      </c>
      <c r="AG71">
        <v>7</v>
      </c>
      <c r="AJ71">
        <v>20</v>
      </c>
      <c r="AM71">
        <v>0</v>
      </c>
      <c r="AN71">
        <v>0</v>
      </c>
      <c r="AO71">
        <v>0</v>
      </c>
      <c r="AQ71" s="10">
        <v>100</v>
      </c>
      <c r="AR71" s="10">
        <v>0</v>
      </c>
      <c r="AS71" s="10">
        <v>0</v>
      </c>
    </row>
    <row r="72" spans="1:45" x14ac:dyDescent="0.25">
      <c r="A72" t="s">
        <v>56</v>
      </c>
      <c r="B72" t="s">
        <v>56</v>
      </c>
      <c r="C72" t="s">
        <v>66</v>
      </c>
      <c r="D72" t="s">
        <v>193</v>
      </c>
      <c r="E72">
        <v>129422</v>
      </c>
      <c r="F72">
        <v>129422</v>
      </c>
      <c r="H72" t="s">
        <v>221</v>
      </c>
      <c r="I72" t="s">
        <v>222</v>
      </c>
      <c r="K72" t="s">
        <v>70</v>
      </c>
      <c r="L72" t="s">
        <v>71</v>
      </c>
      <c r="M72" t="s">
        <v>57</v>
      </c>
      <c r="N72" t="s">
        <v>196</v>
      </c>
      <c r="O72" t="s">
        <v>58</v>
      </c>
      <c r="P72" t="s">
        <v>59</v>
      </c>
      <c r="Q72" t="s">
        <v>60</v>
      </c>
      <c r="R72" t="s">
        <v>61</v>
      </c>
      <c r="S72" s="9" t="s">
        <v>62</v>
      </c>
      <c r="T72">
        <v>179</v>
      </c>
      <c r="U72">
        <v>0</v>
      </c>
      <c r="V72">
        <v>0</v>
      </c>
      <c r="W72">
        <f>SUM(T72:V72)</f>
        <v>179</v>
      </c>
      <c r="Y72">
        <v>8</v>
      </c>
      <c r="Z72">
        <v>8</v>
      </c>
      <c r="AA72">
        <v>0</v>
      </c>
      <c r="AD72">
        <v>0</v>
      </c>
      <c r="AG72">
        <v>0</v>
      </c>
      <c r="AJ72">
        <v>0</v>
      </c>
      <c r="AM72">
        <v>0</v>
      </c>
      <c r="AN72">
        <v>0</v>
      </c>
      <c r="AO72">
        <v>0</v>
      </c>
      <c r="AQ72" s="10">
        <v>8</v>
      </c>
      <c r="AR72" s="10">
        <v>0</v>
      </c>
      <c r="AS72" s="10">
        <v>0</v>
      </c>
    </row>
    <row r="73" spans="1:45" x14ac:dyDescent="0.25">
      <c r="A73" t="s">
        <v>56</v>
      </c>
      <c r="B73" t="s">
        <v>56</v>
      </c>
      <c r="C73" t="s">
        <v>66</v>
      </c>
      <c r="D73" t="s">
        <v>193</v>
      </c>
      <c r="E73">
        <v>304313</v>
      </c>
      <c r="F73">
        <v>304313</v>
      </c>
      <c r="H73" t="s">
        <v>223</v>
      </c>
      <c r="I73" t="s">
        <v>224</v>
      </c>
      <c r="K73" t="s">
        <v>70</v>
      </c>
      <c r="L73" t="s">
        <v>71</v>
      </c>
      <c r="M73" t="s">
        <v>57</v>
      </c>
      <c r="N73" t="s">
        <v>202</v>
      </c>
      <c r="O73" t="s">
        <v>58</v>
      </c>
      <c r="P73" t="s">
        <v>59</v>
      </c>
      <c r="Q73" t="s">
        <v>225</v>
      </c>
      <c r="R73" t="s">
        <v>64</v>
      </c>
      <c r="S73" s="9" t="s">
        <v>63</v>
      </c>
      <c r="T73">
        <v>0</v>
      </c>
      <c r="U73">
        <v>496</v>
      </c>
      <c r="V73">
        <v>230</v>
      </c>
      <c r="W73">
        <f>SUM(T73:V73)</f>
        <v>726</v>
      </c>
      <c r="Y73">
        <v>0</v>
      </c>
      <c r="Z73">
        <v>0</v>
      </c>
      <c r="AA73">
        <v>0</v>
      </c>
      <c r="AB73" s="10">
        <v>126.39118457300276</v>
      </c>
      <c r="AC73" s="10">
        <v>58.608815426997239</v>
      </c>
      <c r="AD73">
        <v>0</v>
      </c>
      <c r="AE73" s="10">
        <v>0</v>
      </c>
      <c r="AF73" s="10">
        <v>0</v>
      </c>
      <c r="AG73">
        <v>0</v>
      </c>
      <c r="AH73" s="10">
        <v>405.81818181818181</v>
      </c>
      <c r="AI73" s="10">
        <v>188.18181818181816</v>
      </c>
      <c r="AJ73">
        <v>0</v>
      </c>
      <c r="AK73" s="10">
        <v>394.88705234159778</v>
      </c>
      <c r="AL73" s="10">
        <v>183.11294765840219</v>
      </c>
      <c r="AM73">
        <v>0</v>
      </c>
      <c r="AN73">
        <v>0</v>
      </c>
      <c r="AO73">
        <v>0</v>
      </c>
      <c r="AQ73" s="10">
        <v>0</v>
      </c>
      <c r="AR73" s="10">
        <v>126.39118457300276</v>
      </c>
      <c r="AS73" s="10">
        <v>58.608815426997239</v>
      </c>
    </row>
    <row r="74" spans="1:45" x14ac:dyDescent="0.25">
      <c r="A74" t="s">
        <v>56</v>
      </c>
      <c r="B74" t="s">
        <v>56</v>
      </c>
      <c r="C74" t="s">
        <v>66</v>
      </c>
      <c r="D74" t="s">
        <v>193</v>
      </c>
      <c r="E74">
        <v>304318</v>
      </c>
      <c r="F74">
        <v>304318</v>
      </c>
      <c r="H74" t="s">
        <v>226</v>
      </c>
      <c r="I74" t="s">
        <v>227</v>
      </c>
      <c r="K74" t="s">
        <v>70</v>
      </c>
      <c r="L74" t="s">
        <v>71</v>
      </c>
      <c r="M74" t="s">
        <v>57</v>
      </c>
      <c r="N74" t="s">
        <v>210</v>
      </c>
      <c r="O74" t="s">
        <v>58</v>
      </c>
      <c r="P74" t="s">
        <v>59</v>
      </c>
      <c r="Q74" t="s">
        <v>60</v>
      </c>
      <c r="R74" t="s">
        <v>61</v>
      </c>
      <c r="S74" s="9" t="s">
        <v>63</v>
      </c>
      <c r="T74">
        <v>0</v>
      </c>
      <c r="U74">
        <v>258</v>
      </c>
      <c r="V74">
        <v>111</v>
      </c>
      <c r="W74">
        <f>SUM(T74:V74)</f>
        <v>369</v>
      </c>
      <c r="Y74">
        <v>0</v>
      </c>
      <c r="Z74">
        <v>0</v>
      </c>
      <c r="AA74">
        <v>0</v>
      </c>
      <c r="AB74" s="10">
        <v>0</v>
      </c>
      <c r="AC74" s="10">
        <v>0</v>
      </c>
      <c r="AD74">
        <v>0</v>
      </c>
      <c r="AE74" s="10">
        <v>0</v>
      </c>
      <c r="AF74" s="10">
        <v>0</v>
      </c>
      <c r="AG74">
        <v>0</v>
      </c>
      <c r="AH74" s="10">
        <v>374.0650406504065</v>
      </c>
      <c r="AI74" s="10">
        <v>160.9349593495935</v>
      </c>
      <c r="AJ74">
        <v>0</v>
      </c>
      <c r="AK74" s="10">
        <v>374.0650406504065</v>
      </c>
      <c r="AL74" s="10">
        <v>160.9349593495935</v>
      </c>
      <c r="AM74">
        <v>0</v>
      </c>
      <c r="AN74">
        <v>0</v>
      </c>
      <c r="AO74">
        <v>0</v>
      </c>
      <c r="AQ74" s="10">
        <v>0</v>
      </c>
      <c r="AR74" s="10">
        <v>0</v>
      </c>
      <c r="AS74" s="10">
        <v>0</v>
      </c>
    </row>
    <row r="75" spans="1:45" x14ac:dyDescent="0.25">
      <c r="A75" t="s">
        <v>56</v>
      </c>
      <c r="B75" t="s">
        <v>56</v>
      </c>
      <c r="C75" t="s">
        <v>66</v>
      </c>
      <c r="D75" t="s">
        <v>193</v>
      </c>
      <c r="E75">
        <v>325105</v>
      </c>
      <c r="F75">
        <v>325105</v>
      </c>
      <c r="H75" t="s">
        <v>228</v>
      </c>
      <c r="I75" t="s">
        <v>229</v>
      </c>
      <c r="J75">
        <v>304313</v>
      </c>
      <c r="K75" t="s">
        <v>70</v>
      </c>
      <c r="L75" t="s">
        <v>71</v>
      </c>
      <c r="M75" t="s">
        <v>57</v>
      </c>
      <c r="N75" t="s">
        <v>196</v>
      </c>
      <c r="O75" t="s">
        <v>58</v>
      </c>
      <c r="P75" t="s">
        <v>59</v>
      </c>
      <c r="Q75" t="s">
        <v>225</v>
      </c>
      <c r="R75" t="s">
        <v>61</v>
      </c>
      <c r="S75" s="9" t="s">
        <v>63</v>
      </c>
      <c r="T75">
        <v>0</v>
      </c>
      <c r="U75">
        <v>424</v>
      </c>
      <c r="V75">
        <v>156</v>
      </c>
      <c r="W75">
        <f>SUM(T75:V75)</f>
        <v>580</v>
      </c>
      <c r="Y75">
        <v>0</v>
      </c>
      <c r="Z75">
        <v>0</v>
      </c>
      <c r="AA75">
        <v>0</v>
      </c>
      <c r="AB75" s="10">
        <v>47.517241379310349</v>
      </c>
      <c r="AC75" s="10">
        <v>17.482758620689655</v>
      </c>
      <c r="AD75">
        <v>0</v>
      </c>
      <c r="AE75" s="10">
        <v>0</v>
      </c>
      <c r="AF75" s="10">
        <v>0</v>
      </c>
      <c r="AG75">
        <v>0</v>
      </c>
      <c r="AH75" s="10">
        <v>5.8482758620689657</v>
      </c>
      <c r="AI75" s="10">
        <v>2.1517241379310343</v>
      </c>
      <c r="AJ75">
        <v>0</v>
      </c>
      <c r="AK75" s="10">
        <v>222.9655172413793</v>
      </c>
      <c r="AL75" s="10">
        <v>82.034482758620683</v>
      </c>
      <c r="AM75">
        <v>0</v>
      </c>
      <c r="AN75">
        <v>0</v>
      </c>
      <c r="AO75">
        <v>0</v>
      </c>
      <c r="AQ75" s="10">
        <v>0</v>
      </c>
      <c r="AR75" s="10">
        <v>47.517241379310349</v>
      </c>
      <c r="AS75" s="10">
        <v>17.482758620689655</v>
      </c>
    </row>
    <row r="76" spans="1:45" x14ac:dyDescent="0.25">
      <c r="A76" t="s">
        <v>56</v>
      </c>
      <c r="B76" t="s">
        <v>56</v>
      </c>
      <c r="C76" t="s">
        <v>66</v>
      </c>
      <c r="D76" t="s">
        <v>193</v>
      </c>
      <c r="E76">
        <v>501085</v>
      </c>
      <c r="F76">
        <v>501085</v>
      </c>
      <c r="H76" t="s">
        <v>230</v>
      </c>
      <c r="I76" t="s">
        <v>231</v>
      </c>
      <c r="K76" t="s">
        <v>70</v>
      </c>
      <c r="L76" t="s">
        <v>71</v>
      </c>
      <c r="M76" t="s">
        <v>57</v>
      </c>
      <c r="N76" t="s">
        <v>232</v>
      </c>
      <c r="O76" t="s">
        <v>58</v>
      </c>
      <c r="P76" t="s">
        <v>59</v>
      </c>
      <c r="Q76" t="s">
        <v>60</v>
      </c>
      <c r="R76" t="s">
        <v>61</v>
      </c>
      <c r="S76" s="9" t="s">
        <v>189</v>
      </c>
      <c r="T76">
        <v>386</v>
      </c>
      <c r="U76">
        <v>143</v>
      </c>
      <c r="V76">
        <v>0</v>
      </c>
      <c r="W76">
        <f>SUM(T76:V76)</f>
        <v>529</v>
      </c>
      <c r="Y76">
        <v>0</v>
      </c>
      <c r="Z76">
        <v>0</v>
      </c>
      <c r="AA76">
        <v>0</v>
      </c>
      <c r="AB76">
        <v>0</v>
      </c>
      <c r="AD76">
        <v>0</v>
      </c>
      <c r="AE76">
        <v>0</v>
      </c>
      <c r="AG76">
        <v>0</v>
      </c>
      <c r="AH76">
        <v>0</v>
      </c>
      <c r="AJ76">
        <v>200</v>
      </c>
      <c r="AK76">
        <v>200</v>
      </c>
      <c r="AM76">
        <v>0</v>
      </c>
      <c r="AN76">
        <v>0</v>
      </c>
      <c r="AO76">
        <v>0</v>
      </c>
      <c r="AQ76" s="10">
        <v>0</v>
      </c>
      <c r="AR76" s="10">
        <v>0</v>
      </c>
      <c r="AS76" s="10">
        <v>0</v>
      </c>
    </row>
    <row r="77" spans="1:45" x14ac:dyDescent="0.25">
      <c r="A77" t="s">
        <v>56</v>
      </c>
      <c r="B77" t="s">
        <v>56</v>
      </c>
      <c r="C77" t="s">
        <v>66</v>
      </c>
      <c r="D77" t="s">
        <v>193</v>
      </c>
      <c r="E77">
        <v>501086</v>
      </c>
      <c r="F77">
        <v>501086</v>
      </c>
      <c r="H77" t="s">
        <v>233</v>
      </c>
      <c r="I77" t="s">
        <v>234</v>
      </c>
      <c r="K77" t="s">
        <v>70</v>
      </c>
      <c r="L77" t="s">
        <v>71</v>
      </c>
      <c r="M77" t="s">
        <v>57</v>
      </c>
      <c r="N77" t="s">
        <v>235</v>
      </c>
      <c r="O77" t="s">
        <v>58</v>
      </c>
      <c r="P77" t="s">
        <v>59</v>
      </c>
      <c r="Q77" t="s">
        <v>60</v>
      </c>
      <c r="R77" t="s">
        <v>61</v>
      </c>
      <c r="S77" s="9" t="s">
        <v>65</v>
      </c>
      <c r="T77">
        <v>201</v>
      </c>
      <c r="U77">
        <v>96</v>
      </c>
      <c r="V77">
        <v>11</v>
      </c>
      <c r="W77">
        <f>SUM(T77:V77)</f>
        <v>308</v>
      </c>
      <c r="Y77">
        <v>0</v>
      </c>
      <c r="Z77">
        <v>20</v>
      </c>
      <c r="AA77">
        <v>0</v>
      </c>
      <c r="AB77" s="10">
        <v>0</v>
      </c>
      <c r="AC77" s="10">
        <v>0</v>
      </c>
      <c r="AD77">
        <v>0</v>
      </c>
      <c r="AE77" s="10">
        <v>0</v>
      </c>
      <c r="AF77" s="10">
        <v>0</v>
      </c>
      <c r="AG77">
        <v>7</v>
      </c>
      <c r="AH77" s="10">
        <v>6.2803738317757007</v>
      </c>
      <c r="AI77" s="10">
        <v>0.71962616822429903</v>
      </c>
      <c r="AJ77">
        <v>0</v>
      </c>
      <c r="AK77" s="10">
        <v>0</v>
      </c>
      <c r="AL77" s="10">
        <v>0</v>
      </c>
      <c r="AM77">
        <v>0</v>
      </c>
      <c r="AN77">
        <v>0</v>
      </c>
      <c r="AO77">
        <v>200</v>
      </c>
      <c r="AQ77" s="10">
        <v>20</v>
      </c>
      <c r="AR77" s="10">
        <v>0</v>
      </c>
      <c r="AS77" s="10">
        <v>400</v>
      </c>
    </row>
    <row r="78" spans="1:45" x14ac:dyDescent="0.25">
      <c r="A78" t="s">
        <v>56</v>
      </c>
      <c r="B78" t="s">
        <v>56</v>
      </c>
      <c r="C78" t="s">
        <v>66</v>
      </c>
      <c r="D78" t="s">
        <v>193</v>
      </c>
      <c r="E78">
        <v>501087</v>
      </c>
      <c r="F78">
        <v>501087</v>
      </c>
      <c r="H78" t="s">
        <v>236</v>
      </c>
      <c r="I78" t="s">
        <v>237</v>
      </c>
      <c r="K78" t="s">
        <v>70</v>
      </c>
      <c r="L78" t="s">
        <v>71</v>
      </c>
      <c r="M78" t="s">
        <v>57</v>
      </c>
      <c r="N78" t="s">
        <v>199</v>
      </c>
      <c r="O78" t="s">
        <v>58</v>
      </c>
      <c r="P78" t="s">
        <v>59</v>
      </c>
      <c r="Q78" t="s">
        <v>60</v>
      </c>
      <c r="R78" t="s">
        <v>61</v>
      </c>
      <c r="S78" s="9" t="s">
        <v>65</v>
      </c>
      <c r="T78">
        <v>190</v>
      </c>
      <c r="U78">
        <v>102</v>
      </c>
      <c r="V78">
        <v>54</v>
      </c>
      <c r="W78">
        <f>SUM(T78:V78)</f>
        <v>346</v>
      </c>
      <c r="Y78">
        <v>0</v>
      </c>
      <c r="Z78">
        <v>0</v>
      </c>
      <c r="AA78">
        <v>0</v>
      </c>
      <c r="AB78" s="10">
        <v>0</v>
      </c>
      <c r="AC78" s="10">
        <v>0</v>
      </c>
      <c r="AD78">
        <v>0</v>
      </c>
      <c r="AE78" s="10">
        <v>0</v>
      </c>
      <c r="AF78" s="10">
        <v>0</v>
      </c>
      <c r="AG78">
        <v>0</v>
      </c>
      <c r="AH78" s="10">
        <v>0</v>
      </c>
      <c r="AI78" s="10">
        <v>0</v>
      </c>
      <c r="AJ78">
        <v>0</v>
      </c>
      <c r="AK78" s="10">
        <v>6.5384615384615383</v>
      </c>
      <c r="AL78" s="10">
        <v>3.4615384615384617</v>
      </c>
      <c r="AM78">
        <v>0</v>
      </c>
      <c r="AN78">
        <v>190</v>
      </c>
      <c r="AO78">
        <v>0</v>
      </c>
      <c r="AQ78" s="10">
        <v>0</v>
      </c>
      <c r="AR78" s="10">
        <v>380</v>
      </c>
      <c r="AS78" s="10">
        <v>0</v>
      </c>
    </row>
    <row r="79" spans="1:45" x14ac:dyDescent="0.25">
      <c r="A79" t="s">
        <v>56</v>
      </c>
      <c r="B79" t="s">
        <v>56</v>
      </c>
      <c r="C79" t="s">
        <v>66</v>
      </c>
      <c r="D79" t="s">
        <v>67</v>
      </c>
      <c r="E79">
        <v>306039</v>
      </c>
      <c r="F79">
        <v>306039</v>
      </c>
      <c r="H79" t="s">
        <v>238</v>
      </c>
      <c r="I79" t="s">
        <v>239</v>
      </c>
      <c r="K79" t="s">
        <v>70</v>
      </c>
      <c r="L79" t="s">
        <v>71</v>
      </c>
      <c r="M79" t="s">
        <v>240</v>
      </c>
      <c r="N79" t="s">
        <v>218</v>
      </c>
      <c r="O79" t="s">
        <v>58</v>
      </c>
      <c r="P79" t="s">
        <v>59</v>
      </c>
      <c r="Q79" t="s">
        <v>60</v>
      </c>
      <c r="R79" t="s">
        <v>61</v>
      </c>
      <c r="S79" s="9" t="s">
        <v>63</v>
      </c>
      <c r="T79">
        <v>0</v>
      </c>
      <c r="U79">
        <v>108</v>
      </c>
      <c r="V79">
        <v>42</v>
      </c>
      <c r="W79">
        <f>SUM(T79:V79)</f>
        <v>150</v>
      </c>
      <c r="Y79">
        <v>0</v>
      </c>
      <c r="Z79">
        <v>0</v>
      </c>
      <c r="AA79">
        <v>0</v>
      </c>
      <c r="AB79" s="10">
        <v>108</v>
      </c>
      <c r="AC79" s="10">
        <v>42.000000000000007</v>
      </c>
      <c r="AD79">
        <v>0</v>
      </c>
      <c r="AE79" s="10">
        <v>0</v>
      </c>
      <c r="AF79" s="10">
        <v>0</v>
      </c>
      <c r="AG79">
        <v>0</v>
      </c>
      <c r="AH79" s="10">
        <v>10.08</v>
      </c>
      <c r="AI79" s="10">
        <v>3.9200000000000004</v>
      </c>
      <c r="AJ79">
        <v>0</v>
      </c>
      <c r="AK79" s="10">
        <v>60.48</v>
      </c>
      <c r="AL79" s="10">
        <v>23.520000000000003</v>
      </c>
      <c r="AM79">
        <v>0</v>
      </c>
      <c r="AN79">
        <v>0</v>
      </c>
      <c r="AO79">
        <v>0</v>
      </c>
      <c r="AQ79" s="10">
        <v>0</v>
      </c>
      <c r="AR79" s="10">
        <v>108</v>
      </c>
      <c r="AS79" s="10">
        <v>42.000000000000007</v>
      </c>
    </row>
  </sheetData>
  <sheetProtection algorithmName="SHA-512" hashValue="7vMQmEV5T7J1vx34kxOeVGiQCQnQZuxON2tr1iRy7BquQD7xrh7lb++FAK8MJpkO+hTXfNgz9nDBuyE7b/+c9Q==" saltValue="6LMAhgL7k9p3UMQb+GcoTQ==" spinCount="100000" sheet="1" objects="1" scenarios="1" formatColumns="0" formatRows="0" sort="0"/>
  <autoFilter ref="A7:AS79" xr:uid="{237A7F0B-3887-488B-B531-5F6EA55D0AA5}"/>
  <mergeCells count="6">
    <mergeCell ref="T6:W6"/>
    <mergeCell ref="AA6:AC6"/>
    <mergeCell ref="AD6:AF6"/>
    <mergeCell ref="AG6:AI6"/>
    <mergeCell ref="AJ6:AL6"/>
    <mergeCell ref="AQ6:A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2026-01-29T06:12:10Z</dcterms:created>
  <dcterms:modified xsi:type="dcterms:W3CDTF">2026-01-29T06:13:00Z</dcterms:modified>
</cp:coreProperties>
</file>