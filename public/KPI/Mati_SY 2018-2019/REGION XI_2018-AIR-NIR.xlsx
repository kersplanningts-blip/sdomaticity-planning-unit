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11RO_Key Performance Indicators, by SY/SY 2018-2019_KPI/"/>
    </mc:Choice>
  </mc:AlternateContent>
  <xr:revisionPtr revIDLastSave="2" documentId="8_{A052B084-4CAE-4068-BB8C-8F2BD1C282A0}" xr6:coauthVersionLast="47" xr6:coauthVersionMax="47" xr10:uidLastSave="{3C4584A7-A84C-4D98-A816-C573D4C49E88}"/>
  <bookViews>
    <workbookView xWindow="-105" yWindow="0" windowWidth="20310" windowHeight="15585" activeTab="1" xr2:uid="{00000000-000D-0000-FFFF-FFFF00000000}"/>
  </bookViews>
  <sheets>
    <sheet name="AIR-NIR KINDER" sheetId="3" r:id="rId1"/>
    <sheet name="AIR-NIR Grade1" sheetId="4" r:id="rId2"/>
  </sheets>
  <definedNames>
    <definedName name="_Fill" localSheetId="1" hidden="1">#REF!</definedName>
    <definedName name="_Fill" localSheetId="0" hidden="1">#REF!</definedName>
    <definedName name="_Fill" hidden="1">#REF!</definedName>
    <definedName name="AgeProfileWorks" localSheetId="1">#REF!</definedName>
    <definedName name="AgeProfileWorks" localSheetId="0">#REF!</definedName>
    <definedName name="AgeProfileWorks">#REF!</definedName>
    <definedName name="cmd_shifting" localSheetId="1">#REF!</definedName>
    <definedName name="cmd_shifting" localSheetId="0">#REF!</definedName>
    <definedName name="cmd_shifting">#REF!</definedName>
    <definedName name="_xlnm.Print_Area" localSheetId="1">'AIR-NIR Grade1'!$A$10:$U$47</definedName>
    <definedName name="_xlnm.Print_Area" localSheetId="0">'AIR-NIR KINDER'!$A$10:$U$47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'AIR-NIR Grade1'!$1:$9</definedName>
    <definedName name="_xlnm.Print_Titles" localSheetId="0">'AIR-NIR KINDER'!$1:$9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4" l="1"/>
  <c r="I46" i="4"/>
  <c r="I42" i="4"/>
  <c r="I39" i="4"/>
  <c r="I36" i="4"/>
  <c r="I33" i="4"/>
  <c r="I30" i="4"/>
  <c r="I27" i="4"/>
  <c r="I24" i="4"/>
  <c r="I21" i="4"/>
  <c r="I18" i="4"/>
  <c r="I15" i="4"/>
  <c r="I12" i="4"/>
  <c r="I45" i="4" l="1"/>
  <c r="E12" i="4" l="1"/>
  <c r="E39" i="4"/>
  <c r="H27" i="4"/>
  <c r="H21" i="4"/>
  <c r="H15" i="4"/>
  <c r="E15" i="4"/>
  <c r="H33" i="4" l="1"/>
  <c r="O33" i="4" s="1"/>
  <c r="H39" i="4"/>
  <c r="O39" i="4" s="1"/>
  <c r="E33" i="4"/>
  <c r="E18" i="4"/>
  <c r="L18" i="4" s="1"/>
  <c r="E42" i="4"/>
  <c r="L42" i="4" s="1"/>
  <c r="E27" i="4"/>
  <c r="L27" i="4" s="1"/>
  <c r="E24" i="4"/>
  <c r="L24" i="4" s="1"/>
  <c r="E21" i="4"/>
  <c r="L21" i="4" s="1"/>
  <c r="E36" i="4"/>
  <c r="E30" i="4"/>
  <c r="L30" i="4" s="1"/>
  <c r="H12" i="4"/>
  <c r="O12" i="4" s="1"/>
  <c r="H18" i="4"/>
  <c r="O18" i="4" s="1"/>
  <c r="H24" i="4"/>
  <c r="H30" i="4"/>
  <c r="O30" i="4" s="1"/>
  <c r="H36" i="4"/>
  <c r="H42" i="4"/>
  <c r="O42" i="4" s="1"/>
  <c r="H47" i="4"/>
  <c r="E47" i="4"/>
  <c r="H46" i="4"/>
  <c r="E46" i="4"/>
  <c r="O44" i="4"/>
  <c r="L44" i="4"/>
  <c r="O43" i="4"/>
  <c r="L43" i="4"/>
  <c r="O41" i="4"/>
  <c r="L41" i="4"/>
  <c r="O40" i="4"/>
  <c r="L40" i="4"/>
  <c r="L39" i="4"/>
  <c r="C38" i="4"/>
  <c r="J38" i="4" s="1"/>
  <c r="O38" i="4"/>
  <c r="L38" i="4"/>
  <c r="O37" i="4"/>
  <c r="L37" i="4"/>
  <c r="L36" i="4"/>
  <c r="O35" i="4"/>
  <c r="L35" i="4"/>
  <c r="O34" i="4"/>
  <c r="L34" i="4"/>
  <c r="L33" i="4"/>
  <c r="O32" i="4"/>
  <c r="L32" i="4"/>
  <c r="O31" i="4"/>
  <c r="L31" i="4"/>
  <c r="O29" i="4"/>
  <c r="L29" i="4"/>
  <c r="O28" i="4"/>
  <c r="L28" i="4"/>
  <c r="O27" i="4"/>
  <c r="O26" i="4"/>
  <c r="L26" i="4"/>
  <c r="K25" i="4"/>
  <c r="O25" i="4"/>
  <c r="L25" i="4"/>
  <c r="O23" i="4"/>
  <c r="L23" i="4"/>
  <c r="O22" i="4"/>
  <c r="L22" i="4"/>
  <c r="O20" i="4"/>
  <c r="L20" i="4"/>
  <c r="O19" i="4"/>
  <c r="L19" i="4"/>
  <c r="C17" i="4"/>
  <c r="J17" i="4" s="1"/>
  <c r="O17" i="4"/>
  <c r="L17" i="4"/>
  <c r="O16" i="4"/>
  <c r="L16" i="4"/>
  <c r="L15" i="4"/>
  <c r="O15" i="4"/>
  <c r="O14" i="4"/>
  <c r="L14" i="4"/>
  <c r="O13" i="4"/>
  <c r="L13" i="4"/>
  <c r="L12" i="4"/>
  <c r="N40" i="4" l="1"/>
  <c r="F41" i="4"/>
  <c r="M41" i="4" s="1"/>
  <c r="F35" i="4"/>
  <c r="M35" i="4" s="1"/>
  <c r="F32" i="4"/>
  <c r="M32" i="4" s="1"/>
  <c r="N28" i="4"/>
  <c r="N22" i="4"/>
  <c r="F17" i="4"/>
  <c r="M17" i="4" s="1"/>
  <c r="R24" i="4"/>
  <c r="N41" i="4"/>
  <c r="C29" i="4"/>
  <c r="J29" i="4" s="1"/>
  <c r="F25" i="4"/>
  <c r="N32" i="4"/>
  <c r="N17" i="4"/>
  <c r="R36" i="4"/>
  <c r="N13" i="4"/>
  <c r="R18" i="4"/>
  <c r="G21" i="4"/>
  <c r="N21" i="4" s="1"/>
  <c r="G27" i="4"/>
  <c r="N27" i="4" s="1"/>
  <c r="C35" i="4"/>
  <c r="J35" i="4" s="1"/>
  <c r="U12" i="4"/>
  <c r="U18" i="4"/>
  <c r="C44" i="4"/>
  <c r="J44" i="4" s="1"/>
  <c r="C41" i="4"/>
  <c r="J41" i="4" s="1"/>
  <c r="C37" i="4"/>
  <c r="C36" i="4" s="1"/>
  <c r="J36" i="4" s="1"/>
  <c r="R21" i="4"/>
  <c r="C20" i="4"/>
  <c r="J20" i="4" s="1"/>
  <c r="K17" i="4"/>
  <c r="K44" i="4"/>
  <c r="K41" i="4"/>
  <c r="U42" i="4"/>
  <c r="C43" i="4"/>
  <c r="R42" i="4"/>
  <c r="G39" i="4"/>
  <c r="N39" i="4" s="1"/>
  <c r="F40" i="4"/>
  <c r="U39" i="4"/>
  <c r="R39" i="4"/>
  <c r="K40" i="4"/>
  <c r="F37" i="4"/>
  <c r="U36" i="4"/>
  <c r="K38" i="4"/>
  <c r="N34" i="4"/>
  <c r="U33" i="4"/>
  <c r="R33" i="4"/>
  <c r="K34" i="4"/>
  <c r="U30" i="4"/>
  <c r="K31" i="4"/>
  <c r="R30" i="4"/>
  <c r="C31" i="4"/>
  <c r="J31" i="4" s="1"/>
  <c r="U27" i="4"/>
  <c r="F28" i="4"/>
  <c r="U24" i="4"/>
  <c r="D24" i="4"/>
  <c r="K24" i="4" s="1"/>
  <c r="C25" i="4"/>
  <c r="J25" i="4" s="1"/>
  <c r="F22" i="4"/>
  <c r="U21" i="4"/>
  <c r="K22" i="4"/>
  <c r="F19" i="4"/>
  <c r="M19" i="4" s="1"/>
  <c r="F20" i="4"/>
  <c r="M20" i="4" s="1"/>
  <c r="K19" i="4"/>
  <c r="U15" i="4"/>
  <c r="R15" i="4"/>
  <c r="K16" i="4"/>
  <c r="H45" i="4"/>
  <c r="R12" i="4"/>
  <c r="L47" i="4"/>
  <c r="O24" i="4"/>
  <c r="R27" i="4"/>
  <c r="O36" i="4"/>
  <c r="E45" i="4"/>
  <c r="L46" i="4"/>
  <c r="O46" i="4"/>
  <c r="O21" i="4"/>
  <c r="O47" i="4"/>
  <c r="T39" i="4" l="1"/>
  <c r="Q15" i="4"/>
  <c r="N35" i="4"/>
  <c r="T33" i="4" s="1"/>
  <c r="F18" i="4"/>
  <c r="M18" i="4" s="1"/>
  <c r="F26" i="4"/>
  <c r="M26" i="4" s="1"/>
  <c r="N26" i="4"/>
  <c r="K35" i="4"/>
  <c r="F13" i="4"/>
  <c r="M13" i="4" s="1"/>
  <c r="G24" i="4"/>
  <c r="N24" i="4" s="1"/>
  <c r="N25" i="4"/>
  <c r="K29" i="4"/>
  <c r="F29" i="4"/>
  <c r="M29" i="4" s="1"/>
  <c r="N29" i="4"/>
  <c r="T27" i="4" s="1"/>
  <c r="F23" i="4"/>
  <c r="M23" i="4" s="1"/>
  <c r="N23" i="4"/>
  <c r="T21" i="4" s="1"/>
  <c r="S18" i="4"/>
  <c r="Q39" i="4"/>
  <c r="J37" i="4"/>
  <c r="P36" i="4" s="1"/>
  <c r="D36" i="4"/>
  <c r="K36" i="4" s="1"/>
  <c r="K37" i="4"/>
  <c r="Q36" i="4" s="1"/>
  <c r="C23" i="4"/>
  <c r="J23" i="4" s="1"/>
  <c r="K23" i="4"/>
  <c r="Q21" i="4" s="1"/>
  <c r="K20" i="4"/>
  <c r="Q18" i="4" s="1"/>
  <c r="Q33" i="4"/>
  <c r="D21" i="4"/>
  <c r="K21" i="4" s="1"/>
  <c r="D18" i="4"/>
  <c r="K18" i="4" s="1"/>
  <c r="C16" i="4"/>
  <c r="C15" i="4" s="1"/>
  <c r="J15" i="4" s="1"/>
  <c r="D15" i="4"/>
  <c r="K15" i="4" s="1"/>
  <c r="F44" i="4"/>
  <c r="M44" i="4" s="1"/>
  <c r="N44" i="4"/>
  <c r="G42" i="4"/>
  <c r="N42" i="4" s="1"/>
  <c r="F43" i="4"/>
  <c r="N43" i="4"/>
  <c r="D42" i="4"/>
  <c r="K42" i="4" s="1"/>
  <c r="K43" i="4"/>
  <c r="Q42" i="4" s="1"/>
  <c r="C42" i="4"/>
  <c r="J42" i="4" s="1"/>
  <c r="J43" i="4"/>
  <c r="P42" i="4" s="1"/>
  <c r="F39" i="4"/>
  <c r="M39" i="4" s="1"/>
  <c r="M40" i="4"/>
  <c r="S39" i="4" s="1"/>
  <c r="D39" i="4"/>
  <c r="K39" i="4" s="1"/>
  <c r="C40" i="4"/>
  <c r="F38" i="4"/>
  <c r="M38" i="4" s="1"/>
  <c r="N38" i="4"/>
  <c r="G36" i="4"/>
  <c r="N36" i="4" s="1"/>
  <c r="N37" i="4"/>
  <c r="M37" i="4"/>
  <c r="F34" i="4"/>
  <c r="F33" i="4" s="1"/>
  <c r="M33" i="4" s="1"/>
  <c r="G33" i="4"/>
  <c r="N33" i="4" s="1"/>
  <c r="C34" i="4"/>
  <c r="C33" i="4" s="1"/>
  <c r="J33" i="4" s="1"/>
  <c r="D33" i="4"/>
  <c r="K33" i="4" s="1"/>
  <c r="G46" i="4"/>
  <c r="F46" i="4" s="1"/>
  <c r="G30" i="4"/>
  <c r="N30" i="4" s="1"/>
  <c r="F31" i="4"/>
  <c r="N31" i="4"/>
  <c r="T30" i="4" s="1"/>
  <c r="D47" i="4"/>
  <c r="C47" i="4" s="1"/>
  <c r="C32" i="4"/>
  <c r="J32" i="4" s="1"/>
  <c r="P30" i="4" s="1"/>
  <c r="K32" i="4"/>
  <c r="Q30" i="4" s="1"/>
  <c r="D30" i="4"/>
  <c r="K30" i="4" s="1"/>
  <c r="M28" i="4"/>
  <c r="D27" i="4"/>
  <c r="K27" i="4" s="1"/>
  <c r="C28" i="4"/>
  <c r="K28" i="4"/>
  <c r="M25" i="4"/>
  <c r="C26" i="4"/>
  <c r="J26" i="4" s="1"/>
  <c r="P24" i="4" s="1"/>
  <c r="K26" i="4"/>
  <c r="Q24" i="4" s="1"/>
  <c r="M22" i="4"/>
  <c r="C22" i="4"/>
  <c r="G47" i="4"/>
  <c r="N20" i="4"/>
  <c r="G18" i="4"/>
  <c r="N18" i="4" s="1"/>
  <c r="N19" i="4"/>
  <c r="C19" i="4"/>
  <c r="C18" i="4" s="1"/>
  <c r="J18" i="4" s="1"/>
  <c r="G15" i="4"/>
  <c r="N15" i="4" s="1"/>
  <c r="F16" i="4"/>
  <c r="N16" i="4"/>
  <c r="T15" i="4" s="1"/>
  <c r="G12" i="4"/>
  <c r="N12" i="4" s="1"/>
  <c r="F14" i="4"/>
  <c r="M14" i="4" s="1"/>
  <c r="N14" i="4"/>
  <c r="T12" i="4" s="1"/>
  <c r="C14" i="4"/>
  <c r="J14" i="4" s="1"/>
  <c r="K14" i="4"/>
  <c r="D12" i="4"/>
  <c r="K12" i="4" s="1"/>
  <c r="D46" i="4"/>
  <c r="K13" i="4"/>
  <c r="C13" i="4"/>
  <c r="R45" i="4"/>
  <c r="O45" i="4"/>
  <c r="U45" i="4"/>
  <c r="L45" i="4"/>
  <c r="S24" i="4" l="1"/>
  <c r="F24" i="4"/>
  <c r="M24" i="4" s="1"/>
  <c r="S21" i="4"/>
  <c r="F27" i="4"/>
  <c r="M27" i="4" s="1"/>
  <c r="C21" i="4"/>
  <c r="J21" i="4" s="1"/>
  <c r="T24" i="4"/>
  <c r="S27" i="4"/>
  <c r="F36" i="4"/>
  <c r="M36" i="4" s="1"/>
  <c r="F21" i="4"/>
  <c r="M21" i="4" s="1"/>
  <c r="Q27" i="4"/>
  <c r="M34" i="4"/>
  <c r="S33" i="4" s="1"/>
  <c r="F12" i="4"/>
  <c r="M12" i="4" s="1"/>
  <c r="T36" i="4"/>
  <c r="T42" i="4"/>
  <c r="S36" i="4"/>
  <c r="S12" i="4"/>
  <c r="J16" i="4"/>
  <c r="P15" i="4" s="1"/>
  <c r="J34" i="4"/>
  <c r="P33" i="4" s="1"/>
  <c r="F42" i="4"/>
  <c r="M42" i="4" s="1"/>
  <c r="M43" i="4"/>
  <c r="S42" i="4" s="1"/>
  <c r="C39" i="4"/>
  <c r="J39" i="4" s="1"/>
  <c r="J40" i="4"/>
  <c r="P39" i="4" s="1"/>
  <c r="N46" i="4"/>
  <c r="G45" i="4"/>
  <c r="F47" i="4"/>
  <c r="M47" i="4" s="1"/>
  <c r="K47" i="4"/>
  <c r="M46" i="4"/>
  <c r="F30" i="4"/>
  <c r="M30" i="4" s="1"/>
  <c r="M31" i="4"/>
  <c r="S30" i="4" s="1"/>
  <c r="J47" i="4"/>
  <c r="C30" i="4"/>
  <c r="J30" i="4" s="1"/>
  <c r="C27" i="4"/>
  <c r="J27" i="4" s="1"/>
  <c r="J28" i="4"/>
  <c r="P27" i="4" s="1"/>
  <c r="N47" i="4"/>
  <c r="C24" i="4"/>
  <c r="J24" i="4" s="1"/>
  <c r="J22" i="4"/>
  <c r="P21" i="4" s="1"/>
  <c r="T18" i="4"/>
  <c r="J19" i="4"/>
  <c r="P18" i="4" s="1"/>
  <c r="F15" i="4"/>
  <c r="M15" i="4" s="1"/>
  <c r="M16" i="4"/>
  <c r="S15" i="4" s="1"/>
  <c r="Q12" i="4"/>
  <c r="C12" i="4"/>
  <c r="J12" i="4" s="1"/>
  <c r="J13" i="4"/>
  <c r="P12" i="4" s="1"/>
  <c r="D45" i="4"/>
  <c r="C46" i="4"/>
  <c r="K46" i="4"/>
  <c r="T45" i="4" l="1"/>
  <c r="N45" i="4"/>
  <c r="F45" i="4"/>
  <c r="S45" i="4"/>
  <c r="Q45" i="4"/>
  <c r="K45" i="4"/>
  <c r="J46" i="4"/>
  <c r="P45" i="4" s="1"/>
  <c r="C45" i="4"/>
  <c r="M45" i="4" l="1"/>
  <c r="J45" i="4"/>
</calcChain>
</file>

<file path=xl/sharedStrings.xml><?xml version="1.0" encoding="utf-8"?>
<sst xmlns="http://schemas.openxmlformats.org/spreadsheetml/2006/main" count="162" uniqueCount="38">
  <si>
    <t>DEPARTMENT OF EDUCATION</t>
  </si>
  <si>
    <t>Region/Division</t>
  </si>
  <si>
    <t>Total</t>
  </si>
  <si>
    <t>Public</t>
  </si>
  <si>
    <t>Private</t>
  </si>
  <si>
    <t>Total (MF)</t>
  </si>
  <si>
    <t xml:space="preserve">   Male (M)</t>
  </si>
  <si>
    <t xml:space="preserve">   Female (F)</t>
  </si>
  <si>
    <t>TOTAL</t>
  </si>
  <si>
    <t>REGION XI - DAVAO REGION</t>
  </si>
  <si>
    <t>Compostela Valley</t>
  </si>
  <si>
    <t>Davao City</t>
  </si>
  <si>
    <t>Davao del Norte</t>
  </si>
  <si>
    <t>Davao del Sur</t>
  </si>
  <si>
    <t>Davao Oriental</t>
  </si>
  <si>
    <t>Digos City</t>
  </si>
  <si>
    <t>Island Garden City of Samal</t>
  </si>
  <si>
    <t>Mati City</t>
  </si>
  <si>
    <t>Panabo City</t>
  </si>
  <si>
    <t>Tagum City</t>
  </si>
  <si>
    <t>Davao Occidental</t>
  </si>
  <si>
    <t>New Entrants to Gr1 (All Ages)</t>
  </si>
  <si>
    <t>New Entrants to Gr1 (Age 6)</t>
  </si>
  <si>
    <t>Population</t>
  </si>
  <si>
    <t>Apparent Intake Rate (AIR)</t>
  </si>
  <si>
    <t>Net Intake Rate (NIR)</t>
  </si>
  <si>
    <t>Gender Parity Index (AIR)</t>
  </si>
  <si>
    <t>Gender Parity Index (NIR)</t>
  </si>
  <si>
    <t>(Age 6)</t>
  </si>
  <si>
    <t xml:space="preserve">Both </t>
  </si>
  <si>
    <t>APPARENT (GROSS) AND NET INTAKE RATES IN ELEMENTARY EDUCATION</t>
  </si>
  <si>
    <t>BASIC EDUCATION INFORMATION SYSTEM</t>
  </si>
  <si>
    <t>SY 2018-2019</t>
  </si>
  <si>
    <t>Including SUCs/LUCs</t>
  </si>
  <si>
    <t>(Age 5)</t>
  </si>
  <si>
    <t>APPARENT (GROSS) AND NET INTAKE RATES IN KINDERGARTEN EDUCATION</t>
  </si>
  <si>
    <t>New Entrants to Kinder (All Ages)</t>
  </si>
  <si>
    <t>New Entrants to Kinder (Age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</si>
</sst>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-&quot;$&quot;* #,##0_-;\-&quot;$&quot;* #,##0_-;_-&quot;$&quot;* &quot;-&quot;_-;_-@_-"/>
    <numFmt numFmtId="167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72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i/>
      <sz val="8"/>
      <color indexed="10"/>
      <name val="Arial"/>
      <family val="2"/>
    </font>
    <font>
      <b/>
      <sz val="8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i/>
      <sz val="16"/>
      <name val="Helv"/>
    </font>
    <font>
      <sz val="8"/>
      <color rgb="FF0000CC"/>
      <name val="Arial"/>
      <family val="2"/>
    </font>
    <font>
      <b/>
      <sz val="8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38" fontId="3" fillId="2" borderId="0" applyNumberFormat="0" applyBorder="0" applyAlignment="0" applyProtection="0"/>
    <xf numFmtId="10" fontId="3" fillId="3" borderId="20" applyNumberFormat="0" applyBorder="0" applyAlignment="0" applyProtection="0"/>
    <xf numFmtId="165" fontId="10" fillId="0" borderId="0"/>
    <xf numFmtId="0" fontId="1" fillId="0" borderId="0"/>
    <xf numFmtId="0" fontId="1" fillId="0" borderId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 applyAlignment="1">
      <alignment horizontal="left" vertical="top"/>
    </xf>
    <xf numFmtId="3" fontId="3" fillId="0" borderId="0" xfId="2" applyNumberFormat="1" applyFont="1"/>
    <xf numFmtId="3" fontId="4" fillId="0" borderId="0" xfId="2" applyNumberFormat="1" applyFont="1"/>
    <xf numFmtId="3" fontId="5" fillId="0" borderId="0" xfId="2" applyNumberFormat="1" applyFont="1"/>
    <xf numFmtId="49" fontId="3" fillId="0" borderId="5" xfId="2" applyNumberFormat="1" applyFont="1" applyBorder="1"/>
    <xf numFmtId="0" fontId="3" fillId="0" borderId="6" xfId="2" applyFont="1" applyBorder="1"/>
    <xf numFmtId="3" fontId="3" fillId="0" borderId="5" xfId="2" applyNumberFormat="1" applyFont="1" applyBorder="1"/>
    <xf numFmtId="3" fontId="3" fillId="0" borderId="7" xfId="2" applyNumberFormat="1" applyFont="1" applyBorder="1"/>
    <xf numFmtId="10" fontId="4" fillId="0" borderId="8" xfId="1" applyNumberFormat="1" applyFont="1" applyFill="1" applyBorder="1"/>
    <xf numFmtId="10" fontId="5" fillId="0" borderId="9" xfId="1" applyNumberFormat="1" applyFont="1" applyFill="1" applyBorder="1"/>
    <xf numFmtId="10" fontId="4" fillId="0" borderId="10" xfId="1" applyNumberFormat="1" applyFont="1" applyFill="1" applyBorder="1"/>
    <xf numFmtId="10" fontId="5" fillId="0" borderId="6" xfId="1" applyNumberFormat="1" applyFont="1" applyFill="1" applyBorder="1"/>
    <xf numFmtId="49" fontId="3" fillId="0" borderId="11" xfId="2" applyNumberFormat="1" applyFont="1" applyBorder="1"/>
    <xf numFmtId="0" fontId="3" fillId="0" borderId="12" xfId="2" applyFont="1" applyBorder="1"/>
    <xf numFmtId="10" fontId="4" fillId="0" borderId="13" xfId="1" applyNumberFormat="1" applyFont="1" applyFill="1" applyBorder="1"/>
    <xf numFmtId="10" fontId="5" fillId="0" borderId="12" xfId="1" applyNumberFormat="1" applyFont="1" applyFill="1" applyBorder="1"/>
    <xf numFmtId="3" fontId="3" fillId="0" borderId="14" xfId="2" applyNumberFormat="1" applyFont="1" applyBorder="1"/>
    <xf numFmtId="3" fontId="3" fillId="0" borderId="11" xfId="2" applyNumberFormat="1" applyFont="1" applyBorder="1"/>
    <xf numFmtId="49" fontId="7" fillId="0" borderId="5" xfId="2" applyNumberFormat="1" applyFont="1" applyBorder="1"/>
    <xf numFmtId="0" fontId="7" fillId="0" borderId="6" xfId="2" applyFont="1" applyBorder="1"/>
    <xf numFmtId="3" fontId="7" fillId="0" borderId="5" xfId="2" applyNumberFormat="1" applyFont="1" applyBorder="1"/>
    <xf numFmtId="10" fontId="8" fillId="0" borderId="10" xfId="1" applyNumberFormat="1" applyFont="1" applyFill="1" applyBorder="1"/>
    <xf numFmtId="10" fontId="9" fillId="0" borderId="6" xfId="1" applyNumberFormat="1" applyFont="1" applyFill="1" applyBorder="1"/>
    <xf numFmtId="49" fontId="7" fillId="0" borderId="15" xfId="2" applyNumberFormat="1" applyFont="1" applyBorder="1"/>
    <xf numFmtId="0" fontId="7" fillId="0" borderId="16" xfId="2" applyFont="1" applyBorder="1"/>
    <xf numFmtId="3" fontId="7" fillId="0" borderId="15" xfId="2" applyNumberFormat="1" applyFont="1" applyBorder="1"/>
    <xf numFmtId="10" fontId="8" fillId="0" borderId="17" xfId="1" applyNumberFormat="1" applyFont="1" applyFill="1" applyBorder="1"/>
    <xf numFmtId="10" fontId="9" fillId="0" borderId="16" xfId="1" applyNumberFormat="1" applyFont="1" applyFill="1" applyBorder="1"/>
    <xf numFmtId="10" fontId="4" fillId="0" borderId="0" xfId="1" applyNumberFormat="1" applyFont="1" applyFill="1"/>
    <xf numFmtId="10" fontId="3" fillId="0" borderId="0" xfId="1" applyNumberFormat="1" applyFont="1" applyFill="1"/>
    <xf numFmtId="0" fontId="7" fillId="0" borderId="0" xfId="2" quotePrefix="1" applyFont="1"/>
    <xf numFmtId="3" fontId="7" fillId="0" borderId="0" xfId="1" applyNumberFormat="1" applyFont="1" applyFill="1" applyBorder="1" applyAlignment="1">
      <alignment vertical="center"/>
    </xf>
    <xf numFmtId="3" fontId="7" fillId="0" borderId="0" xfId="2" applyNumberFormat="1" applyFont="1" applyAlignment="1">
      <alignment vertical="center"/>
    </xf>
    <xf numFmtId="10" fontId="8" fillId="0" borderId="0" xfId="1" applyNumberFormat="1" applyFont="1" applyFill="1" applyBorder="1" applyAlignment="1">
      <alignment vertical="center"/>
    </xf>
    <xf numFmtId="10" fontId="9" fillId="0" borderId="0" xfId="1" applyNumberFormat="1" applyFont="1" applyFill="1" applyBorder="1" applyAlignment="1">
      <alignment vertical="center"/>
    </xf>
    <xf numFmtId="10" fontId="7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/>
    <xf numFmtId="10" fontId="8" fillId="0" borderId="0" xfId="1" applyNumberFormat="1" applyFont="1" applyFill="1"/>
    <xf numFmtId="10" fontId="9" fillId="0" borderId="0" xfId="1" applyNumberFormat="1" applyFont="1" applyFill="1"/>
    <xf numFmtId="10" fontId="7" fillId="0" borderId="0" xfId="1" applyNumberFormat="1" applyFont="1" applyFill="1"/>
    <xf numFmtId="49" fontId="3" fillId="0" borderId="7" xfId="2" applyNumberFormat="1" applyFont="1" applyBorder="1"/>
    <xf numFmtId="0" fontId="3" fillId="0" borderId="9" xfId="2" applyFont="1" applyBorder="1"/>
    <xf numFmtId="3" fontId="5" fillId="0" borderId="9" xfId="2" applyNumberFormat="1" applyFont="1" applyBorder="1" applyAlignment="1">
      <alignment horizontal="right" vertical="center" wrapText="1"/>
    </xf>
    <xf numFmtId="3" fontId="4" fillId="0" borderId="10" xfId="2" applyNumberFormat="1" applyFont="1" applyBorder="1" applyAlignment="1">
      <alignment horizontal="right" vertical="center" wrapText="1"/>
    </xf>
    <xf numFmtId="3" fontId="5" fillId="0" borderId="6" xfId="2" applyNumberFormat="1" applyFont="1" applyBorder="1" applyAlignment="1">
      <alignment horizontal="right" vertical="center" wrapText="1"/>
    </xf>
    <xf numFmtId="3" fontId="4" fillId="0" borderId="18" xfId="2" applyNumberFormat="1" applyFont="1" applyBorder="1" applyAlignment="1">
      <alignment horizontal="right" vertical="center" wrapText="1"/>
    </xf>
    <xf numFmtId="3" fontId="5" fillId="0" borderId="19" xfId="2" applyNumberFormat="1" applyFont="1" applyBorder="1" applyAlignment="1">
      <alignment horizontal="right" vertical="center" wrapText="1"/>
    </xf>
    <xf numFmtId="3" fontId="4" fillId="0" borderId="13" xfId="2" applyNumberFormat="1" applyFont="1" applyBorder="1" applyAlignment="1">
      <alignment horizontal="right" vertical="center" wrapText="1"/>
    </xf>
    <xf numFmtId="3" fontId="5" fillId="0" borderId="12" xfId="2" applyNumberFormat="1" applyFont="1" applyBorder="1" applyAlignment="1">
      <alignment horizontal="right" vertical="center" wrapText="1"/>
    </xf>
    <xf numFmtId="3" fontId="8" fillId="0" borderId="10" xfId="2" applyNumberFormat="1" applyFont="1" applyBorder="1"/>
    <xf numFmtId="3" fontId="9" fillId="0" borderId="6" xfId="2" applyNumberFormat="1" applyFont="1" applyBorder="1"/>
    <xf numFmtId="3" fontId="8" fillId="0" borderId="17" xfId="2" applyNumberFormat="1" applyFont="1" applyBorder="1"/>
    <xf numFmtId="3" fontId="9" fillId="0" borderId="16" xfId="2" applyNumberFormat="1" applyFont="1" applyBorder="1"/>
    <xf numFmtId="49" fontId="3" fillId="0" borderId="0" xfId="2" applyNumberFormat="1" applyFont="1"/>
    <xf numFmtId="49" fontId="3" fillId="0" borderId="14" xfId="2" applyNumberFormat="1" applyFont="1" applyBorder="1"/>
    <xf numFmtId="0" fontId="3" fillId="0" borderId="19" xfId="2" applyFont="1" applyBorder="1"/>
    <xf numFmtId="10" fontId="3" fillId="0" borderId="7" xfId="1" applyNumberFormat="1" applyFont="1" applyFill="1" applyBorder="1"/>
    <xf numFmtId="10" fontId="3" fillId="0" borderId="5" xfId="1" applyNumberFormat="1" applyFont="1" applyFill="1" applyBorder="1"/>
    <xf numFmtId="10" fontId="3" fillId="0" borderId="14" xfId="1" applyNumberFormat="1" applyFont="1" applyFill="1" applyBorder="1"/>
    <xf numFmtId="10" fontId="3" fillId="0" borderId="11" xfId="1" applyNumberFormat="1" applyFont="1" applyFill="1" applyBorder="1"/>
    <xf numFmtId="10" fontId="7" fillId="0" borderId="5" xfId="1" applyNumberFormat="1" applyFont="1" applyFill="1" applyBorder="1"/>
    <xf numFmtId="10" fontId="7" fillId="0" borderId="15" xfId="1" applyNumberFormat="1" applyFont="1" applyFill="1" applyBorder="1"/>
    <xf numFmtId="3" fontId="7" fillId="0" borderId="21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10" fontId="7" fillId="0" borderId="29" xfId="17" applyNumberFormat="1" applyFont="1" applyFill="1" applyBorder="1" applyAlignment="1">
      <alignment horizontal="center" vertical="center"/>
    </xf>
    <xf numFmtId="10" fontId="8" fillId="0" borderId="30" xfId="17" applyNumberFormat="1" applyFont="1" applyFill="1" applyBorder="1" applyAlignment="1">
      <alignment horizontal="center" vertical="center"/>
    </xf>
    <xf numFmtId="10" fontId="9" fillId="0" borderId="31" xfId="17" applyNumberFormat="1" applyFont="1" applyFill="1" applyBorder="1" applyAlignment="1">
      <alignment horizontal="center" vertical="center"/>
    </xf>
    <xf numFmtId="10" fontId="7" fillId="0" borderId="32" xfId="17" applyNumberFormat="1" applyFont="1" applyFill="1" applyBorder="1" applyAlignment="1">
      <alignment horizontal="center" vertical="center"/>
    </xf>
    <xf numFmtId="10" fontId="9" fillId="0" borderId="33" xfId="17" applyNumberFormat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3" fontId="3" fillId="0" borderId="36" xfId="2" applyNumberFormat="1" applyFont="1" applyBorder="1"/>
    <xf numFmtId="4" fontId="3" fillId="0" borderId="7" xfId="2" applyNumberFormat="1" applyFont="1" applyBorder="1"/>
    <xf numFmtId="4" fontId="4" fillId="0" borderId="8" xfId="2" applyNumberFormat="1" applyFont="1" applyBorder="1"/>
    <xf numFmtId="4" fontId="5" fillId="0" borderId="9" xfId="2" applyNumberFormat="1" applyFont="1" applyBorder="1"/>
    <xf numFmtId="4" fontId="3" fillId="0" borderId="5" xfId="2" applyNumberFormat="1" applyFont="1" applyBorder="1"/>
    <xf numFmtId="4" fontId="4" fillId="0" borderId="10" xfId="2" applyNumberFormat="1" applyFont="1" applyBorder="1"/>
    <xf numFmtId="4" fontId="5" fillId="0" borderId="6" xfId="2" applyNumberFormat="1" applyFont="1" applyBorder="1"/>
    <xf numFmtId="4" fontId="3" fillId="0" borderId="11" xfId="2" applyNumberFormat="1" applyFont="1" applyBorder="1"/>
    <xf numFmtId="4" fontId="4" fillId="0" borderId="13" xfId="2" applyNumberFormat="1" applyFont="1" applyBorder="1"/>
    <xf numFmtId="4" fontId="5" fillId="0" borderId="12" xfId="2" applyNumberFormat="1" applyFont="1" applyBorder="1"/>
    <xf numFmtId="3" fontId="3" fillId="0" borderId="37" xfId="2" applyNumberFormat="1" applyFont="1" applyBorder="1"/>
    <xf numFmtId="3" fontId="3" fillId="0" borderId="38" xfId="2" applyNumberFormat="1" applyFont="1" applyBorder="1"/>
    <xf numFmtId="3" fontId="7" fillId="0" borderId="36" xfId="2" applyNumberFormat="1" applyFont="1" applyBorder="1"/>
    <xf numFmtId="4" fontId="7" fillId="0" borderId="5" xfId="2" applyNumberFormat="1" applyFont="1" applyBorder="1"/>
    <xf numFmtId="4" fontId="8" fillId="0" borderId="10" xfId="2" applyNumberFormat="1" applyFont="1" applyBorder="1"/>
    <xf numFmtId="4" fontId="9" fillId="0" borderId="6" xfId="2" applyNumberFormat="1" applyFont="1" applyBorder="1"/>
    <xf numFmtId="3" fontId="7" fillId="0" borderId="22" xfId="2" applyNumberFormat="1" applyFont="1" applyBorder="1"/>
    <xf numFmtId="4" fontId="7" fillId="0" borderId="15" xfId="2" applyNumberFormat="1" applyFont="1" applyBorder="1"/>
    <xf numFmtId="4" fontId="8" fillId="0" borderId="17" xfId="2" applyNumberFormat="1" applyFont="1" applyBorder="1"/>
    <xf numFmtId="4" fontId="9" fillId="0" borderId="16" xfId="2" applyNumberFormat="1" applyFont="1" applyBorder="1"/>
    <xf numFmtId="4" fontId="3" fillId="0" borderId="0" xfId="2" applyNumberFormat="1" applyFont="1"/>
    <xf numFmtId="4" fontId="7" fillId="0" borderId="0" xfId="1" applyNumberFormat="1" applyFont="1" applyFill="1" applyBorder="1" applyAlignment="1">
      <alignment vertical="center"/>
    </xf>
    <xf numFmtId="4" fontId="8" fillId="0" borderId="0" xfId="1" applyNumberFormat="1" applyFont="1" applyFill="1" applyBorder="1" applyAlignment="1">
      <alignment vertical="center"/>
    </xf>
    <xf numFmtId="4" fontId="9" fillId="0" borderId="0" xfId="1" applyNumberFormat="1" applyFont="1" applyFill="1" applyBorder="1" applyAlignment="1">
      <alignment vertical="center"/>
    </xf>
    <xf numFmtId="4" fontId="7" fillId="0" borderId="0" xfId="2" applyNumberFormat="1" applyFont="1" applyAlignment="1">
      <alignment vertical="center"/>
    </xf>
    <xf numFmtId="4" fontId="8" fillId="0" borderId="0" xfId="2" applyNumberFormat="1" applyFont="1" applyAlignment="1">
      <alignment vertical="center"/>
    </xf>
    <xf numFmtId="4" fontId="9" fillId="0" borderId="0" xfId="2" applyNumberFormat="1" applyFont="1" applyAlignment="1">
      <alignment vertical="center"/>
    </xf>
    <xf numFmtId="4" fontId="7" fillId="0" borderId="0" xfId="1" applyNumberFormat="1" applyFont="1" applyFill="1"/>
    <xf numFmtId="4" fontId="8" fillId="0" borderId="0" xfId="1" applyNumberFormat="1" applyFont="1" applyFill="1"/>
    <xf numFmtId="4" fontId="9" fillId="0" borderId="0" xfId="1" applyNumberFormat="1" applyFont="1" applyFill="1"/>
    <xf numFmtId="4" fontId="7" fillId="0" borderId="0" xfId="2" applyNumberFormat="1" applyFont="1"/>
    <xf numFmtId="4" fontId="8" fillId="0" borderId="0" xfId="2" applyNumberFormat="1" applyFont="1"/>
    <xf numFmtId="4" fontId="9" fillId="0" borderId="0" xfId="2" applyNumberFormat="1" applyFont="1"/>
    <xf numFmtId="3" fontId="3" fillId="0" borderId="21" xfId="2" applyNumberFormat="1" applyFont="1" applyBorder="1"/>
    <xf numFmtId="3" fontId="7" fillId="0" borderId="0" xfId="2" applyNumberFormat="1" applyFont="1"/>
    <xf numFmtId="10" fontId="4" fillId="0" borderId="18" xfId="1" applyNumberFormat="1" applyFont="1" applyFill="1" applyBorder="1"/>
    <xf numFmtId="10" fontId="5" fillId="0" borderId="19" xfId="1" applyNumberFormat="1" applyFont="1" applyFill="1" applyBorder="1"/>
    <xf numFmtId="4" fontId="3" fillId="0" borderId="14" xfId="2" applyNumberFormat="1" applyFont="1" applyBorder="1"/>
    <xf numFmtId="4" fontId="4" fillId="0" borderId="18" xfId="2" applyNumberFormat="1" applyFont="1" applyBorder="1"/>
    <xf numFmtId="4" fontId="5" fillId="0" borderId="19" xfId="2" applyNumberFormat="1" applyFont="1" applyBorder="1"/>
    <xf numFmtId="3" fontId="12" fillId="0" borderId="30" xfId="0" applyNumberFormat="1" applyFont="1" applyBorder="1" applyAlignment="1">
      <alignment horizontal="center" vertical="center"/>
    </xf>
    <xf numFmtId="3" fontId="11" fillId="0" borderId="8" xfId="2" applyNumberFormat="1" applyFont="1" applyBorder="1" applyAlignment="1">
      <alignment horizontal="right" vertical="center" wrapText="1"/>
    </xf>
    <xf numFmtId="3" fontId="11" fillId="0" borderId="10" xfId="2" applyNumberFormat="1" applyFont="1" applyBorder="1" applyAlignment="1">
      <alignment horizontal="right" vertical="center" wrapText="1"/>
    </xf>
    <xf numFmtId="3" fontId="9" fillId="0" borderId="31" xfId="0" applyNumberFormat="1" applyFont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/>
    </xf>
    <xf numFmtId="3" fontId="9" fillId="0" borderId="35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0" fontId="7" fillId="0" borderId="23" xfId="17" applyNumberFormat="1" applyFont="1" applyFill="1" applyBorder="1" applyAlignment="1">
      <alignment horizontal="center" vertical="center"/>
    </xf>
    <xf numFmtId="10" fontId="7" fillId="0" borderId="24" xfId="17" applyNumberFormat="1" applyFont="1" applyFill="1" applyBorder="1" applyAlignment="1">
      <alignment horizontal="center" vertical="center"/>
    </xf>
    <xf numFmtId="10" fontId="7" fillId="0" borderId="25" xfId="17" applyNumberFormat="1" applyFont="1" applyFill="1" applyBorder="1" applyAlignment="1">
      <alignment horizontal="center" vertical="center"/>
    </xf>
    <xf numFmtId="10" fontId="7" fillId="0" borderId="28" xfId="17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top"/>
    </xf>
    <xf numFmtId="0" fontId="2" fillId="0" borderId="0" xfId="2" applyFont="1" applyAlignment="1">
      <alignment horizontal="center" vertical="center" wrapText="1"/>
    </xf>
    <xf numFmtId="0" fontId="3" fillId="0" borderId="0" xfId="2" applyFont="1"/>
    <xf numFmtId="49" fontId="7" fillId="0" borderId="1" xfId="2" applyNumberFormat="1" applyFont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/>
    </xf>
    <xf numFmtId="3" fontId="7" fillId="0" borderId="23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34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</cellXfs>
  <cellStyles count="23">
    <cellStyle name="Comma 2" xfId="3" xr:uid="{00000000-0005-0000-0000-000000000000}"/>
    <cellStyle name="Comma 3" xfId="7" xr:uid="{00000000-0005-0000-0000-000001000000}"/>
    <cellStyle name="Excel Built-in Normal" xfId="8" xr:uid="{00000000-0005-0000-0000-000002000000}"/>
    <cellStyle name="Grey" xfId="9" xr:uid="{00000000-0005-0000-0000-000003000000}"/>
    <cellStyle name="Input [yellow]" xfId="10" xr:uid="{00000000-0005-0000-0000-000004000000}"/>
    <cellStyle name="Normal" xfId="0" builtinId="0"/>
    <cellStyle name="Normal - Style1" xfId="11" xr:uid="{00000000-0005-0000-0000-000006000000}"/>
    <cellStyle name="Normal 2" xfId="2" xr:uid="{00000000-0005-0000-0000-000007000000}"/>
    <cellStyle name="Normal 2 2" xfId="5" xr:uid="{00000000-0005-0000-0000-000008000000}"/>
    <cellStyle name="Normal 3" xfId="6" xr:uid="{00000000-0005-0000-0000-000009000000}"/>
    <cellStyle name="Normal 4" xfId="12" xr:uid="{00000000-0005-0000-0000-00000A000000}"/>
    <cellStyle name="Normal 5" xfId="13" xr:uid="{00000000-0005-0000-0000-00000B000000}"/>
    <cellStyle name="Percent" xfId="1" builtinId="5"/>
    <cellStyle name="Percent [2]" xfId="14" xr:uid="{00000000-0005-0000-0000-00000D000000}"/>
    <cellStyle name="Percent [2] 2" xfId="15" xr:uid="{00000000-0005-0000-0000-00000E000000}"/>
    <cellStyle name="Percent 2" xfId="16" xr:uid="{00000000-0005-0000-0000-00000F000000}"/>
    <cellStyle name="Percent 2 2" xfId="4" xr:uid="{00000000-0005-0000-0000-000010000000}"/>
    <cellStyle name="Percent 3" xfId="17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tabColor rgb="FF92D050"/>
  </sheetPr>
  <dimension ref="A1:U47"/>
  <sheetViews>
    <sheetView showGridLines="0" zoomScaleNormal="100" workbookViewId="0">
      <pane xSplit="2" ySplit="9" topLeftCell="C10" activePane="bottomRight" state="frozen"/>
      <selection activeCell="A55" sqref="A55"/>
      <selection pane="topRight" activeCell="A55" sqref="A55"/>
      <selection pane="bottomLeft" activeCell="A55" sqref="A55"/>
      <selection pane="bottomRight" activeCell="A55" sqref="A55"/>
    </sheetView>
  </sheetViews>
  <sheetFormatPr defaultColWidth="9.140625" defaultRowHeight="11.25" x14ac:dyDescent="0.2"/>
  <cols>
    <col min="1" max="1" width="34" style="57" customWidth="1"/>
    <col min="2" max="2" width="10.7109375" style="1" customWidth="1"/>
    <col min="3" max="9" width="8.7109375" style="5" customWidth="1"/>
    <col min="10" max="15" width="7.7109375" style="33" customWidth="1"/>
    <col min="16" max="19" width="7.28515625" style="95" customWidth="1"/>
    <col min="20" max="21" width="7.28515625" style="32" customWidth="1"/>
    <col min="22" max="16384" width="9.140625" style="1"/>
  </cols>
  <sheetData>
    <row r="1" spans="1:21" x14ac:dyDescent="0.2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x14ac:dyDescent="0.2">
      <c r="A2" s="121" t="s">
        <v>31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21" ht="11.25" customHeight="1" x14ac:dyDescent="0.2">
      <c r="A3" s="126" t="s">
        <v>35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</row>
    <row r="4" spans="1:21" ht="11.25" customHeight="1" x14ac:dyDescent="0.2">
      <c r="A4" s="127" t="s">
        <v>32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</row>
    <row r="5" spans="1:21" x14ac:dyDescent="0.2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"/>
      <c r="R5" s="1"/>
      <c r="S5" s="1"/>
      <c r="T5" s="1"/>
      <c r="U5" s="1"/>
    </row>
    <row r="6" spans="1:21" ht="11.25" customHeight="1" x14ac:dyDescent="0.2">
      <c r="A6" s="74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33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30" t="s">
        <v>1</v>
      </c>
      <c r="B8" s="131"/>
      <c r="C8" s="134" t="s">
        <v>36</v>
      </c>
      <c r="D8" s="135"/>
      <c r="E8" s="136"/>
      <c r="F8" s="134" t="s">
        <v>37</v>
      </c>
      <c r="G8" s="135"/>
      <c r="H8" s="137"/>
      <c r="I8" s="66" t="s">
        <v>23</v>
      </c>
      <c r="J8" s="138" t="s">
        <v>24</v>
      </c>
      <c r="K8" s="138"/>
      <c r="L8" s="139"/>
      <c r="M8" s="138" t="s">
        <v>25</v>
      </c>
      <c r="N8" s="138"/>
      <c r="O8" s="139"/>
      <c r="P8" s="122" t="s">
        <v>26</v>
      </c>
      <c r="Q8" s="123"/>
      <c r="R8" s="124"/>
      <c r="S8" s="125" t="s">
        <v>27</v>
      </c>
      <c r="T8" s="123"/>
      <c r="U8" s="124"/>
    </row>
    <row r="9" spans="1:21" ht="12" thickBot="1" x14ac:dyDescent="0.25">
      <c r="A9" s="132"/>
      <c r="B9" s="133"/>
      <c r="C9" s="67" t="s">
        <v>2</v>
      </c>
      <c r="D9" s="115" t="s">
        <v>3</v>
      </c>
      <c r="E9" s="118" t="s">
        <v>4</v>
      </c>
      <c r="F9" s="67" t="s">
        <v>2</v>
      </c>
      <c r="G9" s="119" t="s">
        <v>3</v>
      </c>
      <c r="H9" s="120" t="s">
        <v>4</v>
      </c>
      <c r="I9" s="68" t="s">
        <v>34</v>
      </c>
      <c r="J9" s="69" t="s">
        <v>29</v>
      </c>
      <c r="K9" s="70" t="s">
        <v>3</v>
      </c>
      <c r="L9" s="71" t="s">
        <v>4</v>
      </c>
      <c r="M9" s="72" t="s">
        <v>29</v>
      </c>
      <c r="N9" s="70" t="s">
        <v>3</v>
      </c>
      <c r="O9" s="73" t="s">
        <v>4</v>
      </c>
      <c r="P9" s="69" t="s">
        <v>29</v>
      </c>
      <c r="Q9" s="70" t="s">
        <v>3</v>
      </c>
      <c r="R9" s="71" t="s">
        <v>4</v>
      </c>
      <c r="S9" s="72" t="s">
        <v>29</v>
      </c>
      <c r="T9" s="70" t="s">
        <v>3</v>
      </c>
      <c r="U9" s="73" t="s">
        <v>4</v>
      </c>
    </row>
    <row r="10" spans="1:21" x14ac:dyDescent="0.2">
      <c r="A10" s="36" t="s">
        <v>9</v>
      </c>
      <c r="B10" s="34"/>
      <c r="C10" s="35"/>
      <c r="D10" s="35"/>
      <c r="E10" s="35"/>
      <c r="F10" s="35"/>
      <c r="G10" s="35"/>
      <c r="H10" s="35"/>
      <c r="I10" s="35"/>
      <c r="J10" s="39"/>
      <c r="K10" s="37"/>
      <c r="L10" s="38"/>
      <c r="M10" s="39"/>
      <c r="N10" s="37"/>
      <c r="O10" s="38"/>
      <c r="P10" s="96"/>
      <c r="Q10" s="97"/>
      <c r="R10" s="98"/>
      <c r="S10" s="99"/>
      <c r="T10" s="100"/>
      <c r="U10" s="101"/>
    </row>
    <row r="11" spans="1:21" ht="12" thickBot="1" x14ac:dyDescent="0.25">
      <c r="A11" s="34"/>
      <c r="B11" s="34"/>
      <c r="C11" s="40"/>
      <c r="D11" s="109"/>
      <c r="E11" s="109"/>
      <c r="F11" s="40"/>
      <c r="G11" s="109"/>
      <c r="H11" s="109"/>
      <c r="I11" s="40"/>
      <c r="J11" s="43"/>
      <c r="K11" s="41"/>
      <c r="L11" s="42"/>
      <c r="M11" s="43"/>
      <c r="N11" s="41"/>
      <c r="O11" s="42"/>
      <c r="P11" s="102"/>
      <c r="Q11" s="103"/>
      <c r="R11" s="104"/>
      <c r="S11" s="105"/>
      <c r="T11" s="106"/>
      <c r="U11" s="107"/>
    </row>
    <row r="12" spans="1:21" x14ac:dyDescent="0.2">
      <c r="A12" s="44" t="s">
        <v>10</v>
      </c>
      <c r="B12" s="45" t="s">
        <v>5</v>
      </c>
      <c r="C12" s="11">
        <v>18059</v>
      </c>
      <c r="D12" s="116">
        <v>16884</v>
      </c>
      <c r="E12" s="46">
        <v>1175</v>
      </c>
      <c r="F12" s="11">
        <v>13915</v>
      </c>
      <c r="G12" s="116">
        <v>13076</v>
      </c>
      <c r="H12" s="46">
        <v>839</v>
      </c>
      <c r="I12" s="108">
        <v>17362</v>
      </c>
      <c r="J12" s="60">
        <v>1.0401451445685981</v>
      </c>
      <c r="K12" s="12">
        <v>0.97246860960718806</v>
      </c>
      <c r="L12" s="13">
        <v>6.7676534961409976E-2</v>
      </c>
      <c r="M12" s="60">
        <v>0.80146296509618709</v>
      </c>
      <c r="N12" s="12">
        <v>0.75313903928118875</v>
      </c>
      <c r="O12" s="13">
        <v>4.8323925814998274E-2</v>
      </c>
      <c r="P12" s="76">
        <v>1.0091657253364921</v>
      </c>
      <c r="Q12" s="77">
        <v>1.0088215207270113</v>
      </c>
      <c r="R12" s="78">
        <v>1.0141244589663911</v>
      </c>
      <c r="S12" s="76">
        <v>1.0161230091062972</v>
      </c>
      <c r="T12" s="77">
        <v>1.017185480691752</v>
      </c>
      <c r="U12" s="78">
        <v>0.99970411681479143</v>
      </c>
    </row>
    <row r="13" spans="1:21" x14ac:dyDescent="0.2">
      <c r="A13" s="8"/>
      <c r="B13" s="9" t="s">
        <v>6</v>
      </c>
      <c r="C13" s="10">
        <v>9213</v>
      </c>
      <c r="D13" s="117">
        <v>8615</v>
      </c>
      <c r="E13" s="48">
        <v>598</v>
      </c>
      <c r="F13" s="10">
        <v>7075</v>
      </c>
      <c r="G13" s="117">
        <v>6645</v>
      </c>
      <c r="H13" s="48">
        <v>430</v>
      </c>
      <c r="I13" s="75">
        <v>8897</v>
      </c>
      <c r="J13" s="61">
        <v>1.0355175901989435</v>
      </c>
      <c r="K13" s="14">
        <v>0.96830392267056309</v>
      </c>
      <c r="L13" s="15">
        <v>6.7213667528380358E-2</v>
      </c>
      <c r="M13" s="61">
        <v>0.79521186916938291</v>
      </c>
      <c r="N13" s="14">
        <v>0.74688097111385865</v>
      </c>
      <c r="O13" s="15">
        <v>4.8330898055524332E-2</v>
      </c>
      <c r="P13" s="79"/>
      <c r="Q13" s="80"/>
      <c r="R13" s="81"/>
      <c r="S13" s="79"/>
      <c r="T13" s="80"/>
      <c r="U13" s="81"/>
    </row>
    <row r="14" spans="1:21" x14ac:dyDescent="0.2">
      <c r="A14" s="16"/>
      <c r="B14" s="17" t="s">
        <v>7</v>
      </c>
      <c r="C14" s="10">
        <v>8846</v>
      </c>
      <c r="D14" s="117">
        <v>8269</v>
      </c>
      <c r="E14" s="48">
        <v>577</v>
      </c>
      <c r="F14" s="10">
        <v>6840</v>
      </c>
      <c r="G14" s="117">
        <v>6431</v>
      </c>
      <c r="H14" s="48">
        <v>409</v>
      </c>
      <c r="I14" s="75">
        <v>8465</v>
      </c>
      <c r="J14" s="63">
        <v>1.0450088600118133</v>
      </c>
      <c r="K14" s="18">
        <v>0.97684583579444773</v>
      </c>
      <c r="L14" s="19">
        <v>6.8163024217365628E-2</v>
      </c>
      <c r="M14" s="63">
        <v>0.80803307737743646</v>
      </c>
      <c r="N14" s="18">
        <v>0.75971647962197286</v>
      </c>
      <c r="O14" s="19">
        <v>4.8316597755463674E-2</v>
      </c>
      <c r="P14" s="82"/>
      <c r="Q14" s="83"/>
      <c r="R14" s="84"/>
      <c r="S14" s="82"/>
      <c r="T14" s="83"/>
      <c r="U14" s="84"/>
    </row>
    <row r="15" spans="1:21" x14ac:dyDescent="0.2">
      <c r="A15" s="58" t="s">
        <v>11</v>
      </c>
      <c r="B15" s="59" t="s">
        <v>5</v>
      </c>
      <c r="C15" s="20">
        <v>37639</v>
      </c>
      <c r="D15" s="49">
        <v>31018</v>
      </c>
      <c r="E15" s="50">
        <v>6621</v>
      </c>
      <c r="F15" s="20">
        <v>29677</v>
      </c>
      <c r="G15" s="49">
        <v>24535</v>
      </c>
      <c r="H15" s="50">
        <v>5142</v>
      </c>
      <c r="I15" s="85">
        <v>36324</v>
      </c>
      <c r="J15" s="62">
        <v>1.0362019601365489</v>
      </c>
      <c r="K15" s="110">
        <v>0.85392577909921819</v>
      </c>
      <c r="L15" s="111">
        <v>0.1822761810373307</v>
      </c>
      <c r="M15" s="62">
        <v>0.81700803876225081</v>
      </c>
      <c r="N15" s="110">
        <v>0.67544873912564696</v>
      </c>
      <c r="O15" s="111">
        <v>0.14155929963660391</v>
      </c>
      <c r="P15" s="112">
        <v>1.001820537894891</v>
      </c>
      <c r="Q15" s="113">
        <v>1.0076290425728378</v>
      </c>
      <c r="R15" s="114">
        <v>0.97503687743546985</v>
      </c>
      <c r="S15" s="112">
        <v>1.0242118725489571</v>
      </c>
      <c r="T15" s="113">
        <v>1.0336397066620797</v>
      </c>
      <c r="U15" s="114">
        <v>0.98036909822162643</v>
      </c>
    </row>
    <row r="16" spans="1:21" x14ac:dyDescent="0.2">
      <c r="A16" s="8"/>
      <c r="B16" s="9" t="s">
        <v>6</v>
      </c>
      <c r="C16" s="10">
        <v>19392</v>
      </c>
      <c r="D16" s="47">
        <v>15936</v>
      </c>
      <c r="E16" s="48">
        <v>3456</v>
      </c>
      <c r="F16" s="10">
        <v>15126</v>
      </c>
      <c r="G16" s="47">
        <v>12449</v>
      </c>
      <c r="H16" s="48">
        <v>2677</v>
      </c>
      <c r="I16" s="75">
        <v>18731</v>
      </c>
      <c r="J16" s="61">
        <v>1.0352890929475203</v>
      </c>
      <c r="K16" s="14">
        <v>0.85078212588756608</v>
      </c>
      <c r="L16" s="15">
        <v>0.18450696705995409</v>
      </c>
      <c r="M16" s="61">
        <v>0.8075383054828893</v>
      </c>
      <c r="N16" s="14">
        <v>0.66462014841706263</v>
      </c>
      <c r="O16" s="15">
        <v>0.1429181570658267</v>
      </c>
      <c r="P16" s="79"/>
      <c r="Q16" s="80"/>
      <c r="R16" s="81"/>
      <c r="S16" s="79"/>
      <c r="T16" s="80"/>
      <c r="U16" s="81"/>
    </row>
    <row r="17" spans="1:21" x14ac:dyDescent="0.2">
      <c r="A17" s="16"/>
      <c r="B17" s="17" t="s">
        <v>7</v>
      </c>
      <c r="C17" s="21">
        <v>18247</v>
      </c>
      <c r="D17" s="47">
        <v>15082</v>
      </c>
      <c r="E17" s="48">
        <v>3165</v>
      </c>
      <c r="F17" s="21">
        <v>14551</v>
      </c>
      <c r="G17" s="47">
        <v>12086</v>
      </c>
      <c r="H17" s="48">
        <v>2465</v>
      </c>
      <c r="I17" s="86">
        <v>17593</v>
      </c>
      <c r="J17" s="63">
        <v>1.0371738759733986</v>
      </c>
      <c r="K17" s="18">
        <v>0.85727277894617182</v>
      </c>
      <c r="L17" s="19">
        <v>0.17990109702722673</v>
      </c>
      <c r="M17" s="63">
        <v>0.8270903200136418</v>
      </c>
      <c r="N17" s="18">
        <v>0.68697777525152048</v>
      </c>
      <c r="O17" s="19">
        <v>0.14011254476212129</v>
      </c>
      <c r="P17" s="82"/>
      <c r="Q17" s="83"/>
      <c r="R17" s="84"/>
      <c r="S17" s="82"/>
      <c r="T17" s="83"/>
      <c r="U17" s="84"/>
    </row>
    <row r="18" spans="1:21" x14ac:dyDescent="0.2">
      <c r="A18" s="58" t="s">
        <v>12</v>
      </c>
      <c r="B18" s="59" t="s">
        <v>5</v>
      </c>
      <c r="C18" s="20">
        <v>12215</v>
      </c>
      <c r="D18" s="49">
        <v>11187</v>
      </c>
      <c r="E18" s="50">
        <v>1028</v>
      </c>
      <c r="F18" s="20">
        <v>8801</v>
      </c>
      <c r="G18" s="49">
        <v>8125</v>
      </c>
      <c r="H18" s="50">
        <v>676</v>
      </c>
      <c r="I18" s="85">
        <v>11261</v>
      </c>
      <c r="J18" s="62">
        <v>1.0847171654382382</v>
      </c>
      <c r="K18" s="110">
        <v>0.99342864754462301</v>
      </c>
      <c r="L18" s="111">
        <v>9.1288517893615126E-2</v>
      </c>
      <c r="M18" s="62">
        <v>0.78154693188881985</v>
      </c>
      <c r="N18" s="110">
        <v>0.72151673918834913</v>
      </c>
      <c r="O18" s="111">
        <v>6.003019270047065E-2</v>
      </c>
      <c r="P18" s="112">
        <v>1.034058634158082</v>
      </c>
      <c r="Q18" s="113">
        <v>1.035321534117793</v>
      </c>
      <c r="R18" s="114">
        <v>1.0204135081566033</v>
      </c>
      <c r="S18" s="112">
        <v>1.0410227574658453</v>
      </c>
      <c r="T18" s="113">
        <v>1.0436492086809204</v>
      </c>
      <c r="U18" s="114">
        <v>1.0099621170093043</v>
      </c>
    </row>
    <row r="19" spans="1:21" x14ac:dyDescent="0.2">
      <c r="A19" s="8"/>
      <c r="B19" s="9" t="s">
        <v>6</v>
      </c>
      <c r="C19" s="10">
        <v>6162</v>
      </c>
      <c r="D19" s="47">
        <v>5640</v>
      </c>
      <c r="E19" s="48">
        <v>522</v>
      </c>
      <c r="F19" s="10">
        <v>4425</v>
      </c>
      <c r="G19" s="47">
        <v>4080</v>
      </c>
      <c r="H19" s="48">
        <v>345</v>
      </c>
      <c r="I19" s="75">
        <v>5775</v>
      </c>
      <c r="J19" s="61">
        <v>1.067012987012987</v>
      </c>
      <c r="K19" s="14">
        <v>0.97662337662337662</v>
      </c>
      <c r="L19" s="15">
        <v>9.0389610389610395E-2</v>
      </c>
      <c r="M19" s="61">
        <v>0.76623376623376627</v>
      </c>
      <c r="N19" s="14">
        <v>0.70649350649350651</v>
      </c>
      <c r="O19" s="15">
        <v>5.9740259740259739E-2</v>
      </c>
      <c r="P19" s="79"/>
      <c r="Q19" s="80"/>
      <c r="R19" s="81"/>
      <c r="S19" s="79"/>
      <c r="T19" s="80"/>
      <c r="U19" s="81"/>
    </row>
    <row r="20" spans="1:21" x14ac:dyDescent="0.2">
      <c r="A20" s="16"/>
      <c r="B20" s="17" t="s">
        <v>7</v>
      </c>
      <c r="C20" s="21">
        <v>6053</v>
      </c>
      <c r="D20" s="47">
        <v>5547</v>
      </c>
      <c r="E20" s="48">
        <v>506</v>
      </c>
      <c r="F20" s="21">
        <v>4376</v>
      </c>
      <c r="G20" s="47">
        <v>4045</v>
      </c>
      <c r="H20" s="48">
        <v>331</v>
      </c>
      <c r="I20" s="86">
        <v>5486</v>
      </c>
      <c r="J20" s="63">
        <v>1.1033539919795845</v>
      </c>
      <c r="K20" s="18">
        <v>1.0111192125410136</v>
      </c>
      <c r="L20" s="19">
        <v>9.2234779438570905E-2</v>
      </c>
      <c r="M20" s="63">
        <v>0.79766678818811521</v>
      </c>
      <c r="N20" s="18">
        <v>0.73733138899015671</v>
      </c>
      <c r="O20" s="19">
        <v>6.0335399197958439E-2</v>
      </c>
      <c r="P20" s="82"/>
      <c r="Q20" s="83"/>
      <c r="R20" s="84"/>
      <c r="S20" s="82"/>
      <c r="T20" s="83"/>
      <c r="U20" s="84"/>
    </row>
    <row r="21" spans="1:21" x14ac:dyDescent="0.2">
      <c r="A21" s="58" t="s">
        <v>13</v>
      </c>
      <c r="B21" s="59" t="s">
        <v>5</v>
      </c>
      <c r="C21" s="20">
        <v>10616</v>
      </c>
      <c r="D21" s="49">
        <v>10067</v>
      </c>
      <c r="E21" s="50">
        <v>549</v>
      </c>
      <c r="F21" s="20">
        <v>8088</v>
      </c>
      <c r="G21" s="49">
        <v>7698</v>
      </c>
      <c r="H21" s="50">
        <v>390</v>
      </c>
      <c r="I21" s="85">
        <v>10852</v>
      </c>
      <c r="J21" s="62">
        <v>0.97825285661629191</v>
      </c>
      <c r="K21" s="110">
        <v>0.92766310357537785</v>
      </c>
      <c r="L21" s="111">
        <v>5.0589753040914121E-2</v>
      </c>
      <c r="M21" s="62">
        <v>0.74530040545521559</v>
      </c>
      <c r="N21" s="110">
        <v>0.70936232952451161</v>
      </c>
      <c r="O21" s="111">
        <v>3.5938075930704021E-2</v>
      </c>
      <c r="P21" s="112">
        <v>0.96318894789291898</v>
      </c>
      <c r="Q21" s="113">
        <v>0.96183505415666226</v>
      </c>
      <c r="R21" s="114">
        <v>0.98834086110591446</v>
      </c>
      <c r="S21" s="112">
        <v>0.97470820696627147</v>
      </c>
      <c r="T21" s="113">
        <v>0.97719680698807831</v>
      </c>
      <c r="U21" s="114">
        <v>0.92680265654648963</v>
      </c>
    </row>
    <row r="22" spans="1:21" x14ac:dyDescent="0.2">
      <c r="A22" s="8"/>
      <c r="B22" s="9" t="s">
        <v>6</v>
      </c>
      <c r="C22" s="10">
        <v>5560</v>
      </c>
      <c r="D22" s="47">
        <v>5276</v>
      </c>
      <c r="E22" s="48">
        <v>284</v>
      </c>
      <c r="F22" s="10">
        <v>4212</v>
      </c>
      <c r="G22" s="47">
        <v>4004</v>
      </c>
      <c r="H22" s="48">
        <v>208</v>
      </c>
      <c r="I22" s="75">
        <v>5582</v>
      </c>
      <c r="J22" s="61">
        <v>0.99605876030096741</v>
      </c>
      <c r="K22" s="14">
        <v>0.94518093873163744</v>
      </c>
      <c r="L22" s="15">
        <v>5.087782156932999E-2</v>
      </c>
      <c r="M22" s="61">
        <v>0.75456825510569692</v>
      </c>
      <c r="N22" s="14">
        <v>0.71730562522393404</v>
      </c>
      <c r="O22" s="15">
        <v>3.7262629881762807E-2</v>
      </c>
      <c r="P22" s="79"/>
      <c r="Q22" s="80"/>
      <c r="R22" s="81"/>
      <c r="S22" s="79"/>
      <c r="T22" s="80"/>
      <c r="U22" s="81"/>
    </row>
    <row r="23" spans="1:21" x14ac:dyDescent="0.2">
      <c r="A23" s="16"/>
      <c r="B23" s="17" t="s">
        <v>7</v>
      </c>
      <c r="C23" s="21">
        <v>5056</v>
      </c>
      <c r="D23" s="47">
        <v>4791</v>
      </c>
      <c r="E23" s="48">
        <v>265</v>
      </c>
      <c r="F23" s="21">
        <v>3876</v>
      </c>
      <c r="G23" s="47">
        <v>3694</v>
      </c>
      <c r="H23" s="48">
        <v>182</v>
      </c>
      <c r="I23" s="86">
        <v>5270</v>
      </c>
      <c r="J23" s="63">
        <v>0.959392789373814</v>
      </c>
      <c r="K23" s="18">
        <v>0.90910815939278933</v>
      </c>
      <c r="L23" s="19">
        <v>5.0284629981024669E-2</v>
      </c>
      <c r="M23" s="63">
        <v>0.73548387096774193</v>
      </c>
      <c r="N23" s="18">
        <v>0.70094876660341554</v>
      </c>
      <c r="O23" s="19">
        <v>3.4535104364326379E-2</v>
      </c>
      <c r="P23" s="82"/>
      <c r="Q23" s="83"/>
      <c r="R23" s="84"/>
      <c r="S23" s="82"/>
      <c r="T23" s="83"/>
      <c r="U23" s="84"/>
    </row>
    <row r="24" spans="1:21" x14ac:dyDescent="0.2">
      <c r="A24" s="58" t="s">
        <v>20</v>
      </c>
      <c r="B24" s="59" t="s">
        <v>5</v>
      </c>
      <c r="C24" s="20">
        <v>8053</v>
      </c>
      <c r="D24" s="49">
        <v>7898</v>
      </c>
      <c r="E24" s="50">
        <v>155</v>
      </c>
      <c r="F24" s="20">
        <v>5134</v>
      </c>
      <c r="G24" s="49">
        <v>5017</v>
      </c>
      <c r="H24" s="50">
        <v>117</v>
      </c>
      <c r="I24" s="85">
        <v>9179</v>
      </c>
      <c r="J24" s="62">
        <v>0.87732868504194361</v>
      </c>
      <c r="K24" s="110">
        <v>0.86044231397755744</v>
      </c>
      <c r="L24" s="111">
        <v>1.6886371064386098E-2</v>
      </c>
      <c r="M24" s="62">
        <v>0.5593201873842466</v>
      </c>
      <c r="N24" s="110">
        <v>0.54657370083887136</v>
      </c>
      <c r="O24" s="111">
        <v>1.2746486545375314E-2</v>
      </c>
      <c r="P24" s="112">
        <v>0.98563302906933747</v>
      </c>
      <c r="Q24" s="113">
        <v>0.98740599364318049</v>
      </c>
      <c r="R24" s="114">
        <v>0.89922770736819024</v>
      </c>
      <c r="S24" s="112">
        <v>1.0174058330465316</v>
      </c>
      <c r="T24" s="113">
        <v>1.0230619476414027</v>
      </c>
      <c r="U24" s="114">
        <v>0.80101660043972012</v>
      </c>
    </row>
    <row r="25" spans="1:21" x14ac:dyDescent="0.2">
      <c r="A25" s="8"/>
      <c r="B25" s="9" t="s">
        <v>6</v>
      </c>
      <c r="C25" s="10">
        <v>4128</v>
      </c>
      <c r="D25" s="47">
        <v>4045</v>
      </c>
      <c r="E25" s="48">
        <v>83</v>
      </c>
      <c r="F25" s="10">
        <v>2591</v>
      </c>
      <c r="G25" s="47">
        <v>2525</v>
      </c>
      <c r="H25" s="48">
        <v>66</v>
      </c>
      <c r="I25" s="75">
        <v>4672</v>
      </c>
      <c r="J25" s="61">
        <v>0.88356164383561642</v>
      </c>
      <c r="K25" s="14">
        <v>0.86579623287671237</v>
      </c>
      <c r="L25" s="15">
        <v>1.7765410958904111E-2</v>
      </c>
      <c r="M25" s="61">
        <v>0.5545804794520548</v>
      </c>
      <c r="N25" s="14">
        <v>0.54045376712328763</v>
      </c>
      <c r="O25" s="15">
        <v>1.4126712328767123E-2</v>
      </c>
      <c r="P25" s="79"/>
      <c r="Q25" s="80"/>
      <c r="R25" s="81"/>
      <c r="S25" s="79"/>
      <c r="T25" s="80"/>
      <c r="U25" s="81"/>
    </row>
    <row r="26" spans="1:21" x14ac:dyDescent="0.2">
      <c r="A26" s="16"/>
      <c r="B26" s="17" t="s">
        <v>7</v>
      </c>
      <c r="C26" s="21">
        <v>3925</v>
      </c>
      <c r="D26" s="47">
        <v>3853</v>
      </c>
      <c r="E26" s="48">
        <v>72</v>
      </c>
      <c r="F26" s="21">
        <v>2543</v>
      </c>
      <c r="G26" s="47">
        <v>2492</v>
      </c>
      <c r="H26" s="48">
        <v>51</v>
      </c>
      <c r="I26" s="86">
        <v>4507</v>
      </c>
      <c r="J26" s="63">
        <v>0.87086753938318173</v>
      </c>
      <c r="K26" s="18">
        <v>0.85489238961615266</v>
      </c>
      <c r="L26" s="19">
        <v>1.5975149767029066E-2</v>
      </c>
      <c r="M26" s="63">
        <v>0.56423341468826271</v>
      </c>
      <c r="N26" s="18">
        <v>0.55291768360328375</v>
      </c>
      <c r="O26" s="19">
        <v>1.1315731084978922E-2</v>
      </c>
      <c r="P26" s="82"/>
      <c r="Q26" s="83"/>
      <c r="R26" s="84"/>
      <c r="S26" s="82"/>
      <c r="T26" s="83"/>
      <c r="U26" s="84"/>
    </row>
    <row r="27" spans="1:21" x14ac:dyDescent="0.2">
      <c r="A27" s="58" t="s">
        <v>14</v>
      </c>
      <c r="B27" s="59" t="s">
        <v>5</v>
      </c>
      <c r="C27" s="20">
        <v>5875</v>
      </c>
      <c r="D27" s="49">
        <v>5730</v>
      </c>
      <c r="E27" s="50">
        <v>145</v>
      </c>
      <c r="F27" s="20">
        <v>4352</v>
      </c>
      <c r="G27" s="49">
        <v>4260</v>
      </c>
      <c r="H27" s="50">
        <v>92</v>
      </c>
      <c r="I27" s="85">
        <v>11070</v>
      </c>
      <c r="J27" s="62">
        <v>0.53071364046973801</v>
      </c>
      <c r="K27" s="110">
        <v>0.51761517615176156</v>
      </c>
      <c r="L27" s="111">
        <v>1.3098464317976514E-2</v>
      </c>
      <c r="M27" s="62">
        <v>0.39313459801264677</v>
      </c>
      <c r="N27" s="110">
        <v>0.38482384823848237</v>
      </c>
      <c r="O27" s="111">
        <v>8.3107497741644089E-3</v>
      </c>
      <c r="P27" s="112">
        <v>0.96837072297134785</v>
      </c>
      <c r="Q27" s="113">
        <v>0.97359636492269985</v>
      </c>
      <c r="R27" s="114">
        <v>0.78150680355432822</v>
      </c>
      <c r="S27" s="112">
        <v>1.0205659733030827</v>
      </c>
      <c r="T27" s="113">
        <v>1.0296428752840012</v>
      </c>
      <c r="U27" s="114">
        <v>0.67256403485608662</v>
      </c>
    </row>
    <row r="28" spans="1:21" x14ac:dyDescent="0.2">
      <c r="A28" s="8"/>
      <c r="B28" s="9" t="s">
        <v>6</v>
      </c>
      <c r="C28" s="10">
        <v>3051</v>
      </c>
      <c r="D28" s="47">
        <v>2968</v>
      </c>
      <c r="E28" s="48">
        <v>83</v>
      </c>
      <c r="F28" s="10">
        <v>2203</v>
      </c>
      <c r="G28" s="47">
        <v>2147</v>
      </c>
      <c r="H28" s="48">
        <v>56</v>
      </c>
      <c r="I28" s="75">
        <v>5660</v>
      </c>
      <c r="J28" s="61">
        <v>0.53904593639575971</v>
      </c>
      <c r="K28" s="14">
        <v>0.52438162544169609</v>
      </c>
      <c r="L28" s="15">
        <v>1.4664310954063604E-2</v>
      </c>
      <c r="M28" s="61">
        <v>0.38922261484098941</v>
      </c>
      <c r="N28" s="14">
        <v>0.37932862190812722</v>
      </c>
      <c r="O28" s="15">
        <v>9.893992932862191E-3</v>
      </c>
      <c r="P28" s="79"/>
      <c r="Q28" s="80"/>
      <c r="R28" s="81"/>
      <c r="S28" s="79"/>
      <c r="T28" s="80"/>
      <c r="U28" s="81"/>
    </row>
    <row r="29" spans="1:21" x14ac:dyDescent="0.2">
      <c r="A29" s="16"/>
      <c r="B29" s="17" t="s">
        <v>7</v>
      </c>
      <c r="C29" s="21">
        <v>2824</v>
      </c>
      <c r="D29" s="47">
        <v>2762</v>
      </c>
      <c r="E29" s="48">
        <v>62</v>
      </c>
      <c r="F29" s="21">
        <v>2149</v>
      </c>
      <c r="G29" s="47">
        <v>2113</v>
      </c>
      <c r="H29" s="48">
        <v>36</v>
      </c>
      <c r="I29" s="86">
        <v>5410</v>
      </c>
      <c r="J29" s="63">
        <v>0.52199630314232903</v>
      </c>
      <c r="K29" s="18">
        <v>0.51053604436229205</v>
      </c>
      <c r="L29" s="19">
        <v>1.1460258780036968E-2</v>
      </c>
      <c r="M29" s="63">
        <v>0.39722735674676524</v>
      </c>
      <c r="N29" s="18">
        <v>0.39057301293900187</v>
      </c>
      <c r="O29" s="19">
        <v>6.6543438077634014E-3</v>
      </c>
      <c r="P29" s="82"/>
      <c r="Q29" s="83"/>
      <c r="R29" s="84"/>
      <c r="S29" s="82"/>
      <c r="T29" s="83"/>
      <c r="U29" s="84"/>
    </row>
    <row r="30" spans="1:21" x14ac:dyDescent="0.2">
      <c r="A30" s="58" t="s">
        <v>15</v>
      </c>
      <c r="B30" s="59" t="s">
        <v>5</v>
      </c>
      <c r="C30" s="20">
        <v>4376</v>
      </c>
      <c r="D30" s="49">
        <v>3601</v>
      </c>
      <c r="E30" s="50">
        <v>775</v>
      </c>
      <c r="F30" s="20">
        <v>3253</v>
      </c>
      <c r="G30" s="49">
        <v>2704</v>
      </c>
      <c r="H30" s="50">
        <v>549</v>
      </c>
      <c r="I30" s="85">
        <v>3563</v>
      </c>
      <c r="J30" s="62">
        <v>1.2281785012629807</v>
      </c>
      <c r="K30" s="110">
        <v>1.0106651698007296</v>
      </c>
      <c r="L30" s="111">
        <v>0.21751333146225091</v>
      </c>
      <c r="M30" s="62">
        <v>0.9129946674150996</v>
      </c>
      <c r="N30" s="110">
        <v>0.7589110300308729</v>
      </c>
      <c r="O30" s="111">
        <v>0.15408363738422678</v>
      </c>
      <c r="P30" s="112">
        <v>0.98540623357828383</v>
      </c>
      <c r="Q30" s="113">
        <v>0.98628409602372702</v>
      </c>
      <c r="R30" s="114">
        <v>0.9813371342033762</v>
      </c>
      <c r="S30" s="112">
        <v>1.010214410984241</v>
      </c>
      <c r="T30" s="113">
        <v>1.0305945880748375</v>
      </c>
      <c r="U30" s="114">
        <v>0.91536023083038098</v>
      </c>
    </row>
    <row r="31" spans="1:21" x14ac:dyDescent="0.2">
      <c r="A31" s="8"/>
      <c r="B31" s="9" t="s">
        <v>6</v>
      </c>
      <c r="C31" s="10">
        <v>2271</v>
      </c>
      <c r="D31" s="47">
        <v>1868</v>
      </c>
      <c r="E31" s="48">
        <v>403</v>
      </c>
      <c r="F31" s="10">
        <v>1668</v>
      </c>
      <c r="G31" s="47">
        <v>1373</v>
      </c>
      <c r="H31" s="48">
        <v>295</v>
      </c>
      <c r="I31" s="75">
        <v>1836</v>
      </c>
      <c r="J31" s="61">
        <v>1.2369281045751634</v>
      </c>
      <c r="K31" s="14">
        <v>1.0174291938997821</v>
      </c>
      <c r="L31" s="15">
        <v>0.21949891067538127</v>
      </c>
      <c r="M31" s="61">
        <v>0.90849673202614378</v>
      </c>
      <c r="N31" s="14">
        <v>0.7478213507625272</v>
      </c>
      <c r="O31" s="15">
        <v>0.16067538126361655</v>
      </c>
      <c r="P31" s="79"/>
      <c r="Q31" s="80"/>
      <c r="R31" s="81"/>
      <c r="S31" s="79"/>
      <c r="T31" s="80"/>
      <c r="U31" s="81"/>
    </row>
    <row r="32" spans="1:21" x14ac:dyDescent="0.2">
      <c r="A32" s="16"/>
      <c r="B32" s="17" t="s">
        <v>7</v>
      </c>
      <c r="C32" s="21">
        <v>2105</v>
      </c>
      <c r="D32" s="47">
        <v>1733</v>
      </c>
      <c r="E32" s="48">
        <v>372</v>
      </c>
      <c r="F32" s="21">
        <v>1585</v>
      </c>
      <c r="G32" s="47">
        <v>1331</v>
      </c>
      <c r="H32" s="48">
        <v>254</v>
      </c>
      <c r="I32" s="86">
        <v>1727</v>
      </c>
      <c r="J32" s="63">
        <v>1.2188766647365374</v>
      </c>
      <c r="K32" s="18">
        <v>1.0034742327735959</v>
      </c>
      <c r="L32" s="19">
        <v>0.21540243196294151</v>
      </c>
      <c r="M32" s="63">
        <v>0.91777649102489867</v>
      </c>
      <c r="N32" s="18">
        <v>0.77070063694267521</v>
      </c>
      <c r="O32" s="19">
        <v>0.14707585408222351</v>
      </c>
      <c r="P32" s="82"/>
      <c r="Q32" s="83"/>
      <c r="R32" s="84"/>
      <c r="S32" s="82"/>
      <c r="T32" s="83"/>
      <c r="U32" s="84"/>
    </row>
    <row r="33" spans="1:21" x14ac:dyDescent="0.2">
      <c r="A33" s="58" t="s">
        <v>16</v>
      </c>
      <c r="B33" s="59" t="s">
        <v>5</v>
      </c>
      <c r="C33" s="20">
        <v>2604</v>
      </c>
      <c r="D33" s="49">
        <v>2405</v>
      </c>
      <c r="E33" s="50">
        <v>199</v>
      </c>
      <c r="F33" s="20">
        <v>2059</v>
      </c>
      <c r="G33" s="49">
        <v>1918</v>
      </c>
      <c r="H33" s="50">
        <v>141</v>
      </c>
      <c r="I33" s="85">
        <v>2329</v>
      </c>
      <c r="J33" s="62">
        <v>1.1180764276513526</v>
      </c>
      <c r="K33" s="110">
        <v>1.0326320309145556</v>
      </c>
      <c r="L33" s="111">
        <v>8.5444396736796907E-2</v>
      </c>
      <c r="M33" s="62">
        <v>0.88407041648776297</v>
      </c>
      <c r="N33" s="110">
        <v>0.82352941176470584</v>
      </c>
      <c r="O33" s="111">
        <v>6.0541004723057103E-2</v>
      </c>
      <c r="P33" s="112">
        <v>0.90186918524285875</v>
      </c>
      <c r="Q33" s="113">
        <v>0.90880911261670949</v>
      </c>
      <c r="R33" s="114">
        <v>0.82186724468319039</v>
      </c>
      <c r="S33" s="112">
        <v>0.89806217006570199</v>
      </c>
      <c r="T33" s="113">
        <v>0.91050712741798689</v>
      </c>
      <c r="U33" s="114">
        <v>0.7437446988973706</v>
      </c>
    </row>
    <row r="34" spans="1:21" x14ac:dyDescent="0.2">
      <c r="A34" s="8"/>
      <c r="B34" s="9" t="s">
        <v>6</v>
      </c>
      <c r="C34" s="10">
        <v>1353</v>
      </c>
      <c r="D34" s="47">
        <v>1245</v>
      </c>
      <c r="E34" s="48">
        <v>108</v>
      </c>
      <c r="F34" s="10">
        <v>1072</v>
      </c>
      <c r="G34" s="47">
        <v>992</v>
      </c>
      <c r="H34" s="48">
        <v>80</v>
      </c>
      <c r="I34" s="75">
        <v>1150</v>
      </c>
      <c r="J34" s="61">
        <v>1.1765217391304348</v>
      </c>
      <c r="K34" s="14">
        <v>1.0826086956521739</v>
      </c>
      <c r="L34" s="15">
        <v>9.3913043478260863E-2</v>
      </c>
      <c r="M34" s="61">
        <v>0.9321739130434783</v>
      </c>
      <c r="N34" s="14">
        <v>0.86260869565217391</v>
      </c>
      <c r="O34" s="15">
        <v>6.9565217391304349E-2</v>
      </c>
      <c r="P34" s="79"/>
      <c r="Q34" s="80"/>
      <c r="R34" s="81"/>
      <c r="S34" s="79"/>
      <c r="T34" s="80"/>
      <c r="U34" s="81"/>
    </row>
    <row r="35" spans="1:21" x14ac:dyDescent="0.2">
      <c r="A35" s="16"/>
      <c r="B35" s="17" t="s">
        <v>7</v>
      </c>
      <c r="C35" s="21">
        <v>1251</v>
      </c>
      <c r="D35" s="47">
        <v>1160</v>
      </c>
      <c r="E35" s="48">
        <v>91</v>
      </c>
      <c r="F35" s="21">
        <v>987</v>
      </c>
      <c r="G35" s="47">
        <v>926</v>
      </c>
      <c r="H35" s="48">
        <v>61</v>
      </c>
      <c r="I35" s="86">
        <v>1179</v>
      </c>
      <c r="J35" s="63">
        <v>1.0610687022900764</v>
      </c>
      <c r="K35" s="18">
        <v>0.98388464800678543</v>
      </c>
      <c r="L35" s="19">
        <v>7.718405428329092E-2</v>
      </c>
      <c r="M35" s="63">
        <v>0.83715012722646309</v>
      </c>
      <c r="N35" s="18">
        <v>0.78541136556403734</v>
      </c>
      <c r="O35" s="19">
        <v>5.1738761662425782E-2</v>
      </c>
      <c r="P35" s="82"/>
      <c r="Q35" s="83"/>
      <c r="R35" s="84"/>
      <c r="S35" s="82"/>
      <c r="T35" s="83"/>
      <c r="U35" s="84"/>
    </row>
    <row r="36" spans="1:21" x14ac:dyDescent="0.2">
      <c r="A36" s="58" t="s">
        <v>17</v>
      </c>
      <c r="B36" s="59" t="s">
        <v>5</v>
      </c>
      <c r="C36" s="20">
        <v>8544</v>
      </c>
      <c r="D36" s="49">
        <v>7951</v>
      </c>
      <c r="E36" s="50">
        <v>593</v>
      </c>
      <c r="F36" s="20">
        <v>6459</v>
      </c>
      <c r="G36" s="49">
        <v>6017</v>
      </c>
      <c r="H36" s="50">
        <v>442</v>
      </c>
      <c r="I36" s="85">
        <v>3333</v>
      </c>
      <c r="J36" s="62">
        <v>2.5634563456345636</v>
      </c>
      <c r="K36" s="110">
        <v>2.3855385538553855</v>
      </c>
      <c r="L36" s="111">
        <v>0.17791779177917791</v>
      </c>
      <c r="M36" s="62">
        <v>1.9378937893789379</v>
      </c>
      <c r="N36" s="110">
        <v>1.8052805280528053</v>
      </c>
      <c r="O36" s="111">
        <v>0.1326132613261326</v>
      </c>
      <c r="P36" s="112">
        <v>1.0182628858303728</v>
      </c>
      <c r="Q36" s="113">
        <v>1.029642916355227</v>
      </c>
      <c r="R36" s="114">
        <v>0.87685546949375859</v>
      </c>
      <c r="S36" s="112">
        <v>1.0198193746637165</v>
      </c>
      <c r="T36" s="113">
        <v>1.0315042141537525</v>
      </c>
      <c r="U36" s="114">
        <v>0.87284147628491748</v>
      </c>
    </row>
    <row r="37" spans="1:21" x14ac:dyDescent="0.2">
      <c r="A37" s="8"/>
      <c r="B37" s="9" t="s">
        <v>6</v>
      </c>
      <c r="C37" s="10">
        <v>4350</v>
      </c>
      <c r="D37" s="47">
        <v>4026</v>
      </c>
      <c r="E37" s="48">
        <v>324</v>
      </c>
      <c r="F37" s="10">
        <v>3286</v>
      </c>
      <c r="G37" s="47">
        <v>3044</v>
      </c>
      <c r="H37" s="48">
        <v>242</v>
      </c>
      <c r="I37" s="75">
        <v>1712</v>
      </c>
      <c r="J37" s="61">
        <v>2.5408878504672896</v>
      </c>
      <c r="K37" s="14">
        <v>2.3516355140186915</v>
      </c>
      <c r="L37" s="15">
        <v>0.18925233644859812</v>
      </c>
      <c r="M37" s="61">
        <v>1.919392523364486</v>
      </c>
      <c r="N37" s="14">
        <v>1.77803738317757</v>
      </c>
      <c r="O37" s="15">
        <v>0.14135514018691589</v>
      </c>
      <c r="P37" s="79"/>
      <c r="Q37" s="80"/>
      <c r="R37" s="81"/>
      <c r="S37" s="79"/>
      <c r="T37" s="80"/>
      <c r="U37" s="81"/>
    </row>
    <row r="38" spans="1:21" x14ac:dyDescent="0.2">
      <c r="A38" s="16"/>
      <c r="B38" s="17" t="s">
        <v>7</v>
      </c>
      <c r="C38" s="21">
        <v>4194</v>
      </c>
      <c r="D38" s="47">
        <v>3925</v>
      </c>
      <c r="E38" s="48">
        <v>269</v>
      </c>
      <c r="F38" s="21">
        <v>3173</v>
      </c>
      <c r="G38" s="47">
        <v>2973</v>
      </c>
      <c r="H38" s="48">
        <v>200</v>
      </c>
      <c r="I38" s="86">
        <v>1621</v>
      </c>
      <c r="J38" s="63">
        <v>2.5872917951881553</v>
      </c>
      <c r="K38" s="18">
        <v>2.421344848858729</v>
      </c>
      <c r="L38" s="19">
        <v>0.16594694632942628</v>
      </c>
      <c r="M38" s="63">
        <v>1.9574336829117829</v>
      </c>
      <c r="N38" s="18">
        <v>1.8340530536705737</v>
      </c>
      <c r="O38" s="19">
        <v>0.12338062924120913</v>
      </c>
      <c r="P38" s="82"/>
      <c r="Q38" s="83"/>
      <c r="R38" s="84"/>
      <c r="S38" s="82"/>
      <c r="T38" s="83"/>
      <c r="U38" s="84"/>
    </row>
    <row r="39" spans="1:21" x14ac:dyDescent="0.2">
      <c r="A39" s="58" t="s">
        <v>18</v>
      </c>
      <c r="B39" s="59" t="s">
        <v>5</v>
      </c>
      <c r="C39" s="20">
        <v>4762</v>
      </c>
      <c r="D39" s="49">
        <v>4052</v>
      </c>
      <c r="E39" s="50">
        <v>710</v>
      </c>
      <c r="F39" s="20">
        <v>3603</v>
      </c>
      <c r="G39" s="49">
        <v>3080</v>
      </c>
      <c r="H39" s="50">
        <v>523</v>
      </c>
      <c r="I39" s="85">
        <v>4318</v>
      </c>
      <c r="J39" s="62">
        <v>1.1028253821213525</v>
      </c>
      <c r="K39" s="110">
        <v>0.93839740620657708</v>
      </c>
      <c r="L39" s="111">
        <v>0.16442797591477537</v>
      </c>
      <c r="M39" s="62">
        <v>0.83441408059286704</v>
      </c>
      <c r="N39" s="110">
        <v>0.71329319129226498</v>
      </c>
      <c r="O39" s="111">
        <v>0.12112088930060214</v>
      </c>
      <c r="P39" s="112">
        <v>1.0147817310613114</v>
      </c>
      <c r="Q39" s="113">
        <v>1.0367118134285622</v>
      </c>
      <c r="R39" s="114">
        <v>0.89805335613298132</v>
      </c>
      <c r="S39" s="112">
        <v>1.0207811337076769</v>
      </c>
      <c r="T39" s="113">
        <v>1.0439518830637975</v>
      </c>
      <c r="U39" s="114">
        <v>0.89421402969790065</v>
      </c>
    </row>
    <row r="40" spans="1:21" x14ac:dyDescent="0.2">
      <c r="A40" s="8"/>
      <c r="B40" s="9" t="s">
        <v>6</v>
      </c>
      <c r="C40" s="10">
        <v>2390</v>
      </c>
      <c r="D40" s="47">
        <v>2012</v>
      </c>
      <c r="E40" s="48">
        <v>378</v>
      </c>
      <c r="F40" s="10">
        <v>1803</v>
      </c>
      <c r="G40" s="47">
        <v>1524</v>
      </c>
      <c r="H40" s="48">
        <v>279</v>
      </c>
      <c r="I40" s="75">
        <v>2183</v>
      </c>
      <c r="J40" s="61">
        <v>1.0948236371965185</v>
      </c>
      <c r="K40" s="14">
        <v>0.92166743014200636</v>
      </c>
      <c r="L40" s="15">
        <v>0.17315620705451215</v>
      </c>
      <c r="M40" s="61">
        <v>0.82592762253779206</v>
      </c>
      <c r="N40" s="14">
        <v>0.6981218506642235</v>
      </c>
      <c r="O40" s="15">
        <v>0.12780577187356848</v>
      </c>
      <c r="P40" s="79"/>
      <c r="Q40" s="80"/>
      <c r="R40" s="81"/>
      <c r="S40" s="79"/>
      <c r="T40" s="80"/>
      <c r="U40" s="81"/>
    </row>
    <row r="41" spans="1:21" x14ac:dyDescent="0.2">
      <c r="A41" s="16"/>
      <c r="B41" s="17" t="s">
        <v>7</v>
      </c>
      <c r="C41" s="21">
        <v>2372</v>
      </c>
      <c r="D41" s="47">
        <v>2040</v>
      </c>
      <c r="E41" s="48">
        <v>332</v>
      </c>
      <c r="F41" s="21">
        <v>1800</v>
      </c>
      <c r="G41" s="47">
        <v>1556</v>
      </c>
      <c r="H41" s="48">
        <v>244</v>
      </c>
      <c r="I41" s="86">
        <v>2135</v>
      </c>
      <c r="J41" s="63">
        <v>1.1110070257611242</v>
      </c>
      <c r="K41" s="18">
        <v>0.95550351288056201</v>
      </c>
      <c r="L41" s="19">
        <v>0.15550351288056205</v>
      </c>
      <c r="M41" s="63">
        <v>0.84309133489461363</v>
      </c>
      <c r="N41" s="18">
        <v>0.72880562060889931</v>
      </c>
      <c r="O41" s="19">
        <v>0.11428571428571428</v>
      </c>
      <c r="P41" s="82"/>
      <c r="Q41" s="83"/>
      <c r="R41" s="84"/>
      <c r="S41" s="82"/>
      <c r="T41" s="83"/>
      <c r="U41" s="84"/>
    </row>
    <row r="42" spans="1:21" x14ac:dyDescent="0.2">
      <c r="A42" s="58" t="s">
        <v>19</v>
      </c>
      <c r="B42" s="59" t="s">
        <v>5</v>
      </c>
      <c r="C42" s="20">
        <v>6160</v>
      </c>
      <c r="D42" s="49">
        <v>5036</v>
      </c>
      <c r="E42" s="50">
        <v>1124</v>
      </c>
      <c r="F42" s="20">
        <v>4773</v>
      </c>
      <c r="G42" s="49">
        <v>3923</v>
      </c>
      <c r="H42" s="50">
        <v>850</v>
      </c>
      <c r="I42" s="85">
        <v>5775</v>
      </c>
      <c r="J42" s="62">
        <v>1.0666666666666667</v>
      </c>
      <c r="K42" s="110">
        <v>0.87203463203463205</v>
      </c>
      <c r="L42" s="111">
        <v>0.19463203463203463</v>
      </c>
      <c r="M42" s="62">
        <v>0.8264935064935065</v>
      </c>
      <c r="N42" s="110">
        <v>0.6793073593073593</v>
      </c>
      <c r="O42" s="111">
        <v>0.1471861471861472</v>
      </c>
      <c r="P42" s="112">
        <v>1.0643633324045696</v>
      </c>
      <c r="Q42" s="113">
        <v>1.0776517993012837</v>
      </c>
      <c r="R42" s="114">
        <v>1.0067799758521407</v>
      </c>
      <c r="S42" s="112">
        <v>1.0942983455631012</v>
      </c>
      <c r="T42" s="113">
        <v>1.1084290278921152</v>
      </c>
      <c r="U42" s="114">
        <v>1.0313762037899969</v>
      </c>
    </row>
    <row r="43" spans="1:21" x14ac:dyDescent="0.2">
      <c r="A43" s="8"/>
      <c r="B43" s="9" t="s">
        <v>6</v>
      </c>
      <c r="C43" s="10">
        <v>3104</v>
      </c>
      <c r="D43" s="47">
        <v>2522</v>
      </c>
      <c r="E43" s="48">
        <v>582</v>
      </c>
      <c r="F43" s="10">
        <v>2372</v>
      </c>
      <c r="G43" s="47">
        <v>1937</v>
      </c>
      <c r="H43" s="48">
        <v>435</v>
      </c>
      <c r="I43" s="75">
        <v>3000</v>
      </c>
      <c r="J43" s="61">
        <v>1.0346666666666666</v>
      </c>
      <c r="K43" s="14">
        <v>0.84066666666666667</v>
      </c>
      <c r="L43" s="15">
        <v>0.19400000000000001</v>
      </c>
      <c r="M43" s="61">
        <v>0.79066666666666663</v>
      </c>
      <c r="N43" s="14">
        <v>0.64566666666666672</v>
      </c>
      <c r="O43" s="15">
        <v>0.14499999999999999</v>
      </c>
      <c r="P43" s="79"/>
      <c r="Q43" s="80"/>
      <c r="R43" s="81"/>
      <c r="S43" s="79"/>
      <c r="T43" s="80"/>
      <c r="U43" s="81"/>
    </row>
    <row r="44" spans="1:21" x14ac:dyDescent="0.2">
      <c r="A44" s="16"/>
      <c r="B44" s="17" t="s">
        <v>7</v>
      </c>
      <c r="C44" s="21">
        <v>3056</v>
      </c>
      <c r="D44" s="51">
        <v>2514</v>
      </c>
      <c r="E44" s="52">
        <v>542</v>
      </c>
      <c r="F44" s="21">
        <v>2401</v>
      </c>
      <c r="G44" s="51">
        <v>1986</v>
      </c>
      <c r="H44" s="52">
        <v>415</v>
      </c>
      <c r="I44" s="86">
        <v>2775</v>
      </c>
      <c r="J44" s="63">
        <v>1.1012612612612613</v>
      </c>
      <c r="K44" s="18">
        <v>0.90594594594594591</v>
      </c>
      <c r="L44" s="19">
        <v>0.19531531531531532</v>
      </c>
      <c r="M44" s="63">
        <v>0.86522522522522527</v>
      </c>
      <c r="N44" s="18">
        <v>0.71567567567567569</v>
      </c>
      <c r="O44" s="19">
        <v>0.14954954954954955</v>
      </c>
      <c r="P44" s="82"/>
      <c r="Q44" s="83"/>
      <c r="R44" s="84"/>
      <c r="S44" s="82"/>
      <c r="T44" s="83"/>
      <c r="U44" s="84"/>
    </row>
    <row r="45" spans="1:21" x14ac:dyDescent="0.2">
      <c r="A45" s="22" t="s">
        <v>8</v>
      </c>
      <c r="B45" s="23" t="s">
        <v>5</v>
      </c>
      <c r="C45" s="24">
        <v>118903</v>
      </c>
      <c r="D45" s="53">
        <v>105829</v>
      </c>
      <c r="E45" s="54">
        <v>13074</v>
      </c>
      <c r="F45" s="24">
        <v>90114</v>
      </c>
      <c r="G45" s="53">
        <v>80353</v>
      </c>
      <c r="H45" s="54">
        <v>9761</v>
      </c>
      <c r="I45" s="87">
        <v>115366</v>
      </c>
      <c r="J45" s="64">
        <v>1.0306589463100047</v>
      </c>
      <c r="K45" s="25">
        <v>0.91733266300296445</v>
      </c>
      <c r="L45" s="26">
        <v>0.1133262833070402</v>
      </c>
      <c r="M45" s="64">
        <v>0.78111401972851624</v>
      </c>
      <c r="N45" s="25">
        <v>0.69650503614583148</v>
      </c>
      <c r="O45" s="26">
        <v>8.4608983582684677E-2</v>
      </c>
      <c r="P45" s="88">
        <v>1.0013119966791564</v>
      </c>
      <c r="Q45" s="89">
        <v>1.0057370354595681</v>
      </c>
      <c r="R45" s="90">
        <v>0.96618091251618465</v>
      </c>
      <c r="S45" s="88">
        <v>1.0182565430246286</v>
      </c>
      <c r="T45" s="89">
        <v>1.0258107649756316</v>
      </c>
      <c r="U45" s="90">
        <v>0.95809461893997261</v>
      </c>
    </row>
    <row r="46" spans="1:21" x14ac:dyDescent="0.2">
      <c r="A46" s="22"/>
      <c r="B46" s="23" t="s">
        <v>6</v>
      </c>
      <c r="C46" s="24">
        <v>60974</v>
      </c>
      <c r="D46" s="53">
        <v>54153</v>
      </c>
      <c r="E46" s="54">
        <v>6821</v>
      </c>
      <c r="F46" s="24">
        <v>45833</v>
      </c>
      <c r="G46" s="53">
        <v>40720</v>
      </c>
      <c r="H46" s="54">
        <v>5113</v>
      </c>
      <c r="I46" s="87">
        <v>59198</v>
      </c>
      <c r="J46" s="64">
        <v>1.0300010135477551</v>
      </c>
      <c r="K46" s="25">
        <v>0.91477752626777931</v>
      </c>
      <c r="L46" s="26">
        <v>0.11522348727997568</v>
      </c>
      <c r="M46" s="64">
        <v>0.77423223757559378</v>
      </c>
      <c r="N46" s="25">
        <v>0.68786107638771576</v>
      </c>
      <c r="O46" s="26">
        <v>8.6371161187877965E-2</v>
      </c>
      <c r="P46" s="88"/>
      <c r="Q46" s="89"/>
      <c r="R46" s="90"/>
      <c r="S46" s="88"/>
      <c r="T46" s="89"/>
      <c r="U46" s="90"/>
    </row>
    <row r="47" spans="1:21" ht="12" thickBot="1" x14ac:dyDescent="0.25">
      <c r="A47" s="27"/>
      <c r="B47" s="28" t="s">
        <v>7</v>
      </c>
      <c r="C47" s="29">
        <v>57929</v>
      </c>
      <c r="D47" s="55">
        <v>51676</v>
      </c>
      <c r="E47" s="56">
        <v>6253</v>
      </c>
      <c r="F47" s="29">
        <v>44281</v>
      </c>
      <c r="G47" s="55">
        <v>39633</v>
      </c>
      <c r="H47" s="56">
        <v>4648</v>
      </c>
      <c r="I47" s="91">
        <v>56168</v>
      </c>
      <c r="J47" s="65">
        <v>1.0313523714570574</v>
      </c>
      <c r="K47" s="30">
        <v>0.92002563737359355</v>
      </c>
      <c r="L47" s="31">
        <v>0.1113267340834639</v>
      </c>
      <c r="M47" s="65">
        <v>0.78836704173194705</v>
      </c>
      <c r="N47" s="30">
        <v>0.70561529696624414</v>
      </c>
      <c r="O47" s="31">
        <v>8.2751744765702892E-2</v>
      </c>
      <c r="P47" s="92"/>
      <c r="Q47" s="93"/>
      <c r="R47" s="94"/>
      <c r="S47" s="92"/>
      <c r="T47" s="93"/>
      <c r="U47" s="94"/>
    </row>
  </sheetData>
  <sheetProtection algorithmName="SHA-512" hashValue="0X52PRNwa6/hRb77LxfStYGvRCPgH+r/HfSgZDDPB02lxS4jgYSgPy8uqGhTQ7/hCr3Yv2zkCt3gBi9WbxIcrQ==" saltValue="cOReuuo9dFk697Y6nxG7OQ==" spinCount="100000" sheet="1" objects="1" scenarios="1"/>
  <mergeCells count="12">
    <mergeCell ref="A1:U1"/>
    <mergeCell ref="A2:U2"/>
    <mergeCell ref="P8:R8"/>
    <mergeCell ref="S8:U8"/>
    <mergeCell ref="A3:U3"/>
    <mergeCell ref="A4:U4"/>
    <mergeCell ref="A5:P5"/>
    <mergeCell ref="A8:B9"/>
    <mergeCell ref="C8:E8"/>
    <mergeCell ref="F8:H8"/>
    <mergeCell ref="J8:L8"/>
    <mergeCell ref="M8:O8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U47"/>
  <sheetViews>
    <sheetView showGridLines="0" tabSelected="1" workbookViewId="0">
      <pane xSplit="2" ySplit="9" topLeftCell="C38" activePane="bottomRight" state="frozen"/>
      <selection activeCell="F15" sqref="F15"/>
      <selection pane="topRight" activeCell="F15" sqref="F15"/>
      <selection pane="bottomLeft" activeCell="F15" sqref="F15"/>
      <selection pane="bottomRight" activeCell="J46" sqref="J46"/>
    </sheetView>
  </sheetViews>
  <sheetFormatPr defaultColWidth="9.140625" defaultRowHeight="11.25" x14ac:dyDescent="0.2"/>
  <cols>
    <col min="1" max="1" width="34" style="57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33" customWidth="1"/>
    <col min="16" max="19" width="7.28515625" style="95" customWidth="1"/>
    <col min="20" max="21" width="7.28515625" style="32" customWidth="1"/>
    <col min="22" max="16384" width="9.140625" style="1"/>
  </cols>
  <sheetData>
    <row r="1" spans="1:21" x14ac:dyDescent="0.2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x14ac:dyDescent="0.2">
      <c r="A2" s="121" t="s">
        <v>31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21" ht="11.25" customHeight="1" x14ac:dyDescent="0.2">
      <c r="A3" s="126" t="s">
        <v>30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</row>
    <row r="4" spans="1:21" ht="11.25" customHeight="1" x14ac:dyDescent="0.2">
      <c r="A4" s="127" t="s">
        <v>32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</row>
    <row r="5" spans="1:21" x14ac:dyDescent="0.2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"/>
      <c r="R5" s="1"/>
      <c r="S5" s="1"/>
      <c r="T5" s="1"/>
      <c r="U5" s="1"/>
    </row>
    <row r="6" spans="1:21" ht="11.25" customHeight="1" x14ac:dyDescent="0.2">
      <c r="A6" s="74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33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30" t="s">
        <v>1</v>
      </c>
      <c r="B8" s="131"/>
      <c r="C8" s="134" t="s">
        <v>21</v>
      </c>
      <c r="D8" s="135"/>
      <c r="E8" s="136"/>
      <c r="F8" s="134" t="s">
        <v>22</v>
      </c>
      <c r="G8" s="135"/>
      <c r="H8" s="137"/>
      <c r="I8" s="66" t="s">
        <v>23</v>
      </c>
      <c r="J8" s="138" t="s">
        <v>24</v>
      </c>
      <c r="K8" s="138"/>
      <c r="L8" s="139"/>
      <c r="M8" s="138" t="s">
        <v>25</v>
      </c>
      <c r="N8" s="138"/>
      <c r="O8" s="139"/>
      <c r="P8" s="122" t="s">
        <v>26</v>
      </c>
      <c r="Q8" s="123"/>
      <c r="R8" s="124"/>
      <c r="S8" s="125" t="s">
        <v>27</v>
      </c>
      <c r="T8" s="123"/>
      <c r="U8" s="124"/>
    </row>
    <row r="9" spans="1:21" ht="12" thickBot="1" x14ac:dyDescent="0.25">
      <c r="A9" s="132"/>
      <c r="B9" s="133"/>
      <c r="C9" s="67" t="s">
        <v>2</v>
      </c>
      <c r="D9" s="115" t="s">
        <v>3</v>
      </c>
      <c r="E9" s="118" t="s">
        <v>4</v>
      </c>
      <c r="F9" s="67" t="s">
        <v>2</v>
      </c>
      <c r="G9" s="119" t="s">
        <v>3</v>
      </c>
      <c r="H9" s="120" t="s">
        <v>4</v>
      </c>
      <c r="I9" s="68" t="s">
        <v>28</v>
      </c>
      <c r="J9" s="69" t="s">
        <v>29</v>
      </c>
      <c r="K9" s="70" t="s">
        <v>3</v>
      </c>
      <c r="L9" s="71" t="s">
        <v>4</v>
      </c>
      <c r="M9" s="72" t="s">
        <v>29</v>
      </c>
      <c r="N9" s="70" t="s">
        <v>3</v>
      </c>
      <c r="O9" s="73" t="s">
        <v>4</v>
      </c>
      <c r="P9" s="69" t="s">
        <v>29</v>
      </c>
      <c r="Q9" s="70" t="s">
        <v>3</v>
      </c>
      <c r="R9" s="71" t="s">
        <v>4</v>
      </c>
      <c r="S9" s="72" t="s">
        <v>29</v>
      </c>
      <c r="T9" s="70" t="s">
        <v>3</v>
      </c>
      <c r="U9" s="73" t="s">
        <v>4</v>
      </c>
    </row>
    <row r="10" spans="1:21" x14ac:dyDescent="0.2">
      <c r="A10" s="36" t="s">
        <v>9</v>
      </c>
      <c r="B10" s="34"/>
      <c r="C10" s="35"/>
      <c r="D10" s="35"/>
      <c r="E10" s="35"/>
      <c r="F10" s="35"/>
      <c r="G10" s="35"/>
      <c r="H10" s="35"/>
      <c r="I10" s="35"/>
      <c r="J10" s="39"/>
      <c r="K10" s="37"/>
      <c r="L10" s="38"/>
      <c r="M10" s="39"/>
      <c r="N10" s="37"/>
      <c r="O10" s="38"/>
      <c r="P10" s="96"/>
      <c r="Q10" s="97"/>
      <c r="R10" s="98"/>
      <c r="S10" s="99"/>
      <c r="T10" s="100"/>
      <c r="U10" s="101"/>
    </row>
    <row r="11" spans="1:21" ht="12" thickBot="1" x14ac:dyDescent="0.25">
      <c r="A11" s="34"/>
      <c r="B11" s="34"/>
      <c r="C11" s="40"/>
      <c r="D11" s="109"/>
      <c r="E11" s="109"/>
      <c r="F11" s="40"/>
      <c r="G11" s="109"/>
      <c r="H11" s="109"/>
      <c r="I11" s="40"/>
      <c r="J11" s="43"/>
      <c r="K11" s="41"/>
      <c r="L11" s="42"/>
      <c r="M11" s="43"/>
      <c r="N11" s="41"/>
      <c r="O11" s="42"/>
      <c r="P11" s="102"/>
      <c r="Q11" s="103"/>
      <c r="R11" s="104"/>
      <c r="S11" s="105"/>
      <c r="T11" s="106"/>
      <c r="U11" s="107"/>
    </row>
    <row r="12" spans="1:21" x14ac:dyDescent="0.2">
      <c r="A12" s="44" t="s">
        <v>10</v>
      </c>
      <c r="B12" s="45" t="s">
        <v>5</v>
      </c>
      <c r="C12" s="11">
        <f t="shared" ref="C12:I12" si="0">+C13+C14</f>
        <v>17011</v>
      </c>
      <c r="D12" s="116">
        <f t="shared" si="0"/>
        <v>16452</v>
      </c>
      <c r="E12" s="46">
        <f t="shared" si="0"/>
        <v>559</v>
      </c>
      <c r="F12" s="11">
        <f t="shared" si="0"/>
        <v>13939</v>
      </c>
      <c r="G12" s="116">
        <f t="shared" si="0"/>
        <v>13479</v>
      </c>
      <c r="H12" s="46">
        <f t="shared" si="0"/>
        <v>460</v>
      </c>
      <c r="I12" s="108">
        <f t="shared" si="0"/>
        <v>17112</v>
      </c>
      <c r="J12" s="60">
        <f t="shared" ref="J12:J47" si="1">C12/I12</f>
        <v>0.99409770920991114</v>
      </c>
      <c r="K12" s="12">
        <f t="shared" ref="K12:K47" si="2">D12/I12</f>
        <v>0.96143057503506313</v>
      </c>
      <c r="L12" s="13">
        <f t="shared" ref="L12:L47" si="3">E12/I12</f>
        <v>3.266713417484806E-2</v>
      </c>
      <c r="M12" s="60">
        <f t="shared" ref="M12:M47" si="4">F12/I12</f>
        <v>0.81457456755493218</v>
      </c>
      <c r="N12" s="12">
        <f t="shared" ref="N12:N47" si="5">G12/I12</f>
        <v>0.78769284712482468</v>
      </c>
      <c r="O12" s="13">
        <f t="shared" ref="O12:O47" si="6">H12/I12</f>
        <v>2.6881720430107527E-2</v>
      </c>
      <c r="P12" s="76">
        <f t="shared" ref="P12:U12" si="7">J14/J13</f>
        <v>0.99585296097516152</v>
      </c>
      <c r="Q12" s="77">
        <f t="shared" si="7"/>
        <v>1.0035094005451901</v>
      </c>
      <c r="R12" s="78">
        <f t="shared" si="7"/>
        <v>0.79358331057324583</v>
      </c>
      <c r="S12" s="76">
        <f t="shared" si="7"/>
        <v>1.0255735424922479</v>
      </c>
      <c r="T12" s="77">
        <f t="shared" si="7"/>
        <v>1.0327841706430136</v>
      </c>
      <c r="U12" s="78">
        <f t="shared" si="7"/>
        <v>0.83443556346452918</v>
      </c>
    </row>
    <row r="13" spans="1:21" x14ac:dyDescent="0.2">
      <c r="A13" s="8"/>
      <c r="B13" s="9" t="s">
        <v>6</v>
      </c>
      <c r="C13" s="10">
        <f>+D13+E13</f>
        <v>8719</v>
      </c>
      <c r="D13" s="117">
        <v>8401</v>
      </c>
      <c r="E13" s="48">
        <v>318</v>
      </c>
      <c r="F13" s="10">
        <f>+G13+H13</f>
        <v>7042</v>
      </c>
      <c r="G13" s="117">
        <v>6786</v>
      </c>
      <c r="H13" s="48">
        <v>256</v>
      </c>
      <c r="I13" s="75">
        <v>8753</v>
      </c>
      <c r="J13" s="61">
        <f t="shared" si="1"/>
        <v>0.99611561750257049</v>
      </c>
      <c r="K13" s="14">
        <f t="shared" si="2"/>
        <v>0.95978521649720094</v>
      </c>
      <c r="L13" s="15">
        <f t="shared" si="3"/>
        <v>3.6330401005369585E-2</v>
      </c>
      <c r="M13" s="61">
        <f t="shared" si="4"/>
        <v>0.80452416314406494</v>
      </c>
      <c r="N13" s="14">
        <f t="shared" si="5"/>
        <v>0.77527704786930196</v>
      </c>
      <c r="O13" s="15">
        <f t="shared" si="6"/>
        <v>2.9247115274762939E-2</v>
      </c>
      <c r="P13" s="79"/>
      <c r="Q13" s="80"/>
      <c r="R13" s="81"/>
      <c r="S13" s="79"/>
      <c r="T13" s="80"/>
      <c r="U13" s="81"/>
    </row>
    <row r="14" spans="1:21" x14ac:dyDescent="0.2">
      <c r="A14" s="16"/>
      <c r="B14" s="17" t="s">
        <v>7</v>
      </c>
      <c r="C14" s="10">
        <f>+D14+E14</f>
        <v>8292</v>
      </c>
      <c r="D14" s="117">
        <v>8051</v>
      </c>
      <c r="E14" s="48">
        <v>241</v>
      </c>
      <c r="F14" s="10">
        <f>+G14+H14</f>
        <v>6897</v>
      </c>
      <c r="G14" s="117">
        <v>6693</v>
      </c>
      <c r="H14" s="48">
        <v>204</v>
      </c>
      <c r="I14" s="75">
        <v>8359</v>
      </c>
      <c r="J14" s="63">
        <f t="shared" si="1"/>
        <v>0.99198468716353627</v>
      </c>
      <c r="K14" s="18">
        <f t="shared" si="2"/>
        <v>0.96315348725924155</v>
      </c>
      <c r="L14" s="19">
        <f t="shared" si="3"/>
        <v>2.8831199904294773E-2</v>
      </c>
      <c r="M14" s="63">
        <f t="shared" si="4"/>
        <v>0.82509869601626984</v>
      </c>
      <c r="N14" s="18">
        <f t="shared" si="5"/>
        <v>0.80069386290226108</v>
      </c>
      <c r="O14" s="19">
        <f t="shared" si="6"/>
        <v>2.4404833114008852E-2</v>
      </c>
      <c r="P14" s="82"/>
      <c r="Q14" s="83"/>
      <c r="R14" s="84"/>
      <c r="S14" s="82"/>
      <c r="T14" s="83"/>
      <c r="U14" s="84"/>
    </row>
    <row r="15" spans="1:21" x14ac:dyDescent="0.2">
      <c r="A15" s="58" t="s">
        <v>11</v>
      </c>
      <c r="B15" s="59" t="s">
        <v>5</v>
      </c>
      <c r="C15" s="20">
        <f t="shared" ref="C15:I15" si="8">+C16+C17</f>
        <v>37555</v>
      </c>
      <c r="D15" s="49">
        <f t="shared" si="8"/>
        <v>31900</v>
      </c>
      <c r="E15" s="50">
        <f t="shared" si="8"/>
        <v>5655</v>
      </c>
      <c r="F15" s="20">
        <f t="shared" si="8"/>
        <v>29930</v>
      </c>
      <c r="G15" s="49">
        <f t="shared" si="8"/>
        <v>25451</v>
      </c>
      <c r="H15" s="50">
        <f t="shared" si="8"/>
        <v>4479</v>
      </c>
      <c r="I15" s="85">
        <f t="shared" si="8"/>
        <v>35379</v>
      </c>
      <c r="J15" s="62">
        <f t="shared" si="1"/>
        <v>1.0615054128155119</v>
      </c>
      <c r="K15" s="110">
        <f t="shared" si="2"/>
        <v>0.90166482941858161</v>
      </c>
      <c r="L15" s="111">
        <f t="shared" si="3"/>
        <v>0.15984058339693039</v>
      </c>
      <c r="M15" s="62">
        <f t="shared" si="4"/>
        <v>0.8459820797648322</v>
      </c>
      <c r="N15" s="110">
        <f t="shared" si="5"/>
        <v>0.71938155402922632</v>
      </c>
      <c r="O15" s="111">
        <f t="shared" si="6"/>
        <v>0.12660052573560587</v>
      </c>
      <c r="P15" s="112">
        <f t="shared" ref="P15:U15" si="9">J17/J16</f>
        <v>1.0181459487820044</v>
      </c>
      <c r="Q15" s="113">
        <f t="shared" si="9"/>
        <v>1.0246959749313482</v>
      </c>
      <c r="R15" s="114">
        <f t="shared" si="9"/>
        <v>0.98195182940482606</v>
      </c>
      <c r="S15" s="112">
        <f t="shared" si="9"/>
        <v>1.0519937684780463</v>
      </c>
      <c r="T15" s="113">
        <f t="shared" si="9"/>
        <v>1.0645913478256472</v>
      </c>
      <c r="U15" s="114">
        <f t="shared" si="9"/>
        <v>0.98314464807273949</v>
      </c>
    </row>
    <row r="16" spans="1:21" x14ac:dyDescent="0.2">
      <c r="A16" s="8"/>
      <c r="B16" s="9" t="s">
        <v>6</v>
      </c>
      <c r="C16" s="10">
        <f t="shared" ref="C16:C17" si="10">+D16+E16</f>
        <v>19225</v>
      </c>
      <c r="D16" s="47">
        <v>16279</v>
      </c>
      <c r="E16" s="48">
        <v>2946</v>
      </c>
      <c r="F16" s="10">
        <f t="shared" ref="F16:F17" si="11">+G16+H16</f>
        <v>15077</v>
      </c>
      <c r="G16" s="47">
        <v>12745</v>
      </c>
      <c r="H16" s="48">
        <v>2332</v>
      </c>
      <c r="I16" s="75">
        <v>18270</v>
      </c>
      <c r="J16" s="61">
        <f t="shared" si="1"/>
        <v>1.0522714833059661</v>
      </c>
      <c r="K16" s="14">
        <f t="shared" si="2"/>
        <v>0.89102353585112204</v>
      </c>
      <c r="L16" s="15">
        <f t="shared" si="3"/>
        <v>0.161247947454844</v>
      </c>
      <c r="M16" s="61">
        <f t="shared" si="4"/>
        <v>0.82523262178434598</v>
      </c>
      <c r="N16" s="14">
        <f t="shared" si="5"/>
        <v>0.69759168035030106</v>
      </c>
      <c r="O16" s="15">
        <f t="shared" si="6"/>
        <v>0.12764094143404489</v>
      </c>
      <c r="P16" s="79"/>
      <c r="Q16" s="80"/>
      <c r="R16" s="81"/>
      <c r="S16" s="79"/>
      <c r="T16" s="80"/>
      <c r="U16" s="81"/>
    </row>
    <row r="17" spans="1:21" x14ac:dyDescent="0.2">
      <c r="A17" s="16"/>
      <c r="B17" s="17" t="s">
        <v>7</v>
      </c>
      <c r="C17" s="21">
        <f t="shared" si="10"/>
        <v>18330</v>
      </c>
      <c r="D17" s="47">
        <v>15621</v>
      </c>
      <c r="E17" s="48">
        <v>2709</v>
      </c>
      <c r="F17" s="21">
        <f t="shared" si="11"/>
        <v>14853</v>
      </c>
      <c r="G17" s="47">
        <v>12706</v>
      </c>
      <c r="H17" s="48">
        <v>2147</v>
      </c>
      <c r="I17" s="86">
        <v>17109</v>
      </c>
      <c r="J17" s="63">
        <f t="shared" si="1"/>
        <v>1.0713659477467998</v>
      </c>
      <c r="K17" s="18">
        <f t="shared" si="2"/>
        <v>0.91302823075574258</v>
      </c>
      <c r="L17" s="19">
        <f t="shared" si="3"/>
        <v>0.15833771699105734</v>
      </c>
      <c r="M17" s="63">
        <f t="shared" si="4"/>
        <v>0.86813957566193234</v>
      </c>
      <c r="N17" s="18">
        <f t="shared" si="5"/>
        <v>0.74265006721608506</v>
      </c>
      <c r="O17" s="19">
        <f t="shared" si="6"/>
        <v>0.12548950844584722</v>
      </c>
      <c r="P17" s="82"/>
      <c r="Q17" s="83"/>
      <c r="R17" s="84"/>
      <c r="S17" s="82"/>
      <c r="T17" s="83"/>
      <c r="U17" s="84"/>
    </row>
    <row r="18" spans="1:21" x14ac:dyDescent="0.2">
      <c r="A18" s="58" t="s">
        <v>12</v>
      </c>
      <c r="B18" s="59" t="s">
        <v>5</v>
      </c>
      <c r="C18" s="20">
        <f t="shared" ref="C18:I18" si="12">+C19+C20</f>
        <v>11591</v>
      </c>
      <c r="D18" s="49">
        <f t="shared" si="12"/>
        <v>10897</v>
      </c>
      <c r="E18" s="50">
        <f t="shared" si="12"/>
        <v>694</v>
      </c>
      <c r="F18" s="20">
        <f t="shared" si="12"/>
        <v>9248</v>
      </c>
      <c r="G18" s="49">
        <f t="shared" si="12"/>
        <v>8805</v>
      </c>
      <c r="H18" s="50">
        <f t="shared" si="12"/>
        <v>443</v>
      </c>
      <c r="I18" s="85">
        <f t="shared" si="12"/>
        <v>11213</v>
      </c>
      <c r="J18" s="62">
        <f t="shared" si="1"/>
        <v>1.0337108713100864</v>
      </c>
      <c r="K18" s="110">
        <f t="shared" si="2"/>
        <v>0.9718184250423616</v>
      </c>
      <c r="L18" s="111">
        <f t="shared" si="3"/>
        <v>6.1892446267724964E-2</v>
      </c>
      <c r="M18" s="62">
        <f t="shared" si="4"/>
        <v>0.82475697850708996</v>
      </c>
      <c r="N18" s="110">
        <f t="shared" si="5"/>
        <v>0.78524926424685637</v>
      </c>
      <c r="O18" s="111">
        <f t="shared" si="6"/>
        <v>3.950771426023366E-2</v>
      </c>
      <c r="P18" s="112">
        <f t="shared" ref="P18:U18" si="13">J20/J19</f>
        <v>0.97463417955575993</v>
      </c>
      <c r="Q18" s="113">
        <f t="shared" si="13"/>
        <v>0.98139089975350557</v>
      </c>
      <c r="R18" s="114">
        <f t="shared" si="13"/>
        <v>0.87420229053646781</v>
      </c>
      <c r="S18" s="112">
        <f t="shared" si="13"/>
        <v>0.98671740791873219</v>
      </c>
      <c r="T18" s="113">
        <f t="shared" si="13"/>
        <v>0.98941037376479291</v>
      </c>
      <c r="U18" s="114">
        <f t="shared" si="13"/>
        <v>0.93464566315395659</v>
      </c>
    </row>
    <row r="19" spans="1:21" x14ac:dyDescent="0.2">
      <c r="A19" s="8"/>
      <c r="B19" s="9" t="s">
        <v>6</v>
      </c>
      <c r="C19" s="10">
        <f t="shared" ref="C19:C20" si="14">+D19+E19</f>
        <v>5949</v>
      </c>
      <c r="D19" s="47">
        <v>5574</v>
      </c>
      <c r="E19" s="48">
        <v>375</v>
      </c>
      <c r="F19" s="10">
        <f t="shared" ref="F19:F20" si="15">+G19+H19</f>
        <v>4718</v>
      </c>
      <c r="G19" s="47">
        <v>4486</v>
      </c>
      <c r="H19" s="48">
        <v>232</v>
      </c>
      <c r="I19" s="75">
        <v>5683</v>
      </c>
      <c r="J19" s="61">
        <f t="shared" si="1"/>
        <v>1.0468062642970262</v>
      </c>
      <c r="K19" s="14">
        <f t="shared" si="2"/>
        <v>0.98081998944219606</v>
      </c>
      <c r="L19" s="15">
        <f t="shared" si="3"/>
        <v>6.598627485483019E-2</v>
      </c>
      <c r="M19" s="61">
        <f t="shared" si="4"/>
        <v>0.83019531937357027</v>
      </c>
      <c r="N19" s="14">
        <f t="shared" si="5"/>
        <v>0.78937181066338202</v>
      </c>
      <c r="O19" s="15">
        <f t="shared" si="6"/>
        <v>4.0823508710188278E-2</v>
      </c>
      <c r="P19" s="79"/>
      <c r="Q19" s="80"/>
      <c r="R19" s="81"/>
      <c r="S19" s="79"/>
      <c r="T19" s="80"/>
      <c r="U19" s="81"/>
    </row>
    <row r="20" spans="1:21" x14ac:dyDescent="0.2">
      <c r="A20" s="16"/>
      <c r="B20" s="17" t="s">
        <v>7</v>
      </c>
      <c r="C20" s="21">
        <f t="shared" si="14"/>
        <v>5642</v>
      </c>
      <c r="D20" s="47">
        <v>5323</v>
      </c>
      <c r="E20" s="48">
        <v>319</v>
      </c>
      <c r="F20" s="21">
        <f t="shared" si="15"/>
        <v>4530</v>
      </c>
      <c r="G20" s="47">
        <v>4319</v>
      </c>
      <c r="H20" s="48">
        <v>211</v>
      </c>
      <c r="I20" s="86">
        <v>5530</v>
      </c>
      <c r="J20" s="63">
        <f t="shared" si="1"/>
        <v>1.0202531645569621</v>
      </c>
      <c r="K20" s="18">
        <f t="shared" si="2"/>
        <v>0.9625678119349006</v>
      </c>
      <c r="L20" s="19">
        <f t="shared" si="3"/>
        <v>5.7685352622061481E-2</v>
      </c>
      <c r="M20" s="63">
        <f t="shared" si="4"/>
        <v>0.81916817359855332</v>
      </c>
      <c r="N20" s="18">
        <f t="shared" si="5"/>
        <v>0.78101265822784816</v>
      </c>
      <c r="O20" s="19">
        <f t="shared" si="6"/>
        <v>3.8155515370705245E-2</v>
      </c>
      <c r="P20" s="82"/>
      <c r="Q20" s="83"/>
      <c r="R20" s="84"/>
      <c r="S20" s="82"/>
      <c r="T20" s="83"/>
      <c r="U20" s="84"/>
    </row>
    <row r="21" spans="1:21" x14ac:dyDescent="0.2">
      <c r="A21" s="58" t="s">
        <v>13</v>
      </c>
      <c r="B21" s="59" t="s">
        <v>5</v>
      </c>
      <c r="C21" s="20">
        <f t="shared" ref="C21:I21" si="16">+C22+C23</f>
        <v>10588</v>
      </c>
      <c r="D21" s="49">
        <f t="shared" si="16"/>
        <v>10306</v>
      </c>
      <c r="E21" s="50">
        <f t="shared" si="16"/>
        <v>282</v>
      </c>
      <c r="F21" s="20">
        <f t="shared" si="16"/>
        <v>8482</v>
      </c>
      <c r="G21" s="49">
        <f t="shared" si="16"/>
        <v>8267</v>
      </c>
      <c r="H21" s="50">
        <f t="shared" si="16"/>
        <v>215</v>
      </c>
      <c r="I21" s="85">
        <f t="shared" si="16"/>
        <v>10872</v>
      </c>
      <c r="J21" s="62">
        <f t="shared" si="1"/>
        <v>0.97387785136129512</v>
      </c>
      <c r="K21" s="110">
        <f t="shared" si="2"/>
        <v>0.94793966151582043</v>
      </c>
      <c r="L21" s="111">
        <f t="shared" si="3"/>
        <v>2.5938189845474614E-2</v>
      </c>
      <c r="M21" s="62">
        <f t="shared" si="4"/>
        <v>0.7801692420897719</v>
      </c>
      <c r="N21" s="110">
        <f t="shared" si="5"/>
        <v>0.76039367181751283</v>
      </c>
      <c r="O21" s="111">
        <f t="shared" si="6"/>
        <v>1.9775570272259013E-2</v>
      </c>
      <c r="P21" s="112">
        <f t="shared" ref="P21:U21" si="17">J23/J22</f>
        <v>1.0065727460659333</v>
      </c>
      <c r="Q21" s="113">
        <f t="shared" si="17"/>
        <v>1.0065017683958228</v>
      </c>
      <c r="R21" s="114">
        <f t="shared" si="17"/>
        <v>1.0091700392907978</v>
      </c>
      <c r="S21" s="112">
        <f t="shared" si="17"/>
        <v>1.0417329868866929</v>
      </c>
      <c r="T21" s="113">
        <f t="shared" si="17"/>
        <v>1.0428207218079866</v>
      </c>
      <c r="U21" s="114">
        <f t="shared" si="17"/>
        <v>1.0007420393572191</v>
      </c>
    </row>
    <row r="22" spans="1:21" x14ac:dyDescent="0.2">
      <c r="A22" s="8"/>
      <c r="B22" s="9" t="s">
        <v>6</v>
      </c>
      <c r="C22" s="10">
        <f t="shared" ref="C22:C23" si="18">+D22+E22</f>
        <v>5451</v>
      </c>
      <c r="D22" s="47">
        <v>5306</v>
      </c>
      <c r="E22" s="48">
        <v>145</v>
      </c>
      <c r="F22" s="10">
        <f t="shared" ref="F22:F23" si="19">+G22+H22</f>
        <v>4294</v>
      </c>
      <c r="G22" s="47">
        <v>4183</v>
      </c>
      <c r="H22" s="48">
        <v>111</v>
      </c>
      <c r="I22" s="75">
        <v>5615</v>
      </c>
      <c r="J22" s="61">
        <f t="shared" si="1"/>
        <v>0.97079252003561889</v>
      </c>
      <c r="K22" s="14">
        <f t="shared" si="2"/>
        <v>0.94496883348174532</v>
      </c>
      <c r="L22" s="15">
        <f t="shared" si="3"/>
        <v>2.5823686553873553E-2</v>
      </c>
      <c r="M22" s="61">
        <f t="shared" si="4"/>
        <v>0.76473731077471063</v>
      </c>
      <c r="N22" s="14">
        <f t="shared" si="5"/>
        <v>0.74496883348174536</v>
      </c>
      <c r="O22" s="15">
        <f t="shared" si="6"/>
        <v>1.9768477292965273E-2</v>
      </c>
      <c r="P22" s="79"/>
      <c r="Q22" s="80"/>
      <c r="R22" s="81"/>
      <c r="S22" s="79"/>
      <c r="T22" s="80"/>
      <c r="U22" s="81"/>
    </row>
    <row r="23" spans="1:21" x14ac:dyDescent="0.2">
      <c r="A23" s="16"/>
      <c r="B23" s="17" t="s">
        <v>7</v>
      </c>
      <c r="C23" s="21">
        <f t="shared" si="18"/>
        <v>5137</v>
      </c>
      <c r="D23" s="47">
        <v>5000</v>
      </c>
      <c r="E23" s="48">
        <v>137</v>
      </c>
      <c r="F23" s="21">
        <f t="shared" si="19"/>
        <v>4188</v>
      </c>
      <c r="G23" s="47">
        <v>4084</v>
      </c>
      <c r="H23" s="48">
        <v>104</v>
      </c>
      <c r="I23" s="86">
        <v>5257</v>
      </c>
      <c r="J23" s="63">
        <f t="shared" si="1"/>
        <v>0.97717329275252041</v>
      </c>
      <c r="K23" s="18">
        <f t="shared" si="2"/>
        <v>0.9511128019783146</v>
      </c>
      <c r="L23" s="19">
        <f t="shared" si="3"/>
        <v>2.606049077420582E-2</v>
      </c>
      <c r="M23" s="63">
        <f t="shared" si="4"/>
        <v>0.79665208293703638</v>
      </c>
      <c r="N23" s="18">
        <f t="shared" si="5"/>
        <v>0.77686893665588741</v>
      </c>
      <c r="O23" s="19">
        <f t="shared" si="6"/>
        <v>1.9783146281148946E-2</v>
      </c>
      <c r="P23" s="82"/>
      <c r="Q23" s="83"/>
      <c r="R23" s="84"/>
      <c r="S23" s="82"/>
      <c r="T23" s="83"/>
      <c r="U23" s="84"/>
    </row>
    <row r="24" spans="1:21" x14ac:dyDescent="0.2">
      <c r="A24" s="58" t="s">
        <v>20</v>
      </c>
      <c r="B24" s="59" t="s">
        <v>5</v>
      </c>
      <c r="C24" s="20">
        <f t="shared" ref="C24:I24" si="20">+C25+C26</f>
        <v>7780</v>
      </c>
      <c r="D24" s="49">
        <f t="shared" si="20"/>
        <v>7715</v>
      </c>
      <c r="E24" s="50">
        <f t="shared" si="20"/>
        <v>65</v>
      </c>
      <c r="F24" s="20">
        <f t="shared" si="20"/>
        <v>5094</v>
      </c>
      <c r="G24" s="49">
        <f t="shared" si="20"/>
        <v>5044</v>
      </c>
      <c r="H24" s="50">
        <f t="shared" si="20"/>
        <v>50</v>
      </c>
      <c r="I24" s="85">
        <f t="shared" si="20"/>
        <v>9110</v>
      </c>
      <c r="J24" s="62">
        <f t="shared" si="1"/>
        <v>0.85400658616904501</v>
      </c>
      <c r="K24" s="110">
        <f t="shared" si="2"/>
        <v>0.84687156970362243</v>
      </c>
      <c r="L24" s="111">
        <f t="shared" si="3"/>
        <v>7.1350164654226129E-3</v>
      </c>
      <c r="M24" s="62">
        <f t="shared" si="4"/>
        <v>0.55916575192096596</v>
      </c>
      <c r="N24" s="110">
        <f t="shared" si="5"/>
        <v>0.55367727771679476</v>
      </c>
      <c r="O24" s="111">
        <f t="shared" si="6"/>
        <v>5.4884742041712408E-3</v>
      </c>
      <c r="P24" s="112">
        <f t="shared" ref="P24:U24" si="21">J26/J25</f>
        <v>1.0067872903315269</v>
      </c>
      <c r="Q24" s="113">
        <f t="shared" si="21"/>
        <v>1.007822662764108</v>
      </c>
      <c r="R24" s="114">
        <f t="shared" si="21"/>
        <v>0.89091432409095261</v>
      </c>
      <c r="S24" s="112">
        <f t="shared" si="21"/>
        <v>1.0550239378508499</v>
      </c>
      <c r="T24" s="113">
        <f t="shared" si="21"/>
        <v>1.0585326586421449</v>
      </c>
      <c r="U24" s="114">
        <f t="shared" si="21"/>
        <v>0.75266899793890829</v>
      </c>
    </row>
    <row r="25" spans="1:21" x14ac:dyDescent="0.2">
      <c r="A25" s="8"/>
      <c r="B25" s="9" t="s">
        <v>6</v>
      </c>
      <c r="C25" s="10">
        <f t="shared" ref="C25:C26" si="22">+D25+E25</f>
        <v>3952</v>
      </c>
      <c r="D25" s="47">
        <v>3917</v>
      </c>
      <c r="E25" s="48">
        <v>35</v>
      </c>
      <c r="F25" s="10">
        <f t="shared" ref="F25:F26" si="23">+G25+H25</f>
        <v>2528</v>
      </c>
      <c r="G25" s="47">
        <v>2499</v>
      </c>
      <c r="H25" s="48">
        <v>29</v>
      </c>
      <c r="I25" s="75">
        <v>4643</v>
      </c>
      <c r="J25" s="61">
        <f t="shared" si="1"/>
        <v>0.8511738100366143</v>
      </c>
      <c r="K25" s="14">
        <f t="shared" si="2"/>
        <v>0.8436355804436787</v>
      </c>
      <c r="L25" s="15">
        <f t="shared" si="3"/>
        <v>7.5382295929356021E-3</v>
      </c>
      <c r="M25" s="61">
        <f t="shared" si="4"/>
        <v>0.54447555459832009</v>
      </c>
      <c r="N25" s="14">
        <f t="shared" si="5"/>
        <v>0.53822959293560202</v>
      </c>
      <c r="O25" s="15">
        <f t="shared" si="6"/>
        <v>6.2459616627180701E-3</v>
      </c>
      <c r="P25" s="79"/>
      <c r="Q25" s="80"/>
      <c r="R25" s="81"/>
      <c r="S25" s="79"/>
      <c r="T25" s="80"/>
      <c r="U25" s="81"/>
    </row>
    <row r="26" spans="1:21" x14ac:dyDescent="0.2">
      <c r="A26" s="16"/>
      <c r="B26" s="17" t="s">
        <v>7</v>
      </c>
      <c r="C26" s="21">
        <f t="shared" si="22"/>
        <v>3828</v>
      </c>
      <c r="D26" s="47">
        <v>3798</v>
      </c>
      <c r="E26" s="48">
        <v>30</v>
      </c>
      <c r="F26" s="21">
        <f t="shared" si="23"/>
        <v>2566</v>
      </c>
      <c r="G26" s="47">
        <v>2545</v>
      </c>
      <c r="H26" s="48">
        <v>21</v>
      </c>
      <c r="I26" s="86">
        <v>4467</v>
      </c>
      <c r="J26" s="63">
        <f t="shared" si="1"/>
        <v>0.85695097380792473</v>
      </c>
      <c r="K26" s="18">
        <f t="shared" si="2"/>
        <v>0.85023505708529212</v>
      </c>
      <c r="L26" s="19">
        <f t="shared" si="3"/>
        <v>6.7159167226326392E-3</v>
      </c>
      <c r="M26" s="63">
        <f t="shared" si="4"/>
        <v>0.57443474367584513</v>
      </c>
      <c r="N26" s="18">
        <f t="shared" si="5"/>
        <v>0.56973360197000222</v>
      </c>
      <c r="O26" s="19">
        <f t="shared" si="6"/>
        <v>4.7011417058428475E-3</v>
      </c>
      <c r="P26" s="82"/>
      <c r="Q26" s="83"/>
      <c r="R26" s="84"/>
      <c r="S26" s="82"/>
      <c r="T26" s="83"/>
      <c r="U26" s="84"/>
    </row>
    <row r="27" spans="1:21" x14ac:dyDescent="0.2">
      <c r="A27" s="58" t="s">
        <v>14</v>
      </c>
      <c r="B27" s="59" t="s">
        <v>5</v>
      </c>
      <c r="C27" s="20">
        <f t="shared" ref="C27:I27" si="24">+C28+C29</f>
        <v>5652</v>
      </c>
      <c r="D27" s="49">
        <f t="shared" si="24"/>
        <v>5502</v>
      </c>
      <c r="E27" s="50">
        <f t="shared" si="24"/>
        <v>150</v>
      </c>
      <c r="F27" s="20">
        <f t="shared" si="24"/>
        <v>4634</v>
      </c>
      <c r="G27" s="49">
        <f t="shared" si="24"/>
        <v>4525</v>
      </c>
      <c r="H27" s="50">
        <f t="shared" si="24"/>
        <v>109</v>
      </c>
      <c r="I27" s="85">
        <f t="shared" si="24"/>
        <v>10772</v>
      </c>
      <c r="J27" s="62">
        <f t="shared" si="1"/>
        <v>0.5246936502042332</v>
      </c>
      <c r="K27" s="110">
        <f t="shared" si="2"/>
        <v>0.51076865948756034</v>
      </c>
      <c r="L27" s="111">
        <f t="shared" si="3"/>
        <v>1.3924990716672856E-2</v>
      </c>
      <c r="M27" s="62">
        <f t="shared" si="4"/>
        <v>0.43018937987374672</v>
      </c>
      <c r="N27" s="110">
        <f t="shared" si="5"/>
        <v>0.42007055328629783</v>
      </c>
      <c r="O27" s="111">
        <f t="shared" si="6"/>
        <v>1.0118826587448941E-2</v>
      </c>
      <c r="P27" s="112">
        <f t="shared" ref="P27:U27" si="25">J29/J28</f>
        <v>0.97939829179920512</v>
      </c>
      <c r="Q27" s="113">
        <f t="shared" si="25"/>
        <v>0.98370834044011635</v>
      </c>
      <c r="R27" s="114">
        <f t="shared" si="25"/>
        <v>0.83311627949261668</v>
      </c>
      <c r="S27" s="112">
        <f t="shared" si="25"/>
        <v>1.0205527663822438</v>
      </c>
      <c r="T27" s="113">
        <f t="shared" si="25"/>
        <v>1.0270637931613849</v>
      </c>
      <c r="U27" s="114">
        <f t="shared" si="25"/>
        <v>0.7823752061388296</v>
      </c>
    </row>
    <row r="28" spans="1:21" x14ac:dyDescent="0.2">
      <c r="A28" s="8"/>
      <c r="B28" s="9" t="s">
        <v>6</v>
      </c>
      <c r="C28" s="10">
        <f t="shared" ref="C28:C29" si="26">+D28+E28</f>
        <v>2900</v>
      </c>
      <c r="D28" s="47">
        <v>2817</v>
      </c>
      <c r="E28" s="48">
        <v>83</v>
      </c>
      <c r="F28" s="10">
        <f t="shared" ref="F28:F29" si="27">+G28+H28</f>
        <v>2330</v>
      </c>
      <c r="G28" s="47">
        <v>2268</v>
      </c>
      <c r="H28" s="48">
        <v>62</v>
      </c>
      <c r="I28" s="75">
        <v>5471</v>
      </c>
      <c r="J28" s="61">
        <f t="shared" si="1"/>
        <v>0.53006762931822338</v>
      </c>
      <c r="K28" s="14">
        <f t="shared" si="2"/>
        <v>0.5148967282032535</v>
      </c>
      <c r="L28" s="15">
        <f t="shared" si="3"/>
        <v>1.5170901114969841E-2</v>
      </c>
      <c r="M28" s="61">
        <f t="shared" si="4"/>
        <v>0.42588192286602083</v>
      </c>
      <c r="N28" s="14">
        <f t="shared" si="5"/>
        <v>0.41454944251507952</v>
      </c>
      <c r="O28" s="15">
        <f t="shared" si="6"/>
        <v>1.1332480350941327E-2</v>
      </c>
      <c r="P28" s="79"/>
      <c r="Q28" s="80"/>
      <c r="R28" s="81"/>
      <c r="S28" s="79"/>
      <c r="T28" s="80"/>
      <c r="U28" s="81"/>
    </row>
    <row r="29" spans="1:21" x14ac:dyDescent="0.2">
      <c r="A29" s="16"/>
      <c r="B29" s="17" t="s">
        <v>7</v>
      </c>
      <c r="C29" s="21">
        <f t="shared" si="26"/>
        <v>2752</v>
      </c>
      <c r="D29" s="47">
        <v>2685</v>
      </c>
      <c r="E29" s="48">
        <v>67</v>
      </c>
      <c r="F29" s="21">
        <f t="shared" si="27"/>
        <v>2304</v>
      </c>
      <c r="G29" s="47">
        <v>2257</v>
      </c>
      <c r="H29" s="48">
        <v>47</v>
      </c>
      <c r="I29" s="86">
        <v>5301</v>
      </c>
      <c r="J29" s="63">
        <f t="shared" si="1"/>
        <v>0.51914733069232222</v>
      </c>
      <c r="K29" s="18">
        <f t="shared" si="2"/>
        <v>0.50650820599886814</v>
      </c>
      <c r="L29" s="19">
        <f t="shared" si="3"/>
        <v>1.2639124693454065E-2</v>
      </c>
      <c r="M29" s="63">
        <f t="shared" si="4"/>
        <v>0.43463497453310695</v>
      </c>
      <c r="N29" s="18">
        <f t="shared" si="5"/>
        <v>0.42576872288247503</v>
      </c>
      <c r="O29" s="19">
        <f t="shared" si="6"/>
        <v>8.8662516506319566E-3</v>
      </c>
      <c r="P29" s="82"/>
      <c r="Q29" s="83"/>
      <c r="R29" s="84"/>
      <c r="S29" s="82"/>
      <c r="T29" s="83"/>
      <c r="U29" s="84"/>
    </row>
    <row r="30" spans="1:21" x14ac:dyDescent="0.2">
      <c r="A30" s="58" t="s">
        <v>15</v>
      </c>
      <c r="B30" s="59" t="s">
        <v>5</v>
      </c>
      <c r="C30" s="20">
        <f t="shared" ref="C30:I30" si="28">+C31+C32</f>
        <v>4240</v>
      </c>
      <c r="D30" s="49">
        <f t="shared" si="28"/>
        <v>3834</v>
      </c>
      <c r="E30" s="50">
        <f t="shared" si="28"/>
        <v>406</v>
      </c>
      <c r="F30" s="20">
        <f t="shared" si="28"/>
        <v>3422</v>
      </c>
      <c r="G30" s="49">
        <f t="shared" si="28"/>
        <v>3103</v>
      </c>
      <c r="H30" s="50">
        <f t="shared" si="28"/>
        <v>319</v>
      </c>
      <c r="I30" s="85">
        <f t="shared" si="28"/>
        <v>3602</v>
      </c>
      <c r="J30" s="62">
        <f t="shared" si="1"/>
        <v>1.1771238200999445</v>
      </c>
      <c r="K30" s="110">
        <f t="shared" si="2"/>
        <v>1.0644086618545252</v>
      </c>
      <c r="L30" s="111">
        <f t="shared" si="3"/>
        <v>0.11271515824541921</v>
      </c>
      <c r="M30" s="62">
        <f t="shared" si="4"/>
        <v>0.95002776235424768</v>
      </c>
      <c r="N30" s="110">
        <f t="shared" si="5"/>
        <v>0.86146585230427541</v>
      </c>
      <c r="O30" s="111">
        <f t="shared" si="6"/>
        <v>8.8561910049972242E-2</v>
      </c>
      <c r="P30" s="112">
        <f t="shared" ref="P30:U30" si="29">J32/J31</f>
        <v>0.94384841315166834</v>
      </c>
      <c r="Q30" s="113">
        <f t="shared" si="29"/>
        <v>0.96431650741792008</v>
      </c>
      <c r="R30" s="114">
        <f t="shared" si="29"/>
        <v>0.76921637483747873</v>
      </c>
      <c r="S30" s="112">
        <f t="shared" si="29"/>
        <v>0.9570496782621194</v>
      </c>
      <c r="T30" s="113">
        <f t="shared" si="29"/>
        <v>0.9752398523201824</v>
      </c>
      <c r="U30" s="114">
        <f t="shared" si="29"/>
        <v>0.79573681601094515</v>
      </c>
    </row>
    <row r="31" spans="1:21" x14ac:dyDescent="0.2">
      <c r="A31" s="8"/>
      <c r="B31" s="9" t="s">
        <v>6</v>
      </c>
      <c r="C31" s="10">
        <f t="shared" ref="C31:C32" si="30">+D31+E31</f>
        <v>2240</v>
      </c>
      <c r="D31" s="47">
        <v>2005</v>
      </c>
      <c r="E31" s="48">
        <v>235</v>
      </c>
      <c r="F31" s="10">
        <f t="shared" ref="F31:F32" si="31">+G31+H31</f>
        <v>1796</v>
      </c>
      <c r="G31" s="47">
        <v>1614</v>
      </c>
      <c r="H31" s="48">
        <v>182</v>
      </c>
      <c r="I31" s="75">
        <v>1851</v>
      </c>
      <c r="J31" s="61">
        <f t="shared" si="1"/>
        <v>1.2101566720691519</v>
      </c>
      <c r="K31" s="14">
        <f t="shared" si="2"/>
        <v>1.0831982712047541</v>
      </c>
      <c r="L31" s="15">
        <f t="shared" si="3"/>
        <v>0.12695840086439764</v>
      </c>
      <c r="M31" s="61">
        <f t="shared" si="4"/>
        <v>0.97028633171258782</v>
      </c>
      <c r="N31" s="14">
        <f t="shared" si="5"/>
        <v>0.8719611021069692</v>
      </c>
      <c r="O31" s="15">
        <f t="shared" si="6"/>
        <v>9.8325229605618583E-2</v>
      </c>
      <c r="P31" s="79"/>
      <c r="Q31" s="80"/>
      <c r="R31" s="81"/>
      <c r="S31" s="79"/>
      <c r="T31" s="80"/>
      <c r="U31" s="81"/>
    </row>
    <row r="32" spans="1:21" x14ac:dyDescent="0.2">
      <c r="A32" s="16"/>
      <c r="B32" s="17" t="s">
        <v>7</v>
      </c>
      <c r="C32" s="21">
        <f t="shared" si="30"/>
        <v>2000</v>
      </c>
      <c r="D32" s="47">
        <v>1829</v>
      </c>
      <c r="E32" s="48">
        <v>171</v>
      </c>
      <c r="F32" s="21">
        <f t="shared" si="31"/>
        <v>1626</v>
      </c>
      <c r="G32" s="47">
        <v>1489</v>
      </c>
      <c r="H32" s="48">
        <v>137</v>
      </c>
      <c r="I32" s="86">
        <v>1751</v>
      </c>
      <c r="J32" s="63">
        <f t="shared" si="1"/>
        <v>1.1422044545973729</v>
      </c>
      <c r="K32" s="18">
        <f t="shared" si="2"/>
        <v>1.0445459737292975</v>
      </c>
      <c r="L32" s="19">
        <f t="shared" si="3"/>
        <v>9.7658480868075381E-2</v>
      </c>
      <c r="M32" s="63">
        <f t="shared" si="4"/>
        <v>0.92861222158766421</v>
      </c>
      <c r="N32" s="18">
        <f t="shared" si="5"/>
        <v>0.85037121644774416</v>
      </c>
      <c r="O32" s="19">
        <f t="shared" si="6"/>
        <v>7.824100513992005E-2</v>
      </c>
      <c r="P32" s="82"/>
      <c r="Q32" s="83"/>
      <c r="R32" s="84"/>
      <c r="S32" s="82"/>
      <c r="T32" s="83"/>
      <c r="U32" s="84"/>
    </row>
    <row r="33" spans="1:21" x14ac:dyDescent="0.2">
      <c r="A33" s="58" t="s">
        <v>16</v>
      </c>
      <c r="B33" s="59" t="s">
        <v>5</v>
      </c>
      <c r="C33" s="20">
        <f t="shared" ref="C33:I33" si="32">+C34+C35</f>
        <v>2480</v>
      </c>
      <c r="D33" s="49">
        <f t="shared" si="32"/>
        <v>2403</v>
      </c>
      <c r="E33" s="50">
        <f t="shared" si="32"/>
        <v>77</v>
      </c>
      <c r="F33" s="20">
        <f t="shared" si="32"/>
        <v>2012</v>
      </c>
      <c r="G33" s="49">
        <f t="shared" si="32"/>
        <v>1952</v>
      </c>
      <c r="H33" s="50">
        <f t="shared" si="32"/>
        <v>60</v>
      </c>
      <c r="I33" s="85">
        <f t="shared" si="32"/>
        <v>2267</v>
      </c>
      <c r="J33" s="62">
        <f t="shared" si="1"/>
        <v>1.0939567710630789</v>
      </c>
      <c r="K33" s="110">
        <f t="shared" si="2"/>
        <v>1.0599911777679754</v>
      </c>
      <c r="L33" s="111">
        <f t="shared" si="3"/>
        <v>3.3965593295103659E-2</v>
      </c>
      <c r="M33" s="62">
        <f t="shared" si="4"/>
        <v>0.88751654168504635</v>
      </c>
      <c r="N33" s="110">
        <f t="shared" si="5"/>
        <v>0.86104984561093956</v>
      </c>
      <c r="O33" s="111">
        <f t="shared" si="6"/>
        <v>2.646669607410675E-2</v>
      </c>
      <c r="P33" s="112">
        <f t="shared" ref="P33:U33" si="33">J35/J34</f>
        <v>1.0274572859387274</v>
      </c>
      <c r="Q33" s="113">
        <f t="shared" si="33"/>
        <v>1.0385984467136489</v>
      </c>
      <c r="R33" s="114">
        <f t="shared" si="33"/>
        <v>0.7302789322250639</v>
      </c>
      <c r="S33" s="112">
        <f t="shared" si="33"/>
        <v>1.0393233790595109</v>
      </c>
      <c r="T33" s="113">
        <f t="shared" si="33"/>
        <v>1.0465362315621112</v>
      </c>
      <c r="U33" s="114">
        <f t="shared" si="33"/>
        <v>0.82866565743944631</v>
      </c>
    </row>
    <row r="34" spans="1:21" x14ac:dyDescent="0.2">
      <c r="A34" s="8"/>
      <c r="B34" s="9" t="s">
        <v>6</v>
      </c>
      <c r="C34" s="10">
        <f t="shared" ref="C34:C35" si="34">+D34+E34</f>
        <v>1273</v>
      </c>
      <c r="D34" s="47">
        <v>1227</v>
      </c>
      <c r="E34" s="48">
        <v>46</v>
      </c>
      <c r="F34" s="10">
        <f t="shared" ref="F34:F35" si="35">+G34+H34</f>
        <v>1027</v>
      </c>
      <c r="G34" s="47">
        <v>993</v>
      </c>
      <c r="H34" s="48">
        <v>34</v>
      </c>
      <c r="I34" s="75">
        <v>1179</v>
      </c>
      <c r="J34" s="61">
        <f t="shared" si="1"/>
        <v>1.0797285835453774</v>
      </c>
      <c r="K34" s="14">
        <f t="shared" si="2"/>
        <v>1.0407124681933841</v>
      </c>
      <c r="L34" s="15">
        <f t="shared" si="3"/>
        <v>3.9016115351993216E-2</v>
      </c>
      <c r="M34" s="61">
        <f t="shared" si="4"/>
        <v>0.87107718405428325</v>
      </c>
      <c r="N34" s="14">
        <f t="shared" si="5"/>
        <v>0.84223918575063617</v>
      </c>
      <c r="O34" s="15">
        <f t="shared" si="6"/>
        <v>2.883799830364716E-2</v>
      </c>
      <c r="P34" s="79"/>
      <c r="Q34" s="80"/>
      <c r="R34" s="81"/>
      <c r="S34" s="79"/>
      <c r="T34" s="80"/>
      <c r="U34" s="81"/>
    </row>
    <row r="35" spans="1:21" x14ac:dyDescent="0.2">
      <c r="A35" s="16"/>
      <c r="B35" s="17" t="s">
        <v>7</v>
      </c>
      <c r="C35" s="21">
        <f t="shared" si="34"/>
        <v>1207</v>
      </c>
      <c r="D35" s="47">
        <v>1176</v>
      </c>
      <c r="E35" s="48">
        <v>31</v>
      </c>
      <c r="F35" s="21">
        <f t="shared" si="35"/>
        <v>985</v>
      </c>
      <c r="G35" s="47">
        <v>959</v>
      </c>
      <c r="H35" s="48">
        <v>26</v>
      </c>
      <c r="I35" s="86">
        <v>1088</v>
      </c>
      <c r="J35" s="63">
        <f t="shared" si="1"/>
        <v>1.109375</v>
      </c>
      <c r="K35" s="18">
        <f t="shared" si="2"/>
        <v>1.0808823529411764</v>
      </c>
      <c r="L35" s="19">
        <f t="shared" si="3"/>
        <v>2.8492647058823529E-2</v>
      </c>
      <c r="M35" s="63">
        <f t="shared" si="4"/>
        <v>0.90533088235294112</v>
      </c>
      <c r="N35" s="18">
        <f t="shared" si="5"/>
        <v>0.8814338235294118</v>
      </c>
      <c r="O35" s="19">
        <f t="shared" si="6"/>
        <v>2.389705882352941E-2</v>
      </c>
      <c r="P35" s="82"/>
      <c r="Q35" s="83"/>
      <c r="R35" s="84"/>
      <c r="S35" s="82"/>
      <c r="T35" s="83"/>
      <c r="U35" s="84"/>
    </row>
    <row r="36" spans="1:21" x14ac:dyDescent="0.2">
      <c r="A36" s="58" t="s">
        <v>17</v>
      </c>
      <c r="B36" s="59" t="s">
        <v>5</v>
      </c>
      <c r="C36" s="20">
        <f t="shared" ref="C36:I36" si="36">+C37+C38</f>
        <v>8412</v>
      </c>
      <c r="D36" s="49">
        <f t="shared" si="36"/>
        <v>7950</v>
      </c>
      <c r="E36" s="50">
        <f t="shared" si="36"/>
        <v>462</v>
      </c>
      <c r="F36" s="20">
        <f t="shared" si="36"/>
        <v>6628</v>
      </c>
      <c r="G36" s="49">
        <f t="shared" si="36"/>
        <v>6248</v>
      </c>
      <c r="H36" s="50">
        <f t="shared" si="36"/>
        <v>380</v>
      </c>
      <c r="I36" s="85">
        <f t="shared" si="36"/>
        <v>3405</v>
      </c>
      <c r="J36" s="62">
        <f t="shared" si="1"/>
        <v>2.4704845814977974</v>
      </c>
      <c r="K36" s="110">
        <f t="shared" si="2"/>
        <v>2.3348017621145374</v>
      </c>
      <c r="L36" s="111">
        <f t="shared" si="3"/>
        <v>0.13568281938325991</v>
      </c>
      <c r="M36" s="62">
        <f t="shared" si="4"/>
        <v>1.9465491923641702</v>
      </c>
      <c r="N36" s="110">
        <f t="shared" si="5"/>
        <v>1.8349486049926578</v>
      </c>
      <c r="O36" s="111">
        <f t="shared" si="6"/>
        <v>0.11160058737151249</v>
      </c>
      <c r="P36" s="112">
        <f t="shared" ref="P36:U36" si="37">J38/J37</f>
        <v>1.0216178205340682</v>
      </c>
      <c r="Q36" s="113">
        <f t="shared" si="37"/>
        <v>1.0237408547426039</v>
      </c>
      <c r="R36" s="114">
        <f t="shared" si="37"/>
        <v>0.98574647075333577</v>
      </c>
      <c r="S36" s="112">
        <f t="shared" si="37"/>
        <v>1.0575799974501061</v>
      </c>
      <c r="T36" s="113">
        <f t="shared" si="37"/>
        <v>1.0646807603581294</v>
      </c>
      <c r="U36" s="114">
        <f t="shared" si="37"/>
        <v>0.94723695404275343</v>
      </c>
    </row>
    <row r="37" spans="1:21" x14ac:dyDescent="0.2">
      <c r="A37" s="8"/>
      <c r="B37" s="9" t="s">
        <v>6</v>
      </c>
      <c r="C37" s="10">
        <f t="shared" ref="C37:C38" si="38">+D37+E37</f>
        <v>4313</v>
      </c>
      <c r="D37" s="47">
        <v>4072</v>
      </c>
      <c r="E37" s="48">
        <v>241</v>
      </c>
      <c r="F37" s="10">
        <f t="shared" ref="F37:F38" si="39">+G37+H37</f>
        <v>3341</v>
      </c>
      <c r="G37" s="47">
        <v>3139</v>
      </c>
      <c r="H37" s="48">
        <v>202</v>
      </c>
      <c r="I37" s="75">
        <v>1764</v>
      </c>
      <c r="J37" s="61">
        <f t="shared" si="1"/>
        <v>2.4450113378684808</v>
      </c>
      <c r="K37" s="14">
        <f t="shared" si="2"/>
        <v>2.308390022675737</v>
      </c>
      <c r="L37" s="15">
        <f t="shared" si="3"/>
        <v>0.13662131519274376</v>
      </c>
      <c r="M37" s="61">
        <f t="shared" si="4"/>
        <v>1.8939909297052153</v>
      </c>
      <c r="N37" s="14">
        <f t="shared" si="5"/>
        <v>1.7794784580498866</v>
      </c>
      <c r="O37" s="15">
        <f t="shared" si="6"/>
        <v>0.1145124716553288</v>
      </c>
      <c r="P37" s="79"/>
      <c r="Q37" s="80"/>
      <c r="R37" s="81"/>
      <c r="S37" s="79"/>
      <c r="T37" s="80"/>
      <c r="U37" s="81"/>
    </row>
    <row r="38" spans="1:21" x14ac:dyDescent="0.2">
      <c r="A38" s="16"/>
      <c r="B38" s="17" t="s">
        <v>7</v>
      </c>
      <c r="C38" s="21">
        <f t="shared" si="38"/>
        <v>4099</v>
      </c>
      <c r="D38" s="47">
        <v>3878</v>
      </c>
      <c r="E38" s="48">
        <v>221</v>
      </c>
      <c r="F38" s="21">
        <f t="shared" si="39"/>
        <v>3287</v>
      </c>
      <c r="G38" s="47">
        <v>3109</v>
      </c>
      <c r="H38" s="48">
        <v>178</v>
      </c>
      <c r="I38" s="86">
        <v>1641</v>
      </c>
      <c r="J38" s="63">
        <f t="shared" si="1"/>
        <v>2.4978671541742838</v>
      </c>
      <c r="K38" s="18">
        <f t="shared" si="2"/>
        <v>2.3631931748933579</v>
      </c>
      <c r="L38" s="19">
        <f t="shared" si="3"/>
        <v>0.13467397928092625</v>
      </c>
      <c r="M38" s="63">
        <f t="shared" si="4"/>
        <v>2.0030469226081657</v>
      </c>
      <c r="N38" s="18">
        <f t="shared" si="5"/>
        <v>1.894576477757465</v>
      </c>
      <c r="O38" s="19">
        <f t="shared" si="6"/>
        <v>0.10847044485070079</v>
      </c>
      <c r="P38" s="82"/>
      <c r="Q38" s="83"/>
      <c r="R38" s="84"/>
      <c r="S38" s="82"/>
      <c r="T38" s="83"/>
      <c r="U38" s="84"/>
    </row>
    <row r="39" spans="1:21" x14ac:dyDescent="0.2">
      <c r="A39" s="58" t="s">
        <v>18</v>
      </c>
      <c r="B39" s="59" t="s">
        <v>5</v>
      </c>
      <c r="C39" s="20">
        <f t="shared" ref="C39:I39" si="40">+C40+C41</f>
        <v>4457</v>
      </c>
      <c r="D39" s="49">
        <f t="shared" si="40"/>
        <v>3960</v>
      </c>
      <c r="E39" s="50">
        <f t="shared" si="40"/>
        <v>497</v>
      </c>
      <c r="F39" s="20">
        <f t="shared" si="40"/>
        <v>3565</v>
      </c>
      <c r="G39" s="49">
        <f t="shared" si="40"/>
        <v>3175</v>
      </c>
      <c r="H39" s="50">
        <f t="shared" si="40"/>
        <v>390</v>
      </c>
      <c r="I39" s="85">
        <f t="shared" si="40"/>
        <v>4256</v>
      </c>
      <c r="J39" s="62">
        <f t="shared" si="1"/>
        <v>1.0472274436090225</v>
      </c>
      <c r="K39" s="110">
        <f t="shared" si="2"/>
        <v>0.93045112781954886</v>
      </c>
      <c r="L39" s="111">
        <f t="shared" si="3"/>
        <v>0.11677631578947369</v>
      </c>
      <c r="M39" s="62">
        <f t="shared" si="4"/>
        <v>0.83764097744360899</v>
      </c>
      <c r="N39" s="110">
        <f t="shared" si="5"/>
        <v>0.74600563909774431</v>
      </c>
      <c r="O39" s="111">
        <f t="shared" si="6"/>
        <v>9.1635338345864667E-2</v>
      </c>
      <c r="P39" s="112">
        <f t="shared" ref="P39:U39" si="41">J41/J40</f>
        <v>0.98283346830382978</v>
      </c>
      <c r="Q39" s="113">
        <f t="shared" si="41"/>
        <v>0.97379308728214631</v>
      </c>
      <c r="R39" s="114">
        <f t="shared" si="41"/>
        <v>1.0578649707105154</v>
      </c>
      <c r="S39" s="112">
        <f t="shared" si="41"/>
        <v>0.98869030257119406</v>
      </c>
      <c r="T39" s="113">
        <f t="shared" si="41"/>
        <v>0.98196235128487463</v>
      </c>
      <c r="U39" s="114">
        <f t="shared" si="41"/>
        <v>1.0451705910619895</v>
      </c>
    </row>
    <row r="40" spans="1:21" x14ac:dyDescent="0.2">
      <c r="A40" s="8"/>
      <c r="B40" s="9" t="s">
        <v>6</v>
      </c>
      <c r="C40" s="10">
        <f t="shared" ref="C40:C41" si="42">+D40+E40</f>
        <v>2297</v>
      </c>
      <c r="D40" s="47">
        <v>2050</v>
      </c>
      <c r="E40" s="48">
        <v>247</v>
      </c>
      <c r="F40" s="10">
        <f t="shared" ref="F40:F41" si="43">+G40+H40</f>
        <v>1832</v>
      </c>
      <c r="G40" s="47">
        <v>1637</v>
      </c>
      <c r="H40" s="48">
        <v>195</v>
      </c>
      <c r="I40" s="75">
        <v>2175</v>
      </c>
      <c r="J40" s="61">
        <f t="shared" si="1"/>
        <v>1.0560919540229885</v>
      </c>
      <c r="K40" s="14">
        <f t="shared" si="2"/>
        <v>0.94252873563218387</v>
      </c>
      <c r="L40" s="15">
        <f t="shared" si="3"/>
        <v>0.1135632183908046</v>
      </c>
      <c r="M40" s="61">
        <f t="shared" si="4"/>
        <v>0.84229885057471265</v>
      </c>
      <c r="N40" s="14">
        <f t="shared" si="5"/>
        <v>0.75264367816091959</v>
      </c>
      <c r="O40" s="15">
        <f t="shared" si="6"/>
        <v>8.9655172413793102E-2</v>
      </c>
      <c r="P40" s="79"/>
      <c r="Q40" s="80"/>
      <c r="R40" s="81"/>
      <c r="S40" s="79"/>
      <c r="T40" s="80"/>
      <c r="U40" s="81"/>
    </row>
    <row r="41" spans="1:21" x14ac:dyDescent="0.2">
      <c r="A41" s="16"/>
      <c r="B41" s="17" t="s">
        <v>7</v>
      </c>
      <c r="C41" s="21">
        <f t="shared" si="42"/>
        <v>2160</v>
      </c>
      <c r="D41" s="47">
        <v>1910</v>
      </c>
      <c r="E41" s="48">
        <v>250</v>
      </c>
      <c r="F41" s="21">
        <f t="shared" si="43"/>
        <v>1733</v>
      </c>
      <c r="G41" s="47">
        <v>1538</v>
      </c>
      <c r="H41" s="48">
        <v>195</v>
      </c>
      <c r="I41" s="86">
        <v>2081</v>
      </c>
      <c r="J41" s="63">
        <f t="shared" si="1"/>
        <v>1.0379625180201826</v>
      </c>
      <c r="K41" s="18">
        <f t="shared" si="2"/>
        <v>0.91782796732340222</v>
      </c>
      <c r="L41" s="19">
        <f t="shared" si="3"/>
        <v>0.12013455069678039</v>
      </c>
      <c r="M41" s="63">
        <f t="shared" si="4"/>
        <v>0.83277270543008164</v>
      </c>
      <c r="N41" s="18">
        <f t="shared" si="5"/>
        <v>0.73906775588659301</v>
      </c>
      <c r="O41" s="19">
        <f t="shared" si="6"/>
        <v>9.3704949543488708E-2</v>
      </c>
      <c r="P41" s="82"/>
      <c r="Q41" s="83"/>
      <c r="R41" s="84"/>
      <c r="S41" s="82"/>
      <c r="T41" s="83"/>
      <c r="U41" s="84"/>
    </row>
    <row r="42" spans="1:21" x14ac:dyDescent="0.2">
      <c r="A42" s="58" t="s">
        <v>19</v>
      </c>
      <c r="B42" s="59" t="s">
        <v>5</v>
      </c>
      <c r="C42" s="20">
        <f t="shared" ref="C42:I42" si="44">+C43+C44</f>
        <v>6096</v>
      </c>
      <c r="D42" s="49">
        <f t="shared" si="44"/>
        <v>5299</v>
      </c>
      <c r="E42" s="50">
        <f t="shared" si="44"/>
        <v>797</v>
      </c>
      <c r="F42" s="20">
        <f t="shared" si="44"/>
        <v>5013</v>
      </c>
      <c r="G42" s="49">
        <f t="shared" si="44"/>
        <v>4377</v>
      </c>
      <c r="H42" s="50">
        <f t="shared" si="44"/>
        <v>636</v>
      </c>
      <c r="I42" s="85">
        <f t="shared" si="44"/>
        <v>5655</v>
      </c>
      <c r="J42" s="62">
        <f t="shared" si="1"/>
        <v>1.0779840848806366</v>
      </c>
      <c r="K42" s="110">
        <f t="shared" si="2"/>
        <v>0.93704686118479219</v>
      </c>
      <c r="L42" s="111">
        <f t="shared" si="3"/>
        <v>0.14093722369584438</v>
      </c>
      <c r="M42" s="62">
        <f t="shared" si="4"/>
        <v>0.88647214854111411</v>
      </c>
      <c r="N42" s="110">
        <f t="shared" si="5"/>
        <v>0.77400530503978782</v>
      </c>
      <c r="O42" s="111">
        <f t="shared" si="6"/>
        <v>0.11246684350132626</v>
      </c>
      <c r="P42" s="112">
        <f t="shared" ref="P42:U42" si="45">J44/J43</f>
        <v>0.9745103158117765</v>
      </c>
      <c r="Q42" s="113">
        <f t="shared" si="45"/>
        <v>1.0150749157900345</v>
      </c>
      <c r="R42" s="114">
        <f t="shared" si="45"/>
        <v>0.74067754677222586</v>
      </c>
      <c r="S42" s="112">
        <f t="shared" si="45"/>
        <v>0.98608417139172166</v>
      </c>
      <c r="T42" s="113">
        <f t="shared" si="45"/>
        <v>1.0362653306479999</v>
      </c>
      <c r="U42" s="114">
        <f t="shared" si="45"/>
        <v>0.69695136635751143</v>
      </c>
    </row>
    <row r="43" spans="1:21" x14ac:dyDescent="0.2">
      <c r="A43" s="8"/>
      <c r="B43" s="9" t="s">
        <v>6</v>
      </c>
      <c r="C43" s="10">
        <f t="shared" ref="C43:C44" si="46">+D43+E43</f>
        <v>3159</v>
      </c>
      <c r="D43" s="47">
        <v>2692</v>
      </c>
      <c r="E43" s="48">
        <v>467</v>
      </c>
      <c r="F43" s="10">
        <f t="shared" ref="F43:F44" si="47">+G43+H43</f>
        <v>2583</v>
      </c>
      <c r="G43" s="47">
        <v>2201</v>
      </c>
      <c r="H43" s="48">
        <v>382</v>
      </c>
      <c r="I43" s="75">
        <v>2894</v>
      </c>
      <c r="J43" s="61">
        <f t="shared" si="1"/>
        <v>1.0915687629578439</v>
      </c>
      <c r="K43" s="14">
        <f t="shared" si="2"/>
        <v>0.93020041465100212</v>
      </c>
      <c r="L43" s="15">
        <f t="shared" si="3"/>
        <v>0.16136834830684174</v>
      </c>
      <c r="M43" s="61">
        <f t="shared" si="4"/>
        <v>0.89253628196268142</v>
      </c>
      <c r="N43" s="14">
        <f t="shared" si="5"/>
        <v>0.7605390463026952</v>
      </c>
      <c r="O43" s="15">
        <f t="shared" si="6"/>
        <v>0.13199723565998617</v>
      </c>
      <c r="P43" s="79"/>
      <c r="Q43" s="80"/>
      <c r="R43" s="81"/>
      <c r="S43" s="79"/>
      <c r="T43" s="80"/>
      <c r="U43" s="81"/>
    </row>
    <row r="44" spans="1:21" x14ac:dyDescent="0.2">
      <c r="A44" s="16"/>
      <c r="B44" s="17" t="s">
        <v>7</v>
      </c>
      <c r="C44" s="21">
        <f t="shared" si="46"/>
        <v>2937</v>
      </c>
      <c r="D44" s="51">
        <v>2607</v>
      </c>
      <c r="E44" s="52">
        <v>330</v>
      </c>
      <c r="F44" s="21">
        <f t="shared" si="47"/>
        <v>2430</v>
      </c>
      <c r="G44" s="51">
        <v>2176</v>
      </c>
      <c r="H44" s="52">
        <v>254</v>
      </c>
      <c r="I44" s="86">
        <v>2761</v>
      </c>
      <c r="J44" s="63">
        <f t="shared" si="1"/>
        <v>1.0637450199203187</v>
      </c>
      <c r="K44" s="18">
        <f t="shared" si="2"/>
        <v>0.94422310756972117</v>
      </c>
      <c r="L44" s="19">
        <f t="shared" si="3"/>
        <v>0.11952191235059761</v>
      </c>
      <c r="M44" s="63">
        <f t="shared" si="4"/>
        <v>0.88011590003621876</v>
      </c>
      <c r="N44" s="18">
        <f t="shared" si="5"/>
        <v>0.78812024628757693</v>
      </c>
      <c r="O44" s="19">
        <f t="shared" si="6"/>
        <v>9.1995653748641798E-2</v>
      </c>
      <c r="P44" s="82"/>
      <c r="Q44" s="83"/>
      <c r="R44" s="84"/>
      <c r="S44" s="82"/>
      <c r="T44" s="83"/>
      <c r="U44" s="84"/>
    </row>
    <row r="45" spans="1:21" x14ac:dyDescent="0.2">
      <c r="A45" s="22" t="s">
        <v>8</v>
      </c>
      <c r="B45" s="23" t="s">
        <v>5</v>
      </c>
      <c r="C45" s="24">
        <f t="shared" ref="C45:I45" si="48">+C46+C47</f>
        <v>115862</v>
      </c>
      <c r="D45" s="53">
        <f t="shared" si="48"/>
        <v>106218</v>
      </c>
      <c r="E45" s="54">
        <f t="shared" si="48"/>
        <v>9644</v>
      </c>
      <c r="F45" s="24">
        <f t="shared" si="48"/>
        <v>91967</v>
      </c>
      <c r="G45" s="53">
        <f t="shared" si="48"/>
        <v>84426</v>
      </c>
      <c r="H45" s="54">
        <f t="shared" si="48"/>
        <v>7541</v>
      </c>
      <c r="I45" s="87">
        <f t="shared" si="48"/>
        <v>113643</v>
      </c>
      <c r="J45" s="64">
        <f t="shared" si="1"/>
        <v>1.0195260596781148</v>
      </c>
      <c r="K45" s="25">
        <f t="shared" si="2"/>
        <v>0.93466381563316703</v>
      </c>
      <c r="L45" s="26">
        <f t="shared" si="3"/>
        <v>8.4862244044947771E-2</v>
      </c>
      <c r="M45" s="64">
        <f t="shared" si="4"/>
        <v>0.80926233907939771</v>
      </c>
      <c r="N45" s="25">
        <f t="shared" si="5"/>
        <v>0.74290541432380353</v>
      </c>
      <c r="O45" s="26">
        <f t="shared" si="6"/>
        <v>6.6356924755594279E-2</v>
      </c>
      <c r="P45" s="88">
        <f t="shared" ref="P45:U45" si="49">J47/J46</f>
        <v>0.99856143637407058</v>
      </c>
      <c r="Q45" s="89">
        <f t="shared" si="49"/>
        <v>1.005631468255487</v>
      </c>
      <c r="R45" s="90">
        <f t="shared" si="49"/>
        <v>0.92378807466987301</v>
      </c>
      <c r="S45" s="88">
        <f t="shared" si="49"/>
        <v>1.0269137398029375</v>
      </c>
      <c r="T45" s="89">
        <f t="shared" si="49"/>
        <v>1.036621741336329</v>
      </c>
      <c r="U45" s="90">
        <f t="shared" si="49"/>
        <v>0.92407949204407769</v>
      </c>
    </row>
    <row r="46" spans="1:21" x14ac:dyDescent="0.2">
      <c r="A46" s="22"/>
      <c r="B46" s="23" t="s">
        <v>6</v>
      </c>
      <c r="C46" s="24">
        <f>+D46+E46</f>
        <v>59478</v>
      </c>
      <c r="D46" s="53">
        <f>D13+D16+D19+D22+D25+D28+D31+D34+D37+D40+D43</f>
        <v>54340</v>
      </c>
      <c r="E46" s="54">
        <f>E13+E16+E19+E22+E25+E28+E31+E34+E37+E40+E43</f>
        <v>5138</v>
      </c>
      <c r="F46" s="24">
        <f>+G46+H46</f>
        <v>46568</v>
      </c>
      <c r="G46" s="53">
        <f t="shared" ref="G46:I47" si="50">G13+G16+G19+G22+G25+G28+G31+G34+G37+G40+G43</f>
        <v>42551</v>
      </c>
      <c r="H46" s="54">
        <f t="shared" si="50"/>
        <v>4017</v>
      </c>
      <c r="I46" s="87">
        <f t="shared" si="50"/>
        <v>58298</v>
      </c>
      <c r="J46" s="64">
        <f t="shared" si="1"/>
        <v>1.0202408315894198</v>
      </c>
      <c r="K46" s="25">
        <f t="shared" si="2"/>
        <v>0.93210744793989497</v>
      </c>
      <c r="L46" s="26">
        <f t="shared" si="3"/>
        <v>8.813338364952486E-2</v>
      </c>
      <c r="M46" s="64">
        <f t="shared" si="4"/>
        <v>0.79879241140347867</v>
      </c>
      <c r="N46" s="25">
        <f t="shared" si="5"/>
        <v>0.72988781776390266</v>
      </c>
      <c r="O46" s="26">
        <f t="shared" si="6"/>
        <v>6.8904593639575976E-2</v>
      </c>
      <c r="P46" s="88"/>
      <c r="Q46" s="89"/>
      <c r="R46" s="90"/>
      <c r="S46" s="88"/>
      <c r="T46" s="89"/>
      <c r="U46" s="90"/>
    </row>
    <row r="47" spans="1:21" ht="12" thickBot="1" x14ac:dyDescent="0.25">
      <c r="A47" s="27"/>
      <c r="B47" s="28" t="s">
        <v>7</v>
      </c>
      <c r="C47" s="29">
        <f>+D47+E47</f>
        <v>56384</v>
      </c>
      <c r="D47" s="55">
        <f>D14+D17+D20+D23+D26+D29+D32+D35+D38+D41+D44</f>
        <v>51878</v>
      </c>
      <c r="E47" s="56">
        <f>E14+E17+E20+E23+E26+E29+E32+E35+E38+E41+E44</f>
        <v>4506</v>
      </c>
      <c r="F47" s="29">
        <f>+G47+H47</f>
        <v>45399</v>
      </c>
      <c r="G47" s="55">
        <f t="shared" si="50"/>
        <v>41875</v>
      </c>
      <c r="H47" s="56">
        <f t="shared" si="50"/>
        <v>3524</v>
      </c>
      <c r="I47" s="91">
        <f t="shared" si="50"/>
        <v>55345</v>
      </c>
      <c r="J47" s="65">
        <f t="shared" si="1"/>
        <v>1.0187731502394073</v>
      </c>
      <c r="K47" s="30">
        <f t="shared" si="2"/>
        <v>0.93735658144367151</v>
      </c>
      <c r="L47" s="31">
        <f t="shared" si="3"/>
        <v>8.1416568795735833E-2</v>
      </c>
      <c r="M47" s="65">
        <f t="shared" si="4"/>
        <v>0.82029090252055292</v>
      </c>
      <c r="N47" s="30">
        <f t="shared" si="5"/>
        <v>0.75661758063058993</v>
      </c>
      <c r="O47" s="31">
        <f t="shared" si="6"/>
        <v>6.3673321889962955E-2</v>
      </c>
      <c r="P47" s="92"/>
      <c r="Q47" s="93"/>
      <c r="R47" s="94"/>
      <c r="S47" s="92"/>
      <c r="T47" s="93"/>
      <c r="U47" s="94"/>
    </row>
  </sheetData>
  <sheetProtection algorithmName="SHA-512" hashValue="xHaf2toxj1X4PlCl74ozIb+JPYSDcNi9dcfixlXQxxkjAKe65wFAV55qD17L/Lq/6PjPfIjsfHJu4diVFdcimQ==" saltValue="COdfP0uVkRvChIUvh+5CHQ==" spinCount="100000" sheet="1" objects="1" scenarios="1"/>
  <mergeCells count="12">
    <mergeCell ref="A2:U2"/>
    <mergeCell ref="A1:U1"/>
    <mergeCell ref="F8:H8"/>
    <mergeCell ref="J8:L8"/>
    <mergeCell ref="M8:O8"/>
    <mergeCell ref="P8:R8"/>
    <mergeCell ref="S8:U8"/>
    <mergeCell ref="A3:U3"/>
    <mergeCell ref="A4:U4"/>
    <mergeCell ref="A5:P5"/>
    <mergeCell ref="A8:B9"/>
    <mergeCell ref="C8:E8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AIR-NIR KINDER</vt:lpstr>
      <vt:lpstr>AIR-NIR Grade1</vt:lpstr>
      <vt:lpstr>'AIR-NIR Grade1'!Print_Area</vt:lpstr>
      <vt:lpstr>'AIR-NIR KINDER'!Print_Area</vt:lpstr>
      <vt:lpstr>'AIR-NIR Grade1'!Print_Titles</vt:lpstr>
      <vt:lpstr>'AIR-NIR KINDER'!Print_Titles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cp:lastPrinted>2018-04-11T01:24:07Z</cp:lastPrinted>
  <dcterms:created xsi:type="dcterms:W3CDTF">2018-04-11T01:15:54Z</dcterms:created>
  <dcterms:modified xsi:type="dcterms:W3CDTF">2025-01-27T03:44:32Z</dcterms:modified>
</cp:coreProperties>
</file>